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CCUEIL" sheetId="1" state="visible" r:id="rId3"/>
    <sheet name="LOTS" sheetId="2" state="visible" r:id="rId4"/>
    <sheet name="OPERATIONS" sheetId="3" state="visible" r:id="rId5"/>
    <sheet name="SOUS_TRAITANCE" sheetId="4" state="visible" r:id="rId6"/>
    <sheet name="ST_RESULTATS" sheetId="5" state="visible" r:id="rId7"/>
    <sheet name="QUALITE" sheetId="6" state="visible" r:id="rId8"/>
    <sheet name="STOCK" sheetId="7" state="visible" r:id="rId9"/>
    <sheet name="RECHERCHE" sheetId="8" state="visible" r:id="rId10"/>
    <sheet name="MOUVEMENTS" sheetId="9" state="visible" r:id="rId11"/>
    <sheet name="PARAM" sheetId="10" state="visible" r:id="rId12"/>
    <sheet name="GUIDE" sheetId="11" state="visible" r:id="rId13"/>
    <sheet name="TESTS" sheetId="12" state="visible" r:id="rId14"/>
  </sheets>
  <definedNames>
    <definedName function="false" hidden="true" localSheetId="1" name="_xlnm._FilterDatabase" vbProcedure="false">LOTS!$A$4:$U$204</definedName>
    <definedName function="false" hidden="true" localSheetId="8" name="_xlnm._FilterDatabase" vbProcedure="false">MOUVEMENTS!$A$4:$N$1054</definedName>
    <definedName function="false" hidden="true" localSheetId="2" name="_xlnm._FilterDatabase" vbProcedure="false">OPERATIONS!$A$4:$R$304</definedName>
    <definedName function="false" hidden="true" localSheetId="5" name="_xlnm._FilterDatabase" vbProcedure="false">QUALITE!$A$4:$T$254</definedName>
    <definedName function="false" hidden="true" localSheetId="3" name="_xlnm._FilterDatabase" vbProcedure="false">SOUS_TRAITANCE!$A$4:$AB$154</definedName>
    <definedName function="false" hidden="true" localSheetId="4" name="_xlnm._FilterDatabase" vbProcedure="false">ST_RESULTATS!$A$4:$Z$304</definedName>
    <definedName function="false" hidden="false" name="EMPL_CLASSE" vbProcedure="false">PARAM!$C$6:$C$45</definedName>
    <definedName function="false" hidden="false" name="EMPL_KEY" vbProcedure="false">PARAM!$B$6:$B$45</definedName>
    <definedName function="false" hidden="false" name="LOT_CONSERV" vbProcedure="false">LOTS!$G$5:$G$204</definedName>
    <definedName function="false" hidden="false" name="LOT_CONSERVE" vbProcedure="false">LOTS!$Q$5:$Q$204</definedName>
    <definedName function="false" hidden="false" name="LOT_DATE" vbProcedure="false">LOTS!$J$5:$J$204</definedName>
    <definedName function="false" hidden="false" name="LOT_ETAT" vbProcedure="false">LOTS!$F$5:$F$204</definedName>
    <definedName function="false" hidden="false" name="LOT_FOURN" vbProcedure="false">LOTS!$C$5:$C$204</definedName>
    <definedName function="false" hidden="false" name="LOT_FOURNE" vbProcedure="false">LOTS!$O$5:$O$204</definedName>
    <definedName function="false" hidden="false" name="LOT_IMMAT" vbProcedure="false">LOTS!$E$5:$E$204</definedName>
    <definedName function="false" hidden="false" name="LOT_KEY" vbProcedure="false">LOTS!$A$5:$A$204</definedName>
    <definedName function="false" hidden="false" name="LOT_MOULE" vbProcedure="false">LOTS!$I$5:$I$204</definedName>
    <definedName function="false" hidden="false" name="LOT_OBS" vbProcedure="false">LOTS!$L$5:$L$204</definedName>
    <definedName function="false" hidden="false" name="LOT_ORIG" vbProcedure="false">LOTS!$D$5:$D$204</definedName>
    <definedName function="false" hidden="false" name="LOT_ORIGE" vbProcedure="false">LOTS!$P$5:$P$204</definedName>
    <definedName function="false" hidden="false" name="LOT_PARENT" vbProcedure="false">LOTS!$K$5:$K$204</definedName>
    <definedName function="false" hidden="false" name="LOT_PARENTE" vbProcedure="false">LOTS!$M$5:$M$204</definedName>
    <definedName function="false" hidden="false" name="LOT_PROD" vbProcedure="false">LOTS!$B$5:$B$204</definedName>
    <definedName function="false" hidden="false" name="LOT_PRODE" vbProcedure="false">LOTS!$N$5:$N$204</definedName>
    <definedName function="false" hidden="false" name="LOT_QUAL" vbProcedure="false">LOTS!$H$5:$H$204</definedName>
    <definedName function="false" hidden="false" name="LOT_STATUT" vbProcedure="false">LOTS!$U$5:$U$204</definedName>
    <definedName function="false" hidden="false" name="L_CONSERV" vbProcedure="false">OFFSET(PARAM!$N$6,0,0,MAX(1,COUNTA(PARAM!$N$6:$N$45)),1)</definedName>
    <definedName function="false" hidden="false" name="L_DECISION" vbProcedure="false">OFFSET(PARAM!$V$6,0,0,MAX(1,COUNTA(PARAM!$V$6:$V$45)),1)</definedName>
    <definedName function="false" hidden="false" name="L_EMPL" vbProcedure="false">OFFSET(PARAM!$B$6,0,0,MAX(1,COUNTA(PARAM!$B$6:$B$45)),1)</definedName>
    <definedName function="false" hidden="false" name="L_ETAT" vbProcedure="false">OFFSET(PARAM!$L$6,0,0,MAX(1,COUNTA(PARAM!$L$6:$L$45)),1)</definedName>
    <definedName function="false" hidden="false" name="L_FOURN" vbProcedure="false">OFFSET(PARAM!$H$6,0,0,MAX(1,COUNTA(PARAM!$H$6:$H$45)),1)</definedName>
    <definedName function="false" hidden="false" name="L_IDST" vbProcedure="false">OFFSET(SOUS_TRAITANCE!$A$5,0,0,MAX(1,COUNTA(SOUS_TRAITANCE!$D$5:$D$154)),1)</definedName>
    <definedName function="false" hidden="false" name="L_LOTS" vbProcedure="false">OFFSET(LOTS!$A$5,0,0,MAX(1,COUNTA(LOTS!$A$5:$A$204)),1)</definedName>
    <definedName function="false" hidden="false" name="L_MOTIF" vbProcedure="false">OFFSET(PARAM!$X$6,0,0,MAX(1,COUNTA(PARAM!$X$6:$X$45)),1)</definedName>
    <definedName function="false" hidden="false" name="L_MOULE" vbProcedure="false">OFFSET(PARAM!$R$6,0,0,MAX(1,COUNTA(PARAM!$R$6:$R$45)),1)</definedName>
    <definedName function="false" hidden="false" name="L_ORIGINE" vbProcedure="false">OFFSET(PARAM!$J$6,0,0,MAX(1,COUNTA(PARAM!$J$6:$J$45)),1)</definedName>
    <definedName function="false" hidden="false" name="L_PRODUIT" vbProcedure="false">OFFSET(PARAM!$F$6,0,0,MAX(1,COUNTA(PARAM!$F$6:$F$45)),1)</definedName>
    <definedName function="false" hidden="false" name="L_QUALITE" vbProcedure="false">OFFSET(PARAM!$P$6,0,0,MAX(1,COUNTA(PARAM!$P$6:$P$45)),1)</definedName>
    <definedName function="false" hidden="false" name="L_STRAIT" vbProcedure="false">OFFSET(PARAM!$T$6,0,0,MAX(1,COUNTA(PARAM!$T$6:$T$45)),1)</definedName>
    <definedName function="false" hidden="false" name="L_TYPECTRL" vbProcedure="false">OFFSET(PARAM!$Z$6,0,0,MAX(1,COUNTA(PARAM!$Z$6:$Z$45)),1)</definedName>
    <definedName function="false" hidden="false" name="MVT_BRUT" vbProcedure="false">MOUVEMENTS!$K$5:$K$1054</definedName>
    <definedName function="false" hidden="false" name="MVT_CLASSE" vbProcedure="false">MOUVEMENTS!$I$5:$I$1054</definedName>
    <definedName function="false" hidden="false" name="MVT_DATE" vbProcedure="false">MOUVEMENTS!$D$5:$D$1054</definedName>
    <definedName function="false" hidden="false" name="MVT_EMPL" vbProcedure="false">MOUVEMENTS!$H$5:$H$1054</definedName>
    <definedName function="false" hidden="false" name="MVT_LOT" vbProcedure="false">MOUVEMENTS!$G$5:$G$1054</definedName>
    <definedName function="false" hidden="false" name="MVT_NET" vbProcedure="false">MOUVEMENTS!$L$5:$L$1054</definedName>
    <definedName function="false" hidden="false" name="MVT_NO" vbProcedure="false">MOUVEMENTS!$A$5:$A$1054</definedName>
    <definedName function="false" hidden="false" name="MVT_OP" vbProcedure="false">MOUVEMENTS!$F$5:$F$1054</definedName>
    <definedName function="false" hidden="false" name="MVT_PROD" vbProcedure="false">MOUVEMENTS!$J$5:$J$1054</definedName>
    <definedName function="false" hidden="false" name="MVT_RANG" vbProcedure="false">MOUVEMENTS!$N$5:$N$1054</definedName>
    <definedName function="false" hidden="false" name="MVT_REF" vbProcedure="false">MOUVEMENTS!$C$5:$C$1054</definedName>
    <definedName function="false" hidden="false" name="MVT_SENS" vbProcedure="false">MOUVEMENTS!$E$5:$E$1054</definedName>
    <definedName function="false" hidden="false" name="MVT_SRC" vbProcedure="false">MOUVEMENTS!$B$5:$B$1054</definedName>
    <definedName function="false" hidden="false" name="MVT_STATUT" vbProcedure="false">MOUVEMENTS!$M$5:$M$1054</definedName>
    <definedName function="false" hidden="false" name="OPS_ID" vbProcedure="false">OPERATIONS!$A$5:$A$304</definedName>
    <definedName function="false" hidden="false" name="OPS_LOT" vbProcedure="false">OPERATIONS!$D$5:$D$304</definedName>
    <definedName function="false" hidden="false" name="OPS_STATUT" vbProcedure="false">OPERATIONS!$P$5:$P$304</definedName>
    <definedName function="false" hidden="false" name="OPS_TYPE" vbProcedure="false">OPERATIONS!$C$5:$C$304</definedName>
    <definedName function="false" hidden="false" name="P_HIST" vbProcedure="false">PARAM!$C$56</definedName>
    <definedName function="false" hidden="false" name="P_TCONG" vbProcedure="false">PARAM!$C$58</definedName>
    <definedName function="false" hidden="false" name="P_TFRAIS" vbProcedure="false">PARAM!$C$57</definedName>
    <definedName function="false" hidden="false" name="P_TOL" vbProcedure="false">PARAM!$C$55</definedName>
    <definedName function="false" hidden="false" name="QC_ALERTE" vbProcedure="false">QUALITE!$R$5:$R$254</definedName>
    <definedName function="false" hidden="false" name="QC_DATE" vbProcedure="false">QUALITE!$B$5:$B$254</definedName>
    <definedName function="false" hidden="false" name="QC_DEC" vbProcedure="false">QUALITE!$K$5:$K$254</definedName>
    <definedName function="false" hidden="false" name="QC_DEF" vbProcedure="false">QUALITE!$J$5:$J$254</definedName>
    <definedName function="false" hidden="false" name="QC_EMPL" vbProcedure="false">QUALITE!$D$5:$D$254</definedName>
    <definedName function="false" hidden="false" name="QC_HIST" vbProcedure="false">QUALITE!$G$5:$G$254</definedName>
    <definedName function="false" hidden="false" name="QC_LOT" vbProcedure="false">QUALITE!$C$5:$C$254</definedName>
    <definedName function="false" hidden="false" name="QC_MOULE" vbProcedure="false">QUALITE!$I$5:$I$254</definedName>
    <definedName function="false" hidden="false" name="QC_QUAL" vbProcedure="false">QUALITE!$H$5:$H$254</definedName>
    <definedName function="false" hidden="false" name="QC_RANG" vbProcedure="false">QUALITE!$T$5:$T$254</definedName>
    <definedName function="false" hidden="false" name="QC_STATUT" vbProcedure="false">QUALITE!$Q$5:$Q$254</definedName>
    <definedName function="false" hidden="false" name="QC_TEMP" vbProcedure="false">QUALITE!$F$5:$F$254</definedName>
    <definedName function="false" hidden="false" name="RES_DATE" vbProcedure="false">ST_RESULTATS!$V$5:$V$304</definedName>
    <definedName function="false" hidden="false" name="RES_DEST" vbProcedure="false">ST_RESULTATS!$J$5:$J$304</definedName>
    <definedName function="false" hidden="false" name="RES_ETAT" vbProcedure="false">ST_RESULTATS!$D$5:$D$304</definedName>
    <definedName function="false" hidden="false" name="RES_ID" vbProcedure="false">ST_RESULTATS!$A$5:$A$304</definedName>
    <definedName function="false" hidden="false" name="RES_IDST" vbProcedure="false">ST_RESULTATS!$B$5:$B$304</definedName>
    <definedName function="false" hidden="false" name="RES_LOTEFF" vbProcedure="false">ST_RESULTATS!$N$5:$N$304</definedName>
    <definedName function="false" hidden="false" name="RES_LOTLIE" vbProcedure="false">ST_RESULTATS!$W$5:$W$304</definedName>
    <definedName function="false" hidden="false" name="RES_LOTSRC" vbProcedure="false">ST_RESULTATS!$L$5:$L$304</definedName>
    <definedName function="false" hidden="false" name="RES_MOULE" vbProcedure="false">ST_RESULTATS!$H$5:$H$304</definedName>
    <definedName function="false" hidden="false" name="RES_QTE" vbProcedure="false">ST_RESULTATS!$F$5:$F$304</definedName>
    <definedName function="false" hidden="false" name="RES_QTEVAL" vbProcedure="false">ST_RESULTATS!$Q$5:$Q$304</definedName>
    <definedName function="false" hidden="false" name="RES_QUAL" vbProcedure="false">ST_RESULTATS!$G$5:$G$304</definedName>
    <definedName function="false" hidden="false" name="RES_RANG" vbProcedure="false">ST_RESULTATS!$Z$5:$Z$304</definedName>
    <definedName function="false" hidden="false" name="RES_RANGLIEN" vbProcedure="false">ST_RESULTATS!$X$5:$X$304</definedName>
    <definedName function="false" hidden="false" name="RES_STATUT" vbProcedure="false">ST_RESULTATS!$S$5:$S$304</definedName>
    <definedName function="false" hidden="false" name="R_LOT" vbProcedure="false">RECHERCHE!$C$4</definedName>
    <definedName function="false" hidden="false" name="ST_DATE" vbProcedure="false">SOUS_TRAITANCE!$B$5:$B$154</definedName>
    <definedName function="false" hidden="false" name="ST_DATERET" vbProcedure="false">SOUS_TRAITANCE!$K$5:$K$154</definedName>
    <definedName function="false" hidden="false" name="ST_ECART" vbProcedure="false">SOUS_TRAITANCE!$U$5:$U$154</definedName>
    <definedName function="false" hidden="false" name="ST_EMPL" vbProcedure="false">SOUS_TRAITANCE!$F$5:$F$154</definedName>
    <definedName function="false" hidden="false" name="ST_ENCOURS" vbProcedure="false">SOUS_TRAITANCE!$Z$5:$Z$154</definedName>
    <definedName function="false" hidden="false" name="ST_ID" vbProcedure="false">SOUS_TRAITANCE!$A$5:$A$154</definedName>
    <definedName function="false" hidden="false" name="ST_LOT" vbProcedure="false">SOUS_TRAITANCE!$E$5:$E$154</definedName>
    <definedName function="false" hidden="false" name="ST_NBRES" vbProcedure="false">SOUS_TRAITANCE!$T$5:$T$154</definedName>
    <definedName function="false" hidden="false" name="ST_QTE" vbProcedure="false">SOUS_TRAITANCE!$G$5:$G$154</definedName>
    <definedName function="false" hidden="false" name="ST_RANG" vbProcedure="false">SOUS_TRAITANCE!$AB$5:$AB$154</definedName>
    <definedName function="false" hidden="false" name="ST_SOURCE" vbProcedure="false">SOUS_TRAITANCE!$D$5:$D$154</definedName>
    <definedName function="false" hidden="false" name="ST_STATUT" vbProcedure="false">SOUS_TRAITANCE!$W$5:$W$154</definedName>
    <definedName function="false" hidden="false" name="ST_STRAIT" vbProcedure="false">SOUS_TRAITANCE!$C$5:$C$154</definedName>
    <definedName function="false" hidden="false" name="ST_TOTSORTIE" vbProcedure="false">SOUS_TRAITANCE!$S$5:$S$154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<sst xmlns="http://schemas.openxmlformats.org/spreadsheetml/2006/main" count="689" uniqueCount="442">
  <si>
    <t xml:space="preserve">OCEAMIC  -  QUALITE, STOCK &amp; SOUS-TRAITANCE</t>
  </si>
  <si>
    <t xml:space="preserve">Classeur unique - sans macro. Le stock est integralement reconstruit a partir de l'onglet MOUVEMENTS.</t>
  </si>
  <si>
    <t xml:space="preserve">NAVIGATION</t>
  </si>
  <si>
    <t xml:space="preserve">TABLEAU DE BORD</t>
  </si>
  <si>
    <t xml:space="preserve">STOCK INTERNE (kg)</t>
  </si>
  <si>
    <t xml:space="preserve">STOCK EXTERNE (kg)</t>
  </si>
  <si>
    <t xml:space="preserve">STOCK TOTAL (kg)</t>
  </si>
  <si>
    <t xml:space="preserve">EN COURS SOUS-TRAITANCE (kg)</t>
  </si>
  <si>
    <t xml:space="preserve">NOMBRE DE LOTS</t>
  </si>
  <si>
    <t xml:space="preserve">LIGNES DE MOUVEMENT</t>
  </si>
  <si>
    <t xml:space="preserve">CONTROLE D'INTEGRITE</t>
  </si>
  <si>
    <t xml:space="preserve">Les 6 premieres lignes ci-dessous sont bloquantes : tant qu'elles ne sont pas a zero, le stock affiche n'est pas fiable a 100%. Les suivantes sont informatives.</t>
  </si>
  <si>
    <t xml:space="preserve">Operations de stock en anomalie</t>
  </si>
  <si>
    <t xml:space="preserve">LEGENDE DES COULEURS</t>
  </si>
  <si>
    <t xml:space="preserve">Envois sous-traitance bloquants</t>
  </si>
  <si>
    <t xml:space="preserve">Cellule a saisir</t>
  </si>
  <si>
    <t xml:space="preserve">Resultats de sous-traitance en anomalie</t>
  </si>
  <si>
    <t xml:space="preserve">Cellule calculee - ne rien y ecrire</t>
  </si>
  <si>
    <t xml:space="preserve">Fiches lot en anomalie (doublon / incoherence)</t>
  </si>
  <si>
    <t xml:space="preserve">OK - la ligne est valide et comptee en stock</t>
  </si>
  <si>
    <t xml:space="preserve">Lots avec stock negatif</t>
  </si>
  <si>
    <t xml:space="preserve">EN COURS - etape normale, en attente de la suite</t>
  </si>
  <si>
    <t xml:space="preserve">Ecart matrice / grand livre (kg)</t>
  </si>
  <si>
    <t xml:space="preserve">A JUSTIFIER - il manque une explication</t>
  </si>
  <si>
    <t xml:space="preserve">Envois EN COURS (normal, en attente de resultat)</t>
  </si>
  <si>
    <t xml:space="preserve">ANOMALIE - la ligne n'est PAS comptee en stock</t>
  </si>
  <si>
    <t xml:space="preserve">Ecarts de sous-traitance A JUSTIFIER</t>
  </si>
  <si>
    <t xml:space="preserve">Controles qualite a verifier</t>
  </si>
  <si>
    <t xml:space="preserve">Alertes qualite (histamine / temperature)</t>
  </si>
  <si>
    <t xml:space="preserve">Lignes de mouvement rejetees (non comptees en stock)</t>
  </si>
  <si>
    <t xml:space="preserve">MODE OPERATOIRE EN 7 ETAPES</t>
  </si>
  <si>
    <t xml:space="preserve">1. Creer le lot</t>
  </si>
  <si>
    <t xml:space="preserve">Onglet LOTS : une ligne par lot, une seule fois. C'est la seule saisie de l'identite (produit, fournisseur, origine, camion, etat, conservation).</t>
  </si>
  <si>
    <t xml:space="preserve">2. Enregistrer les mouvements</t>
  </si>
  <si>
    <t xml:space="preserve">Onglet OPERATIONS : RECEPTION, TRANSFERT ou CONSOMMATION. On choisit le lot, les emplacements et la quantite - rien d'autre.</t>
  </si>
  <si>
    <t xml:space="preserve">3. Envoyer en sous-traitance</t>
  </si>
  <si>
    <t xml:space="preserve">Onglet SOUS_TRAITANCE. SOURCE = FOURNISSEUR pour une livraison directe (aucun stock consomme, aucune reception a saisir) ; SOURCE = STOCK EXISTANT pour un prelevement.</t>
  </si>
  <si>
    <t xml:space="preserve">4. Completer les resultats</t>
  </si>
  <si>
    <t xml:space="preserve">Onglet ST_RESULTATS, meme des jours plus tard. Un envoi sans resultat reste EN COURS : ce n'est pas une erreur.</t>
  </si>
  <si>
    <t xml:space="preserve">5. Justifier les ecarts</t>
  </si>
  <si>
    <t xml:space="preserve">QTE ENVOYEE - TOTAL SORTIE = ECART. Tant qu'un ecart positif n'est pas justifie, l'envoi reste A JUSTIFIER.</t>
  </si>
  <si>
    <t xml:space="preserve">6. Controler la qualite</t>
  </si>
  <si>
    <t xml:space="preserve">Onglet QUALITE : uniquement les mesures reellement faites. Un controle ne modifie jamais le stock.</t>
  </si>
  <si>
    <t xml:space="preserve">7. Consulter</t>
  </si>
  <si>
    <t xml:space="preserve">Onglet STOCK pour la synthese, RECHERCHE pour tout savoir d'un lot, MOUVEMENTS pour l'historique complet.</t>
  </si>
  <si>
    <t xml:space="preserve">LOTS  -  FICHIER D'IDENTITE</t>
  </si>
  <si>
    <t xml:space="preserve">Une ligne = un lot. On saisit ces informations UNE SEULE FOIS. Partout ailleurs, il suffit de choisir le lot : produit, fournisseur, origine... sont repris automatiquement.</t>
  </si>
  <si>
    <t xml:space="preserve">Champs jaunes = saisie   |   Champs gris = calcules automatiquement, ne rien y ecrire</t>
  </si>
  <si>
    <t xml:space="preserve">LOT</t>
  </si>
  <si>
    <t xml:space="preserve">PRODUIT / ESPECE</t>
  </si>
  <si>
    <t xml:space="preserve">FOURNISSEUR / PRODUCTEUR</t>
  </si>
  <si>
    <t xml:space="preserve">ORIGINE</t>
  </si>
  <si>
    <t xml:space="preserve">IMMATRICULATION</t>
  </si>
  <si>
    <t xml:space="preserve">ETAT MATIERE</t>
  </si>
  <si>
    <t xml:space="preserve">CONSERVATION</t>
  </si>
  <si>
    <t xml:space="preserve">QUALITE INITIALE</t>
  </si>
  <si>
    <t xml:space="preserve">MOULE INITIAL</t>
  </si>
  <si>
    <t xml:space="preserve">DATE CREATION</t>
  </si>
  <si>
    <t xml:space="preserve">LOT PARENT</t>
  </si>
  <si>
    <t xml:space="preserve">OBSERVATION</t>
  </si>
  <si>
    <t xml:space="preserve">LOT PARENT EFFECTIF</t>
  </si>
  <si>
    <t xml:space="preserve">PRODUIT EFFECTIF</t>
  </si>
  <si>
    <t xml:space="preserve">FOURNISSEUR EFFECTIF</t>
  </si>
  <si>
    <t xml:space="preserve">ORIGINE EFFECTIVE</t>
  </si>
  <si>
    <t xml:space="preserve">CONSERVATION EFFECTIVE</t>
  </si>
  <si>
    <t xml:space="preserve">STOCK TOTAL (KG)</t>
  </si>
  <si>
    <t xml:space="preserve">NB MOUVEMENTS</t>
  </si>
  <si>
    <t xml:space="preserve">NB CONTROLES</t>
  </si>
  <si>
    <t xml:space="preserve">STATUT FICHE</t>
  </si>
  <si>
    <t xml:space="preserve">255</t>
  </si>
  <si>
    <t xml:space="preserve">SARDINE</t>
  </si>
  <si>
    <t xml:space="preserve">ATLAS PECHE SARL</t>
  </si>
  <si>
    <t xml:space="preserve">AGADIR</t>
  </si>
  <si>
    <t xml:space="preserve">12345-A-6</t>
  </si>
  <si>
    <t xml:space="preserve">ENTIER</t>
  </si>
  <si>
    <t xml:space="preserve">CONGELE</t>
  </si>
  <si>
    <t xml:space="preserve">A</t>
  </si>
  <si>
    <t xml:space="preserve">03</t>
  </si>
  <si>
    <t xml:space="preserve">Lot de reference - scenarios 1, 5, 8, 11, 12, 14, 15</t>
  </si>
  <si>
    <t xml:space="preserve">256</t>
  </si>
  <si>
    <t xml:space="preserve">MAQUEREAU</t>
  </si>
  <si>
    <t xml:space="preserve">SOCIETE MARSA</t>
  </si>
  <si>
    <t xml:space="preserve">LAAYOUNE</t>
  </si>
  <si>
    <t xml:space="preserve">22876-B-1</t>
  </si>
  <si>
    <t xml:space="preserve">B</t>
  </si>
  <si>
    <t xml:space="preserve">04</t>
  </si>
  <si>
    <t xml:space="preserve">Scenarios 2 et 4 - stock externe puis transfert</t>
  </si>
  <si>
    <t xml:space="preserve">257</t>
  </si>
  <si>
    <t xml:space="preserve">33111-C-2</t>
  </si>
  <si>
    <t xml:space="preserve">FRAIS</t>
  </si>
  <si>
    <t xml:space="preserve">02</t>
  </si>
  <si>
    <t xml:space="preserve">Scenario 3 - consommation partielle</t>
  </si>
  <si>
    <t xml:space="preserve">258</t>
  </si>
  <si>
    <t xml:space="preserve">44900-E-7</t>
  </si>
  <si>
    <t xml:space="preserve">Scenario 13 - tentative de sortie superieure au stock</t>
  </si>
  <si>
    <t xml:space="preserve">300</t>
  </si>
  <si>
    <t xml:space="preserve">ANCHOIS</t>
  </si>
  <si>
    <t xml:space="preserve">PECHE SUD</t>
  </si>
  <si>
    <t xml:space="preserve">DAKHLA</t>
  </si>
  <si>
    <t xml:space="preserve">44222-D-3</t>
  </si>
  <si>
    <t xml:space="preserve">SAUMURE</t>
  </si>
  <si>
    <t xml:space="preserve">Scenario 6 - livraison directe fournisseur vers sous-traitant</t>
  </si>
  <si>
    <t xml:space="preserve">301</t>
  </si>
  <si>
    <t xml:space="preserve">55333-F-8</t>
  </si>
  <si>
    <t xml:space="preserve">Scenario 7 - sous-traitance EN COURS</t>
  </si>
  <si>
    <t xml:space="preserve">255-HG</t>
  </si>
  <si>
    <t xml:space="preserve">HG</t>
  </si>
  <si>
    <t xml:space="preserve">Issu de ST-001 - identite heritee du lot 255</t>
  </si>
  <si>
    <t xml:space="preserve">255-HGT</t>
  </si>
  <si>
    <t xml:space="preserve">HGT</t>
  </si>
  <si>
    <t xml:space="preserve">Issu de ST-001 - envoye en stock externe COFRIGOP</t>
  </si>
  <si>
    <t xml:space="preserve">300-FIL</t>
  </si>
  <si>
    <t xml:space="preserve">FILET</t>
  </si>
  <si>
    <t xml:space="preserve">Issu de ST-002 - retour OCEAMIC 2</t>
  </si>
  <si>
    <t xml:space="preserve">OPERATIONS DE STOCK  -  RECEPTION / TRANSFERT / CONSOMMATION</t>
  </si>
  <si>
    <t xml:space="preserve">RECEPTION = entree sur un emplacement.  TRANSFERT = sortie d'un emplacement + entree sur un autre (meme quantite).  CONSOMMATION = sortie de la seule quantite consommee.</t>
  </si>
  <si>
    <t xml:space="preserve">Saisie minimale : DATE, TYPE, LOT, EMPLACEMENT(S), QUANTITE. Le reste est deduit du lot.</t>
  </si>
  <si>
    <t xml:space="preserve">ID OPERATION</t>
  </si>
  <si>
    <t xml:space="preserve">DATE</t>
  </si>
  <si>
    <t xml:space="preserve">TYPE</t>
  </si>
  <si>
    <t xml:space="preserve">EMPL. SOURCE</t>
  </si>
  <si>
    <t xml:space="preserve">EMPL. DESTINATION</t>
  </si>
  <si>
    <t xml:space="preserve">QUANTITE (KG)</t>
  </si>
  <si>
    <t xml:space="preserve">MOTIF / DESTINATION</t>
  </si>
  <si>
    <t xml:space="preserve">PRODUIT</t>
  </si>
  <si>
    <t xml:space="preserve">FOURNISSEUR</t>
  </si>
  <si>
    <t xml:space="preserve">CLASSE SOURCE</t>
  </si>
  <si>
    <t xml:space="preserve">CLASSE DEST.</t>
  </si>
  <si>
    <t xml:space="preserve">VALIDE</t>
  </si>
  <si>
    <t xml:space="preserve">DISPO AVANT (KG)</t>
  </si>
  <si>
    <t xml:space="preserve">STATUT</t>
  </si>
  <si>
    <t xml:space="preserve">IMPACT STOCK</t>
  </si>
  <si>
    <t xml:space="preserve">CONTROLE / ACTION</t>
  </si>
  <si>
    <t xml:space="preserve">RECEPTION</t>
  </si>
  <si>
    <t xml:space="preserve">OCEAMIC 2</t>
  </si>
  <si>
    <t xml:space="preserve">Reception usine</t>
  </si>
  <si>
    <t xml:space="preserve">Scenario 1 - nouveau lot interne</t>
  </si>
  <si>
    <t xml:space="preserve">SARMA</t>
  </si>
  <si>
    <t xml:space="preserve">Reception entrepot externe</t>
  </si>
  <si>
    <t xml:space="preserve">Scenario 2 - lot externe</t>
  </si>
  <si>
    <t xml:space="preserve">CONSOMMATION</t>
  </si>
  <si>
    <t xml:space="preserve">Production conserve</t>
  </si>
  <si>
    <t xml:space="preserve">Scenario 3 - il doit rester 500 kg</t>
  </si>
  <si>
    <t xml:space="preserve">TRANSFERT</t>
  </si>
  <si>
    <t xml:space="preserve">Rapatriement usine</t>
  </si>
  <si>
    <t xml:space="preserve">Scenario 4 - transfert partiel</t>
  </si>
  <si>
    <t xml:space="preserve">Scenario 13 - doit etre refuse : stock disponible 200 kg</t>
  </si>
  <si>
    <t xml:space="preserve">SOUS-TRAITANCE  -  ENVOIS</t>
  </si>
  <si>
    <t xml:space="preserve">SOURCE = FOURNISSEUR : la marchandise va directement du fournisseur au sous-traitant, aucun stock OCEAMIC n'est consomme (ni emplacement ni reception a saisir).   SOURCE = STOCK EXISTANT : la quantite envoyee est retiree de l'emplacement indique.   Un envoi sans resultat reste EN COURS - ce n'est pas une erreur.</t>
  </si>
  <si>
    <t xml:space="preserve">Etape 1 : enregistrer l'envoi.  Etape 2 (plus tard) : saisir les resultats dans l'onglet ST_RESULTATS.</t>
  </si>
  <si>
    <t xml:space="preserve">ID ST</t>
  </si>
  <si>
    <t xml:space="preserve">DATE ENVOI</t>
  </si>
  <si>
    <t xml:space="preserve">SOUS-TRAITANT</t>
  </si>
  <si>
    <t xml:space="preserve">SOURCE</t>
  </si>
  <si>
    <t xml:space="preserve">LOT SOURCE</t>
  </si>
  <si>
    <t xml:space="preserve">QTE ENVOYEE (KG)</t>
  </si>
  <si>
    <t xml:space="preserve">QUALITE ENTREE</t>
  </si>
  <si>
    <t xml:space="preserve">MOULE ENTREE</t>
  </si>
  <si>
    <t xml:space="preserve">HISTAMINE ENTREE</t>
  </si>
  <si>
    <t xml:space="preserve">DATE RETOUR</t>
  </si>
  <si>
    <t xml:space="preserve">JUSTIFICATION ECART</t>
  </si>
  <si>
    <t xml:space="preserve">MOTIF ECART</t>
  </si>
  <si>
    <t xml:space="preserve">TOTAL SORTIE (KG)</t>
  </si>
  <si>
    <t xml:space="preserve">NB RESULTATS</t>
  </si>
  <si>
    <t xml:space="preserve">ECART A JUSTIFIER (KG)</t>
  </si>
  <si>
    <t xml:space="preserve">RENDEMENT</t>
  </si>
  <si>
    <t xml:space="preserve">EN COURS (KG)</t>
  </si>
  <si>
    <t xml:space="preserve">REL. RECHERCHE</t>
  </si>
  <si>
    <t xml:space="preserve">RANG RECHERCHE</t>
  </si>
  <si>
    <t xml:space="preserve">STE FILETAGE ATLANTIC</t>
  </si>
  <si>
    <t xml:space="preserve">STOCK EXISTANT</t>
  </si>
  <si>
    <t xml:space="preserve">Scenarios 5, 8, 9, 10, 11</t>
  </si>
  <si>
    <t xml:space="preserve">Perte de process au filetage, pesee et controlee</t>
  </si>
  <si>
    <t xml:space="preserve">PERTE PROCESS</t>
  </si>
  <si>
    <t xml:space="preserve">Scenario 6 - aucun stock OCEAMIC consomme</t>
  </si>
  <si>
    <t xml:space="preserve">CONSERVERIE DU SUD</t>
  </si>
  <si>
    <t xml:space="preserve">Scenario 7 - reste EN COURS tant qu'aucun resultat n'est saisi</t>
  </si>
  <si>
    <t xml:space="preserve">SOUS-TRAITANCE  -  RESULTATS</t>
  </si>
  <si>
    <t xml:space="preserve">Un envoi peut produire plusieurs resultats (etats, qualites ou moules differents). Chaque resultat entre en stock a l'emplacement de destination.   LOT RESULTAT laisse vide = on conserve le lot source.</t>
  </si>
  <si>
    <t xml:space="preserve">Choisir l'ID ST, puis saisir uniquement : quantite, destination, et ce qui est connu (etat, qualite, moule).</t>
  </si>
  <si>
    <t xml:space="preserve">ID RESULTAT</t>
  </si>
  <si>
    <t xml:space="preserve">DATE RESULTAT</t>
  </si>
  <si>
    <t xml:space="preserve">RESULTAT / ETAT</t>
  </si>
  <si>
    <t xml:space="preserve">LOT RESULTAT</t>
  </si>
  <si>
    <t xml:space="preserve">QUALITE SORTIE</t>
  </si>
  <si>
    <t xml:space="preserve">MOULE SORTIE</t>
  </si>
  <si>
    <t xml:space="preserve">HISTAMINE</t>
  </si>
  <si>
    <t xml:space="preserve">LOT RESULTAT EFFECTIF</t>
  </si>
  <si>
    <t xml:space="preserve">QTE VALIDE (KG)</t>
  </si>
  <si>
    <t xml:space="preserve">STATUT ST</t>
  </si>
  <si>
    <t xml:space="preserve">DATE EFFECTIVE</t>
  </si>
  <si>
    <t xml:space="preserve">LOT LIE</t>
  </si>
  <si>
    <t xml:space="preserve">RANG LIEN</t>
  </si>
  <si>
    <t xml:space="preserve">ST-001</t>
  </si>
  <si>
    <t xml:space="preserve">Scenarios 8 et 9 - retour OCEAMIC 2</t>
  </si>
  <si>
    <t xml:space="preserve">COFRIGOP</t>
  </si>
  <si>
    <t xml:space="preserve">Scenarios 8 et 10 - resultat vers stock externe</t>
  </si>
  <si>
    <t xml:space="preserve">ST-002</t>
  </si>
  <si>
    <t xml:space="preserve">Scenario 6 - ecart de 10 kg justifie</t>
  </si>
  <si>
    <t xml:space="preserve">CONTROLES QUALITE</t>
  </si>
  <si>
    <t xml:space="preserve">Un controle qualite ne modifie JAMAIS le stock. Saisir uniquement les mesures reellement effectuees : aucun champ n'est obligatoire au-dela du lot, de la date et d'au moins une information de controle.</t>
  </si>
  <si>
    <t xml:space="preserve">Le resultat appartient au lot physiquement controle. Un lot lie reste tracable mais n'herite pas du resultat.</t>
  </si>
  <si>
    <t xml:space="preserve">ID CONTROLE</t>
  </si>
  <si>
    <t xml:space="preserve">EMPLACEMENT</t>
  </si>
  <si>
    <t xml:space="preserve">TYPE DE CONTROLE</t>
  </si>
  <si>
    <t xml:space="preserve">TEMPERATURE (C)</t>
  </si>
  <si>
    <t xml:space="preserve">HISTAMINE (MG/KG)</t>
  </si>
  <si>
    <t xml:space="preserve">QUALITE</t>
  </si>
  <si>
    <t xml:space="preserve">MOULE</t>
  </si>
  <si>
    <t xml:space="preserve">DEFAUTS</t>
  </si>
  <si>
    <t xml:space="preserve">DECISION</t>
  </si>
  <si>
    <t xml:space="preserve">CONTROLEUR</t>
  </si>
  <si>
    <t xml:space="preserve">STOCK LOT / EMPL. (KG)</t>
  </si>
  <si>
    <t xml:space="preserve">ALERTE</t>
  </si>
  <si>
    <t xml:space="preserve">STOCK</t>
  </si>
  <si>
    <t xml:space="preserve">Aucun defaut</t>
  </si>
  <si>
    <t xml:space="preserve">ACCEPTE</t>
  </si>
  <si>
    <t xml:space="preserve">K. BENALI</t>
  </si>
  <si>
    <t xml:space="preserve">Scenario 12 - aucun impact sur le stock</t>
  </si>
  <si>
    <t xml:space="preserve">COFRIGOB</t>
  </si>
  <si>
    <t xml:space="preserve">Emplacement incoherent : le lot 257 est a OCEAMIC 2</t>
  </si>
  <si>
    <t xml:space="preserve">Aspect legerement decolore</t>
  </si>
  <si>
    <t xml:space="preserve">A RECONTROLER</t>
  </si>
  <si>
    <t xml:space="preserve">Alerte histamine au-dessus du seuil</t>
  </si>
  <si>
    <t xml:space="preserve">SYNTHESE DES STOCKS</t>
  </si>
  <si>
    <t xml:space="preserve">Reconstruit integralement a partir du grand livre MOUVEMENTS. Une case vide signifie zero.</t>
  </si>
  <si>
    <t xml:space="preserve">STOCK TOTAL INTERNE (kg)</t>
  </si>
  <si>
    <t xml:space="preserve">STOCK TOTAL EXTERNE (kg)</t>
  </si>
  <si>
    <t xml:space="preserve">NB LOTS EN STOCK</t>
  </si>
  <si>
    <t xml:space="preserve">EN COURS CHEZ LES SOUS-TRAITANTS (kg)</t>
  </si>
  <si>
    <t xml:space="preserve">CONTROLE : ECART MATRICE / GRAND LIVRE (kg)</t>
  </si>
  <si>
    <t xml:space="preserve">Doit rester a 0. Sinon un lot present dans les mouvements n'a pas de fiche dans LOTS.</t>
  </si>
  <si>
    <t xml:space="preserve">STOCK PAR LOT ET PAR EMPLACEMENT</t>
  </si>
  <si>
    <t xml:space="preserve">CLASSE</t>
  </si>
  <si>
    <t xml:space="preserve">TOTAL LOT (KG)</t>
  </si>
  <si>
    <t xml:space="preserve">DONT INTERNE</t>
  </si>
  <si>
    <t xml:space="preserve">DONT EXTERNE</t>
  </si>
  <si>
    <t xml:space="preserve">EN COURS ST</t>
  </si>
  <si>
    <t xml:space="preserve">TOTAL</t>
  </si>
  <si>
    <t xml:space="preserve">RECHERCHE PAR LOT</t>
  </si>
  <si>
    <t xml:space="preserve">Choisissez un lot : identite, stock, historique complet, sous-traitance, qualite et lots lies s'affichent automatiquement.</t>
  </si>
  <si>
    <t xml:space="preserve">LOT A RECHERCHER</t>
  </si>
  <si>
    <t xml:space="preserve">IDENTITE DU LOT  (reprise automatique - aucune re-saisie)</t>
  </si>
  <si>
    <t xml:space="preserve">STOCK ACTUEL</t>
  </si>
  <si>
    <t xml:space="preserve">STOCK (KG)</t>
  </si>
  <si>
    <t xml:space="preserve">IMMATRICULATION CAMION</t>
  </si>
  <si>
    <t xml:space="preserve">LOT PARENT / SOURCE</t>
  </si>
  <si>
    <t xml:space="preserve">STATUT DE LA FICHE</t>
  </si>
  <si>
    <t xml:space="preserve">STOCK TOTAL DU LOT</t>
  </si>
  <si>
    <t xml:space="preserve">EN COURS CHEZ SOUS-TRAITANT</t>
  </si>
  <si>
    <t xml:space="preserve">HISTORIQUE DES MOUVEMENTS DE STOCK</t>
  </si>
  <si>
    <t xml:space="preserve">N</t>
  </si>
  <si>
    <t xml:space="preserve">OPERATION</t>
  </si>
  <si>
    <t xml:space="preserve">SENS</t>
  </si>
  <si>
    <t xml:space="preserve">QTE DECLAREE</t>
  </si>
  <si>
    <t xml:space="preserve">QTE EN STOCK</t>
  </si>
  <si>
    <t xml:space="preserve">REFERENCE</t>
  </si>
  <si>
    <t xml:space="preserve">SOUS-TRAITANCE  (envois lies a ce lot)</t>
  </si>
  <si>
    <t xml:space="preserve">QTE ENVOYEE</t>
  </si>
  <si>
    <t xml:space="preserve">TOTAL SORTIE</t>
  </si>
  <si>
    <t xml:space="preserve">ECART</t>
  </si>
  <si>
    <t xml:space="preserve">RESULTATS DE SOUS-TRAITANCE</t>
  </si>
  <si>
    <t xml:space="preserve">QUANTITE</t>
  </si>
  <si>
    <t xml:space="preserve">DESTINATION</t>
  </si>
  <si>
    <t xml:space="preserve">HISTORIQUE QUALITE</t>
  </si>
  <si>
    <t xml:space="preserve">TEMPERATURE</t>
  </si>
  <si>
    <t xml:space="preserve">LOTS LIES  (sans doublon)</t>
  </si>
  <si>
    <t xml:space="preserve">RELATION</t>
  </si>
  <si>
    <t xml:space="preserve">MOUVEMENTS  -  GRAND LIVRE UNIQUE DU STOCK</t>
  </si>
  <si>
    <t xml:space="preserve">Feuille entierement calculee : NE RIEN SAISIR ICI. Chaque operation valide y produit automatiquement sa ou ses lignes.  ENTREES - SORTIES = STOCK ACTUEL.</t>
  </si>
  <si>
    <t xml:space="preserve">QTE BRUTE = mouvement declare (sert au calcul du disponible).   QTE STOCK = mouvement reellement compte (0 si la ligne est en anomalie).</t>
  </si>
  <si>
    <t xml:space="preserve">QTE BRUTE (KG)</t>
  </si>
  <si>
    <t xml:space="preserve">QTE STOCK (KG)</t>
  </si>
  <si>
    <t xml:space="preserve">STATUT LIGNE</t>
  </si>
  <si>
    <t xml:space="preserve">PARAMETRES  /  LISTES DE REFERENCE</t>
  </si>
  <si>
    <t xml:space="preserve">Toutes les listes deroulantes du classeur sont alimentees ici. Ajoutez vos valeurs a la suite : les menus se mettent a jour automatiquement.</t>
  </si>
  <si>
    <t xml:space="preserve">EMPLACEMENTS DE STOCK  -  la CLASSE ne peut valoir que INTERNE ou EXTERNE</t>
  </si>
  <si>
    <t xml:space="preserve">TYPE / COMMENTAIRE</t>
  </si>
  <si>
    <t xml:space="preserve">DECISION QUALITE</t>
  </si>
  <si>
    <t xml:space="preserve">INTERNE</t>
  </si>
  <si>
    <t xml:space="preserve">Usine OCEAMIC</t>
  </si>
  <si>
    <t xml:space="preserve">01</t>
  </si>
  <si>
    <t xml:space="preserve">EXTERNE</t>
  </si>
  <si>
    <t xml:space="preserve">Entrepot frigorifique</t>
  </si>
  <si>
    <t xml:space="preserve">ACCEPTE SOUS RESERVE</t>
  </si>
  <si>
    <t xml:space="preserve">DECHET / PARURE</t>
  </si>
  <si>
    <t xml:space="preserve">DAMSA</t>
  </si>
  <si>
    <t xml:space="preserve">C</t>
  </si>
  <si>
    <t xml:space="preserve">ATELIER OUED</t>
  </si>
  <si>
    <t xml:space="preserve">DESHYDRATATION</t>
  </si>
  <si>
    <t xml:space="preserve">SOUS-TRAITANCE</t>
  </si>
  <si>
    <t xml:space="preserve">CHINCHARD</t>
  </si>
  <si>
    <t xml:space="preserve">COMPTOIR ATLANTIQUE</t>
  </si>
  <si>
    <t xml:space="preserve">TAN-TAN</t>
  </si>
  <si>
    <t xml:space="preserve">GLACE</t>
  </si>
  <si>
    <t xml:space="preserve">REFUSE</t>
  </si>
  <si>
    <t xml:space="preserve">CASSE</t>
  </si>
  <si>
    <t xml:space="preserve">EXPEDITION</t>
  </si>
  <si>
    <t xml:space="preserve">POULPE</t>
  </si>
  <si>
    <t xml:space="preserve">SAFI</t>
  </si>
  <si>
    <t xml:space="preserve">LONGE</t>
  </si>
  <si>
    <t xml:space="preserve">SEC</t>
  </si>
  <si>
    <t xml:space="preserve">05</t>
  </si>
  <si>
    <t xml:space="preserve">BLOQUE</t>
  </si>
  <si>
    <t xml:space="preserve">ERREUR DE PESEE</t>
  </si>
  <si>
    <t xml:space="preserve">CALAMAR</t>
  </si>
  <si>
    <t xml:space="preserve">ESSAOUIRA</t>
  </si>
  <si>
    <t xml:space="preserve">DECOUPE</t>
  </si>
  <si>
    <t xml:space="preserve">06</t>
  </si>
  <si>
    <t xml:space="preserve">ERREUR DE SAISIE</t>
  </si>
  <si>
    <t xml:space="preserve">CREVETTE</t>
  </si>
  <si>
    <t xml:space="preserve">DECHET</t>
  </si>
  <si>
    <t xml:space="preserve">AUTRE</t>
  </si>
  <si>
    <t xml:space="preserve">THON</t>
  </si>
  <si>
    <t xml:space="preserve">VALEURS FIGEES PAR LA LOGIQUE METIER  (non modifiables)</t>
  </si>
  <si>
    <t xml:space="preserve">TYPE D'OPERATION</t>
  </si>
  <si>
    <t xml:space="preserve">RECEPTION / TRANSFERT / CONSOMMATION</t>
  </si>
  <si>
    <t xml:space="preserve">CLASSE DE STOCK</t>
  </si>
  <si>
    <t xml:space="preserve">INTERNE / EXTERNE  (aucune autre valeur)</t>
  </si>
  <si>
    <t xml:space="preserve">SOURCE SOUS-TRAITANCE</t>
  </si>
  <si>
    <t xml:space="preserve">FOURNISSEUR / STOCK EXISTANT</t>
  </si>
  <si>
    <t xml:space="preserve">STATUTS</t>
  </si>
  <si>
    <t xml:space="preserve">OK / EN COURS / DONNEES MANQUANTES / STOCK INSUFFISANT / EMPLACEMENT INCOHERENT / A JUSTIFIER / BLOQUE / LOT EN DOUBLE / INCOHERENCE</t>
  </si>
  <si>
    <t xml:space="preserve">REGLAGES DU SYSTEME</t>
  </si>
  <si>
    <t xml:space="preserve">TOLERANCE ECART SOUS-TRAITANCE (kg)</t>
  </si>
  <si>
    <t xml:space="preserve">En dessous de cette valeur, l'ecart n'exige pas de justification.</t>
  </si>
  <si>
    <t xml:space="preserve">SEUIL HISTAMINE (mg/kg)</t>
  </si>
  <si>
    <t xml:space="preserve">Au-dessus, une alerte est levee dans QUALITE. Jamais bloquant.</t>
  </si>
  <si>
    <t xml:space="preserve">TEMPERATURE MAXI - FRAIS (C)</t>
  </si>
  <si>
    <t xml:space="preserve">Alerte si la temperature relevee depasse ce seuil.</t>
  </si>
  <si>
    <t xml:space="preserve">TEMPERATURE MAXI - CONGELE (C)</t>
  </si>
  <si>
    <t xml:space="preserve">MODE D'EMPLOI ET REGLES DE GESTION</t>
  </si>
  <si>
    <t xml:space="preserve">A lire une fois. Tout le fonctionnement du classeur tient dans cette page.</t>
  </si>
  <si>
    <t xml:space="preserve">REGLES DE GESTION APPLIQUEES PAR LE CLASSEUR</t>
  </si>
  <si>
    <t xml:space="preserve">1. Identite du lot - aucune double saisie</t>
  </si>
  <si>
    <t xml:space="preserve">L'onglet LOTS est l'unique endroit ou l'on decrit un lot. Partout ailleurs on ne choisit que le CODE du lot : produit, fournisseur, origine, etat et conservation sont repris automatiquement.</t>
  </si>
  <si>
    <t xml:space="preserve">Si deux fiches portent le meme code lot avec un produit ou un fournisseur different, la colonne STATUT FICHE affiche INCOHERENCE. Si les deux fiches sont identiques, elle affiche LOT EN DOUBLE. Dans les deux cas la ligne apparait en rouge.</t>
  </si>
  <si>
    <t xml:space="preserve">2. Classes de stock</t>
  </si>
  <si>
    <t xml:space="preserve">Une seule dimension : INTERNE ou EXTERNE. OCEAMIC 2 est INTERNE ; SARMA, DAMSA, COFRIGOP, COFRIGOB et tout autre entrepot ou usine tiers sont EXTERNE. CONSOMMATION n'est PAS une classe de stock : c'est une operation.</t>
  </si>
  <si>
    <t xml:space="preserve">3. Operations physiques</t>
  </si>
  <si>
    <t xml:space="preserve">RECEPTION : ajoute la quantite sur l'emplacement de destination.</t>
  </si>
  <si>
    <t xml:space="preserve">TRANSFERT : retire la quantite d'un emplacement et ajoute la MEME quantite sur un autre. Une seule ligne de saisie genere deux lignes de mouvement.</t>
  </si>
  <si>
    <t xml:space="preserve">CONSOMMATION : retire uniquement la quantite saisie. 1 000 kg en stock, 300 kg consommes, il reste 700 kg. Le classeur ne solde jamais un lot automatiquement.</t>
  </si>
  <si>
    <t xml:space="preserve">4. Moteur de stock</t>
  </si>
  <si>
    <t xml:space="preserve">Toute operation valide alimente l'onglet MOUVEMENTS, qui est le seul historique. Le stock n'est jamais stocke : il est recalcule par ENTREES - SORTIES sur ce grand livre.</t>
  </si>
  <si>
    <t xml:space="preserve">MOUVEMENTS comporte deux colonnes de quantite. QTE DECLAREE sert a calculer le disponible avant operation. QTE EN STOCK vaut zero si la ligne est en anomalie : une ligne invalide n'affecte donc jamais le stock.</t>
  </si>
  <si>
    <t xml:space="preserve">Consequence directe : le stock ne peut pas devenir negatif. Si une sortie depasse le disponible, la ligne passe en STOCK INSUFFISANT, elle est ecartee du stock et signalee en rouge sur la ligne, dans le grand livre et sur l'ACCUEIL. Sans macro, Excel ne peut pas empecher physiquement la frappe : il la detecte et la neutralise.</t>
  </si>
  <si>
    <t xml:space="preserve">Les doublons de mouvement sont impossibles a creer a la main (le grand livre est entierement calcule) ; une saisie identique en double dans OPERATIONS est signalee par la colonne CONTROLE.</t>
  </si>
  <si>
    <t xml:space="preserve">5. Sous-traitance</t>
  </si>
  <si>
    <t xml:space="preserve">SOURCE = FOURNISSEUR : la marchandise part du fournisseur directement chez le sous-traitant. Ni emplacement source, ni reception, ni stock consomme. L'enregistrement de la sous-traitance suffit.</t>
  </si>
  <si>
    <t xml:space="preserve">SOURCE = STOCK EXISTANT : emplacement source et quantite envoyee obligatoires ; le disponible est verifie automatiquement et seule la quantite envoyee est retiree.</t>
  </si>
  <si>
    <t xml:space="preserve">Saisie en deux temps : on enregistre l'envoi, le statut passe a EN COURS. Ce n'est pas une erreur. Les resultats sont saisis plus tard dans ST_RESULTATS.</t>
  </si>
  <si>
    <t xml:space="preserve">Un envoi peut produire plusieurs resultats, avec des etats, des qualites et des moules differents, et des destinations differentes (retour OCEAMIC 2 ou entrepot externe).</t>
  </si>
  <si>
    <t xml:space="preserve">ECART A JUSTIFIER = QTE ENVOYEE - TOTAL SORTIE. Au-dela de la tolerance definie dans PARAM, l'envoi reste A JUSTIFIER tant que la colonne JUSTIFICATION ECART est vide. Aucune quantite ne disparait en silence.</t>
  </si>
  <si>
    <t xml:space="preserve">Qualite, moule et histamine sont acceptes a l'entree comme a la sortie, mais ne sont jamais obligatoires.</t>
  </si>
  <si>
    <t xml:space="preserve">6. Controles qualite</t>
  </si>
  <si>
    <t xml:space="preserve">Un controle qualite ne modifie JAMAIS une quantite. On saisit seulement ce qui a ete mesure. Le resultat appartient au lot physiquement controle ; un lot lie reste tracable mais n'herite pas du resultat.</t>
  </si>
  <si>
    <t xml:space="preserve">Si le lot n'est pas present a l'emplacement indique, le statut affiche EMPLACEMENT INCOHERENT : c'est un avertissement, le controle est conserve et le stock reste inchange.</t>
  </si>
  <si>
    <t xml:space="preserve">7. Statuts</t>
  </si>
  <si>
    <t xml:space="preserve">OK : ligne valide, comptee en stock.</t>
  </si>
  <si>
    <t xml:space="preserve">EN COURS : envoi enregistre, resultats non connus.</t>
  </si>
  <si>
    <t xml:space="preserve">DONNEES MANQUANTES : champs indispensables absents ; ligne non comptee.</t>
  </si>
  <si>
    <t xml:space="preserve">STOCK INSUFFISANT : sortie superieure au disponible ; ligne non comptee.</t>
  </si>
  <si>
    <t xml:space="preserve">EMPLACEMENT INCOHERENT : le lot n'existe pas a cet emplacement.</t>
  </si>
  <si>
    <t xml:space="preserve">A JUSTIFIER : ecart de sous-traitance sans justification.</t>
  </si>
  <si>
    <t xml:space="preserve">BLOQUE : total des sorties superieur a la quantite envoyee, ou envoi parent en anomalie.</t>
  </si>
  <si>
    <t xml:space="preserve">8. Capacites et limites</t>
  </si>
  <si>
    <t xml:space="preserve">LOTS : 200 lignes. OPERATIONS : 300. SOUS_TRAITANCE : 150. ST_RESULTATS : 300. QUALITE : 250. MOUVEMENTS : 1050 lignes generees. Matrice STOCK : 12 emplacements.</t>
  </si>
  <si>
    <t xml:space="preserve">Pour agrandir : copier la derniere ligne d'un onglet de saisie vers le bas, puis etendre de la meme facon les blocs correspondants de MOUVEMENTS et les plages nommees.</t>
  </si>
  <si>
    <t xml:space="preserve">Aucune macro, aucun bouton, aucune protection de cellule : le classeur fonctionne sur PC, sur Excel Online et sur mobile.</t>
  </si>
  <si>
    <t xml:space="preserve">9. Ordre de saisie recommande</t>
  </si>
  <si>
    <t xml:space="preserve">LOTS -&gt; OPERATIONS -&gt; SOUS_TRAITANCE -&gt; ST_RESULTATS -&gt; QUALITE. Consultation : STOCK, RECHERCHE, MOUVEMENTS.</t>
  </si>
  <si>
    <t xml:space="preserve">RECETTE  -  SCENARIOS DE TEST</t>
  </si>
  <si>
    <t xml:space="preserve">Chaque ligne compare un resultat attendu au resultat reellement calcule par le classeur. Tout doit etre PASS.</t>
  </si>
  <si>
    <t xml:space="preserve">SCENARIO TESTE</t>
  </si>
  <si>
    <t xml:space="preserve">ATTENDU</t>
  </si>
  <si>
    <t xml:space="preserve">OBTENU</t>
  </si>
  <si>
    <t xml:space="preserve">RESULTAT</t>
  </si>
  <si>
    <t xml:space="preserve">1</t>
  </si>
  <si>
    <t xml:space="preserve">Reception d'un nouveau lot interne : 255, 1 000 kg sur OCEAMIC 2</t>
  </si>
  <si>
    <t xml:space="preserve">2</t>
  </si>
  <si>
    <t xml:space="preserve">Reception d'un lot externe : 256, 2 000 kg sur SARMA (EXTERNE)</t>
  </si>
  <si>
    <t xml:space="preserve">3</t>
  </si>
  <si>
    <t xml:space="preserve">Consommation partielle : 800 kg - 300 kg -&gt; il reste 500 kg</t>
  </si>
  <si>
    <t xml:space="preserve">4a</t>
  </si>
  <si>
    <t xml:space="preserve">Transfert partiel : SARMA passe de 2 000 a 1 200 kg</t>
  </si>
  <si>
    <t xml:space="preserve">4b</t>
  </si>
  <si>
    <t xml:space="preserve">Transfert partiel : OCEAMIC 2 recoit les 800 kg</t>
  </si>
  <si>
    <t xml:space="preserve">5</t>
  </si>
  <si>
    <t xml:space="preserve">Sous-traitance depuis stock : 1 000 - 500 envoyes -&gt; 500 kg</t>
  </si>
  <si>
    <t xml:space="preserve">6a</t>
  </si>
  <si>
    <t xml:space="preserve">Fournisseur direct : aucun stock OCEAMIC consomme sur le lot 300</t>
  </si>
  <si>
    <t xml:space="preserve">6b</t>
  </si>
  <si>
    <t xml:space="preserve">Fournisseur direct : aucune ligne de sortie generee pour ST-002</t>
  </si>
  <si>
    <t xml:space="preserve">7</t>
  </si>
  <si>
    <t xml:space="preserve">Envoi sans resultat : ST-003 reste EN COURS</t>
  </si>
  <si>
    <t xml:space="preserve">EN COURS</t>
  </si>
  <si>
    <t xml:space="preserve">8a</t>
  </si>
  <si>
    <t xml:space="preserve">Un envoi, plusieurs resultats : ST-001 a 2 resultats</t>
  </si>
  <si>
    <t xml:space="preserve">8b</t>
  </si>
  <si>
    <t xml:space="preserve">Un envoi, plusieurs resultats : total sorti 300 + 150 = 450 kg</t>
  </si>
  <si>
    <t xml:space="preserve">9</t>
  </si>
  <si>
    <t xml:space="preserve">Retour OCEAMIC 2 : lot 255-HG, 300 kg en stock interne</t>
  </si>
  <si>
    <t xml:space="preserve">10</t>
  </si>
  <si>
    <t xml:space="preserve">Resultat vers stock externe : lot 255-HGT, 150 kg sur COFRIGOP</t>
  </si>
  <si>
    <t xml:space="preserve">11a</t>
  </si>
  <si>
    <t xml:space="preserve">Ecart a justifier : 500 - 450 = 50 kg</t>
  </si>
  <si>
    <t xml:space="preserve">11b</t>
  </si>
  <si>
    <t xml:space="preserve">Ecart non justifie : ST-001 au statut A JUSTIFIER</t>
  </si>
  <si>
    <t xml:space="preserve">A JUSTIFIER</t>
  </si>
  <si>
    <t xml:space="preserve">11c</t>
  </si>
  <si>
    <t xml:space="preserve">Ecart justifie : ST-002 (10 kg justifies) au statut OK</t>
  </si>
  <si>
    <t xml:space="preserve">OK</t>
  </si>
  <si>
    <t xml:space="preserve">12a</t>
  </si>
  <si>
    <t xml:space="preserve">Controle qualite : aucune ligne de mouvement generee</t>
  </si>
  <si>
    <t xml:space="preserve">12b</t>
  </si>
  <si>
    <t xml:space="preserve">Controle qualite : le stock du lot 255 reste inchange</t>
  </si>
  <si>
    <t xml:space="preserve">12c</t>
  </si>
  <si>
    <t xml:space="preserve">Controle a un emplacement ou le lot est absent -&gt; avertissement</t>
  </si>
  <si>
    <t xml:space="preserve">EMPLACEMENT INCOHERENT</t>
  </si>
  <si>
    <t xml:space="preserve">13a</t>
  </si>
  <si>
    <t xml:space="preserve">Sortie superieure au stock : ligne refusee (STOCK INSUFFISANT)</t>
  </si>
  <si>
    <t xml:space="preserve">STOCK INSUFFISANT</t>
  </si>
  <si>
    <t xml:space="preserve">13b</t>
  </si>
  <si>
    <t xml:space="preserve">Sortie refusee : le stock du lot 258 reste a 200 kg</t>
  </si>
  <si>
    <t xml:space="preserve">14</t>
  </si>
  <si>
    <t xml:space="preserve">Lot reutilise : produit repris automatiquement, sans re-saisie</t>
  </si>
  <si>
    <t xml:space="preserve">15a</t>
  </si>
  <si>
    <t xml:space="preserve">Tracabilite : 2 lots lies au lot 255 (sans doublon)</t>
  </si>
  <si>
    <t xml:space="preserve">15b</t>
  </si>
  <si>
    <t xml:space="preserve">Tracabilite : parent du lot 255-HG retrouve automatiquement</t>
  </si>
  <si>
    <t xml:space="preserve">16</t>
  </si>
  <si>
    <t xml:space="preserve">Integrite : aucun stock negatif dans la matrice</t>
  </si>
  <si>
    <t xml:space="preserve">17</t>
  </si>
  <si>
    <t xml:space="preserve">Integrite : matrice STOCK = grand livre MOUVEMENTS (ecart 0 kg)</t>
  </si>
  <si>
    <t xml:space="preserve">18</t>
  </si>
  <si>
    <t xml:space="preserve">Integrite : stock total interne attendu 3 090 kg</t>
  </si>
  <si>
    <t xml:space="preserve">19</t>
  </si>
  <si>
    <t xml:space="preserve">Integrite : stock total externe attendu 1 350 kg</t>
  </si>
  <si>
    <t xml:space="preserve">20</t>
  </si>
  <si>
    <t xml:space="preserve">Alerte qualite : histamine 180 mg/kg signalee sur le lot 256</t>
  </si>
  <si>
    <t xml:space="preserve">Note : dans ce classeur de recette, l'ACCUEIL affiche "INTEGRITE DES DONNEES : A CORRIGER". C'est VOULU - le scenario 13 laisse volontairement une consommation superieure au stock, refusee par le systeme. Le classeur de production, lui, demarre a OK.</t>
  </si>
</sst>
</file>

<file path=xl/styles.xml><?xml version="1.0" encoding="utf-8"?>
<styleSheet xmlns="http://schemas.openxmlformats.org/spreadsheetml/2006/main">
  <numFmts count="9">
    <numFmt numFmtId="164" formatCode="General"/>
    <numFmt numFmtId="165" formatCode="#,##0.00;\-#,##0.00;\-"/>
    <numFmt numFmtId="166" formatCode="#,##0;\-#,##0;;"/>
    <numFmt numFmtId="167" formatCode="#,##0.###;\-#,##0.###;\-"/>
    <numFmt numFmtId="168" formatCode="dd/mm/yyyy"/>
    <numFmt numFmtId="169" formatCode="0.0%"/>
    <numFmt numFmtId="170" formatCode="0.0"/>
    <numFmt numFmtId="171" formatCode="#,##0"/>
    <numFmt numFmtId="172" formatCode="#,##0.00;\-#,##0.00;;"/>
  </numFmts>
  <fonts count="25">
    <font>
      <sz val="11"/>
      <color theme="1"/>
      <name val="Calibri"/>
      <family val="2"/>
      <charset val="1"/>
    </font>
    <font>
      <sz val="10"/>
      <name val="Arial"/>
      <family val="0"/>
    </font>
    <font>
      <sz val="10"/>
      <name val="Arial"/>
      <family val="0"/>
    </font>
    <font>
      <sz val="10"/>
      <name val="Arial"/>
      <family val="0"/>
    </font>
    <font>
      <b val="true"/>
      <sz val="15"/>
      <color rgb="FFFFFFFF"/>
      <name val="Arial"/>
      <family val="0"/>
      <charset val="1"/>
    </font>
    <font>
      <sz val="9"/>
      <color rgb="FF5A6B76"/>
      <name val="Arial"/>
      <family val="0"/>
      <charset val="1"/>
    </font>
    <font>
      <b val="true"/>
      <sz val="10"/>
      <color rgb="FF0F3D5C"/>
      <name val="Arial"/>
      <family val="0"/>
      <charset val="1"/>
    </font>
    <font>
      <b val="true"/>
      <sz val="10"/>
      <color rgb="FF1B4F8F"/>
      <name val="Arial"/>
      <family val="0"/>
      <charset val="1"/>
    </font>
    <font>
      <b val="true"/>
      <sz val="9"/>
      <color rgb="FF5A6B76"/>
      <name val="Arial"/>
      <family val="0"/>
      <charset val="1"/>
    </font>
    <font>
      <b val="true"/>
      <sz val="12"/>
      <color rgb="FF0F3D5C"/>
      <name val="Arial"/>
      <family val="0"/>
      <charset val="1"/>
    </font>
    <font>
      <b val="true"/>
      <sz val="12"/>
      <color rgb="FFFFFFFF"/>
      <name val="Arial"/>
      <family val="0"/>
      <charset val="1"/>
    </font>
    <font>
      <sz val="8"/>
      <color rgb="FF5A6B76"/>
      <name val="Arial"/>
      <family val="0"/>
      <charset val="1"/>
    </font>
    <font>
      <b val="true"/>
      <sz val="9"/>
      <color rgb="FF1F2933"/>
      <name val="Arial"/>
      <family val="0"/>
      <charset val="1"/>
    </font>
    <font>
      <b val="true"/>
      <sz val="10"/>
      <color rgb="FF1F2933"/>
      <name val="Arial"/>
      <family val="0"/>
      <charset val="1"/>
    </font>
    <font>
      <sz val="10"/>
      <color rgb="FF1F2933"/>
      <name val="Arial"/>
      <family val="0"/>
      <charset val="1"/>
    </font>
    <font>
      <sz val="9"/>
      <color rgb="FF1F2933"/>
      <name val="Arial"/>
      <family val="0"/>
      <charset val="1"/>
    </font>
    <font>
      <b val="true"/>
      <sz val="9"/>
      <color rgb="FF0F3D5C"/>
      <name val="Arial"/>
      <family val="0"/>
      <charset val="1"/>
    </font>
    <font>
      <b val="true"/>
      <sz val="9"/>
      <color rgb="FFFFFFFF"/>
      <name val="Arial"/>
      <family val="0"/>
      <charset val="1"/>
    </font>
    <font>
      <i val="true"/>
      <sz val="9"/>
      <color rgb="FF5A6B76"/>
      <name val="Arial"/>
      <family val="0"/>
      <charset val="1"/>
    </font>
    <font>
      <b val="true"/>
      <sz val="8"/>
      <color rgb="FF5A6B76"/>
      <name val="Arial"/>
      <family val="0"/>
      <charset val="1"/>
    </font>
    <font>
      <b val="true"/>
      <sz val="9"/>
      <color rgb="FFA31515"/>
      <name val="Arial"/>
      <family val="0"/>
      <charset val="1"/>
    </font>
    <font>
      <b val="true"/>
      <sz val="11"/>
      <color rgb="FF0F3D5C"/>
      <name val="Arial"/>
      <family val="0"/>
      <charset val="1"/>
    </font>
    <font>
      <b val="true"/>
      <sz val="12"/>
      <color rgb="FF1B4F8F"/>
      <name val="Arial"/>
      <family val="0"/>
      <charset val="1"/>
    </font>
    <font>
      <b val="true"/>
      <sz val="10"/>
      <color rgb="FFFFFFFF"/>
      <name val="Arial"/>
      <family val="0"/>
      <charset val="1"/>
    </font>
    <font>
      <b val="true"/>
      <sz val="8"/>
      <color rgb="FFFFFFFF"/>
      <name val="Arial"/>
      <family val="0"/>
      <charset val="1"/>
    </font>
  </fonts>
  <fills count="14">
    <fill>
      <patternFill patternType="none"/>
    </fill>
    <fill>
      <patternFill patternType="gray125"/>
    </fill>
    <fill>
      <patternFill patternType="solid">
        <fgColor rgb="FF0F3D5C"/>
        <bgColor rgb="FF1F2933"/>
      </patternFill>
    </fill>
    <fill>
      <patternFill patternType="solid">
        <fgColor rgb="FFD7E7EB"/>
        <bgColor rgb="FFE4EEF9"/>
      </patternFill>
    </fill>
    <fill>
      <patternFill patternType="solid">
        <fgColor rgb="FFF4F8F9"/>
        <bgColor rgb="FFEEF2F5"/>
      </patternFill>
    </fill>
    <fill>
      <patternFill patternType="solid">
        <fgColor rgb="FFFFFFFF"/>
        <bgColor rgb="FFF4F8F9"/>
      </patternFill>
    </fill>
    <fill>
      <patternFill patternType="solid">
        <fgColor rgb="FFFFF9E6"/>
        <bgColor rgb="FFFFF2D6"/>
      </patternFill>
    </fill>
    <fill>
      <patternFill patternType="solid">
        <fgColor rgb="FFEEF2F5"/>
        <bgColor rgb="FFEDEFF1"/>
      </patternFill>
    </fill>
    <fill>
      <patternFill patternType="solid">
        <fgColor rgb="FFE4F3E7"/>
        <bgColor rgb="FFEDEFF1"/>
      </patternFill>
    </fill>
    <fill>
      <patternFill patternType="solid">
        <fgColor rgb="FFE4EEF9"/>
        <bgColor rgb="FFEDEFF1"/>
      </patternFill>
    </fill>
    <fill>
      <patternFill patternType="solid">
        <fgColor rgb="FFFFF2D6"/>
        <bgColor rgb="FFFFF9E6"/>
      </patternFill>
    </fill>
    <fill>
      <patternFill patternType="solid">
        <fgColor rgb="FFFBE3E3"/>
        <bgColor rgb="FFFFF2D6"/>
      </patternFill>
    </fill>
    <fill>
      <patternFill patternType="solid">
        <fgColor rgb="FF1B7A8C"/>
        <bgColor rgb="FF008080"/>
      </patternFill>
    </fill>
    <fill>
      <patternFill patternType="solid">
        <fgColor rgb="FF5A6B76"/>
        <bgColor rgb="FF808080"/>
      </patternFill>
    </fill>
  </fills>
  <borders count="3">
    <border diagonalUp="false" diagonalDown="false">
      <left/>
      <right/>
      <top/>
      <bottom/>
      <diagonal/>
    </border>
    <border diagonalUp="false" diagonalDown="false">
      <left style="thin">
        <color rgb="FFC3CED6"/>
      </left>
      <right/>
      <top style="thin">
        <color rgb="FFC3CED6"/>
      </top>
      <bottom style="thin">
        <color rgb="FFC3CED6"/>
      </bottom>
      <diagonal/>
    </border>
    <border diagonalUp="false" diagonalDown="false">
      <left style="thin">
        <color rgb="FFC3CED6"/>
      </left>
      <right style="thin">
        <color rgb="FFC3CED6"/>
      </right>
      <top style="thin">
        <color rgb="FFC3CED6"/>
      </top>
      <bottom style="thin">
        <color rgb="FFC3CED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0" borderId="0" xfId="0" applyFont="true" applyBorder="true" applyAlignment="true" applyProtection="false">
      <alignment horizontal="left" vertical="center" textRotation="0" wrapText="false" indent="1" shrinkToFit="false"/>
      <protection locked="true" hidden="false"/>
    </xf>
    <xf numFmtId="164" fontId="6" fillId="3" borderId="0" xfId="0" applyFont="true" applyBorder="true" applyAlignment="true" applyProtection="false">
      <alignment horizontal="left" vertical="center" textRotation="0" wrapText="false" indent="1" shrinkToFit="false"/>
      <protection locked="true" hidden="false"/>
    </xf>
    <xf numFmtId="164" fontId="7" fillId="4" borderId="1" xfId="0" applyFont="true" applyBorder="true" applyAlignment="true" applyProtection="false">
      <alignment horizontal="left" vertical="center" textRotation="0" wrapText="false" indent="1" shrinkToFit="false"/>
      <protection locked="true" hidden="false"/>
    </xf>
    <xf numFmtId="164" fontId="8" fillId="4" borderId="2" xfId="0" applyFont="true" applyBorder="true" applyAlignment="true" applyProtection="false">
      <alignment horizontal="left" vertical="center" textRotation="0" wrapText="false" indent="1" shrinkToFit="false"/>
      <protection locked="true" hidden="false"/>
    </xf>
    <xf numFmtId="165" fontId="9" fillId="4" borderId="2" xfId="0" applyFont="true" applyBorder="true" applyAlignment="true" applyProtection="false">
      <alignment horizontal="right" vertical="center" textRotation="0" wrapText="false" indent="0" shrinkToFit="false"/>
      <protection locked="true" hidden="false"/>
    </xf>
    <xf numFmtId="166" fontId="9" fillId="4" borderId="2" xfId="0" applyFont="true" applyBorder="true" applyAlignment="true" applyProtection="false">
      <alignment horizontal="right" vertical="center" textRotation="0" wrapText="false" indent="0" shrinkToFit="false"/>
      <protection locked="true" hidden="false"/>
    </xf>
    <xf numFmtId="164" fontId="10" fillId="2"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center" textRotation="0" wrapText="true" indent="1" shrinkToFit="false"/>
      <protection locked="true" hidden="false"/>
    </xf>
    <xf numFmtId="164" fontId="12" fillId="5" borderId="2" xfId="0" applyFont="true" applyBorder="true" applyAlignment="true" applyProtection="false">
      <alignment horizontal="left" vertical="center" textRotation="0" wrapText="false" indent="1" shrinkToFit="false"/>
      <protection locked="true" hidden="false"/>
    </xf>
    <xf numFmtId="167" fontId="13" fillId="5" borderId="2" xfId="0" applyFont="true" applyBorder="true" applyAlignment="true" applyProtection="false">
      <alignment horizontal="center" vertical="center" textRotation="0" wrapText="false" indent="0" shrinkToFit="false"/>
      <protection locked="true" hidden="false"/>
    </xf>
    <xf numFmtId="164" fontId="14" fillId="6" borderId="2" xfId="0" applyFont="true" applyBorder="true" applyAlignment="true" applyProtection="false">
      <alignment horizontal="general" vertical="center" textRotation="0" wrapText="false" indent="0" shrinkToFit="false"/>
      <protection locked="true" hidden="false"/>
    </xf>
    <xf numFmtId="164" fontId="15" fillId="0" borderId="0" xfId="0" applyFont="true" applyBorder="true" applyAlignment="true" applyProtection="false">
      <alignment horizontal="left" vertical="center" textRotation="0" wrapText="false" indent="1" shrinkToFit="false"/>
      <protection locked="true" hidden="false"/>
    </xf>
    <xf numFmtId="164" fontId="14" fillId="7" borderId="2" xfId="0" applyFont="true" applyBorder="true" applyAlignment="true" applyProtection="false">
      <alignment horizontal="general" vertical="center" textRotation="0" wrapText="false" indent="0" shrinkToFit="false"/>
      <protection locked="true" hidden="false"/>
    </xf>
    <xf numFmtId="164" fontId="14" fillId="8" borderId="2" xfId="0" applyFont="true" applyBorder="true" applyAlignment="true" applyProtection="false">
      <alignment horizontal="general" vertical="center" textRotation="0" wrapText="false" indent="0" shrinkToFit="false"/>
      <protection locked="true" hidden="false"/>
    </xf>
    <xf numFmtId="164" fontId="14" fillId="9" borderId="2" xfId="0" applyFont="true" applyBorder="true" applyAlignment="true" applyProtection="false">
      <alignment horizontal="general" vertical="center" textRotation="0" wrapText="false" indent="0" shrinkToFit="false"/>
      <protection locked="true" hidden="false"/>
    </xf>
    <xf numFmtId="164" fontId="14" fillId="10" borderId="2" xfId="0" applyFont="true" applyBorder="true" applyAlignment="true" applyProtection="false">
      <alignment horizontal="general" vertical="center" textRotation="0" wrapText="false" indent="0" shrinkToFit="false"/>
      <protection locked="true" hidden="false"/>
    </xf>
    <xf numFmtId="164" fontId="5" fillId="5" borderId="2" xfId="0" applyFont="true" applyBorder="true" applyAlignment="true" applyProtection="false">
      <alignment horizontal="left" vertical="center" textRotation="0" wrapText="false" indent="1" shrinkToFit="false"/>
      <protection locked="true" hidden="false"/>
    </xf>
    <xf numFmtId="164" fontId="14" fillId="11" borderId="2" xfId="0" applyFont="true" applyBorder="true" applyAlignment="true" applyProtection="false">
      <alignment horizontal="general" vertical="center" textRotation="0" wrapText="false" indent="0" shrinkToFit="false"/>
      <protection locked="true" hidden="false"/>
    </xf>
    <xf numFmtId="164" fontId="16" fillId="4" borderId="2" xfId="0" applyFont="true" applyBorder="true" applyAlignment="true" applyProtection="false">
      <alignment horizontal="left" vertical="center" textRotation="0" wrapText="false" indent="1" shrinkToFit="false"/>
      <protection locked="true" hidden="false"/>
    </xf>
    <xf numFmtId="164" fontId="15" fillId="5" borderId="1" xfId="0" applyFont="true" applyBorder="true" applyAlignment="true" applyProtection="false">
      <alignment horizontal="left" vertical="center" textRotation="0" wrapText="true" indent="1" shrinkToFit="false"/>
      <protection locked="true" hidden="false"/>
    </xf>
    <xf numFmtId="164" fontId="17" fillId="12" borderId="2" xfId="0" applyFont="true" applyBorder="true" applyAlignment="true" applyProtection="false">
      <alignment horizontal="center" vertical="center" textRotation="0" wrapText="true" indent="0" shrinkToFit="false"/>
      <protection locked="true" hidden="false"/>
    </xf>
    <xf numFmtId="164" fontId="17" fillId="13" borderId="2" xfId="0" applyFont="true" applyBorder="true" applyAlignment="true" applyProtection="false">
      <alignment horizontal="center" vertical="center" textRotation="0" wrapText="true" indent="0" shrinkToFit="false"/>
      <protection locked="true" hidden="false"/>
    </xf>
    <xf numFmtId="164" fontId="15" fillId="6" borderId="2" xfId="0" applyFont="true" applyBorder="true" applyAlignment="true" applyProtection="false">
      <alignment horizontal="general" vertical="center" textRotation="0" wrapText="false" indent="0" shrinkToFit="false"/>
      <protection locked="true" hidden="false"/>
    </xf>
    <xf numFmtId="168" fontId="15" fillId="6" borderId="2" xfId="0" applyFont="true" applyBorder="true" applyAlignment="true" applyProtection="false">
      <alignment horizontal="general" vertical="center" textRotation="0" wrapText="false" indent="0" shrinkToFit="false"/>
      <protection locked="true" hidden="false"/>
    </xf>
    <xf numFmtId="164" fontId="18" fillId="7" borderId="2" xfId="0" applyFont="true" applyBorder="true" applyAlignment="true" applyProtection="false">
      <alignment horizontal="general" vertical="center" textRotation="0" wrapText="false" indent="0" shrinkToFit="false"/>
      <protection locked="true" hidden="false"/>
    </xf>
    <xf numFmtId="165" fontId="18" fillId="7" borderId="2" xfId="0" applyFont="true" applyBorder="true" applyAlignment="true" applyProtection="false">
      <alignment horizontal="general" vertical="center" textRotation="0" wrapText="false" indent="0" shrinkToFit="false"/>
      <protection locked="true" hidden="false"/>
    </xf>
    <xf numFmtId="166" fontId="18" fillId="7" borderId="2" xfId="0" applyFont="true" applyBorder="true" applyAlignment="true" applyProtection="false">
      <alignment horizontal="general" vertical="center" textRotation="0" wrapText="false" indent="0" shrinkToFit="false"/>
      <protection locked="true" hidden="false"/>
    </xf>
    <xf numFmtId="165" fontId="15" fillId="6" borderId="2" xfId="0" applyFont="true" applyBorder="true" applyAlignment="true" applyProtection="false">
      <alignment horizontal="general" vertical="center" textRotation="0" wrapText="false" indent="0" shrinkToFit="false"/>
      <protection locked="true" hidden="false"/>
    </xf>
    <xf numFmtId="169" fontId="18" fillId="7" borderId="2" xfId="0" applyFont="true" applyBorder="true" applyAlignment="true" applyProtection="false">
      <alignment horizontal="general" vertical="center" textRotation="0" wrapText="false" indent="0" shrinkToFit="false"/>
      <protection locked="true" hidden="false"/>
    </xf>
    <xf numFmtId="168" fontId="18" fillId="7" borderId="2" xfId="0" applyFont="true" applyBorder="true" applyAlignment="true" applyProtection="false">
      <alignment horizontal="general" vertical="center" textRotation="0" wrapText="false" indent="0" shrinkToFit="false"/>
      <protection locked="true" hidden="false"/>
    </xf>
    <xf numFmtId="170" fontId="15" fillId="6" borderId="2" xfId="0" applyFont="true" applyBorder="true" applyAlignment="true" applyProtection="false">
      <alignment horizontal="general" vertical="center" textRotation="0" wrapText="false" indent="0" shrinkToFit="false"/>
      <protection locked="true" hidden="false"/>
    </xf>
    <xf numFmtId="171" fontId="15" fillId="6" borderId="2" xfId="0" applyFont="true" applyBorder="true" applyAlignment="true" applyProtection="false">
      <alignment horizontal="general" vertical="center" textRotation="0" wrapText="false" indent="0" shrinkToFit="false"/>
      <protection locked="true" hidden="false"/>
    </xf>
    <xf numFmtId="164" fontId="15" fillId="4" borderId="1" xfId="0" applyFont="true" applyBorder="true" applyAlignment="true" applyProtection="false">
      <alignment horizontal="left" vertical="center" textRotation="0" wrapText="false" indent="1" shrinkToFit="false"/>
      <protection locked="true" hidden="false"/>
    </xf>
    <xf numFmtId="165" fontId="6" fillId="4" borderId="2" xfId="0" applyFont="true" applyBorder="true" applyAlignment="true" applyProtection="false">
      <alignment horizontal="center" vertical="center" textRotation="0" wrapText="false" indent="0" shrinkToFit="false"/>
      <protection locked="true" hidden="false"/>
    </xf>
    <xf numFmtId="166" fontId="6" fillId="4" borderId="2" xfId="0" applyFont="true" applyBorder="true" applyAlignment="true" applyProtection="false">
      <alignment horizontal="center" vertical="center" textRotation="0" wrapText="false" indent="0" shrinkToFit="false"/>
      <protection locked="true" hidden="false"/>
    </xf>
    <xf numFmtId="164" fontId="12" fillId="4" borderId="1" xfId="0" applyFont="true" applyBorder="true" applyAlignment="true" applyProtection="false">
      <alignment horizontal="left" vertical="center" textRotation="0" wrapText="false" indent="1" shrinkToFit="false"/>
      <protection locked="true" hidden="false"/>
    </xf>
    <xf numFmtId="164" fontId="11" fillId="0" borderId="0" xfId="0" applyFont="true" applyBorder="true" applyAlignment="true" applyProtection="false">
      <alignment horizontal="left" vertical="center" textRotation="0" wrapText="false" indent="0" shrinkToFit="false"/>
      <protection locked="true" hidden="false"/>
    </xf>
    <xf numFmtId="164" fontId="19" fillId="7" borderId="2" xfId="0" applyFont="true" applyBorder="true" applyAlignment="true" applyProtection="false">
      <alignment horizontal="center" vertical="center" textRotation="0" wrapText="false" indent="0" shrinkToFit="false"/>
      <protection locked="true" hidden="false"/>
    </xf>
    <xf numFmtId="164" fontId="17" fillId="12" borderId="2" xfId="0" applyFont="true" applyBorder="true" applyAlignment="true" applyProtection="false">
      <alignment horizontal="center" vertical="center" textRotation="0" wrapText="false" indent="0" shrinkToFit="false"/>
      <protection locked="true" hidden="false"/>
    </xf>
    <xf numFmtId="164" fontId="12" fillId="5" borderId="2" xfId="0" applyFont="true" applyBorder="true" applyAlignment="true" applyProtection="false">
      <alignment horizontal="general" vertical="center" textRotation="0" wrapText="false" indent="0" shrinkToFit="false"/>
      <protection locked="true" hidden="false"/>
    </xf>
    <xf numFmtId="172" fontId="15" fillId="5" borderId="2" xfId="0" applyFont="true" applyBorder="true" applyAlignment="true" applyProtection="false">
      <alignment horizontal="right" vertical="center" textRotation="0" wrapText="false" indent="0" shrinkToFit="false"/>
      <protection locked="true" hidden="false"/>
    </xf>
    <xf numFmtId="172" fontId="12" fillId="7" borderId="2" xfId="0" applyFont="true" applyBorder="true" applyAlignment="true" applyProtection="false">
      <alignment horizontal="right" vertical="center" textRotation="0" wrapText="false" indent="0" shrinkToFit="false"/>
      <protection locked="true" hidden="false"/>
    </xf>
    <xf numFmtId="172" fontId="15" fillId="7" borderId="2" xfId="0" applyFont="true" applyBorder="true" applyAlignment="true" applyProtection="false">
      <alignment horizontal="right" vertical="center" textRotation="0" wrapText="false" indent="0" shrinkToFit="false"/>
      <protection locked="true" hidden="false"/>
    </xf>
    <xf numFmtId="164" fontId="20" fillId="7" borderId="2" xfId="0" applyFont="true" applyBorder="true" applyAlignment="true" applyProtection="false">
      <alignment horizontal="center" vertical="center" textRotation="0" wrapText="false" indent="0" shrinkToFit="false"/>
      <protection locked="true" hidden="false"/>
    </xf>
    <xf numFmtId="164" fontId="17" fillId="2" borderId="2" xfId="0" applyFont="true" applyBorder="true" applyAlignment="true" applyProtection="false">
      <alignment horizontal="center" vertical="center" textRotation="0" wrapText="false" indent="0" shrinkToFit="false"/>
      <protection locked="true" hidden="false"/>
    </xf>
    <xf numFmtId="172" fontId="17" fillId="2" borderId="2" xfId="0" applyFont="true" applyBorder="true" applyAlignment="true" applyProtection="false">
      <alignment horizontal="right" vertical="center" textRotation="0" wrapText="false" indent="0" shrinkToFit="false"/>
      <protection locked="true" hidden="false"/>
    </xf>
    <xf numFmtId="164" fontId="14" fillId="2" borderId="2" xfId="0" applyFont="true" applyBorder="true" applyAlignment="true" applyProtection="false">
      <alignment horizontal="general" vertical="center" textRotation="0" wrapText="false" indent="0" shrinkToFit="false"/>
      <protection locked="true" hidden="false"/>
    </xf>
    <xf numFmtId="164" fontId="21" fillId="0" borderId="0" xfId="0" applyFont="true" applyBorder="false" applyAlignment="true" applyProtection="false">
      <alignment horizontal="general" vertical="center" textRotation="0" wrapText="false" indent="0" shrinkToFit="false"/>
      <protection locked="true" hidden="false"/>
    </xf>
    <xf numFmtId="164" fontId="22" fillId="6" borderId="1" xfId="0" applyFont="true" applyBorder="true" applyAlignment="true" applyProtection="false">
      <alignment horizontal="center" vertical="center" textRotation="0" wrapText="false" indent="0" shrinkToFit="false"/>
      <protection locked="true" hidden="false"/>
    </xf>
    <xf numFmtId="164" fontId="8" fillId="7" borderId="2" xfId="0" applyFont="true" applyBorder="true" applyAlignment="true" applyProtection="false">
      <alignment horizontal="left" vertical="center" textRotation="0" wrapText="false" indent="1" shrinkToFit="false"/>
      <protection locked="true" hidden="false"/>
    </xf>
    <xf numFmtId="164" fontId="14" fillId="5" borderId="1" xfId="0" applyFont="true" applyBorder="true" applyAlignment="true" applyProtection="false">
      <alignment horizontal="left" vertical="center" textRotation="0" wrapText="false" indent="1" shrinkToFit="false"/>
      <protection locked="true" hidden="false"/>
    </xf>
    <xf numFmtId="164" fontId="15" fillId="5" borderId="2" xfId="0" applyFont="true" applyBorder="true" applyAlignment="true" applyProtection="false">
      <alignment horizontal="general" vertical="center" textRotation="0" wrapText="false" indent="0" shrinkToFit="false"/>
      <protection locked="true" hidden="false"/>
    </xf>
    <xf numFmtId="164" fontId="5" fillId="5" borderId="2" xfId="0" applyFont="true" applyBorder="true" applyAlignment="true" applyProtection="false">
      <alignment horizontal="center" vertical="center" textRotation="0" wrapText="false" indent="0" shrinkToFit="false"/>
      <protection locked="true" hidden="false"/>
    </xf>
    <xf numFmtId="168" fontId="14" fillId="5" borderId="1" xfId="0" applyFont="true" applyBorder="true" applyAlignment="true" applyProtection="false">
      <alignment horizontal="left" vertical="center" textRotation="0" wrapText="false" indent="1" shrinkToFit="false"/>
      <protection locked="true" hidden="false"/>
    </xf>
    <xf numFmtId="164" fontId="17" fillId="2" borderId="1" xfId="0" applyFont="true" applyBorder="true" applyAlignment="true" applyProtection="false">
      <alignment horizontal="left" vertical="center" textRotation="0" wrapText="false" indent="1" shrinkToFit="false"/>
      <protection locked="true" hidden="false"/>
    </xf>
    <xf numFmtId="165" fontId="23" fillId="2" borderId="2" xfId="0" applyFont="true" applyBorder="true" applyAlignment="true" applyProtection="false">
      <alignment horizontal="right" vertical="center" textRotation="0" wrapText="false" indent="0" shrinkToFit="false"/>
      <protection locked="true" hidden="false"/>
    </xf>
    <xf numFmtId="164" fontId="16" fillId="4" borderId="1" xfId="0" applyFont="true" applyBorder="true" applyAlignment="true" applyProtection="false">
      <alignment horizontal="left" vertical="center" textRotation="0" wrapText="false" indent="1" shrinkToFit="false"/>
      <protection locked="true" hidden="false"/>
    </xf>
    <xf numFmtId="165" fontId="6" fillId="4" borderId="2" xfId="0" applyFont="true" applyBorder="true" applyAlignment="true" applyProtection="false">
      <alignment horizontal="right" vertical="center" textRotation="0" wrapText="false" indent="0" shrinkToFit="false"/>
      <protection locked="true" hidden="false"/>
    </xf>
    <xf numFmtId="164" fontId="24" fillId="13" borderId="2" xfId="0" applyFont="true" applyBorder="true" applyAlignment="true" applyProtection="false">
      <alignment horizontal="center" vertical="center" textRotation="0" wrapText="true" indent="0" shrinkToFit="false"/>
      <protection locked="true" hidden="false"/>
    </xf>
    <xf numFmtId="166" fontId="15" fillId="5" borderId="2" xfId="0" applyFont="true" applyBorder="true" applyAlignment="true" applyProtection="false">
      <alignment horizontal="general" vertical="center" textRotation="0" wrapText="false" indent="0" shrinkToFit="false"/>
      <protection locked="true" hidden="false"/>
    </xf>
    <xf numFmtId="168" fontId="15" fillId="5" borderId="2" xfId="0" applyFont="true" applyBorder="true" applyAlignment="true" applyProtection="false">
      <alignment horizontal="general" vertical="center" textRotation="0" wrapText="false" indent="0" shrinkToFit="false"/>
      <protection locked="true" hidden="false"/>
    </xf>
    <xf numFmtId="165" fontId="15" fillId="5" borderId="2" xfId="0" applyFont="true" applyBorder="true" applyAlignment="true" applyProtection="false">
      <alignment horizontal="general" vertical="center" textRotation="0" wrapText="false" indent="0" shrinkToFit="false"/>
      <protection locked="true" hidden="false"/>
    </xf>
    <xf numFmtId="170" fontId="15" fillId="5" borderId="2" xfId="0" applyFont="true" applyBorder="true" applyAlignment="true" applyProtection="false">
      <alignment horizontal="general" vertical="center" textRotation="0" wrapText="false" indent="0" shrinkToFit="false"/>
      <protection locked="true" hidden="false"/>
    </xf>
    <xf numFmtId="171" fontId="15" fillId="5" borderId="2" xfId="0" applyFont="true" applyBorder="true" applyAlignment="true" applyProtection="false">
      <alignment horizontal="general" vertical="center" textRotation="0" wrapText="false" indent="0" shrinkToFit="false"/>
      <protection locked="true" hidden="false"/>
    </xf>
    <xf numFmtId="165" fontId="15" fillId="5" borderId="2" xfId="0" applyFont="true" applyBorder="true" applyAlignment="true" applyProtection="false">
      <alignment horizontal="right" vertical="center" textRotation="0" wrapText="false" indent="0" shrinkToFit="false"/>
      <protection locked="true" hidden="false"/>
    </xf>
    <xf numFmtId="172" fontId="18" fillId="7" borderId="2" xfId="0" applyFont="true" applyBorder="true" applyAlignment="true" applyProtection="false">
      <alignment horizontal="general" vertical="center" textRotation="0" wrapText="false" indent="0" shrinkToFit="false"/>
      <protection locked="true" hidden="false"/>
    </xf>
    <xf numFmtId="164" fontId="12" fillId="7" borderId="2" xfId="0" applyFont="true" applyBorder="true" applyAlignment="true" applyProtection="false">
      <alignment horizontal="general" vertical="center" textRotation="0" wrapText="false" indent="0" shrinkToFit="false"/>
      <protection locked="true" hidden="false"/>
    </xf>
    <xf numFmtId="164" fontId="5" fillId="7" borderId="1" xfId="0" applyFont="true" applyBorder="true" applyAlignment="true" applyProtection="false">
      <alignment horizontal="left" vertical="center" textRotation="0" wrapText="false" indent="1" shrinkToFit="false"/>
      <protection locked="true" hidden="false"/>
    </xf>
    <xf numFmtId="164" fontId="7" fillId="6" borderId="2" xfId="0" applyFont="true" applyBorder="true" applyAlignment="true" applyProtection="false">
      <alignment horizontal="center" vertical="center" textRotation="0" wrapText="false" indent="0" shrinkToFit="false"/>
      <protection locked="true" hidden="false"/>
    </xf>
    <xf numFmtId="164" fontId="11" fillId="7" borderId="1" xfId="0" applyFont="true" applyBorder="true" applyAlignment="true" applyProtection="false">
      <alignment horizontal="left" vertical="center" textRotation="0" wrapText="false" indent="1" shrinkToFit="false"/>
      <protection locked="true" hidden="false"/>
    </xf>
    <xf numFmtId="164" fontId="21" fillId="3" borderId="0" xfId="0" applyFont="true" applyBorder="true" applyAlignment="true" applyProtection="false">
      <alignment horizontal="left" vertical="center" textRotation="0" wrapText="false" indent="1" shrinkToFit="false"/>
      <protection locked="true" hidden="false"/>
    </xf>
    <xf numFmtId="164" fontId="6" fillId="0" borderId="0" xfId="0" applyFont="true" applyBorder="false" applyAlignment="true" applyProtection="false">
      <alignment horizontal="left" vertical="center" textRotation="0" wrapText="false" indent="0" shrinkToFit="false"/>
      <protection locked="true" hidden="false"/>
    </xf>
    <xf numFmtId="164" fontId="15" fillId="0" borderId="0" xfId="0" applyFont="true" applyBorder="false" applyAlignment="true" applyProtection="false">
      <alignment horizontal="left" vertical="center" textRotation="0" wrapText="true" indent="0" shrinkToFit="false"/>
      <protection locked="true" hidden="false"/>
    </xf>
    <xf numFmtId="164" fontId="16" fillId="5" borderId="2" xfId="0" applyFont="true" applyBorder="true" applyAlignment="true" applyProtection="false">
      <alignment horizontal="center" vertical="center" textRotation="0" wrapText="false" indent="0" shrinkToFit="false"/>
      <protection locked="true" hidden="false"/>
    </xf>
    <xf numFmtId="164" fontId="15" fillId="5" borderId="2" xfId="0" applyFont="true" applyBorder="true" applyAlignment="true" applyProtection="false">
      <alignment horizontal="left" vertical="center" textRotation="0" wrapText="false" indent="1" shrinkToFit="false"/>
      <protection locked="true" hidden="false"/>
    </xf>
    <xf numFmtId="165" fontId="5" fillId="7" borderId="2" xfId="0" applyFont="true" applyBorder="true" applyAlignment="true" applyProtection="false">
      <alignment horizontal="center" vertical="center" textRotation="0" wrapText="false" indent="0" shrinkToFit="false"/>
      <protection locked="true" hidden="false"/>
    </xf>
    <xf numFmtId="165" fontId="12" fillId="5" borderId="2" xfId="0" applyFont="true" applyBorder="true" applyAlignment="true" applyProtection="false">
      <alignment horizontal="center" vertical="center" textRotation="0" wrapText="false" indent="0" shrinkToFit="false"/>
      <protection locked="true" hidden="false"/>
    </xf>
    <xf numFmtId="164" fontId="12" fillId="5" borderId="2" xfId="0" applyFont="true" applyBorder="true" applyAlignment="true" applyProtection="false">
      <alignment horizontal="center" vertical="center" textRotation="0" wrapText="false" indent="0" shrinkToFit="false"/>
      <protection locked="true" hidden="false"/>
    </xf>
    <xf numFmtId="164" fontId="5" fillId="7" borderId="2" xfId="0" applyFont="true" applyBorder="true" applyAlignment="true" applyProtection="false">
      <alignment horizontal="center" vertical="center" textRotation="0" wrapText="false" indent="0" shrinkToFit="false"/>
      <protection locked="true" hidden="false"/>
    </xf>
    <xf numFmtId="164" fontId="5" fillId="4" borderId="1" xfId="0" applyFont="true" applyBorder="true" applyAlignment="true" applyProtection="false">
      <alignment horizontal="left" vertical="center" textRotation="0" wrapText="true" indent="1"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6">
    <dxf>
      <font>
        <name val="Arial"/>
        <charset val="1"/>
        <family val="0"/>
        <b val="1"/>
        <color rgb="FFFFFFFF"/>
        <sz val="12"/>
      </font>
      <fill>
        <patternFill>
          <bgColor rgb="FFA31515"/>
        </patternFill>
      </fill>
    </dxf>
    <dxf>
      <font>
        <name val="Arial"/>
        <charset val="1"/>
        <family val="0"/>
        <b val="1"/>
        <color rgb="FFA31515"/>
        <sz val="10"/>
      </font>
      <fill>
        <patternFill>
          <bgColor rgb="FFFBE3E3"/>
        </patternFill>
      </fill>
    </dxf>
    <dxf>
      <font>
        <name val="Arial"/>
        <charset val="1"/>
        <family val="0"/>
        <b val="1"/>
        <color rgb="FF8A5A00"/>
        <sz val="10"/>
      </font>
      <fill>
        <patternFill>
          <bgColor rgb="FFFFF2D6"/>
        </patternFill>
      </fill>
    </dxf>
    <dxf>
      <fill>
        <patternFill patternType="solid">
          <fgColor rgb="FF1B7A8C"/>
          <bgColor rgb="FF000000"/>
        </patternFill>
      </fill>
    </dxf>
    <dxf>
      <fill>
        <patternFill patternType="solid">
          <fgColor rgb="FFFFF9E6"/>
          <bgColor rgb="FF000000"/>
        </patternFill>
      </fill>
    </dxf>
    <dxf>
      <fill>
        <patternFill patternType="solid">
          <fgColor rgb="FF1F2933"/>
          <bgColor rgb="FF000000"/>
        </patternFill>
      </fill>
    </dxf>
    <dxf>
      <fill>
        <patternFill patternType="solid">
          <fgColor rgb="FFFFFFFF"/>
          <bgColor rgb="FF000000"/>
        </patternFill>
      </fill>
    </dxf>
    <dxf>
      <fill>
        <patternFill patternType="solid">
          <fgColor rgb="FF5A6B76"/>
          <bgColor rgb="FF000000"/>
        </patternFill>
      </fill>
    </dxf>
    <dxf>
      <fill>
        <patternFill patternType="solid">
          <fgColor rgb="FFEEF2F5"/>
          <bgColor rgb="FF000000"/>
        </patternFill>
      </fill>
    </dxf>
    <dxf>
      <fill>
        <patternFill patternType="solid">
          <fgColor rgb="FFE4F3E7"/>
          <bgColor rgb="FF000000"/>
        </patternFill>
      </fill>
    </dxf>
    <dxf>
      <fill>
        <patternFill patternType="solid">
          <fgColor rgb="FF14713A"/>
          <bgColor rgb="FF000000"/>
        </patternFill>
      </fill>
    </dxf>
    <dxf>
      <font>
        <name val="Arial"/>
        <charset val="1"/>
        <family val="0"/>
        <b val="1"/>
        <color rgb="FF14713A"/>
        <sz val="9"/>
      </font>
      <fill>
        <patternFill>
          <bgColor rgb="FFE4F3E7"/>
        </patternFill>
      </fill>
    </dxf>
    <dxf>
      <font>
        <name val="Arial"/>
        <charset val="1"/>
        <family val="0"/>
        <b val="1"/>
        <color rgb="FF1B4F8F"/>
        <sz val="9"/>
      </font>
      <fill>
        <patternFill>
          <bgColor rgb="FFE4EEF9"/>
        </patternFill>
      </fill>
    </dxf>
    <dxf>
      <font>
        <name val="Arial"/>
        <charset val="1"/>
        <family val="0"/>
        <b val="1"/>
        <color rgb="FF8A5A00"/>
        <sz val="9"/>
      </font>
      <fill>
        <patternFill>
          <bgColor rgb="FFFFF2D6"/>
        </patternFill>
      </fill>
    </dxf>
    <dxf>
      <font>
        <name val="Arial"/>
        <charset val="1"/>
        <family val="0"/>
        <b val="1"/>
        <color rgb="FF5A6B76"/>
        <sz val="9"/>
      </font>
      <fill>
        <patternFill>
          <bgColor rgb="FFEDEFF1"/>
        </patternFill>
      </fill>
    </dxf>
    <dxf>
      <font>
        <name val="Arial"/>
        <charset val="1"/>
        <family val="0"/>
        <b val="1"/>
        <color rgb="FFA31515"/>
        <sz val="9"/>
      </font>
      <fill>
        <patternFill>
          <bgColor rgb="FFFBE3E3"/>
        </patternFill>
      </fill>
    </dxf>
    <dxf>
      <fill>
        <patternFill>
          <bgColor rgb="FFFBE3E3"/>
        </patternFill>
      </fill>
    </dxf>
    <dxf>
      <fill>
        <patternFill patternType="solid">
          <fgColor rgb="FFFBE3E3"/>
          <bgColor rgb="FF000000"/>
        </patternFill>
      </fill>
    </dxf>
    <dxf>
      <fill>
        <patternFill patternType="solid">
          <fgColor rgb="FFA31515"/>
          <bgColor rgb="FF000000"/>
        </patternFill>
      </fill>
    </dxf>
    <dxf>
      <fill>
        <patternFill patternType="solid">
          <fgColor rgb="FF8A5A00"/>
          <bgColor rgb="FF000000"/>
        </patternFill>
      </fill>
    </dxf>
    <dxf>
      <fill>
        <patternFill patternType="solid">
          <fgColor rgb="FFE4EEF9"/>
          <bgColor rgb="FF000000"/>
        </patternFill>
      </fill>
    </dxf>
    <dxf>
      <fill>
        <patternFill patternType="solid">
          <fgColor rgb="FFFFF2D6"/>
          <bgColor rgb="FF000000"/>
        </patternFill>
      </fill>
    </dxf>
    <dxf>
      <fill>
        <patternFill patternType="solid">
          <fgColor rgb="FF1B4F8F"/>
          <bgColor rgb="FF000000"/>
        </patternFill>
      </fill>
    </dxf>
    <dxf>
      <font>
        <name val="Arial"/>
        <charset val="1"/>
        <family val="0"/>
        <b val="1"/>
        <color rgb="FF8A5A00"/>
        <sz val="9"/>
      </font>
    </dxf>
    <dxf>
      <font>
        <name val="Arial"/>
        <charset val="1"/>
        <family val="0"/>
        <color rgb="FF8A5A00"/>
        <sz val="9"/>
      </font>
      <fill>
        <patternFill>
          <bgColor rgb="FFFFF2D6"/>
        </patternFill>
      </fill>
    </dxf>
    <dxf>
      <font>
        <name val="Arial"/>
        <charset val="1"/>
        <family val="0"/>
        <color rgb="FFA31515"/>
        <sz val="9"/>
      </font>
      <fill>
        <patternFill>
          <bgColor rgb="FFFBE3E3"/>
        </patternFill>
      </fill>
    </dxf>
  </dxfs>
  <colors>
    <indexedColors>
      <rgbColor rgb="FF000000"/>
      <rgbColor rgb="FFFFFFFF"/>
      <rgbColor rgb="FFFF0000"/>
      <rgbColor rgb="FF00FF00"/>
      <rgbColor rgb="FF0000FF"/>
      <rgbColor rgb="FFFFFF00"/>
      <rgbColor rgb="FFFF00FF"/>
      <rgbColor rgb="FF00FFFF"/>
      <rgbColor rgb="FF800000"/>
      <rgbColor rgb="FF14713A"/>
      <rgbColor rgb="FF000080"/>
      <rgbColor rgb="FF8A5A00"/>
      <rgbColor rgb="FF800080"/>
      <rgbColor rgb="FF1B7A8C"/>
      <rgbColor rgb="FFC3CED6"/>
      <rgbColor rgb="FF808080"/>
      <rgbColor rgb="FF9999FF"/>
      <rgbColor rgb="FF993366"/>
      <rgbColor rgb="FFFFF9E6"/>
      <rgbColor rgb="FFE4F3E7"/>
      <rgbColor rgb="FF660066"/>
      <rgbColor rgb="FFFF8080"/>
      <rgbColor rgb="FF0066CC"/>
      <rgbColor rgb="FFEDEFF1"/>
      <rgbColor rgb="FF000080"/>
      <rgbColor rgb="FFFF00FF"/>
      <rgbColor rgb="FFFFFF00"/>
      <rgbColor rgb="FF00FFFF"/>
      <rgbColor rgb="FF800080"/>
      <rgbColor rgb="FF800000"/>
      <rgbColor rgb="FF008080"/>
      <rgbColor rgb="FF0000FF"/>
      <rgbColor rgb="FF00CCFF"/>
      <rgbColor rgb="FFE4EEF9"/>
      <rgbColor rgb="FFD7E7EB"/>
      <rgbColor rgb="FFFFF2D6"/>
      <rgbColor rgb="FFEEF2F5"/>
      <rgbColor rgb="FFF4F8F9"/>
      <rgbColor rgb="FFCC99FF"/>
      <rgbColor rgb="FFFBE3E3"/>
      <rgbColor rgb="FF3366FF"/>
      <rgbColor rgb="FF33CCCC"/>
      <rgbColor rgb="FF99CC00"/>
      <rgbColor rgb="FFFFCC00"/>
      <rgbColor rgb="FFFF9900"/>
      <rgbColor rgb="FFFF6600"/>
      <rgbColor rgb="FF5A6B76"/>
      <rgbColor rgb="FF969696"/>
      <rgbColor rgb="FF0F3D5C"/>
      <rgbColor rgb="FF339966"/>
      <rgbColor rgb="FF003300"/>
      <rgbColor rgb="FF333300"/>
      <rgbColor rgb="FFA31515"/>
      <rgbColor rgb="FF993366"/>
      <rgbColor rgb="FF1B4F8F"/>
      <rgbColor rgb="FF1F29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9.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3D5C"/>
    <pageSetUpPr fitToPage="false"/>
  </sheetPr>
  <dimension ref="A1:I3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34"/>
    <col collapsed="false" customWidth="true" hidden="false" outlineLevel="0" max="3" min="3" style="0" width="15"/>
    <col collapsed="false" customWidth="true" hidden="false" outlineLevel="0" max="4" min="4" style="0" width="3"/>
    <col collapsed="false" customWidth="true" hidden="false" outlineLevel="0" max="5" min="5" style="0" width="34"/>
    <col collapsed="false" customWidth="true" hidden="false" outlineLevel="0" max="6" min="6" style="0" width="15"/>
    <col collapsed="false" customWidth="true" hidden="false" outlineLevel="0" max="7" min="7" style="0" width="3"/>
    <col collapsed="false" customWidth="true" hidden="false" outlineLevel="0" max="8" min="8" style="0" width="34"/>
    <col collapsed="false" customWidth="true" hidden="false" outlineLevel="0" max="9" min="9" style="0" width="15"/>
  </cols>
  <sheetData>
    <row r="1" customFormat="false" ht="30" hidden="false" customHeight="true" outlineLevel="0" collapsed="false">
      <c r="A1" s="1" t="s">
        <v>0</v>
      </c>
      <c r="B1" s="1"/>
      <c r="C1" s="1"/>
      <c r="D1" s="1"/>
      <c r="E1" s="1"/>
      <c r="F1" s="1"/>
      <c r="G1" s="1"/>
      <c r="H1" s="1"/>
      <c r="I1" s="1"/>
    </row>
    <row r="2" customFormat="false" ht="18" hidden="false" customHeight="true" outlineLevel="0" collapsed="false">
      <c r="A2" s="2" t="s">
        <v>1</v>
      </c>
      <c r="B2" s="2"/>
      <c r="C2" s="2"/>
      <c r="D2" s="2"/>
      <c r="E2" s="2"/>
      <c r="F2" s="2"/>
      <c r="G2" s="2"/>
      <c r="H2" s="2"/>
      <c r="I2" s="2"/>
    </row>
    <row r="4" customFormat="false" ht="19.5" hidden="false" customHeight="true" outlineLevel="0" collapsed="false">
      <c r="A4" s="3" t="s">
        <v>2</v>
      </c>
      <c r="B4" s="3"/>
      <c r="C4" s="3"/>
      <c r="D4" s="3"/>
      <c r="E4" s="3"/>
      <c r="F4" s="3"/>
      <c r="G4" s="3"/>
      <c r="H4" s="3"/>
      <c r="I4" s="3"/>
    </row>
    <row r="5" customFormat="false" ht="19.5" hidden="false" customHeight="true" outlineLevel="0" collapsed="false">
      <c r="B5" s="4" t="str">
        <f aca="false">HYPERLINK("#'LOTS'!A1","1. Fiches lot")</f>
        <v>1. Fiches lot</v>
      </c>
      <c r="C5" s="4"/>
      <c r="E5" s="4" t="str">
        <f aca="false">HYPERLINK("#'OPERATIONS'!A1","2. Operations de stock")</f>
        <v>2. Operations de stock</v>
      </c>
      <c r="F5" s="4"/>
      <c r="H5" s="4" t="str">
        <f aca="false">HYPERLINK("#'SOUS_TRAITANCE'!A1","3. Envois sous-traitance")</f>
        <v>3. Envois sous-traitance</v>
      </c>
      <c r="I5" s="4"/>
    </row>
    <row r="6" customFormat="false" ht="19.5" hidden="false" customHeight="true" outlineLevel="0" collapsed="false">
      <c r="B6" s="4" t="str">
        <f aca="false">HYPERLINK("#'ST_RESULTATS'!A1","4. Resultats sous-traitance")</f>
        <v>4. Resultats sous-traitance</v>
      </c>
      <c r="C6" s="4"/>
      <c r="E6" s="4" t="str">
        <f aca="false">HYPERLINK("#'QUALITE'!A1","5. Controles qualite")</f>
        <v>5. Controles qualite</v>
      </c>
      <c r="F6" s="4"/>
      <c r="H6" s="4" t="str">
        <f aca="false">HYPERLINK("#'STOCK'!A1","6. Synthese stock")</f>
        <v>6. Synthese stock</v>
      </c>
      <c r="I6" s="4"/>
    </row>
    <row r="7" customFormat="false" ht="19.5" hidden="false" customHeight="true" outlineLevel="0" collapsed="false">
      <c r="B7" s="4" t="str">
        <f aca="false">HYPERLINK("#'RECHERCHE'!A1","7. Recherche lot")</f>
        <v>7. Recherche lot</v>
      </c>
      <c r="C7" s="4"/>
      <c r="E7" s="4" t="str">
        <f aca="false">HYPERLINK("#'MOUVEMENTS'!A1","8. Grand livre")</f>
        <v>8. Grand livre</v>
      </c>
      <c r="F7" s="4"/>
      <c r="H7" s="4" t="str">
        <f aca="false">HYPERLINK("#'PARAM'!A1","9. Parametres")</f>
        <v>9. Parametres</v>
      </c>
      <c r="I7" s="4"/>
    </row>
    <row r="8" customFormat="false" ht="19.5" hidden="false" customHeight="true" outlineLevel="0" collapsed="false">
      <c r="B8" s="4" t="str">
        <f aca="false">HYPERLINK("#'GUIDE'!A1","10. Mode d'emploi")</f>
        <v>10. Mode d'emploi</v>
      </c>
      <c r="C8" s="4"/>
    </row>
    <row r="10" customFormat="false" ht="19.5" hidden="false" customHeight="true" outlineLevel="0" collapsed="false">
      <c r="A10" s="3" t="s">
        <v>3</v>
      </c>
      <c r="B10" s="3"/>
      <c r="C10" s="3"/>
      <c r="D10" s="3"/>
      <c r="E10" s="3"/>
      <c r="F10" s="3"/>
      <c r="G10" s="3"/>
      <c r="H10" s="3"/>
      <c r="I10" s="3"/>
    </row>
    <row r="11" customFormat="false" ht="21.75" hidden="false" customHeight="true" outlineLevel="0" collapsed="false">
      <c r="B11" s="5" t="s">
        <v>4</v>
      </c>
      <c r="C11" s="6" t="n">
        <f aca="false">STOCK!$D$4</f>
        <v>3090</v>
      </c>
      <c r="E11" s="5" t="s">
        <v>5</v>
      </c>
      <c r="F11" s="6" t="n">
        <f aca="false">STOCK!$D$5</f>
        <v>1350</v>
      </c>
      <c r="H11" s="5" t="s">
        <v>6</v>
      </c>
      <c r="I11" s="6" t="n">
        <f aca="false">STOCK!$D$6</f>
        <v>4440</v>
      </c>
    </row>
    <row r="12" customFormat="false" ht="21.75" hidden="false" customHeight="true" outlineLevel="0" collapsed="false">
      <c r="B12" s="5" t="s">
        <v>7</v>
      </c>
      <c r="C12" s="6" t="n">
        <f aca="false">STOCK!$D$8</f>
        <v>200</v>
      </c>
      <c r="E12" s="5" t="s">
        <v>8</v>
      </c>
      <c r="F12" s="7" t="n">
        <f aca="false">COUNTA(LOT_KEY)</f>
        <v>9</v>
      </c>
      <c r="H12" s="5" t="s">
        <v>9</v>
      </c>
      <c r="I12" s="7" t="n">
        <f aca="false">SUMPRODUCT((MVT_BRUT&lt;&gt;0)*1)</f>
        <v>14</v>
      </c>
    </row>
    <row r="14" customFormat="false" ht="19.5" hidden="false" customHeight="true" outlineLevel="0" collapsed="false">
      <c r="A14" s="3" t="s">
        <v>10</v>
      </c>
      <c r="B14" s="3"/>
      <c r="C14" s="3"/>
      <c r="D14" s="3"/>
      <c r="E14" s="3"/>
      <c r="F14" s="3"/>
      <c r="G14" s="3"/>
      <c r="H14" s="3"/>
      <c r="I14" s="3"/>
    </row>
    <row r="15" customFormat="false" ht="24" hidden="false" customHeight="true" outlineLevel="0" collapsed="false">
      <c r="B15" s="8" t="str">
        <f aca="false">IF(SUM($C$17:$C$22)=0,"INTEGRITE DES DONNEES : OK","INTEGRITE DES DONNEES : A CORRIGER")</f>
        <v>INTEGRITE DES DONNEES : A CORRIGER</v>
      </c>
      <c r="C15" s="8"/>
      <c r="E15" s="9" t="s">
        <v>11</v>
      </c>
      <c r="F15" s="9"/>
      <c r="G15" s="9"/>
      <c r="H15" s="9"/>
      <c r="I15" s="9"/>
    </row>
    <row r="17" customFormat="false" ht="15" hidden="false" customHeight="false" outlineLevel="0" collapsed="false">
      <c r="B17" s="10" t="s">
        <v>12</v>
      </c>
      <c r="C17" s="11" t="n">
        <f aca="false">COUNTIF(OPS_STATUT,"DONNEES MANQUANTES")+COUNTIF(OPS_STATUT,"STOCK INSUFFISANT")+COUNTIF(OPS_STATUT,"EMPLACEMENT INCOHERENT")</f>
        <v>1</v>
      </c>
      <c r="E17" s="3" t="s">
        <v>13</v>
      </c>
      <c r="F17" s="3"/>
      <c r="G17" s="3"/>
      <c r="H17" s="3"/>
      <c r="I17" s="3"/>
    </row>
    <row r="18" customFormat="false" ht="15" hidden="false" customHeight="false" outlineLevel="0" collapsed="false">
      <c r="B18" s="10" t="s">
        <v>14</v>
      </c>
      <c r="C18" s="11" t="n">
        <f aca="false">COUNTIF(ST_STATUT,"DONNEES MANQUANTES")+COUNTIF(ST_STATUT,"STOCK INSUFFISANT")+COUNTIF(ST_STATUT,"EMPLACEMENT INCOHERENT")+COUNTIF(ST_STATUT,"BLOQUE")</f>
        <v>0</v>
      </c>
      <c r="E18" s="12"/>
      <c r="F18" s="13" t="s">
        <v>15</v>
      </c>
      <c r="G18" s="13"/>
      <c r="H18" s="13"/>
      <c r="I18" s="13"/>
    </row>
    <row r="19" customFormat="false" ht="15" hidden="false" customHeight="false" outlineLevel="0" collapsed="false">
      <c r="B19" s="10" t="s">
        <v>16</v>
      </c>
      <c r="C19" s="11" t="n">
        <f aca="false">COUNTIF(RES_STATUT,"DONNEES MANQUANTES")+COUNTIF(RES_STATUT,"BLOQUE")</f>
        <v>0</v>
      </c>
      <c r="E19" s="14"/>
      <c r="F19" s="13" t="s">
        <v>17</v>
      </c>
      <c r="G19" s="13"/>
      <c r="H19" s="13"/>
      <c r="I19" s="13"/>
    </row>
    <row r="20" customFormat="false" ht="15" hidden="false" customHeight="false" outlineLevel="0" collapsed="false">
      <c r="B20" s="10" t="s">
        <v>18</v>
      </c>
      <c r="C20" s="11" t="n">
        <f aca="false">COUNTIF(LOT_STATUT,"INCOHERENCE")+COUNTIF(LOT_STATUT,"LOT EN DOUBLE")</f>
        <v>0</v>
      </c>
      <c r="E20" s="15"/>
      <c r="F20" s="13" t="s">
        <v>19</v>
      </c>
      <c r="G20" s="13"/>
      <c r="H20" s="13"/>
      <c r="I20" s="13"/>
    </row>
    <row r="21" customFormat="false" ht="15" hidden="false" customHeight="false" outlineLevel="0" collapsed="false">
      <c r="B21" s="10" t="s">
        <v>20</v>
      </c>
      <c r="C21" s="11" t="n">
        <f aca="false">COUNTIF(STOCK!$N$14:$N$213,"&lt;0")</f>
        <v>0</v>
      </c>
      <c r="E21" s="16"/>
      <c r="F21" s="13" t="s">
        <v>21</v>
      </c>
      <c r="G21" s="13"/>
      <c r="H21" s="13"/>
      <c r="I21" s="13"/>
    </row>
    <row r="22" customFormat="false" ht="15" hidden="false" customHeight="false" outlineLevel="0" collapsed="false">
      <c r="B22" s="10" t="s">
        <v>22</v>
      </c>
      <c r="C22" s="11" t="n">
        <f aca="false">STOCK!$D$9</f>
        <v>0</v>
      </c>
      <c r="E22" s="17"/>
      <c r="F22" s="13" t="s">
        <v>23</v>
      </c>
      <c r="G22" s="13"/>
      <c r="H22" s="13"/>
      <c r="I22" s="13"/>
    </row>
    <row r="23" customFormat="false" ht="15" hidden="false" customHeight="false" outlineLevel="0" collapsed="false">
      <c r="B23" s="18" t="s">
        <v>24</v>
      </c>
      <c r="C23" s="11" t="n">
        <f aca="false">COUNTIF(ST_STATUT,"EN COURS")</f>
        <v>1</v>
      </c>
      <c r="E23" s="19"/>
      <c r="F23" s="13" t="s">
        <v>25</v>
      </c>
      <c r="G23" s="13"/>
      <c r="H23" s="13"/>
      <c r="I23" s="13"/>
    </row>
    <row r="24" customFormat="false" ht="15" hidden="false" customHeight="false" outlineLevel="0" collapsed="false">
      <c r="B24" s="18" t="s">
        <v>26</v>
      </c>
      <c r="C24" s="11" t="n">
        <f aca="false">COUNTIF(ST_STATUT,"A JUSTIFIER")</f>
        <v>1</v>
      </c>
    </row>
    <row r="25" customFormat="false" ht="15" hidden="false" customHeight="false" outlineLevel="0" collapsed="false">
      <c r="B25" s="18" t="s">
        <v>27</v>
      </c>
      <c r="C25" s="11" t="n">
        <f aca="false">COUNTIF(QC_STATUT,"DONNEES MANQUANTES")+COUNTIF(QC_STATUT,"EMPLACEMENT INCOHERENT")</f>
        <v>1</v>
      </c>
    </row>
    <row r="26" customFormat="false" ht="15" hidden="false" customHeight="false" outlineLevel="0" collapsed="false">
      <c r="B26" s="18" t="s">
        <v>28</v>
      </c>
      <c r="C26" s="11" t="n">
        <f aca="false">COUNTIF(QC_ALERTE,"?*")</f>
        <v>2</v>
      </c>
    </row>
    <row r="27" customFormat="false" ht="15" hidden="false" customHeight="false" outlineLevel="0" collapsed="false">
      <c r="B27" s="18" t="s">
        <v>29</v>
      </c>
      <c r="C27" s="11" t="n">
        <f aca="false">SUMPRODUCT((MVT_BRUT&lt;&gt;0)*(MVT_NET=0))</f>
        <v>1</v>
      </c>
    </row>
    <row r="29" customFormat="false" ht="19.5" hidden="false" customHeight="true" outlineLevel="0" collapsed="false">
      <c r="A29" s="3" t="s">
        <v>30</v>
      </c>
      <c r="B29" s="3"/>
      <c r="C29" s="3"/>
      <c r="D29" s="3"/>
      <c r="E29" s="3"/>
      <c r="F29" s="3"/>
      <c r="G29" s="3"/>
      <c r="H29" s="3"/>
      <c r="I29" s="3"/>
    </row>
    <row r="30" customFormat="false" ht="27.75" hidden="false" customHeight="true" outlineLevel="0" collapsed="false">
      <c r="B30" s="20" t="s">
        <v>31</v>
      </c>
      <c r="C30" s="21" t="s">
        <v>32</v>
      </c>
      <c r="D30" s="21"/>
      <c r="E30" s="21"/>
      <c r="F30" s="21"/>
      <c r="G30" s="21"/>
      <c r="H30" s="21"/>
      <c r="I30" s="21"/>
    </row>
    <row r="31" customFormat="false" ht="27.75" hidden="false" customHeight="true" outlineLevel="0" collapsed="false">
      <c r="B31" s="20" t="s">
        <v>33</v>
      </c>
      <c r="C31" s="21" t="s">
        <v>34</v>
      </c>
      <c r="D31" s="21"/>
      <c r="E31" s="21"/>
      <c r="F31" s="21"/>
      <c r="G31" s="21"/>
      <c r="H31" s="21"/>
      <c r="I31" s="21"/>
    </row>
    <row r="32" customFormat="false" ht="27.75" hidden="false" customHeight="true" outlineLevel="0" collapsed="false">
      <c r="B32" s="20" t="s">
        <v>35</v>
      </c>
      <c r="C32" s="21" t="s">
        <v>36</v>
      </c>
      <c r="D32" s="21"/>
      <c r="E32" s="21"/>
      <c r="F32" s="21"/>
      <c r="G32" s="21"/>
      <c r="H32" s="21"/>
      <c r="I32" s="21"/>
    </row>
    <row r="33" customFormat="false" ht="27.75" hidden="false" customHeight="true" outlineLevel="0" collapsed="false">
      <c r="B33" s="20" t="s">
        <v>37</v>
      </c>
      <c r="C33" s="21" t="s">
        <v>38</v>
      </c>
      <c r="D33" s="21"/>
      <c r="E33" s="21"/>
      <c r="F33" s="21"/>
      <c r="G33" s="21"/>
      <c r="H33" s="21"/>
      <c r="I33" s="21"/>
    </row>
    <row r="34" customFormat="false" ht="27.75" hidden="false" customHeight="true" outlineLevel="0" collapsed="false">
      <c r="B34" s="20" t="s">
        <v>39</v>
      </c>
      <c r="C34" s="21" t="s">
        <v>40</v>
      </c>
      <c r="D34" s="21"/>
      <c r="E34" s="21"/>
      <c r="F34" s="21"/>
      <c r="G34" s="21"/>
      <c r="H34" s="21"/>
      <c r="I34" s="21"/>
    </row>
    <row r="35" customFormat="false" ht="27.75" hidden="false" customHeight="true" outlineLevel="0" collapsed="false">
      <c r="B35" s="20" t="s">
        <v>41</v>
      </c>
      <c r="C35" s="21" t="s">
        <v>42</v>
      </c>
      <c r="D35" s="21"/>
      <c r="E35" s="21"/>
      <c r="F35" s="21"/>
      <c r="G35" s="21"/>
      <c r="H35" s="21"/>
      <c r="I35" s="21"/>
    </row>
    <row r="36" customFormat="false" ht="27.75" hidden="false" customHeight="true" outlineLevel="0" collapsed="false">
      <c r="B36" s="20" t="s">
        <v>43</v>
      </c>
      <c r="C36" s="21" t="s">
        <v>44</v>
      </c>
      <c r="D36" s="21"/>
      <c r="E36" s="21"/>
      <c r="F36" s="21"/>
      <c r="G36" s="21"/>
      <c r="H36" s="21"/>
      <c r="I36" s="21"/>
    </row>
  </sheetData>
  <mergeCells count="32">
    <mergeCell ref="A1:I1"/>
    <mergeCell ref="A2:I2"/>
    <mergeCell ref="A4:I4"/>
    <mergeCell ref="B5:C5"/>
    <mergeCell ref="E5:F5"/>
    <mergeCell ref="H5:I5"/>
    <mergeCell ref="B6:C6"/>
    <mergeCell ref="E6:F6"/>
    <mergeCell ref="H6:I6"/>
    <mergeCell ref="B7:C7"/>
    <mergeCell ref="E7:F7"/>
    <mergeCell ref="H7:I7"/>
    <mergeCell ref="B8:C8"/>
    <mergeCell ref="A10:I10"/>
    <mergeCell ref="A14:I14"/>
    <mergeCell ref="B15:C15"/>
    <mergeCell ref="E15:I15"/>
    <mergeCell ref="E17:I17"/>
    <mergeCell ref="F18:I18"/>
    <mergeCell ref="F19:I19"/>
    <mergeCell ref="F20:I20"/>
    <mergeCell ref="F21:I21"/>
    <mergeCell ref="F22:I22"/>
    <mergeCell ref="F23:I23"/>
    <mergeCell ref="A29:I29"/>
    <mergeCell ref="C30:I30"/>
    <mergeCell ref="C31:I31"/>
    <mergeCell ref="C32:I32"/>
    <mergeCell ref="C33:I33"/>
    <mergeCell ref="C34:I34"/>
    <mergeCell ref="C35:I35"/>
    <mergeCell ref="C36:I36"/>
  </mergeCells>
  <conditionalFormatting sqref="B15">
    <cfRule type="expression" priority="2" aboveAverage="0" equalAverage="0" bottom="0" percent="0" rank="0" text="" dxfId="0">
      <formula>SUM($C$17:$C$22)&gt;0</formula>
    </cfRule>
  </conditionalFormatting>
  <conditionalFormatting sqref="C17">
    <cfRule type="cellIs" priority="3" operator="notEqual" aboveAverage="0" equalAverage="0" bottom="0" percent="0" rank="0" text="" dxfId="1">
      <formula>0</formula>
    </cfRule>
  </conditionalFormatting>
  <conditionalFormatting sqref="C18">
    <cfRule type="cellIs" priority="4" operator="notEqual" aboveAverage="0" equalAverage="0" bottom="0" percent="0" rank="0" text="" dxfId="1">
      <formula>0</formula>
    </cfRule>
  </conditionalFormatting>
  <conditionalFormatting sqref="C19">
    <cfRule type="cellIs" priority="5" operator="notEqual" aboveAverage="0" equalAverage="0" bottom="0" percent="0" rank="0" text="" dxfId="1">
      <formula>0</formula>
    </cfRule>
  </conditionalFormatting>
  <conditionalFormatting sqref="C20">
    <cfRule type="cellIs" priority="6" operator="notEqual" aboveAverage="0" equalAverage="0" bottom="0" percent="0" rank="0" text="" dxfId="1">
      <formula>0</formula>
    </cfRule>
  </conditionalFormatting>
  <conditionalFormatting sqref="C21">
    <cfRule type="cellIs" priority="7" operator="notEqual" aboveAverage="0" equalAverage="0" bottom="0" percent="0" rank="0" text="" dxfId="1">
      <formula>0</formula>
    </cfRule>
  </conditionalFormatting>
  <conditionalFormatting sqref="C22">
    <cfRule type="cellIs" priority="8" operator="notEqual" aboveAverage="0" equalAverage="0" bottom="0" percent="0" rank="0" text="" dxfId="1">
      <formula>0</formula>
    </cfRule>
  </conditionalFormatting>
  <conditionalFormatting sqref="C23">
    <cfRule type="cellIs" priority="9" operator="notEqual" aboveAverage="0" equalAverage="0" bottom="0" percent="0" rank="0" text="" dxfId="2">
      <formula>0</formula>
    </cfRule>
  </conditionalFormatting>
  <conditionalFormatting sqref="C24">
    <cfRule type="cellIs" priority="10" operator="notEqual" aboveAverage="0" equalAverage="0" bottom="0" percent="0" rank="0" text="" dxfId="2">
      <formula>0</formula>
    </cfRule>
  </conditionalFormatting>
  <conditionalFormatting sqref="C25">
    <cfRule type="cellIs" priority="11" operator="notEqual" aboveAverage="0" equalAverage="0" bottom="0" percent="0" rank="0" text="" dxfId="2">
      <formula>0</formula>
    </cfRule>
  </conditionalFormatting>
  <conditionalFormatting sqref="C26">
    <cfRule type="cellIs" priority="12" operator="notEqual" aboveAverage="0" equalAverage="0" bottom="0" percent="0" rank="0" text="" dxfId="2">
      <formula>0</formula>
    </cfRule>
  </conditionalFormatting>
  <conditionalFormatting sqref="C27">
    <cfRule type="cellIs" priority="13" operator="notEqual" aboveAverage="0" equalAverage="0" bottom="0" percent="0" rank="0" text="" dxfId="2">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7A8C"/>
    <pageSetUpPr fitToPage="false"/>
  </sheetPr>
  <dimension ref="A1:U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4"/>
    <col collapsed="false" customWidth="true" hidden="false" outlineLevel="0" max="2" min="2" style="0" width="16"/>
    <col collapsed="false" customWidth="true" hidden="false" outlineLevel="0" max="3" min="3" style="0" width="22"/>
    <col collapsed="false" customWidth="true" hidden="false" outlineLevel="0" max="4" min="4" style="0" width="13"/>
    <col collapsed="false" customWidth="true" hidden="false" outlineLevel="0" max="5" min="5" style="0" width="15"/>
    <col collapsed="false" customWidth="true" hidden="false" outlineLevel="0" max="7" min="6" style="0" width="13"/>
    <col collapsed="false" customWidth="true" hidden="false" outlineLevel="0" max="8" min="8" style="0" width="10"/>
    <col collapsed="false" customWidth="true" hidden="false" outlineLevel="0" max="9" min="9" style="0" width="9"/>
    <col collapsed="false" customWidth="true" hidden="false" outlineLevel="0" max="11" min="10" style="0" width="12"/>
    <col collapsed="false" customWidth="true" hidden="false" outlineLevel="0" max="12" min="12" style="0" width="30"/>
    <col collapsed="false" customWidth="true" hidden="false" outlineLevel="0" max="14" min="13" style="0" width="16"/>
    <col collapsed="false" customWidth="true" hidden="false" outlineLevel="0" max="15" min="15" style="0" width="20"/>
    <col collapsed="false" customWidth="true" hidden="false" outlineLevel="0" max="16" min="16" style="0" width="15"/>
    <col collapsed="false" customWidth="true" hidden="false" outlineLevel="0" max="17" min="17" style="0" width="16"/>
    <col collapsed="false" customWidth="true" hidden="false" outlineLevel="0" max="18" min="18" style="0" width="14"/>
    <col collapsed="false" customWidth="true" hidden="false" outlineLevel="0" max="19" min="19" style="0" width="12"/>
    <col collapsed="false" customWidth="true" hidden="false" outlineLevel="0" max="20" min="20" style="0" width="11"/>
    <col collapsed="false" customWidth="true" hidden="false" outlineLevel="0" max="21" min="21" style="0" width="20"/>
  </cols>
  <sheetData>
    <row r="1" customFormat="false" ht="30" hidden="false" customHeight="true" outlineLevel="0" collapsed="false">
      <c r="A1" s="1" t="s">
        <v>45</v>
      </c>
      <c r="B1" s="1"/>
      <c r="C1" s="1"/>
      <c r="D1" s="1"/>
      <c r="E1" s="1"/>
      <c r="F1" s="1"/>
      <c r="G1" s="1"/>
      <c r="H1" s="1"/>
      <c r="I1" s="1"/>
      <c r="J1" s="1"/>
      <c r="K1" s="1"/>
      <c r="L1" s="1"/>
      <c r="M1" s="1"/>
      <c r="N1" s="1"/>
      <c r="O1" s="1"/>
      <c r="P1" s="1"/>
    </row>
    <row r="2" customFormat="false" ht="18" hidden="false" customHeight="true" outlineLevel="0" collapsed="false">
      <c r="A2" s="2" t="s">
        <v>46</v>
      </c>
      <c r="B2" s="2"/>
      <c r="C2" s="2"/>
      <c r="D2" s="2"/>
      <c r="E2" s="2"/>
      <c r="F2" s="2"/>
      <c r="G2" s="2"/>
      <c r="H2" s="2"/>
      <c r="I2" s="2"/>
      <c r="J2" s="2"/>
      <c r="K2" s="2"/>
      <c r="L2" s="2"/>
      <c r="M2" s="2"/>
      <c r="N2" s="2"/>
      <c r="O2" s="2"/>
      <c r="P2" s="2"/>
    </row>
    <row r="3" customFormat="false" ht="19.5" hidden="false" customHeight="true" outlineLevel="0" collapsed="false">
      <c r="A3" s="3" t="s">
        <v>47</v>
      </c>
      <c r="B3" s="3"/>
      <c r="C3" s="3"/>
      <c r="D3" s="3"/>
      <c r="E3" s="3"/>
      <c r="F3" s="3"/>
      <c r="G3" s="3"/>
      <c r="H3" s="3"/>
      <c r="I3" s="3"/>
      <c r="J3" s="3"/>
      <c r="K3" s="3"/>
      <c r="L3" s="3"/>
      <c r="M3" s="3"/>
      <c r="N3" s="3"/>
      <c r="O3" s="3"/>
      <c r="P3" s="3"/>
    </row>
    <row r="4" customFormat="false" ht="30" hidden="false" customHeight="true" outlineLevel="0" collapsed="false">
      <c r="A4" s="22" t="s">
        <v>48</v>
      </c>
      <c r="B4" s="22" t="s">
        <v>49</v>
      </c>
      <c r="C4" s="22" t="s">
        <v>50</v>
      </c>
      <c r="D4" s="22" t="s">
        <v>51</v>
      </c>
      <c r="E4" s="22" t="s">
        <v>52</v>
      </c>
      <c r="F4" s="22" t="s">
        <v>53</v>
      </c>
      <c r="G4" s="22" t="s">
        <v>54</v>
      </c>
      <c r="H4" s="22" t="s">
        <v>55</v>
      </c>
      <c r="I4" s="22" t="s">
        <v>56</v>
      </c>
      <c r="J4" s="22" t="s">
        <v>57</v>
      </c>
      <c r="K4" s="22" t="s">
        <v>58</v>
      </c>
      <c r="L4" s="22" t="s">
        <v>59</v>
      </c>
      <c r="M4" s="23" t="s">
        <v>60</v>
      </c>
      <c r="N4" s="23" t="s">
        <v>61</v>
      </c>
      <c r="O4" s="23" t="s">
        <v>62</v>
      </c>
      <c r="P4" s="23" t="s">
        <v>63</v>
      </c>
      <c r="Q4" s="23" t="s">
        <v>64</v>
      </c>
      <c r="R4" s="23" t="s">
        <v>65</v>
      </c>
      <c r="S4" s="23" t="s">
        <v>66</v>
      </c>
      <c r="T4" s="23" t="s">
        <v>67</v>
      </c>
      <c r="U4" s="23" t="s">
        <v>68</v>
      </c>
    </row>
    <row r="5" customFormat="false" ht="15" hidden="false" customHeight="false" outlineLevel="0" collapsed="false">
      <c r="A5" s="24" t="s">
        <v>69</v>
      </c>
      <c r="B5" s="24" t="s">
        <v>70</v>
      </c>
      <c r="C5" s="24" t="s">
        <v>71</v>
      </c>
      <c r="D5" s="24" t="s">
        <v>72</v>
      </c>
      <c r="E5" s="24" t="s">
        <v>73</v>
      </c>
      <c r="F5" s="24" t="s">
        <v>74</v>
      </c>
      <c r="G5" s="24" t="s">
        <v>75</v>
      </c>
      <c r="H5" s="24" t="s">
        <v>76</v>
      </c>
      <c r="I5" s="24" t="s">
        <v>77</v>
      </c>
      <c r="J5" s="25" t="n">
        <v>46237</v>
      </c>
      <c r="K5" s="24"/>
      <c r="L5" s="24" t="s">
        <v>78</v>
      </c>
      <c r="M5" s="26" t="str">
        <f aca="false">IF($A5="","",IF($K5&lt;&gt;"",$K5,IF(IFERROR(INDEX(RES_LOTSRC,MATCH($A5,RES_LOTEFF,0)),"")=$A5,"",IFERROR(INDEX(RES_LOTSRC,MATCH($A5,RES_LOTEFF,0)),""))))</f>
        <v/>
      </c>
      <c r="N5" s="26" t="str">
        <f aca="false">IF($A5="","",IF($B5&lt;&gt;"",$B5,IF($M5="","",IFERROR(INDEX($B$5:$B$204,MATCH($M5,$A$5:$A$204,0)),""))))</f>
        <v>SARDINE</v>
      </c>
      <c r="O5" s="26" t="str">
        <f aca="false">IF($A5="","",IF($C5&lt;&gt;"",$C5,IF($M5="","",IFERROR(INDEX($C$5:$C$204,MATCH($M5,$A$5:$A$204,0)),""))))</f>
        <v>ATLAS PECHE SARL</v>
      </c>
      <c r="P5" s="26" t="str">
        <f aca="false">IF($A5="","",IF($D5&lt;&gt;"",$D5,IF($M5="","",IFERROR(INDEX($D$5:$D$204,MATCH($M5,$A$5:$A$204,0)),""))))</f>
        <v>AGADIR</v>
      </c>
      <c r="Q5" s="26" t="str">
        <f aca="false">IF($A5="","",IF($G5&lt;&gt;"",$G5,IF($M5="","",IFERROR(INDEX($G$5:$G$204,MATCH($M5,$A$5:$A$204,0)),""))))</f>
        <v>CONGELE</v>
      </c>
      <c r="R5" s="27" t="n">
        <f aca="false">IF($A5="","",SUMIFS(MVT_NET,MVT_LOT,$A5))</f>
        <v>500</v>
      </c>
      <c r="S5" s="28" t="n">
        <f aca="false">IF($A5="","",COUNTIFS(MVT_LOT,$A5,MVT_BRUT,"&lt;&gt;0"))</f>
        <v>2</v>
      </c>
      <c r="T5" s="28" t="n">
        <f aca="false">IF($A5="","",COUNTIFS(QC_LOT,$A5))</f>
        <v>1</v>
      </c>
      <c r="U5" s="26" t="str">
        <f aca="false">IF($A5="","",IF(COUNTIF($A$5:$A$204,$A5)&gt;1,IF(SUMPRODUCT(($A$5:$A$204=$A5)*(($B$5:$B$204&lt;&gt;$B5)+($C$5:$C$204&lt;&gt;$C5)))&gt;0,"INCOHERENCE","LOT EN DOUBLE"),"OK"))</f>
        <v>OK</v>
      </c>
    </row>
    <row r="6" customFormat="false" ht="15" hidden="false" customHeight="false" outlineLevel="0" collapsed="false">
      <c r="A6" s="24" t="s">
        <v>79</v>
      </c>
      <c r="B6" s="24" t="s">
        <v>80</v>
      </c>
      <c r="C6" s="24" t="s">
        <v>81</v>
      </c>
      <c r="D6" s="24" t="s">
        <v>82</v>
      </c>
      <c r="E6" s="24" t="s">
        <v>83</v>
      </c>
      <c r="F6" s="24" t="s">
        <v>74</v>
      </c>
      <c r="G6" s="24" t="s">
        <v>75</v>
      </c>
      <c r="H6" s="24" t="s">
        <v>84</v>
      </c>
      <c r="I6" s="24" t="s">
        <v>85</v>
      </c>
      <c r="J6" s="25" t="n">
        <v>46238</v>
      </c>
      <c r="K6" s="24"/>
      <c r="L6" s="24" t="s">
        <v>86</v>
      </c>
      <c r="M6" s="26" t="str">
        <f aca="false">IF($A6="","",IF($K6&lt;&gt;"",$K6,IF(IFERROR(INDEX(RES_LOTSRC,MATCH($A6,RES_LOTEFF,0)),"")=$A6,"",IFERROR(INDEX(RES_LOTSRC,MATCH($A6,RES_LOTEFF,0)),""))))</f>
        <v/>
      </c>
      <c r="N6" s="26" t="str">
        <f aca="false">IF($A6="","",IF($B6&lt;&gt;"",$B6,IF($M6="","",IFERROR(INDEX($B$5:$B$204,MATCH($M6,$A$5:$A$204,0)),""))))</f>
        <v>MAQUEREAU</v>
      </c>
      <c r="O6" s="26" t="str">
        <f aca="false">IF($A6="","",IF($C6&lt;&gt;"",$C6,IF($M6="","",IFERROR(INDEX($C$5:$C$204,MATCH($M6,$A$5:$A$204,0)),""))))</f>
        <v>SOCIETE MARSA</v>
      </c>
      <c r="P6" s="26" t="str">
        <f aca="false">IF($A6="","",IF($D6&lt;&gt;"",$D6,IF($M6="","",IFERROR(INDEX($D$5:$D$204,MATCH($M6,$A$5:$A$204,0)),""))))</f>
        <v>LAAYOUNE</v>
      </c>
      <c r="Q6" s="26" t="str">
        <f aca="false">IF($A6="","",IF($G6&lt;&gt;"",$G6,IF($M6="","",IFERROR(INDEX($G$5:$G$204,MATCH($M6,$A$5:$A$204,0)),""))))</f>
        <v>CONGELE</v>
      </c>
      <c r="R6" s="27" t="n">
        <f aca="false">IF($A6="","",SUMIFS(MVT_NET,MVT_LOT,$A6))</f>
        <v>2000</v>
      </c>
      <c r="S6" s="28" t="n">
        <f aca="false">IF($A6="","",COUNTIFS(MVT_LOT,$A6,MVT_BRUT,"&lt;&gt;0"))</f>
        <v>3</v>
      </c>
      <c r="T6" s="28" t="n">
        <f aca="false">IF($A6="","",COUNTIFS(QC_LOT,$A6))</f>
        <v>1</v>
      </c>
      <c r="U6" s="26" t="str">
        <f aca="false">IF($A6="","",IF(COUNTIF($A$5:$A$204,$A6)&gt;1,IF(SUMPRODUCT(($A$5:$A$204=$A6)*(($B$5:$B$204&lt;&gt;$B6)+($C$5:$C$204&lt;&gt;$C6)))&gt;0,"INCOHERENCE","LOT EN DOUBLE"),"OK"))</f>
        <v>OK</v>
      </c>
    </row>
    <row r="7" customFormat="false" ht="15" hidden="false" customHeight="false" outlineLevel="0" collapsed="false">
      <c r="A7" s="24" t="s">
        <v>87</v>
      </c>
      <c r="B7" s="24" t="s">
        <v>70</v>
      </c>
      <c r="C7" s="24" t="s">
        <v>71</v>
      </c>
      <c r="D7" s="24" t="s">
        <v>72</v>
      </c>
      <c r="E7" s="24" t="s">
        <v>88</v>
      </c>
      <c r="F7" s="24" t="s">
        <v>74</v>
      </c>
      <c r="G7" s="24" t="s">
        <v>89</v>
      </c>
      <c r="H7" s="24" t="s">
        <v>76</v>
      </c>
      <c r="I7" s="24" t="s">
        <v>90</v>
      </c>
      <c r="J7" s="25" t="n">
        <v>46239</v>
      </c>
      <c r="K7" s="24"/>
      <c r="L7" s="24" t="s">
        <v>91</v>
      </c>
      <c r="M7" s="26" t="str">
        <f aca="false">IF($A7="","",IF($K7&lt;&gt;"",$K7,IF(IFERROR(INDEX(RES_LOTSRC,MATCH($A7,RES_LOTEFF,0)),"")=$A7,"",IFERROR(INDEX(RES_LOTSRC,MATCH($A7,RES_LOTEFF,0)),""))))</f>
        <v/>
      </c>
      <c r="N7" s="26" t="str">
        <f aca="false">IF($A7="","",IF($B7&lt;&gt;"",$B7,IF($M7="","",IFERROR(INDEX($B$5:$B$204,MATCH($M7,$A$5:$A$204,0)),""))))</f>
        <v>SARDINE</v>
      </c>
      <c r="O7" s="26" t="str">
        <f aca="false">IF($A7="","",IF($C7&lt;&gt;"",$C7,IF($M7="","",IFERROR(INDEX($C$5:$C$204,MATCH($M7,$A$5:$A$204,0)),""))))</f>
        <v>ATLAS PECHE SARL</v>
      </c>
      <c r="P7" s="26" t="str">
        <f aca="false">IF($A7="","",IF($D7&lt;&gt;"",$D7,IF($M7="","",IFERROR(INDEX($D$5:$D$204,MATCH($M7,$A$5:$A$204,0)),""))))</f>
        <v>AGADIR</v>
      </c>
      <c r="Q7" s="26" t="str">
        <f aca="false">IF($A7="","",IF($G7&lt;&gt;"",$G7,IF($M7="","",IFERROR(INDEX($G$5:$G$204,MATCH($M7,$A$5:$A$204,0)),""))))</f>
        <v>FRAIS</v>
      </c>
      <c r="R7" s="27" t="n">
        <f aca="false">IF($A7="","",SUMIFS(MVT_NET,MVT_LOT,$A7))</f>
        <v>500</v>
      </c>
      <c r="S7" s="28" t="n">
        <f aca="false">IF($A7="","",COUNTIFS(MVT_LOT,$A7,MVT_BRUT,"&lt;&gt;0"))</f>
        <v>2</v>
      </c>
      <c r="T7" s="28" t="n">
        <f aca="false">IF($A7="","",COUNTIFS(QC_LOT,$A7))</f>
        <v>1</v>
      </c>
      <c r="U7" s="26" t="str">
        <f aca="false">IF($A7="","",IF(COUNTIF($A$5:$A$204,$A7)&gt;1,IF(SUMPRODUCT(($A$5:$A$204=$A7)*(($B$5:$B$204&lt;&gt;$B7)+($C$5:$C$204&lt;&gt;$C7)))&gt;0,"INCOHERENCE","LOT EN DOUBLE"),"OK"))</f>
        <v>OK</v>
      </c>
    </row>
    <row r="8" customFormat="false" ht="15" hidden="false" customHeight="false" outlineLevel="0" collapsed="false">
      <c r="A8" s="24" t="s">
        <v>92</v>
      </c>
      <c r="B8" s="24" t="s">
        <v>70</v>
      </c>
      <c r="C8" s="24" t="s">
        <v>71</v>
      </c>
      <c r="D8" s="24" t="s">
        <v>72</v>
      </c>
      <c r="E8" s="24" t="s">
        <v>93</v>
      </c>
      <c r="F8" s="24" t="s">
        <v>74</v>
      </c>
      <c r="G8" s="24" t="s">
        <v>75</v>
      </c>
      <c r="H8" s="24" t="s">
        <v>84</v>
      </c>
      <c r="I8" s="24" t="s">
        <v>77</v>
      </c>
      <c r="J8" s="25" t="n">
        <v>46240</v>
      </c>
      <c r="K8" s="24"/>
      <c r="L8" s="24" t="s">
        <v>94</v>
      </c>
      <c r="M8" s="26" t="str">
        <f aca="false">IF($A8="","",IF($K8&lt;&gt;"",$K8,IF(IFERROR(INDEX(RES_LOTSRC,MATCH($A8,RES_LOTEFF,0)),"")=$A8,"",IFERROR(INDEX(RES_LOTSRC,MATCH($A8,RES_LOTEFF,0)),""))))</f>
        <v/>
      </c>
      <c r="N8" s="26" t="str">
        <f aca="false">IF($A8="","",IF($B8&lt;&gt;"",$B8,IF($M8="","",IFERROR(INDEX($B$5:$B$204,MATCH($M8,$A$5:$A$204,0)),""))))</f>
        <v>SARDINE</v>
      </c>
      <c r="O8" s="26" t="str">
        <f aca="false">IF($A8="","",IF($C8&lt;&gt;"",$C8,IF($M8="","",IFERROR(INDEX($C$5:$C$204,MATCH($M8,$A$5:$A$204,0)),""))))</f>
        <v>ATLAS PECHE SARL</v>
      </c>
      <c r="P8" s="26" t="str">
        <f aca="false">IF($A8="","",IF($D8&lt;&gt;"",$D8,IF($M8="","",IFERROR(INDEX($D$5:$D$204,MATCH($M8,$A$5:$A$204,0)),""))))</f>
        <v>AGADIR</v>
      </c>
      <c r="Q8" s="26" t="str">
        <f aca="false">IF($A8="","",IF($G8&lt;&gt;"",$G8,IF($M8="","",IFERROR(INDEX($G$5:$G$204,MATCH($M8,$A$5:$A$204,0)),""))))</f>
        <v>CONGELE</v>
      </c>
      <c r="R8" s="27" t="n">
        <f aca="false">IF($A8="","",SUMIFS(MVT_NET,MVT_LOT,$A8))</f>
        <v>200</v>
      </c>
      <c r="S8" s="28" t="n">
        <f aca="false">IF($A8="","",COUNTIFS(MVT_LOT,$A8,MVT_BRUT,"&lt;&gt;0"))</f>
        <v>2</v>
      </c>
      <c r="T8" s="28" t="n">
        <f aca="false">IF($A8="","",COUNTIFS(QC_LOT,$A8))</f>
        <v>0</v>
      </c>
      <c r="U8" s="26" t="str">
        <f aca="false">IF($A8="","",IF(COUNTIF($A$5:$A$204,$A8)&gt;1,IF(SUMPRODUCT(($A$5:$A$204=$A8)*(($B$5:$B$204&lt;&gt;$B8)+($C$5:$C$204&lt;&gt;$C8)))&gt;0,"INCOHERENCE","LOT EN DOUBLE"),"OK"))</f>
        <v>OK</v>
      </c>
    </row>
    <row r="9" customFormat="false" ht="15" hidden="false" customHeight="false" outlineLevel="0" collapsed="false">
      <c r="A9" s="24" t="s">
        <v>95</v>
      </c>
      <c r="B9" s="24" t="s">
        <v>96</v>
      </c>
      <c r="C9" s="24" t="s">
        <v>97</v>
      </c>
      <c r="D9" s="24" t="s">
        <v>98</v>
      </c>
      <c r="E9" s="24" t="s">
        <v>99</v>
      </c>
      <c r="F9" s="24" t="s">
        <v>74</v>
      </c>
      <c r="G9" s="24" t="s">
        <v>100</v>
      </c>
      <c r="H9" s="24" t="s">
        <v>76</v>
      </c>
      <c r="I9" s="24" t="s">
        <v>90</v>
      </c>
      <c r="J9" s="25" t="n">
        <v>46241</v>
      </c>
      <c r="K9" s="24"/>
      <c r="L9" s="24" t="s">
        <v>101</v>
      </c>
      <c r="M9" s="26" t="str">
        <f aca="false">IF($A9="","",IF($K9&lt;&gt;"",$K9,IF(IFERROR(INDEX(RES_LOTSRC,MATCH($A9,RES_LOTEFF,0)),"")=$A9,"",IFERROR(INDEX(RES_LOTSRC,MATCH($A9,RES_LOTEFF,0)),""))))</f>
        <v/>
      </c>
      <c r="N9" s="26" t="str">
        <f aca="false">IF($A9="","",IF($B9&lt;&gt;"",$B9,IF($M9="","",IFERROR(INDEX($B$5:$B$204,MATCH($M9,$A$5:$A$204,0)),""))))</f>
        <v>ANCHOIS</v>
      </c>
      <c r="O9" s="26" t="str">
        <f aca="false">IF($A9="","",IF($C9&lt;&gt;"",$C9,IF($M9="","",IFERROR(INDEX($C$5:$C$204,MATCH($M9,$A$5:$A$204,0)),""))))</f>
        <v>PECHE SUD</v>
      </c>
      <c r="P9" s="26" t="str">
        <f aca="false">IF($A9="","",IF($D9&lt;&gt;"",$D9,IF($M9="","",IFERROR(INDEX($D$5:$D$204,MATCH($M9,$A$5:$A$204,0)),""))))</f>
        <v>DAKHLA</v>
      </c>
      <c r="Q9" s="26" t="str">
        <f aca="false">IF($A9="","",IF($G9&lt;&gt;"",$G9,IF($M9="","",IFERROR(INDEX($G$5:$G$204,MATCH($M9,$A$5:$A$204,0)),""))))</f>
        <v>SAUMURE</v>
      </c>
      <c r="R9" s="27" t="n">
        <f aca="false">IF($A9="","",SUMIFS(MVT_NET,MVT_LOT,$A9))</f>
        <v>0</v>
      </c>
      <c r="S9" s="28" t="n">
        <f aca="false">IF($A9="","",COUNTIFS(MVT_LOT,$A9,MVT_BRUT,"&lt;&gt;0"))</f>
        <v>0</v>
      </c>
      <c r="T9" s="28" t="n">
        <f aca="false">IF($A9="","",COUNTIFS(QC_LOT,$A9))</f>
        <v>0</v>
      </c>
      <c r="U9" s="26" t="str">
        <f aca="false">IF($A9="","",IF(COUNTIF($A$5:$A$204,$A9)&gt;1,IF(SUMPRODUCT(($A$5:$A$204=$A9)*(($B$5:$B$204&lt;&gt;$B9)+($C$5:$C$204&lt;&gt;$C9)))&gt;0,"INCOHERENCE","LOT EN DOUBLE"),"OK"))</f>
        <v>OK</v>
      </c>
    </row>
    <row r="10" customFormat="false" ht="15" hidden="false" customHeight="false" outlineLevel="0" collapsed="false">
      <c r="A10" s="24" t="s">
        <v>102</v>
      </c>
      <c r="B10" s="24" t="s">
        <v>80</v>
      </c>
      <c r="C10" s="24" t="s">
        <v>81</v>
      </c>
      <c r="D10" s="24" t="s">
        <v>82</v>
      </c>
      <c r="E10" s="24" t="s">
        <v>103</v>
      </c>
      <c r="F10" s="24" t="s">
        <v>74</v>
      </c>
      <c r="G10" s="24" t="s">
        <v>75</v>
      </c>
      <c r="H10" s="24" t="s">
        <v>76</v>
      </c>
      <c r="I10" s="24" t="s">
        <v>85</v>
      </c>
      <c r="J10" s="25" t="n">
        <v>46244</v>
      </c>
      <c r="K10" s="24"/>
      <c r="L10" s="24" t="s">
        <v>104</v>
      </c>
      <c r="M10" s="26" t="str">
        <f aca="false">IF($A10="","",IF($K10&lt;&gt;"",$K10,IF(IFERROR(INDEX(RES_LOTSRC,MATCH($A10,RES_LOTEFF,0)),"")=$A10,"",IFERROR(INDEX(RES_LOTSRC,MATCH($A10,RES_LOTEFF,0)),""))))</f>
        <v/>
      </c>
      <c r="N10" s="26" t="str">
        <f aca="false">IF($A10="","",IF($B10&lt;&gt;"",$B10,IF($M10="","",IFERROR(INDEX($B$5:$B$204,MATCH($M10,$A$5:$A$204,0)),""))))</f>
        <v>MAQUEREAU</v>
      </c>
      <c r="O10" s="26" t="str">
        <f aca="false">IF($A10="","",IF($C10&lt;&gt;"",$C10,IF($M10="","",IFERROR(INDEX($C$5:$C$204,MATCH($M10,$A$5:$A$204,0)),""))))</f>
        <v>SOCIETE MARSA</v>
      </c>
      <c r="P10" s="26" t="str">
        <f aca="false">IF($A10="","",IF($D10&lt;&gt;"",$D10,IF($M10="","",IFERROR(INDEX($D$5:$D$204,MATCH($M10,$A$5:$A$204,0)),""))))</f>
        <v>LAAYOUNE</v>
      </c>
      <c r="Q10" s="26" t="str">
        <f aca="false">IF($A10="","",IF($G10&lt;&gt;"",$G10,IF($M10="","",IFERROR(INDEX($G$5:$G$204,MATCH($M10,$A$5:$A$204,0)),""))))</f>
        <v>CONGELE</v>
      </c>
      <c r="R10" s="27" t="n">
        <f aca="false">IF($A10="","",SUMIFS(MVT_NET,MVT_LOT,$A10))</f>
        <v>200</v>
      </c>
      <c r="S10" s="28" t="n">
        <f aca="false">IF($A10="","",COUNTIFS(MVT_LOT,$A10,MVT_BRUT,"&lt;&gt;0"))</f>
        <v>2</v>
      </c>
      <c r="T10" s="28" t="n">
        <f aca="false">IF($A10="","",COUNTIFS(QC_LOT,$A10))</f>
        <v>0</v>
      </c>
      <c r="U10" s="26" t="str">
        <f aca="false">IF($A10="","",IF(COUNTIF($A$5:$A$204,$A10)&gt;1,IF(SUMPRODUCT(($A$5:$A$204=$A10)*(($B$5:$B$204&lt;&gt;$B10)+($C$5:$C$204&lt;&gt;$C10)))&gt;0,"INCOHERENCE","LOT EN DOUBLE"),"OK"))</f>
        <v>OK</v>
      </c>
    </row>
    <row r="11" customFormat="false" ht="15" hidden="false" customHeight="false" outlineLevel="0" collapsed="false">
      <c r="A11" s="24" t="s">
        <v>105</v>
      </c>
      <c r="B11" s="24"/>
      <c r="C11" s="24"/>
      <c r="D11" s="24"/>
      <c r="E11" s="24"/>
      <c r="F11" s="24" t="s">
        <v>106</v>
      </c>
      <c r="G11" s="24" t="s">
        <v>75</v>
      </c>
      <c r="H11" s="24" t="s">
        <v>76</v>
      </c>
      <c r="I11" s="24" t="s">
        <v>77</v>
      </c>
      <c r="J11" s="25" t="n">
        <v>46248</v>
      </c>
      <c r="K11" s="24" t="s">
        <v>69</v>
      </c>
      <c r="L11" s="24" t="s">
        <v>107</v>
      </c>
      <c r="M11" s="26" t="str">
        <f aca="false">IF($A11="","",IF($K11&lt;&gt;"",$K11,IF(IFERROR(INDEX(RES_LOTSRC,MATCH($A11,RES_LOTEFF,0)),"")=$A11,"",IFERROR(INDEX(RES_LOTSRC,MATCH($A11,RES_LOTEFF,0)),""))))</f>
        <v>255</v>
      </c>
      <c r="N11" s="26" t="str">
        <f aca="false">IF($A11="","",IF($B11&lt;&gt;"",$B11,IF($M11="","",IFERROR(INDEX($B$5:$B$204,MATCH($M11,$A$5:$A$204,0)),""))))</f>
        <v>SARDINE</v>
      </c>
      <c r="O11" s="26" t="str">
        <f aca="false">IF($A11="","",IF($C11&lt;&gt;"",$C11,IF($M11="","",IFERROR(INDEX($C$5:$C$204,MATCH($M11,$A$5:$A$204,0)),""))))</f>
        <v>ATLAS PECHE SARL</v>
      </c>
      <c r="P11" s="26" t="str">
        <f aca="false">IF($A11="","",IF($D11&lt;&gt;"",$D11,IF($M11="","",IFERROR(INDEX($D$5:$D$204,MATCH($M11,$A$5:$A$204,0)),""))))</f>
        <v>AGADIR</v>
      </c>
      <c r="Q11" s="26" t="str">
        <f aca="false">IF($A11="","",IF($G11&lt;&gt;"",$G11,IF($M11="","",IFERROR(INDEX($G$5:$G$204,MATCH($M11,$A$5:$A$204,0)),""))))</f>
        <v>CONGELE</v>
      </c>
      <c r="R11" s="27" t="n">
        <f aca="false">IF($A11="","",SUMIFS(MVT_NET,MVT_LOT,$A11))</f>
        <v>300</v>
      </c>
      <c r="S11" s="28" t="n">
        <f aca="false">IF($A11="","",COUNTIFS(MVT_LOT,$A11,MVT_BRUT,"&lt;&gt;0"))</f>
        <v>1</v>
      </c>
      <c r="T11" s="28" t="n">
        <f aca="false">IF($A11="","",COUNTIFS(QC_LOT,$A11))</f>
        <v>0</v>
      </c>
      <c r="U11" s="26" t="str">
        <f aca="false">IF($A11="","",IF(COUNTIF($A$5:$A$204,$A11)&gt;1,IF(SUMPRODUCT(($A$5:$A$204=$A11)*(($B$5:$B$204&lt;&gt;$B11)+($C$5:$C$204&lt;&gt;$C11)))&gt;0,"INCOHERENCE","LOT EN DOUBLE"),"OK"))</f>
        <v>OK</v>
      </c>
    </row>
    <row r="12" customFormat="false" ht="15" hidden="false" customHeight="false" outlineLevel="0" collapsed="false">
      <c r="A12" s="24" t="s">
        <v>108</v>
      </c>
      <c r="B12" s="24"/>
      <c r="C12" s="24"/>
      <c r="D12" s="24"/>
      <c r="E12" s="24"/>
      <c r="F12" s="24" t="s">
        <v>109</v>
      </c>
      <c r="G12" s="24" t="s">
        <v>75</v>
      </c>
      <c r="H12" s="24" t="s">
        <v>84</v>
      </c>
      <c r="I12" s="24" t="s">
        <v>85</v>
      </c>
      <c r="J12" s="25" t="n">
        <v>46248</v>
      </c>
      <c r="K12" s="24" t="s">
        <v>69</v>
      </c>
      <c r="L12" s="24" t="s">
        <v>110</v>
      </c>
      <c r="M12" s="26" t="str">
        <f aca="false">IF($A12="","",IF($K12&lt;&gt;"",$K12,IF(IFERROR(INDEX(RES_LOTSRC,MATCH($A12,RES_LOTEFF,0)),"")=$A12,"",IFERROR(INDEX(RES_LOTSRC,MATCH($A12,RES_LOTEFF,0)),""))))</f>
        <v>255</v>
      </c>
      <c r="N12" s="26" t="str">
        <f aca="false">IF($A12="","",IF($B12&lt;&gt;"",$B12,IF($M12="","",IFERROR(INDEX($B$5:$B$204,MATCH($M12,$A$5:$A$204,0)),""))))</f>
        <v>SARDINE</v>
      </c>
      <c r="O12" s="26" t="str">
        <f aca="false">IF($A12="","",IF($C12&lt;&gt;"",$C12,IF($M12="","",IFERROR(INDEX($C$5:$C$204,MATCH($M12,$A$5:$A$204,0)),""))))</f>
        <v>ATLAS PECHE SARL</v>
      </c>
      <c r="P12" s="26" t="str">
        <f aca="false">IF($A12="","",IF($D12&lt;&gt;"",$D12,IF($M12="","",IFERROR(INDEX($D$5:$D$204,MATCH($M12,$A$5:$A$204,0)),""))))</f>
        <v>AGADIR</v>
      </c>
      <c r="Q12" s="26" t="str">
        <f aca="false">IF($A12="","",IF($G12&lt;&gt;"",$G12,IF($M12="","",IFERROR(INDEX($G$5:$G$204,MATCH($M12,$A$5:$A$204,0)),""))))</f>
        <v>CONGELE</v>
      </c>
      <c r="R12" s="27" t="n">
        <f aca="false">IF($A12="","",SUMIFS(MVT_NET,MVT_LOT,$A12))</f>
        <v>150</v>
      </c>
      <c r="S12" s="28" t="n">
        <f aca="false">IF($A12="","",COUNTIFS(MVT_LOT,$A12,MVT_BRUT,"&lt;&gt;0"))</f>
        <v>1</v>
      </c>
      <c r="T12" s="28" t="n">
        <f aca="false">IF($A12="","",COUNTIFS(QC_LOT,$A12))</f>
        <v>0</v>
      </c>
      <c r="U12" s="26" t="str">
        <f aca="false">IF($A12="","",IF(COUNTIF($A$5:$A$204,$A12)&gt;1,IF(SUMPRODUCT(($A$5:$A$204=$A12)*(($B$5:$B$204&lt;&gt;$B12)+($C$5:$C$204&lt;&gt;$C12)))&gt;0,"INCOHERENCE","LOT EN DOUBLE"),"OK"))</f>
        <v>OK</v>
      </c>
    </row>
    <row r="13" customFormat="false" ht="15" hidden="false" customHeight="false" outlineLevel="0" collapsed="false">
      <c r="A13" s="24" t="s">
        <v>111</v>
      </c>
      <c r="B13" s="24"/>
      <c r="C13" s="24"/>
      <c r="D13" s="24"/>
      <c r="E13" s="24"/>
      <c r="F13" s="24" t="s">
        <v>112</v>
      </c>
      <c r="G13" s="24" t="s">
        <v>100</v>
      </c>
      <c r="H13" s="24" t="s">
        <v>76</v>
      </c>
      <c r="I13" s="24" t="s">
        <v>90</v>
      </c>
      <c r="J13" s="25" t="n">
        <v>46247</v>
      </c>
      <c r="K13" s="24" t="s">
        <v>95</v>
      </c>
      <c r="L13" s="24" t="s">
        <v>113</v>
      </c>
      <c r="M13" s="26" t="str">
        <f aca="false">IF($A13="","",IF($K13&lt;&gt;"",$K13,IF(IFERROR(INDEX(RES_LOTSRC,MATCH($A13,RES_LOTEFF,0)),"")=$A13,"",IFERROR(INDEX(RES_LOTSRC,MATCH($A13,RES_LOTEFF,0)),""))))</f>
        <v>300</v>
      </c>
      <c r="N13" s="26" t="str">
        <f aca="false">IF($A13="","",IF($B13&lt;&gt;"",$B13,IF($M13="","",IFERROR(INDEX($B$5:$B$204,MATCH($M13,$A$5:$A$204,0)),""))))</f>
        <v>ANCHOIS</v>
      </c>
      <c r="O13" s="26" t="str">
        <f aca="false">IF($A13="","",IF($C13&lt;&gt;"",$C13,IF($M13="","",IFERROR(INDEX($C$5:$C$204,MATCH($M13,$A$5:$A$204,0)),""))))</f>
        <v>PECHE SUD</v>
      </c>
      <c r="P13" s="26" t="str">
        <f aca="false">IF($A13="","",IF($D13&lt;&gt;"",$D13,IF($M13="","",IFERROR(INDEX($D$5:$D$204,MATCH($M13,$A$5:$A$204,0)),""))))</f>
        <v>DAKHLA</v>
      </c>
      <c r="Q13" s="26" t="str">
        <f aca="false">IF($A13="","",IF($G13&lt;&gt;"",$G13,IF($M13="","",IFERROR(INDEX($G$5:$G$204,MATCH($M13,$A$5:$A$204,0)),""))))</f>
        <v>SAUMURE</v>
      </c>
      <c r="R13" s="27" t="n">
        <f aca="false">IF($A13="","",SUMIFS(MVT_NET,MVT_LOT,$A13))</f>
        <v>590</v>
      </c>
      <c r="S13" s="28" t="n">
        <f aca="false">IF($A13="","",COUNTIFS(MVT_LOT,$A13,MVT_BRUT,"&lt;&gt;0"))</f>
        <v>1</v>
      </c>
      <c r="T13" s="28" t="n">
        <f aca="false">IF($A13="","",COUNTIFS(QC_LOT,$A13))</f>
        <v>0</v>
      </c>
      <c r="U13" s="26" t="str">
        <f aca="false">IF($A13="","",IF(COUNTIF($A$5:$A$204,$A13)&gt;1,IF(SUMPRODUCT(($A$5:$A$204=$A13)*(($B$5:$B$204&lt;&gt;$B13)+($C$5:$C$204&lt;&gt;$C13)))&gt;0,"INCOHERENCE","LOT EN DOUBLE"),"OK"))</f>
        <v>OK</v>
      </c>
    </row>
    <row r="14" customFormat="false" ht="15" hidden="false" customHeight="false" outlineLevel="0" collapsed="false">
      <c r="A14" s="24"/>
      <c r="B14" s="24"/>
      <c r="C14" s="24"/>
      <c r="D14" s="24"/>
      <c r="E14" s="24"/>
      <c r="F14" s="24"/>
      <c r="G14" s="24"/>
      <c r="H14" s="24"/>
      <c r="I14" s="24"/>
      <c r="J14" s="25"/>
      <c r="K14" s="24"/>
      <c r="L14" s="24"/>
      <c r="M14" s="26" t="str">
        <f aca="false">IF($A14="","",IF($K14&lt;&gt;"",$K14,IF(IFERROR(INDEX(RES_LOTSRC,MATCH($A14,RES_LOTEFF,0)),"")=$A14,"",IFERROR(INDEX(RES_LOTSRC,MATCH($A14,RES_LOTEFF,0)),""))))</f>
        <v/>
      </c>
      <c r="N14" s="26" t="str">
        <f aca="false">IF($A14="","",IF($B14&lt;&gt;"",$B14,IF($M14="","",IFERROR(INDEX($B$5:$B$204,MATCH($M14,$A$5:$A$204,0)),""))))</f>
        <v/>
      </c>
      <c r="O14" s="26" t="str">
        <f aca="false">IF($A14="","",IF($C14&lt;&gt;"",$C14,IF($M14="","",IFERROR(INDEX($C$5:$C$204,MATCH($M14,$A$5:$A$204,0)),""))))</f>
        <v/>
      </c>
      <c r="P14" s="26" t="str">
        <f aca="false">IF($A14="","",IF($D14&lt;&gt;"",$D14,IF($M14="","",IFERROR(INDEX($D$5:$D$204,MATCH($M14,$A$5:$A$204,0)),""))))</f>
        <v/>
      </c>
      <c r="Q14" s="26" t="str">
        <f aca="false">IF($A14="","",IF($G14&lt;&gt;"",$G14,IF($M14="","",IFERROR(INDEX($G$5:$G$204,MATCH($M14,$A$5:$A$204,0)),""))))</f>
        <v/>
      </c>
      <c r="R14" s="27" t="str">
        <f aca="false">IF($A14="","",SUMIFS(MVT_NET,MVT_LOT,$A14))</f>
        <v/>
      </c>
      <c r="S14" s="28" t="str">
        <f aca="false">IF($A14="","",COUNTIFS(MVT_LOT,$A14,MVT_BRUT,"&lt;&gt;0"))</f>
        <v/>
      </c>
      <c r="T14" s="28" t="str">
        <f aca="false">IF($A14="","",COUNTIFS(QC_LOT,$A14))</f>
        <v/>
      </c>
      <c r="U14" s="26" t="str">
        <f aca="false">IF($A14="","",IF(COUNTIF($A$5:$A$204,$A14)&gt;1,IF(SUMPRODUCT(($A$5:$A$204=$A14)*(($B$5:$B$204&lt;&gt;$B14)+($C$5:$C$204&lt;&gt;$C14)))&gt;0,"INCOHERENCE","LOT EN DOUBLE"),"OK"))</f>
        <v/>
      </c>
    </row>
    <row r="15" customFormat="false" ht="15" hidden="false" customHeight="false" outlineLevel="0" collapsed="false">
      <c r="A15" s="24"/>
      <c r="B15" s="24"/>
      <c r="C15" s="24"/>
      <c r="D15" s="24"/>
      <c r="E15" s="24"/>
      <c r="F15" s="24"/>
      <c r="G15" s="24"/>
      <c r="H15" s="24"/>
      <c r="I15" s="24"/>
      <c r="J15" s="25"/>
      <c r="K15" s="24"/>
      <c r="L15" s="24"/>
      <c r="M15" s="26" t="str">
        <f aca="false">IF($A15="","",IF($K15&lt;&gt;"",$K15,IF(IFERROR(INDEX(RES_LOTSRC,MATCH($A15,RES_LOTEFF,0)),"")=$A15,"",IFERROR(INDEX(RES_LOTSRC,MATCH($A15,RES_LOTEFF,0)),""))))</f>
        <v/>
      </c>
      <c r="N15" s="26" t="str">
        <f aca="false">IF($A15="","",IF($B15&lt;&gt;"",$B15,IF($M15="","",IFERROR(INDEX($B$5:$B$204,MATCH($M15,$A$5:$A$204,0)),""))))</f>
        <v/>
      </c>
      <c r="O15" s="26" t="str">
        <f aca="false">IF($A15="","",IF($C15&lt;&gt;"",$C15,IF($M15="","",IFERROR(INDEX($C$5:$C$204,MATCH($M15,$A$5:$A$204,0)),""))))</f>
        <v/>
      </c>
      <c r="P15" s="26" t="str">
        <f aca="false">IF($A15="","",IF($D15&lt;&gt;"",$D15,IF($M15="","",IFERROR(INDEX($D$5:$D$204,MATCH($M15,$A$5:$A$204,0)),""))))</f>
        <v/>
      </c>
      <c r="Q15" s="26" t="str">
        <f aca="false">IF($A15="","",IF($G15&lt;&gt;"",$G15,IF($M15="","",IFERROR(INDEX($G$5:$G$204,MATCH($M15,$A$5:$A$204,0)),""))))</f>
        <v/>
      </c>
      <c r="R15" s="27" t="str">
        <f aca="false">IF($A15="","",SUMIFS(MVT_NET,MVT_LOT,$A15))</f>
        <v/>
      </c>
      <c r="S15" s="28" t="str">
        <f aca="false">IF($A15="","",COUNTIFS(MVT_LOT,$A15,MVT_BRUT,"&lt;&gt;0"))</f>
        <v/>
      </c>
      <c r="T15" s="28" t="str">
        <f aca="false">IF($A15="","",COUNTIFS(QC_LOT,$A15))</f>
        <v/>
      </c>
      <c r="U15" s="26" t="str">
        <f aca="false">IF($A15="","",IF(COUNTIF($A$5:$A$204,$A15)&gt;1,IF(SUMPRODUCT(($A$5:$A$204=$A15)*(($B$5:$B$204&lt;&gt;$B15)+($C$5:$C$204&lt;&gt;$C15)))&gt;0,"INCOHERENCE","LOT EN DOUBLE"),"OK"))</f>
        <v/>
      </c>
    </row>
    <row r="16" customFormat="false" ht="15" hidden="false" customHeight="false" outlineLevel="0" collapsed="false">
      <c r="A16" s="24"/>
      <c r="B16" s="24"/>
      <c r="C16" s="24"/>
      <c r="D16" s="24"/>
      <c r="E16" s="24"/>
      <c r="F16" s="24"/>
      <c r="G16" s="24"/>
      <c r="H16" s="24"/>
      <c r="I16" s="24"/>
      <c r="J16" s="25"/>
      <c r="K16" s="24"/>
      <c r="L16" s="24"/>
      <c r="M16" s="26" t="str">
        <f aca="false">IF($A16="","",IF($K16&lt;&gt;"",$K16,IF(IFERROR(INDEX(RES_LOTSRC,MATCH($A16,RES_LOTEFF,0)),"")=$A16,"",IFERROR(INDEX(RES_LOTSRC,MATCH($A16,RES_LOTEFF,0)),""))))</f>
        <v/>
      </c>
      <c r="N16" s="26" t="str">
        <f aca="false">IF($A16="","",IF($B16&lt;&gt;"",$B16,IF($M16="","",IFERROR(INDEX($B$5:$B$204,MATCH($M16,$A$5:$A$204,0)),""))))</f>
        <v/>
      </c>
      <c r="O16" s="26" t="str">
        <f aca="false">IF($A16="","",IF($C16&lt;&gt;"",$C16,IF($M16="","",IFERROR(INDEX($C$5:$C$204,MATCH($M16,$A$5:$A$204,0)),""))))</f>
        <v/>
      </c>
      <c r="P16" s="26" t="str">
        <f aca="false">IF($A16="","",IF($D16&lt;&gt;"",$D16,IF($M16="","",IFERROR(INDEX($D$5:$D$204,MATCH($M16,$A$5:$A$204,0)),""))))</f>
        <v/>
      </c>
      <c r="Q16" s="26" t="str">
        <f aca="false">IF($A16="","",IF($G16&lt;&gt;"",$G16,IF($M16="","",IFERROR(INDEX($G$5:$G$204,MATCH($M16,$A$5:$A$204,0)),""))))</f>
        <v/>
      </c>
      <c r="R16" s="27" t="str">
        <f aca="false">IF($A16="","",SUMIFS(MVT_NET,MVT_LOT,$A16))</f>
        <v/>
      </c>
      <c r="S16" s="28" t="str">
        <f aca="false">IF($A16="","",COUNTIFS(MVT_LOT,$A16,MVT_BRUT,"&lt;&gt;0"))</f>
        <v/>
      </c>
      <c r="T16" s="28" t="str">
        <f aca="false">IF($A16="","",COUNTIFS(QC_LOT,$A16))</f>
        <v/>
      </c>
      <c r="U16" s="26" t="str">
        <f aca="false">IF($A16="","",IF(COUNTIF($A$5:$A$204,$A16)&gt;1,IF(SUMPRODUCT(($A$5:$A$204=$A16)*(($B$5:$B$204&lt;&gt;$B16)+($C$5:$C$204&lt;&gt;$C16)))&gt;0,"INCOHERENCE","LOT EN DOUBLE"),"OK"))</f>
        <v/>
      </c>
    </row>
    <row r="17" customFormat="false" ht="15" hidden="false" customHeight="false" outlineLevel="0" collapsed="false">
      <c r="A17" s="24"/>
      <c r="B17" s="24"/>
      <c r="C17" s="24"/>
      <c r="D17" s="24"/>
      <c r="E17" s="24"/>
      <c r="F17" s="24"/>
      <c r="G17" s="24"/>
      <c r="H17" s="24"/>
      <c r="I17" s="24"/>
      <c r="J17" s="25"/>
      <c r="K17" s="24"/>
      <c r="L17" s="24"/>
      <c r="M17" s="26" t="str">
        <f aca="false">IF($A17="","",IF($K17&lt;&gt;"",$K17,IF(IFERROR(INDEX(RES_LOTSRC,MATCH($A17,RES_LOTEFF,0)),"")=$A17,"",IFERROR(INDEX(RES_LOTSRC,MATCH($A17,RES_LOTEFF,0)),""))))</f>
        <v/>
      </c>
      <c r="N17" s="26" t="str">
        <f aca="false">IF($A17="","",IF($B17&lt;&gt;"",$B17,IF($M17="","",IFERROR(INDEX($B$5:$B$204,MATCH($M17,$A$5:$A$204,0)),""))))</f>
        <v/>
      </c>
      <c r="O17" s="26" t="str">
        <f aca="false">IF($A17="","",IF($C17&lt;&gt;"",$C17,IF($M17="","",IFERROR(INDEX($C$5:$C$204,MATCH($M17,$A$5:$A$204,0)),""))))</f>
        <v/>
      </c>
      <c r="P17" s="26" t="str">
        <f aca="false">IF($A17="","",IF($D17&lt;&gt;"",$D17,IF($M17="","",IFERROR(INDEX($D$5:$D$204,MATCH($M17,$A$5:$A$204,0)),""))))</f>
        <v/>
      </c>
      <c r="Q17" s="26" t="str">
        <f aca="false">IF($A17="","",IF($G17&lt;&gt;"",$G17,IF($M17="","",IFERROR(INDEX($G$5:$G$204,MATCH($M17,$A$5:$A$204,0)),""))))</f>
        <v/>
      </c>
      <c r="R17" s="27" t="str">
        <f aca="false">IF($A17="","",SUMIFS(MVT_NET,MVT_LOT,$A17))</f>
        <v/>
      </c>
      <c r="S17" s="28" t="str">
        <f aca="false">IF($A17="","",COUNTIFS(MVT_LOT,$A17,MVT_BRUT,"&lt;&gt;0"))</f>
        <v/>
      </c>
      <c r="T17" s="28" t="str">
        <f aca="false">IF($A17="","",COUNTIFS(QC_LOT,$A17))</f>
        <v/>
      </c>
      <c r="U17" s="26" t="str">
        <f aca="false">IF($A17="","",IF(COUNTIF($A$5:$A$204,$A17)&gt;1,IF(SUMPRODUCT(($A$5:$A$204=$A17)*(($B$5:$B$204&lt;&gt;$B17)+($C$5:$C$204&lt;&gt;$C17)))&gt;0,"INCOHERENCE","LOT EN DOUBLE"),"OK"))</f>
        <v/>
      </c>
    </row>
    <row r="18" customFormat="false" ht="15" hidden="false" customHeight="false" outlineLevel="0" collapsed="false">
      <c r="A18" s="24"/>
      <c r="B18" s="24"/>
      <c r="C18" s="24"/>
      <c r="D18" s="24"/>
      <c r="E18" s="24"/>
      <c r="F18" s="24"/>
      <c r="G18" s="24"/>
      <c r="H18" s="24"/>
      <c r="I18" s="24"/>
      <c r="J18" s="25"/>
      <c r="K18" s="24"/>
      <c r="L18" s="24"/>
      <c r="M18" s="26" t="str">
        <f aca="false">IF($A18="","",IF($K18&lt;&gt;"",$K18,IF(IFERROR(INDEX(RES_LOTSRC,MATCH($A18,RES_LOTEFF,0)),"")=$A18,"",IFERROR(INDEX(RES_LOTSRC,MATCH($A18,RES_LOTEFF,0)),""))))</f>
        <v/>
      </c>
      <c r="N18" s="26" t="str">
        <f aca="false">IF($A18="","",IF($B18&lt;&gt;"",$B18,IF($M18="","",IFERROR(INDEX($B$5:$B$204,MATCH($M18,$A$5:$A$204,0)),""))))</f>
        <v/>
      </c>
      <c r="O18" s="26" t="str">
        <f aca="false">IF($A18="","",IF($C18&lt;&gt;"",$C18,IF($M18="","",IFERROR(INDEX($C$5:$C$204,MATCH($M18,$A$5:$A$204,0)),""))))</f>
        <v/>
      </c>
      <c r="P18" s="26" t="str">
        <f aca="false">IF($A18="","",IF($D18&lt;&gt;"",$D18,IF($M18="","",IFERROR(INDEX($D$5:$D$204,MATCH($M18,$A$5:$A$204,0)),""))))</f>
        <v/>
      </c>
      <c r="Q18" s="26" t="str">
        <f aca="false">IF($A18="","",IF($G18&lt;&gt;"",$G18,IF($M18="","",IFERROR(INDEX($G$5:$G$204,MATCH($M18,$A$5:$A$204,0)),""))))</f>
        <v/>
      </c>
      <c r="R18" s="27" t="str">
        <f aca="false">IF($A18="","",SUMIFS(MVT_NET,MVT_LOT,$A18))</f>
        <v/>
      </c>
      <c r="S18" s="28" t="str">
        <f aca="false">IF($A18="","",COUNTIFS(MVT_LOT,$A18,MVT_BRUT,"&lt;&gt;0"))</f>
        <v/>
      </c>
      <c r="T18" s="28" t="str">
        <f aca="false">IF($A18="","",COUNTIFS(QC_LOT,$A18))</f>
        <v/>
      </c>
      <c r="U18" s="26" t="str">
        <f aca="false">IF($A18="","",IF(COUNTIF($A$5:$A$204,$A18)&gt;1,IF(SUMPRODUCT(($A$5:$A$204=$A18)*(($B$5:$B$204&lt;&gt;$B18)+($C$5:$C$204&lt;&gt;$C18)))&gt;0,"INCOHERENCE","LOT EN DOUBLE"),"OK"))</f>
        <v/>
      </c>
    </row>
    <row r="19" customFormat="false" ht="15" hidden="false" customHeight="false" outlineLevel="0" collapsed="false">
      <c r="A19" s="24"/>
      <c r="B19" s="24"/>
      <c r="C19" s="24"/>
      <c r="D19" s="24"/>
      <c r="E19" s="24"/>
      <c r="F19" s="24"/>
      <c r="G19" s="24"/>
      <c r="H19" s="24"/>
      <c r="I19" s="24"/>
      <c r="J19" s="25"/>
      <c r="K19" s="24"/>
      <c r="L19" s="24"/>
      <c r="M19" s="26" t="str">
        <f aca="false">IF($A19="","",IF($K19&lt;&gt;"",$K19,IF(IFERROR(INDEX(RES_LOTSRC,MATCH($A19,RES_LOTEFF,0)),"")=$A19,"",IFERROR(INDEX(RES_LOTSRC,MATCH($A19,RES_LOTEFF,0)),""))))</f>
        <v/>
      </c>
      <c r="N19" s="26" t="str">
        <f aca="false">IF($A19="","",IF($B19&lt;&gt;"",$B19,IF($M19="","",IFERROR(INDEX($B$5:$B$204,MATCH($M19,$A$5:$A$204,0)),""))))</f>
        <v/>
      </c>
      <c r="O19" s="26" t="str">
        <f aca="false">IF($A19="","",IF($C19&lt;&gt;"",$C19,IF($M19="","",IFERROR(INDEX($C$5:$C$204,MATCH($M19,$A$5:$A$204,0)),""))))</f>
        <v/>
      </c>
      <c r="P19" s="26" t="str">
        <f aca="false">IF($A19="","",IF($D19&lt;&gt;"",$D19,IF($M19="","",IFERROR(INDEX($D$5:$D$204,MATCH($M19,$A$5:$A$204,0)),""))))</f>
        <v/>
      </c>
      <c r="Q19" s="26" t="str">
        <f aca="false">IF($A19="","",IF($G19&lt;&gt;"",$G19,IF($M19="","",IFERROR(INDEX($G$5:$G$204,MATCH($M19,$A$5:$A$204,0)),""))))</f>
        <v/>
      </c>
      <c r="R19" s="27" t="str">
        <f aca="false">IF($A19="","",SUMIFS(MVT_NET,MVT_LOT,$A19))</f>
        <v/>
      </c>
      <c r="S19" s="28" t="str">
        <f aca="false">IF($A19="","",COUNTIFS(MVT_LOT,$A19,MVT_BRUT,"&lt;&gt;0"))</f>
        <v/>
      </c>
      <c r="T19" s="28" t="str">
        <f aca="false">IF($A19="","",COUNTIFS(QC_LOT,$A19))</f>
        <v/>
      </c>
      <c r="U19" s="26" t="str">
        <f aca="false">IF($A19="","",IF(COUNTIF($A$5:$A$204,$A19)&gt;1,IF(SUMPRODUCT(($A$5:$A$204=$A19)*(($B$5:$B$204&lt;&gt;$B19)+($C$5:$C$204&lt;&gt;$C19)))&gt;0,"INCOHERENCE","LOT EN DOUBLE"),"OK"))</f>
        <v/>
      </c>
    </row>
    <row r="20" customFormat="false" ht="15" hidden="false" customHeight="false" outlineLevel="0" collapsed="false">
      <c r="A20" s="24"/>
      <c r="B20" s="24"/>
      <c r="C20" s="24"/>
      <c r="D20" s="24"/>
      <c r="E20" s="24"/>
      <c r="F20" s="24"/>
      <c r="G20" s="24"/>
      <c r="H20" s="24"/>
      <c r="I20" s="24"/>
      <c r="J20" s="25"/>
      <c r="K20" s="24"/>
      <c r="L20" s="24"/>
      <c r="M20" s="26" t="str">
        <f aca="false">IF($A20="","",IF($K20&lt;&gt;"",$K20,IF(IFERROR(INDEX(RES_LOTSRC,MATCH($A20,RES_LOTEFF,0)),"")=$A20,"",IFERROR(INDEX(RES_LOTSRC,MATCH($A20,RES_LOTEFF,0)),""))))</f>
        <v/>
      </c>
      <c r="N20" s="26" t="str">
        <f aca="false">IF($A20="","",IF($B20&lt;&gt;"",$B20,IF($M20="","",IFERROR(INDEX($B$5:$B$204,MATCH($M20,$A$5:$A$204,0)),""))))</f>
        <v/>
      </c>
      <c r="O20" s="26" t="str">
        <f aca="false">IF($A20="","",IF($C20&lt;&gt;"",$C20,IF($M20="","",IFERROR(INDEX($C$5:$C$204,MATCH($M20,$A$5:$A$204,0)),""))))</f>
        <v/>
      </c>
      <c r="P20" s="26" t="str">
        <f aca="false">IF($A20="","",IF($D20&lt;&gt;"",$D20,IF($M20="","",IFERROR(INDEX($D$5:$D$204,MATCH($M20,$A$5:$A$204,0)),""))))</f>
        <v/>
      </c>
      <c r="Q20" s="26" t="str">
        <f aca="false">IF($A20="","",IF($G20&lt;&gt;"",$G20,IF($M20="","",IFERROR(INDEX($G$5:$G$204,MATCH($M20,$A$5:$A$204,0)),""))))</f>
        <v/>
      </c>
      <c r="R20" s="27" t="str">
        <f aca="false">IF($A20="","",SUMIFS(MVT_NET,MVT_LOT,$A20))</f>
        <v/>
      </c>
      <c r="S20" s="28" t="str">
        <f aca="false">IF($A20="","",COUNTIFS(MVT_LOT,$A20,MVT_BRUT,"&lt;&gt;0"))</f>
        <v/>
      </c>
      <c r="T20" s="28" t="str">
        <f aca="false">IF($A20="","",COUNTIFS(QC_LOT,$A20))</f>
        <v/>
      </c>
      <c r="U20" s="26" t="str">
        <f aca="false">IF($A20="","",IF(COUNTIF($A$5:$A$204,$A20)&gt;1,IF(SUMPRODUCT(($A$5:$A$204=$A20)*(($B$5:$B$204&lt;&gt;$B20)+($C$5:$C$204&lt;&gt;$C20)))&gt;0,"INCOHERENCE","LOT EN DOUBLE"),"OK"))</f>
        <v/>
      </c>
    </row>
    <row r="21" customFormat="false" ht="15" hidden="false" customHeight="false" outlineLevel="0" collapsed="false">
      <c r="A21" s="24"/>
      <c r="B21" s="24"/>
      <c r="C21" s="24"/>
      <c r="D21" s="24"/>
      <c r="E21" s="24"/>
      <c r="F21" s="24"/>
      <c r="G21" s="24"/>
      <c r="H21" s="24"/>
      <c r="I21" s="24"/>
      <c r="J21" s="25"/>
      <c r="K21" s="24"/>
      <c r="L21" s="24"/>
      <c r="M21" s="26" t="str">
        <f aca="false">IF($A21="","",IF($K21&lt;&gt;"",$K21,IF(IFERROR(INDEX(RES_LOTSRC,MATCH($A21,RES_LOTEFF,0)),"")=$A21,"",IFERROR(INDEX(RES_LOTSRC,MATCH($A21,RES_LOTEFF,0)),""))))</f>
        <v/>
      </c>
      <c r="N21" s="26" t="str">
        <f aca="false">IF($A21="","",IF($B21&lt;&gt;"",$B21,IF($M21="","",IFERROR(INDEX($B$5:$B$204,MATCH($M21,$A$5:$A$204,0)),""))))</f>
        <v/>
      </c>
      <c r="O21" s="26" t="str">
        <f aca="false">IF($A21="","",IF($C21&lt;&gt;"",$C21,IF($M21="","",IFERROR(INDEX($C$5:$C$204,MATCH($M21,$A$5:$A$204,0)),""))))</f>
        <v/>
      </c>
      <c r="P21" s="26" t="str">
        <f aca="false">IF($A21="","",IF($D21&lt;&gt;"",$D21,IF($M21="","",IFERROR(INDEX($D$5:$D$204,MATCH($M21,$A$5:$A$204,0)),""))))</f>
        <v/>
      </c>
      <c r="Q21" s="26" t="str">
        <f aca="false">IF($A21="","",IF($G21&lt;&gt;"",$G21,IF($M21="","",IFERROR(INDEX($G$5:$G$204,MATCH($M21,$A$5:$A$204,0)),""))))</f>
        <v/>
      </c>
      <c r="R21" s="27" t="str">
        <f aca="false">IF($A21="","",SUMIFS(MVT_NET,MVT_LOT,$A21))</f>
        <v/>
      </c>
      <c r="S21" s="28" t="str">
        <f aca="false">IF($A21="","",COUNTIFS(MVT_LOT,$A21,MVT_BRUT,"&lt;&gt;0"))</f>
        <v/>
      </c>
      <c r="T21" s="28" t="str">
        <f aca="false">IF($A21="","",COUNTIFS(QC_LOT,$A21))</f>
        <v/>
      </c>
      <c r="U21" s="26" t="str">
        <f aca="false">IF($A21="","",IF(COUNTIF($A$5:$A$204,$A21)&gt;1,IF(SUMPRODUCT(($A$5:$A$204=$A21)*(($B$5:$B$204&lt;&gt;$B21)+($C$5:$C$204&lt;&gt;$C21)))&gt;0,"INCOHERENCE","LOT EN DOUBLE"),"OK"))</f>
        <v/>
      </c>
    </row>
    <row r="22" customFormat="false" ht="15" hidden="false" customHeight="false" outlineLevel="0" collapsed="false">
      <c r="A22" s="24"/>
      <c r="B22" s="24"/>
      <c r="C22" s="24"/>
      <c r="D22" s="24"/>
      <c r="E22" s="24"/>
      <c r="F22" s="24"/>
      <c r="G22" s="24"/>
      <c r="H22" s="24"/>
      <c r="I22" s="24"/>
      <c r="J22" s="25"/>
      <c r="K22" s="24"/>
      <c r="L22" s="24"/>
      <c r="M22" s="26" t="str">
        <f aca="false">IF($A22="","",IF($K22&lt;&gt;"",$K22,IF(IFERROR(INDEX(RES_LOTSRC,MATCH($A22,RES_LOTEFF,0)),"")=$A22,"",IFERROR(INDEX(RES_LOTSRC,MATCH($A22,RES_LOTEFF,0)),""))))</f>
        <v/>
      </c>
      <c r="N22" s="26" t="str">
        <f aca="false">IF($A22="","",IF($B22&lt;&gt;"",$B22,IF($M22="","",IFERROR(INDEX($B$5:$B$204,MATCH($M22,$A$5:$A$204,0)),""))))</f>
        <v/>
      </c>
      <c r="O22" s="26" t="str">
        <f aca="false">IF($A22="","",IF($C22&lt;&gt;"",$C22,IF($M22="","",IFERROR(INDEX($C$5:$C$204,MATCH($M22,$A$5:$A$204,0)),""))))</f>
        <v/>
      </c>
      <c r="P22" s="26" t="str">
        <f aca="false">IF($A22="","",IF($D22&lt;&gt;"",$D22,IF($M22="","",IFERROR(INDEX($D$5:$D$204,MATCH($M22,$A$5:$A$204,0)),""))))</f>
        <v/>
      </c>
      <c r="Q22" s="26" t="str">
        <f aca="false">IF($A22="","",IF($G22&lt;&gt;"",$G22,IF($M22="","",IFERROR(INDEX($G$5:$G$204,MATCH($M22,$A$5:$A$204,0)),""))))</f>
        <v/>
      </c>
      <c r="R22" s="27" t="str">
        <f aca="false">IF($A22="","",SUMIFS(MVT_NET,MVT_LOT,$A22))</f>
        <v/>
      </c>
      <c r="S22" s="28" t="str">
        <f aca="false">IF($A22="","",COUNTIFS(MVT_LOT,$A22,MVT_BRUT,"&lt;&gt;0"))</f>
        <v/>
      </c>
      <c r="T22" s="28" t="str">
        <f aca="false">IF($A22="","",COUNTIFS(QC_LOT,$A22))</f>
        <v/>
      </c>
      <c r="U22" s="26" t="str">
        <f aca="false">IF($A22="","",IF(COUNTIF($A$5:$A$204,$A22)&gt;1,IF(SUMPRODUCT(($A$5:$A$204=$A22)*(($B$5:$B$204&lt;&gt;$B22)+($C$5:$C$204&lt;&gt;$C22)))&gt;0,"INCOHERENCE","LOT EN DOUBLE"),"OK"))</f>
        <v/>
      </c>
    </row>
    <row r="23" customFormat="false" ht="15" hidden="false" customHeight="false" outlineLevel="0" collapsed="false">
      <c r="A23" s="24"/>
      <c r="B23" s="24"/>
      <c r="C23" s="24"/>
      <c r="D23" s="24"/>
      <c r="E23" s="24"/>
      <c r="F23" s="24"/>
      <c r="G23" s="24"/>
      <c r="H23" s="24"/>
      <c r="I23" s="24"/>
      <c r="J23" s="25"/>
      <c r="K23" s="24"/>
      <c r="L23" s="24"/>
      <c r="M23" s="26" t="str">
        <f aca="false">IF($A23="","",IF($K23&lt;&gt;"",$K23,IF(IFERROR(INDEX(RES_LOTSRC,MATCH($A23,RES_LOTEFF,0)),"")=$A23,"",IFERROR(INDEX(RES_LOTSRC,MATCH($A23,RES_LOTEFF,0)),""))))</f>
        <v/>
      </c>
      <c r="N23" s="26" t="str">
        <f aca="false">IF($A23="","",IF($B23&lt;&gt;"",$B23,IF($M23="","",IFERROR(INDEX($B$5:$B$204,MATCH($M23,$A$5:$A$204,0)),""))))</f>
        <v/>
      </c>
      <c r="O23" s="26" t="str">
        <f aca="false">IF($A23="","",IF($C23&lt;&gt;"",$C23,IF($M23="","",IFERROR(INDEX($C$5:$C$204,MATCH($M23,$A$5:$A$204,0)),""))))</f>
        <v/>
      </c>
      <c r="P23" s="26" t="str">
        <f aca="false">IF($A23="","",IF($D23&lt;&gt;"",$D23,IF($M23="","",IFERROR(INDEX($D$5:$D$204,MATCH($M23,$A$5:$A$204,0)),""))))</f>
        <v/>
      </c>
      <c r="Q23" s="26" t="str">
        <f aca="false">IF($A23="","",IF($G23&lt;&gt;"",$G23,IF($M23="","",IFERROR(INDEX($G$5:$G$204,MATCH($M23,$A$5:$A$204,0)),""))))</f>
        <v/>
      </c>
      <c r="R23" s="27" t="str">
        <f aca="false">IF($A23="","",SUMIFS(MVT_NET,MVT_LOT,$A23))</f>
        <v/>
      </c>
      <c r="S23" s="28" t="str">
        <f aca="false">IF($A23="","",COUNTIFS(MVT_LOT,$A23,MVT_BRUT,"&lt;&gt;0"))</f>
        <v/>
      </c>
      <c r="T23" s="28" t="str">
        <f aca="false">IF($A23="","",COUNTIFS(QC_LOT,$A23))</f>
        <v/>
      </c>
      <c r="U23" s="26" t="str">
        <f aca="false">IF($A23="","",IF(COUNTIF($A$5:$A$204,$A23)&gt;1,IF(SUMPRODUCT(($A$5:$A$204=$A23)*(($B$5:$B$204&lt;&gt;$B23)+($C$5:$C$204&lt;&gt;$C23)))&gt;0,"INCOHERENCE","LOT EN DOUBLE"),"OK"))</f>
        <v/>
      </c>
    </row>
    <row r="24" customFormat="false" ht="15" hidden="false" customHeight="false" outlineLevel="0" collapsed="false">
      <c r="A24" s="24"/>
      <c r="B24" s="24"/>
      <c r="C24" s="24"/>
      <c r="D24" s="24"/>
      <c r="E24" s="24"/>
      <c r="F24" s="24"/>
      <c r="G24" s="24"/>
      <c r="H24" s="24"/>
      <c r="I24" s="24"/>
      <c r="J24" s="25"/>
      <c r="K24" s="24"/>
      <c r="L24" s="24"/>
      <c r="M24" s="26" t="str">
        <f aca="false">IF($A24="","",IF($K24&lt;&gt;"",$K24,IF(IFERROR(INDEX(RES_LOTSRC,MATCH($A24,RES_LOTEFF,0)),"")=$A24,"",IFERROR(INDEX(RES_LOTSRC,MATCH($A24,RES_LOTEFF,0)),""))))</f>
        <v/>
      </c>
      <c r="N24" s="26" t="str">
        <f aca="false">IF($A24="","",IF($B24&lt;&gt;"",$B24,IF($M24="","",IFERROR(INDEX($B$5:$B$204,MATCH($M24,$A$5:$A$204,0)),""))))</f>
        <v/>
      </c>
      <c r="O24" s="26" t="str">
        <f aca="false">IF($A24="","",IF($C24&lt;&gt;"",$C24,IF($M24="","",IFERROR(INDEX($C$5:$C$204,MATCH($M24,$A$5:$A$204,0)),""))))</f>
        <v/>
      </c>
      <c r="P24" s="26" t="str">
        <f aca="false">IF($A24="","",IF($D24&lt;&gt;"",$D24,IF($M24="","",IFERROR(INDEX($D$5:$D$204,MATCH($M24,$A$5:$A$204,0)),""))))</f>
        <v/>
      </c>
      <c r="Q24" s="26" t="str">
        <f aca="false">IF($A24="","",IF($G24&lt;&gt;"",$G24,IF($M24="","",IFERROR(INDEX($G$5:$G$204,MATCH($M24,$A$5:$A$204,0)),""))))</f>
        <v/>
      </c>
      <c r="R24" s="27" t="str">
        <f aca="false">IF($A24="","",SUMIFS(MVT_NET,MVT_LOT,$A24))</f>
        <v/>
      </c>
      <c r="S24" s="28" t="str">
        <f aca="false">IF($A24="","",COUNTIFS(MVT_LOT,$A24,MVT_BRUT,"&lt;&gt;0"))</f>
        <v/>
      </c>
      <c r="T24" s="28" t="str">
        <f aca="false">IF($A24="","",COUNTIFS(QC_LOT,$A24))</f>
        <v/>
      </c>
      <c r="U24" s="26" t="str">
        <f aca="false">IF($A24="","",IF(COUNTIF($A$5:$A$204,$A24)&gt;1,IF(SUMPRODUCT(($A$5:$A$204=$A24)*(($B$5:$B$204&lt;&gt;$B24)+($C$5:$C$204&lt;&gt;$C24)))&gt;0,"INCOHERENCE","LOT EN DOUBLE"),"OK"))</f>
        <v/>
      </c>
    </row>
    <row r="25" customFormat="false" ht="15" hidden="false" customHeight="false" outlineLevel="0" collapsed="false">
      <c r="A25" s="24"/>
      <c r="B25" s="24"/>
      <c r="C25" s="24"/>
      <c r="D25" s="24"/>
      <c r="E25" s="24"/>
      <c r="F25" s="24"/>
      <c r="G25" s="24"/>
      <c r="H25" s="24"/>
      <c r="I25" s="24"/>
      <c r="J25" s="25"/>
      <c r="K25" s="24"/>
      <c r="L25" s="24"/>
      <c r="M25" s="26" t="str">
        <f aca="false">IF($A25="","",IF($K25&lt;&gt;"",$K25,IF(IFERROR(INDEX(RES_LOTSRC,MATCH($A25,RES_LOTEFF,0)),"")=$A25,"",IFERROR(INDEX(RES_LOTSRC,MATCH($A25,RES_LOTEFF,0)),""))))</f>
        <v/>
      </c>
      <c r="N25" s="26" t="str">
        <f aca="false">IF($A25="","",IF($B25&lt;&gt;"",$B25,IF($M25="","",IFERROR(INDEX($B$5:$B$204,MATCH($M25,$A$5:$A$204,0)),""))))</f>
        <v/>
      </c>
      <c r="O25" s="26" t="str">
        <f aca="false">IF($A25="","",IF($C25&lt;&gt;"",$C25,IF($M25="","",IFERROR(INDEX($C$5:$C$204,MATCH($M25,$A$5:$A$204,0)),""))))</f>
        <v/>
      </c>
      <c r="P25" s="26" t="str">
        <f aca="false">IF($A25="","",IF($D25&lt;&gt;"",$D25,IF($M25="","",IFERROR(INDEX($D$5:$D$204,MATCH($M25,$A$5:$A$204,0)),""))))</f>
        <v/>
      </c>
      <c r="Q25" s="26" t="str">
        <f aca="false">IF($A25="","",IF($G25&lt;&gt;"",$G25,IF($M25="","",IFERROR(INDEX($G$5:$G$204,MATCH($M25,$A$5:$A$204,0)),""))))</f>
        <v/>
      </c>
      <c r="R25" s="27" t="str">
        <f aca="false">IF($A25="","",SUMIFS(MVT_NET,MVT_LOT,$A25))</f>
        <v/>
      </c>
      <c r="S25" s="28" t="str">
        <f aca="false">IF($A25="","",COUNTIFS(MVT_LOT,$A25,MVT_BRUT,"&lt;&gt;0"))</f>
        <v/>
      </c>
      <c r="T25" s="28" t="str">
        <f aca="false">IF($A25="","",COUNTIFS(QC_LOT,$A25))</f>
        <v/>
      </c>
      <c r="U25" s="26" t="str">
        <f aca="false">IF($A25="","",IF(COUNTIF($A$5:$A$204,$A25)&gt;1,IF(SUMPRODUCT(($A$5:$A$204=$A25)*(($B$5:$B$204&lt;&gt;$B25)+($C$5:$C$204&lt;&gt;$C25)))&gt;0,"INCOHERENCE","LOT EN DOUBLE"),"OK"))</f>
        <v/>
      </c>
    </row>
    <row r="26" customFormat="false" ht="15" hidden="false" customHeight="false" outlineLevel="0" collapsed="false">
      <c r="A26" s="24"/>
      <c r="B26" s="24"/>
      <c r="C26" s="24"/>
      <c r="D26" s="24"/>
      <c r="E26" s="24"/>
      <c r="F26" s="24"/>
      <c r="G26" s="24"/>
      <c r="H26" s="24"/>
      <c r="I26" s="24"/>
      <c r="J26" s="25"/>
      <c r="K26" s="24"/>
      <c r="L26" s="24"/>
      <c r="M26" s="26" t="str">
        <f aca="false">IF($A26="","",IF($K26&lt;&gt;"",$K26,IF(IFERROR(INDEX(RES_LOTSRC,MATCH($A26,RES_LOTEFF,0)),"")=$A26,"",IFERROR(INDEX(RES_LOTSRC,MATCH($A26,RES_LOTEFF,0)),""))))</f>
        <v/>
      </c>
      <c r="N26" s="26" t="str">
        <f aca="false">IF($A26="","",IF($B26&lt;&gt;"",$B26,IF($M26="","",IFERROR(INDEX($B$5:$B$204,MATCH($M26,$A$5:$A$204,0)),""))))</f>
        <v/>
      </c>
      <c r="O26" s="26" t="str">
        <f aca="false">IF($A26="","",IF($C26&lt;&gt;"",$C26,IF($M26="","",IFERROR(INDEX($C$5:$C$204,MATCH($M26,$A$5:$A$204,0)),""))))</f>
        <v/>
      </c>
      <c r="P26" s="26" t="str">
        <f aca="false">IF($A26="","",IF($D26&lt;&gt;"",$D26,IF($M26="","",IFERROR(INDEX($D$5:$D$204,MATCH($M26,$A$5:$A$204,0)),""))))</f>
        <v/>
      </c>
      <c r="Q26" s="26" t="str">
        <f aca="false">IF($A26="","",IF($G26&lt;&gt;"",$G26,IF($M26="","",IFERROR(INDEX($G$5:$G$204,MATCH($M26,$A$5:$A$204,0)),""))))</f>
        <v/>
      </c>
      <c r="R26" s="27" t="str">
        <f aca="false">IF($A26="","",SUMIFS(MVT_NET,MVT_LOT,$A26))</f>
        <v/>
      </c>
      <c r="S26" s="28" t="str">
        <f aca="false">IF($A26="","",COUNTIFS(MVT_LOT,$A26,MVT_BRUT,"&lt;&gt;0"))</f>
        <v/>
      </c>
      <c r="T26" s="28" t="str">
        <f aca="false">IF($A26="","",COUNTIFS(QC_LOT,$A26))</f>
        <v/>
      </c>
      <c r="U26" s="26" t="str">
        <f aca="false">IF($A26="","",IF(COUNTIF($A$5:$A$204,$A26)&gt;1,IF(SUMPRODUCT(($A$5:$A$204=$A26)*(($B$5:$B$204&lt;&gt;$B26)+($C$5:$C$204&lt;&gt;$C26)))&gt;0,"INCOHERENCE","LOT EN DOUBLE"),"OK"))</f>
        <v/>
      </c>
    </row>
    <row r="27" customFormat="false" ht="15" hidden="false" customHeight="false" outlineLevel="0" collapsed="false">
      <c r="A27" s="24"/>
      <c r="B27" s="24"/>
      <c r="C27" s="24"/>
      <c r="D27" s="24"/>
      <c r="E27" s="24"/>
      <c r="F27" s="24"/>
      <c r="G27" s="24"/>
      <c r="H27" s="24"/>
      <c r="I27" s="24"/>
      <c r="J27" s="25"/>
      <c r="K27" s="24"/>
      <c r="L27" s="24"/>
      <c r="M27" s="26" t="str">
        <f aca="false">IF($A27="","",IF($K27&lt;&gt;"",$K27,IF(IFERROR(INDEX(RES_LOTSRC,MATCH($A27,RES_LOTEFF,0)),"")=$A27,"",IFERROR(INDEX(RES_LOTSRC,MATCH($A27,RES_LOTEFF,0)),""))))</f>
        <v/>
      </c>
      <c r="N27" s="26" t="str">
        <f aca="false">IF($A27="","",IF($B27&lt;&gt;"",$B27,IF($M27="","",IFERROR(INDEX($B$5:$B$204,MATCH($M27,$A$5:$A$204,0)),""))))</f>
        <v/>
      </c>
      <c r="O27" s="26" t="str">
        <f aca="false">IF($A27="","",IF($C27&lt;&gt;"",$C27,IF($M27="","",IFERROR(INDEX($C$5:$C$204,MATCH($M27,$A$5:$A$204,0)),""))))</f>
        <v/>
      </c>
      <c r="P27" s="26" t="str">
        <f aca="false">IF($A27="","",IF($D27&lt;&gt;"",$D27,IF($M27="","",IFERROR(INDEX($D$5:$D$204,MATCH($M27,$A$5:$A$204,0)),""))))</f>
        <v/>
      </c>
      <c r="Q27" s="26" t="str">
        <f aca="false">IF($A27="","",IF($G27&lt;&gt;"",$G27,IF($M27="","",IFERROR(INDEX($G$5:$G$204,MATCH($M27,$A$5:$A$204,0)),""))))</f>
        <v/>
      </c>
      <c r="R27" s="27" t="str">
        <f aca="false">IF($A27="","",SUMIFS(MVT_NET,MVT_LOT,$A27))</f>
        <v/>
      </c>
      <c r="S27" s="28" t="str">
        <f aca="false">IF($A27="","",COUNTIFS(MVT_LOT,$A27,MVT_BRUT,"&lt;&gt;0"))</f>
        <v/>
      </c>
      <c r="T27" s="28" t="str">
        <f aca="false">IF($A27="","",COUNTIFS(QC_LOT,$A27))</f>
        <v/>
      </c>
      <c r="U27" s="26" t="str">
        <f aca="false">IF($A27="","",IF(COUNTIF($A$5:$A$204,$A27)&gt;1,IF(SUMPRODUCT(($A$5:$A$204=$A27)*(($B$5:$B$204&lt;&gt;$B27)+($C$5:$C$204&lt;&gt;$C27)))&gt;0,"INCOHERENCE","LOT EN DOUBLE"),"OK"))</f>
        <v/>
      </c>
    </row>
    <row r="28" customFormat="false" ht="15" hidden="false" customHeight="false" outlineLevel="0" collapsed="false">
      <c r="A28" s="24"/>
      <c r="B28" s="24"/>
      <c r="C28" s="24"/>
      <c r="D28" s="24"/>
      <c r="E28" s="24"/>
      <c r="F28" s="24"/>
      <c r="G28" s="24"/>
      <c r="H28" s="24"/>
      <c r="I28" s="24"/>
      <c r="J28" s="25"/>
      <c r="K28" s="24"/>
      <c r="L28" s="24"/>
      <c r="M28" s="26" t="str">
        <f aca="false">IF($A28="","",IF($K28&lt;&gt;"",$K28,IF(IFERROR(INDEX(RES_LOTSRC,MATCH($A28,RES_LOTEFF,0)),"")=$A28,"",IFERROR(INDEX(RES_LOTSRC,MATCH($A28,RES_LOTEFF,0)),""))))</f>
        <v/>
      </c>
      <c r="N28" s="26" t="str">
        <f aca="false">IF($A28="","",IF($B28&lt;&gt;"",$B28,IF($M28="","",IFERROR(INDEX($B$5:$B$204,MATCH($M28,$A$5:$A$204,0)),""))))</f>
        <v/>
      </c>
      <c r="O28" s="26" t="str">
        <f aca="false">IF($A28="","",IF($C28&lt;&gt;"",$C28,IF($M28="","",IFERROR(INDEX($C$5:$C$204,MATCH($M28,$A$5:$A$204,0)),""))))</f>
        <v/>
      </c>
      <c r="P28" s="26" t="str">
        <f aca="false">IF($A28="","",IF($D28&lt;&gt;"",$D28,IF($M28="","",IFERROR(INDEX($D$5:$D$204,MATCH($M28,$A$5:$A$204,0)),""))))</f>
        <v/>
      </c>
      <c r="Q28" s="26" t="str">
        <f aca="false">IF($A28="","",IF($G28&lt;&gt;"",$G28,IF($M28="","",IFERROR(INDEX($G$5:$G$204,MATCH($M28,$A$5:$A$204,0)),""))))</f>
        <v/>
      </c>
      <c r="R28" s="27" t="str">
        <f aca="false">IF($A28="","",SUMIFS(MVT_NET,MVT_LOT,$A28))</f>
        <v/>
      </c>
      <c r="S28" s="28" t="str">
        <f aca="false">IF($A28="","",COUNTIFS(MVT_LOT,$A28,MVT_BRUT,"&lt;&gt;0"))</f>
        <v/>
      </c>
      <c r="T28" s="28" t="str">
        <f aca="false">IF($A28="","",COUNTIFS(QC_LOT,$A28))</f>
        <v/>
      </c>
      <c r="U28" s="26" t="str">
        <f aca="false">IF($A28="","",IF(COUNTIF($A$5:$A$204,$A28)&gt;1,IF(SUMPRODUCT(($A$5:$A$204=$A28)*(($B$5:$B$204&lt;&gt;$B28)+($C$5:$C$204&lt;&gt;$C28)))&gt;0,"INCOHERENCE","LOT EN DOUBLE"),"OK"))</f>
        <v/>
      </c>
    </row>
    <row r="29" customFormat="false" ht="15" hidden="false" customHeight="false" outlineLevel="0" collapsed="false">
      <c r="A29" s="24"/>
      <c r="B29" s="24"/>
      <c r="C29" s="24"/>
      <c r="D29" s="24"/>
      <c r="E29" s="24"/>
      <c r="F29" s="24"/>
      <c r="G29" s="24"/>
      <c r="H29" s="24"/>
      <c r="I29" s="24"/>
      <c r="J29" s="25"/>
      <c r="K29" s="24"/>
      <c r="L29" s="24"/>
      <c r="M29" s="26" t="str">
        <f aca="false">IF($A29="","",IF($K29&lt;&gt;"",$K29,IF(IFERROR(INDEX(RES_LOTSRC,MATCH($A29,RES_LOTEFF,0)),"")=$A29,"",IFERROR(INDEX(RES_LOTSRC,MATCH($A29,RES_LOTEFF,0)),""))))</f>
        <v/>
      </c>
      <c r="N29" s="26" t="str">
        <f aca="false">IF($A29="","",IF($B29&lt;&gt;"",$B29,IF($M29="","",IFERROR(INDEX($B$5:$B$204,MATCH($M29,$A$5:$A$204,0)),""))))</f>
        <v/>
      </c>
      <c r="O29" s="26" t="str">
        <f aca="false">IF($A29="","",IF($C29&lt;&gt;"",$C29,IF($M29="","",IFERROR(INDEX($C$5:$C$204,MATCH($M29,$A$5:$A$204,0)),""))))</f>
        <v/>
      </c>
      <c r="P29" s="26" t="str">
        <f aca="false">IF($A29="","",IF($D29&lt;&gt;"",$D29,IF($M29="","",IFERROR(INDEX($D$5:$D$204,MATCH($M29,$A$5:$A$204,0)),""))))</f>
        <v/>
      </c>
      <c r="Q29" s="26" t="str">
        <f aca="false">IF($A29="","",IF($G29&lt;&gt;"",$G29,IF($M29="","",IFERROR(INDEX($G$5:$G$204,MATCH($M29,$A$5:$A$204,0)),""))))</f>
        <v/>
      </c>
      <c r="R29" s="27" t="str">
        <f aca="false">IF($A29="","",SUMIFS(MVT_NET,MVT_LOT,$A29))</f>
        <v/>
      </c>
      <c r="S29" s="28" t="str">
        <f aca="false">IF($A29="","",COUNTIFS(MVT_LOT,$A29,MVT_BRUT,"&lt;&gt;0"))</f>
        <v/>
      </c>
      <c r="T29" s="28" t="str">
        <f aca="false">IF($A29="","",COUNTIFS(QC_LOT,$A29))</f>
        <v/>
      </c>
      <c r="U29" s="26" t="str">
        <f aca="false">IF($A29="","",IF(COUNTIF($A$5:$A$204,$A29)&gt;1,IF(SUMPRODUCT(($A$5:$A$204=$A29)*(($B$5:$B$204&lt;&gt;$B29)+($C$5:$C$204&lt;&gt;$C29)))&gt;0,"INCOHERENCE","LOT EN DOUBLE"),"OK"))</f>
        <v/>
      </c>
    </row>
    <row r="30" customFormat="false" ht="15" hidden="false" customHeight="false" outlineLevel="0" collapsed="false">
      <c r="A30" s="24"/>
      <c r="B30" s="24"/>
      <c r="C30" s="24"/>
      <c r="D30" s="24"/>
      <c r="E30" s="24"/>
      <c r="F30" s="24"/>
      <c r="G30" s="24"/>
      <c r="H30" s="24"/>
      <c r="I30" s="24"/>
      <c r="J30" s="25"/>
      <c r="K30" s="24"/>
      <c r="L30" s="24"/>
      <c r="M30" s="26" t="str">
        <f aca="false">IF($A30="","",IF($K30&lt;&gt;"",$K30,IF(IFERROR(INDEX(RES_LOTSRC,MATCH($A30,RES_LOTEFF,0)),"")=$A30,"",IFERROR(INDEX(RES_LOTSRC,MATCH($A30,RES_LOTEFF,0)),""))))</f>
        <v/>
      </c>
      <c r="N30" s="26" t="str">
        <f aca="false">IF($A30="","",IF($B30&lt;&gt;"",$B30,IF($M30="","",IFERROR(INDEX($B$5:$B$204,MATCH($M30,$A$5:$A$204,0)),""))))</f>
        <v/>
      </c>
      <c r="O30" s="26" t="str">
        <f aca="false">IF($A30="","",IF($C30&lt;&gt;"",$C30,IF($M30="","",IFERROR(INDEX($C$5:$C$204,MATCH($M30,$A$5:$A$204,0)),""))))</f>
        <v/>
      </c>
      <c r="P30" s="26" t="str">
        <f aca="false">IF($A30="","",IF($D30&lt;&gt;"",$D30,IF($M30="","",IFERROR(INDEX($D$5:$D$204,MATCH($M30,$A$5:$A$204,0)),""))))</f>
        <v/>
      </c>
      <c r="Q30" s="26" t="str">
        <f aca="false">IF($A30="","",IF($G30&lt;&gt;"",$G30,IF($M30="","",IFERROR(INDEX($G$5:$G$204,MATCH($M30,$A$5:$A$204,0)),""))))</f>
        <v/>
      </c>
      <c r="R30" s="27" t="str">
        <f aca="false">IF($A30="","",SUMIFS(MVT_NET,MVT_LOT,$A30))</f>
        <v/>
      </c>
      <c r="S30" s="28" t="str">
        <f aca="false">IF($A30="","",COUNTIFS(MVT_LOT,$A30,MVT_BRUT,"&lt;&gt;0"))</f>
        <v/>
      </c>
      <c r="T30" s="28" t="str">
        <f aca="false">IF($A30="","",COUNTIFS(QC_LOT,$A30))</f>
        <v/>
      </c>
      <c r="U30" s="26" t="str">
        <f aca="false">IF($A30="","",IF(COUNTIF($A$5:$A$204,$A30)&gt;1,IF(SUMPRODUCT(($A$5:$A$204=$A30)*(($B$5:$B$204&lt;&gt;$B30)+($C$5:$C$204&lt;&gt;$C30)))&gt;0,"INCOHERENCE","LOT EN DOUBLE"),"OK"))</f>
        <v/>
      </c>
    </row>
    <row r="31" customFormat="false" ht="15" hidden="false" customHeight="false" outlineLevel="0" collapsed="false">
      <c r="A31" s="24"/>
      <c r="B31" s="24"/>
      <c r="C31" s="24"/>
      <c r="D31" s="24"/>
      <c r="E31" s="24"/>
      <c r="F31" s="24"/>
      <c r="G31" s="24"/>
      <c r="H31" s="24"/>
      <c r="I31" s="24"/>
      <c r="J31" s="25"/>
      <c r="K31" s="24"/>
      <c r="L31" s="24"/>
      <c r="M31" s="26" t="str">
        <f aca="false">IF($A31="","",IF($K31&lt;&gt;"",$K31,IF(IFERROR(INDEX(RES_LOTSRC,MATCH($A31,RES_LOTEFF,0)),"")=$A31,"",IFERROR(INDEX(RES_LOTSRC,MATCH($A31,RES_LOTEFF,0)),""))))</f>
        <v/>
      </c>
      <c r="N31" s="26" t="str">
        <f aca="false">IF($A31="","",IF($B31&lt;&gt;"",$B31,IF($M31="","",IFERROR(INDEX($B$5:$B$204,MATCH($M31,$A$5:$A$204,0)),""))))</f>
        <v/>
      </c>
      <c r="O31" s="26" t="str">
        <f aca="false">IF($A31="","",IF($C31&lt;&gt;"",$C31,IF($M31="","",IFERROR(INDEX($C$5:$C$204,MATCH($M31,$A$5:$A$204,0)),""))))</f>
        <v/>
      </c>
      <c r="P31" s="26" t="str">
        <f aca="false">IF($A31="","",IF($D31&lt;&gt;"",$D31,IF($M31="","",IFERROR(INDEX($D$5:$D$204,MATCH($M31,$A$5:$A$204,0)),""))))</f>
        <v/>
      </c>
      <c r="Q31" s="26" t="str">
        <f aca="false">IF($A31="","",IF($G31&lt;&gt;"",$G31,IF($M31="","",IFERROR(INDEX($G$5:$G$204,MATCH($M31,$A$5:$A$204,0)),""))))</f>
        <v/>
      </c>
      <c r="R31" s="27" t="str">
        <f aca="false">IF($A31="","",SUMIFS(MVT_NET,MVT_LOT,$A31))</f>
        <v/>
      </c>
      <c r="S31" s="28" t="str">
        <f aca="false">IF($A31="","",COUNTIFS(MVT_LOT,$A31,MVT_BRUT,"&lt;&gt;0"))</f>
        <v/>
      </c>
      <c r="T31" s="28" t="str">
        <f aca="false">IF($A31="","",COUNTIFS(QC_LOT,$A31))</f>
        <v/>
      </c>
      <c r="U31" s="26" t="str">
        <f aca="false">IF($A31="","",IF(COUNTIF($A$5:$A$204,$A31)&gt;1,IF(SUMPRODUCT(($A$5:$A$204=$A31)*(($B$5:$B$204&lt;&gt;$B31)+($C$5:$C$204&lt;&gt;$C31)))&gt;0,"INCOHERENCE","LOT EN DOUBLE"),"OK"))</f>
        <v/>
      </c>
    </row>
    <row r="32" customFormat="false" ht="15" hidden="false" customHeight="false" outlineLevel="0" collapsed="false">
      <c r="A32" s="24"/>
      <c r="B32" s="24"/>
      <c r="C32" s="24"/>
      <c r="D32" s="24"/>
      <c r="E32" s="24"/>
      <c r="F32" s="24"/>
      <c r="G32" s="24"/>
      <c r="H32" s="24"/>
      <c r="I32" s="24"/>
      <c r="J32" s="25"/>
      <c r="K32" s="24"/>
      <c r="L32" s="24"/>
      <c r="M32" s="26" t="str">
        <f aca="false">IF($A32="","",IF($K32&lt;&gt;"",$K32,IF(IFERROR(INDEX(RES_LOTSRC,MATCH($A32,RES_LOTEFF,0)),"")=$A32,"",IFERROR(INDEX(RES_LOTSRC,MATCH($A32,RES_LOTEFF,0)),""))))</f>
        <v/>
      </c>
      <c r="N32" s="26" t="str">
        <f aca="false">IF($A32="","",IF($B32&lt;&gt;"",$B32,IF($M32="","",IFERROR(INDEX($B$5:$B$204,MATCH($M32,$A$5:$A$204,0)),""))))</f>
        <v/>
      </c>
      <c r="O32" s="26" t="str">
        <f aca="false">IF($A32="","",IF($C32&lt;&gt;"",$C32,IF($M32="","",IFERROR(INDEX($C$5:$C$204,MATCH($M32,$A$5:$A$204,0)),""))))</f>
        <v/>
      </c>
      <c r="P32" s="26" t="str">
        <f aca="false">IF($A32="","",IF($D32&lt;&gt;"",$D32,IF($M32="","",IFERROR(INDEX($D$5:$D$204,MATCH($M32,$A$5:$A$204,0)),""))))</f>
        <v/>
      </c>
      <c r="Q32" s="26" t="str">
        <f aca="false">IF($A32="","",IF($G32&lt;&gt;"",$G32,IF($M32="","",IFERROR(INDEX($G$5:$G$204,MATCH($M32,$A$5:$A$204,0)),""))))</f>
        <v/>
      </c>
      <c r="R32" s="27" t="str">
        <f aca="false">IF($A32="","",SUMIFS(MVT_NET,MVT_LOT,$A32))</f>
        <v/>
      </c>
      <c r="S32" s="28" t="str">
        <f aca="false">IF($A32="","",COUNTIFS(MVT_LOT,$A32,MVT_BRUT,"&lt;&gt;0"))</f>
        <v/>
      </c>
      <c r="T32" s="28" t="str">
        <f aca="false">IF($A32="","",COUNTIFS(QC_LOT,$A32))</f>
        <v/>
      </c>
      <c r="U32" s="26" t="str">
        <f aca="false">IF($A32="","",IF(COUNTIF($A$5:$A$204,$A32)&gt;1,IF(SUMPRODUCT(($A$5:$A$204=$A32)*(($B$5:$B$204&lt;&gt;$B32)+($C$5:$C$204&lt;&gt;$C32)))&gt;0,"INCOHERENCE","LOT EN DOUBLE"),"OK"))</f>
        <v/>
      </c>
    </row>
    <row r="33" customFormat="false" ht="15" hidden="false" customHeight="false" outlineLevel="0" collapsed="false">
      <c r="A33" s="24"/>
      <c r="B33" s="24"/>
      <c r="C33" s="24"/>
      <c r="D33" s="24"/>
      <c r="E33" s="24"/>
      <c r="F33" s="24"/>
      <c r="G33" s="24"/>
      <c r="H33" s="24"/>
      <c r="I33" s="24"/>
      <c r="J33" s="25"/>
      <c r="K33" s="24"/>
      <c r="L33" s="24"/>
      <c r="M33" s="26" t="str">
        <f aca="false">IF($A33="","",IF($K33&lt;&gt;"",$K33,IF(IFERROR(INDEX(RES_LOTSRC,MATCH($A33,RES_LOTEFF,0)),"")=$A33,"",IFERROR(INDEX(RES_LOTSRC,MATCH($A33,RES_LOTEFF,0)),""))))</f>
        <v/>
      </c>
      <c r="N33" s="26" t="str">
        <f aca="false">IF($A33="","",IF($B33&lt;&gt;"",$B33,IF($M33="","",IFERROR(INDEX($B$5:$B$204,MATCH($M33,$A$5:$A$204,0)),""))))</f>
        <v/>
      </c>
      <c r="O33" s="26" t="str">
        <f aca="false">IF($A33="","",IF($C33&lt;&gt;"",$C33,IF($M33="","",IFERROR(INDEX($C$5:$C$204,MATCH($M33,$A$5:$A$204,0)),""))))</f>
        <v/>
      </c>
      <c r="P33" s="26" t="str">
        <f aca="false">IF($A33="","",IF($D33&lt;&gt;"",$D33,IF($M33="","",IFERROR(INDEX($D$5:$D$204,MATCH($M33,$A$5:$A$204,0)),""))))</f>
        <v/>
      </c>
      <c r="Q33" s="26" t="str">
        <f aca="false">IF($A33="","",IF($G33&lt;&gt;"",$G33,IF($M33="","",IFERROR(INDEX($G$5:$G$204,MATCH($M33,$A$5:$A$204,0)),""))))</f>
        <v/>
      </c>
      <c r="R33" s="27" t="str">
        <f aca="false">IF($A33="","",SUMIFS(MVT_NET,MVT_LOT,$A33))</f>
        <v/>
      </c>
      <c r="S33" s="28" t="str">
        <f aca="false">IF($A33="","",COUNTIFS(MVT_LOT,$A33,MVT_BRUT,"&lt;&gt;0"))</f>
        <v/>
      </c>
      <c r="T33" s="28" t="str">
        <f aca="false">IF($A33="","",COUNTIFS(QC_LOT,$A33))</f>
        <v/>
      </c>
      <c r="U33" s="26" t="str">
        <f aca="false">IF($A33="","",IF(COUNTIF($A$5:$A$204,$A33)&gt;1,IF(SUMPRODUCT(($A$5:$A$204=$A33)*(($B$5:$B$204&lt;&gt;$B33)+($C$5:$C$204&lt;&gt;$C33)))&gt;0,"INCOHERENCE","LOT EN DOUBLE"),"OK"))</f>
        <v/>
      </c>
    </row>
    <row r="34" customFormat="false" ht="15" hidden="false" customHeight="false" outlineLevel="0" collapsed="false">
      <c r="A34" s="24"/>
      <c r="B34" s="24"/>
      <c r="C34" s="24"/>
      <c r="D34" s="24"/>
      <c r="E34" s="24"/>
      <c r="F34" s="24"/>
      <c r="G34" s="24"/>
      <c r="H34" s="24"/>
      <c r="I34" s="24"/>
      <c r="J34" s="25"/>
      <c r="K34" s="24"/>
      <c r="L34" s="24"/>
      <c r="M34" s="26" t="str">
        <f aca="false">IF($A34="","",IF($K34&lt;&gt;"",$K34,IF(IFERROR(INDEX(RES_LOTSRC,MATCH($A34,RES_LOTEFF,0)),"")=$A34,"",IFERROR(INDEX(RES_LOTSRC,MATCH($A34,RES_LOTEFF,0)),""))))</f>
        <v/>
      </c>
      <c r="N34" s="26" t="str">
        <f aca="false">IF($A34="","",IF($B34&lt;&gt;"",$B34,IF($M34="","",IFERROR(INDEX($B$5:$B$204,MATCH($M34,$A$5:$A$204,0)),""))))</f>
        <v/>
      </c>
      <c r="O34" s="26" t="str">
        <f aca="false">IF($A34="","",IF($C34&lt;&gt;"",$C34,IF($M34="","",IFERROR(INDEX($C$5:$C$204,MATCH($M34,$A$5:$A$204,0)),""))))</f>
        <v/>
      </c>
      <c r="P34" s="26" t="str">
        <f aca="false">IF($A34="","",IF($D34&lt;&gt;"",$D34,IF($M34="","",IFERROR(INDEX($D$5:$D$204,MATCH($M34,$A$5:$A$204,0)),""))))</f>
        <v/>
      </c>
      <c r="Q34" s="26" t="str">
        <f aca="false">IF($A34="","",IF($G34&lt;&gt;"",$G34,IF($M34="","",IFERROR(INDEX($G$5:$G$204,MATCH($M34,$A$5:$A$204,0)),""))))</f>
        <v/>
      </c>
      <c r="R34" s="27" t="str">
        <f aca="false">IF($A34="","",SUMIFS(MVT_NET,MVT_LOT,$A34))</f>
        <v/>
      </c>
      <c r="S34" s="28" t="str">
        <f aca="false">IF($A34="","",COUNTIFS(MVT_LOT,$A34,MVT_BRUT,"&lt;&gt;0"))</f>
        <v/>
      </c>
      <c r="T34" s="28" t="str">
        <f aca="false">IF($A34="","",COUNTIFS(QC_LOT,$A34))</f>
        <v/>
      </c>
      <c r="U34" s="26" t="str">
        <f aca="false">IF($A34="","",IF(COUNTIF($A$5:$A$204,$A34)&gt;1,IF(SUMPRODUCT(($A$5:$A$204=$A34)*(($B$5:$B$204&lt;&gt;$B34)+($C$5:$C$204&lt;&gt;$C34)))&gt;0,"INCOHERENCE","LOT EN DOUBLE"),"OK"))</f>
        <v/>
      </c>
    </row>
    <row r="35" customFormat="false" ht="15" hidden="false" customHeight="false" outlineLevel="0" collapsed="false">
      <c r="A35" s="24"/>
      <c r="B35" s="24"/>
      <c r="C35" s="24"/>
      <c r="D35" s="24"/>
      <c r="E35" s="24"/>
      <c r="F35" s="24"/>
      <c r="G35" s="24"/>
      <c r="H35" s="24"/>
      <c r="I35" s="24"/>
      <c r="J35" s="25"/>
      <c r="K35" s="24"/>
      <c r="L35" s="24"/>
      <c r="M35" s="26" t="str">
        <f aca="false">IF($A35="","",IF($K35&lt;&gt;"",$K35,IF(IFERROR(INDEX(RES_LOTSRC,MATCH($A35,RES_LOTEFF,0)),"")=$A35,"",IFERROR(INDEX(RES_LOTSRC,MATCH($A35,RES_LOTEFF,0)),""))))</f>
        <v/>
      </c>
      <c r="N35" s="26" t="str">
        <f aca="false">IF($A35="","",IF($B35&lt;&gt;"",$B35,IF($M35="","",IFERROR(INDEX($B$5:$B$204,MATCH($M35,$A$5:$A$204,0)),""))))</f>
        <v/>
      </c>
      <c r="O35" s="26" t="str">
        <f aca="false">IF($A35="","",IF($C35&lt;&gt;"",$C35,IF($M35="","",IFERROR(INDEX($C$5:$C$204,MATCH($M35,$A$5:$A$204,0)),""))))</f>
        <v/>
      </c>
      <c r="P35" s="26" t="str">
        <f aca="false">IF($A35="","",IF($D35&lt;&gt;"",$D35,IF($M35="","",IFERROR(INDEX($D$5:$D$204,MATCH($M35,$A$5:$A$204,0)),""))))</f>
        <v/>
      </c>
      <c r="Q35" s="26" t="str">
        <f aca="false">IF($A35="","",IF($G35&lt;&gt;"",$G35,IF($M35="","",IFERROR(INDEX($G$5:$G$204,MATCH($M35,$A$5:$A$204,0)),""))))</f>
        <v/>
      </c>
      <c r="R35" s="27" t="str">
        <f aca="false">IF($A35="","",SUMIFS(MVT_NET,MVT_LOT,$A35))</f>
        <v/>
      </c>
      <c r="S35" s="28" t="str">
        <f aca="false">IF($A35="","",COUNTIFS(MVT_LOT,$A35,MVT_BRUT,"&lt;&gt;0"))</f>
        <v/>
      </c>
      <c r="T35" s="28" t="str">
        <f aca="false">IF($A35="","",COUNTIFS(QC_LOT,$A35))</f>
        <v/>
      </c>
      <c r="U35" s="26" t="str">
        <f aca="false">IF($A35="","",IF(COUNTIF($A$5:$A$204,$A35)&gt;1,IF(SUMPRODUCT(($A$5:$A$204=$A35)*(($B$5:$B$204&lt;&gt;$B35)+($C$5:$C$204&lt;&gt;$C35)))&gt;0,"INCOHERENCE","LOT EN DOUBLE"),"OK"))</f>
        <v/>
      </c>
    </row>
    <row r="36" customFormat="false" ht="15" hidden="false" customHeight="false" outlineLevel="0" collapsed="false">
      <c r="A36" s="24"/>
      <c r="B36" s="24"/>
      <c r="C36" s="24"/>
      <c r="D36" s="24"/>
      <c r="E36" s="24"/>
      <c r="F36" s="24"/>
      <c r="G36" s="24"/>
      <c r="H36" s="24"/>
      <c r="I36" s="24"/>
      <c r="J36" s="25"/>
      <c r="K36" s="24"/>
      <c r="L36" s="24"/>
      <c r="M36" s="26" t="str">
        <f aca="false">IF($A36="","",IF($K36&lt;&gt;"",$K36,IF(IFERROR(INDEX(RES_LOTSRC,MATCH($A36,RES_LOTEFF,0)),"")=$A36,"",IFERROR(INDEX(RES_LOTSRC,MATCH($A36,RES_LOTEFF,0)),""))))</f>
        <v/>
      </c>
      <c r="N36" s="26" t="str">
        <f aca="false">IF($A36="","",IF($B36&lt;&gt;"",$B36,IF($M36="","",IFERROR(INDEX($B$5:$B$204,MATCH($M36,$A$5:$A$204,0)),""))))</f>
        <v/>
      </c>
      <c r="O36" s="26" t="str">
        <f aca="false">IF($A36="","",IF($C36&lt;&gt;"",$C36,IF($M36="","",IFERROR(INDEX($C$5:$C$204,MATCH($M36,$A$5:$A$204,0)),""))))</f>
        <v/>
      </c>
      <c r="P36" s="26" t="str">
        <f aca="false">IF($A36="","",IF($D36&lt;&gt;"",$D36,IF($M36="","",IFERROR(INDEX($D$5:$D$204,MATCH($M36,$A$5:$A$204,0)),""))))</f>
        <v/>
      </c>
      <c r="Q36" s="26" t="str">
        <f aca="false">IF($A36="","",IF($G36&lt;&gt;"",$G36,IF($M36="","",IFERROR(INDEX($G$5:$G$204,MATCH($M36,$A$5:$A$204,0)),""))))</f>
        <v/>
      </c>
      <c r="R36" s="27" t="str">
        <f aca="false">IF($A36="","",SUMIFS(MVT_NET,MVT_LOT,$A36))</f>
        <v/>
      </c>
      <c r="S36" s="28" t="str">
        <f aca="false">IF($A36="","",COUNTIFS(MVT_LOT,$A36,MVT_BRUT,"&lt;&gt;0"))</f>
        <v/>
      </c>
      <c r="T36" s="28" t="str">
        <f aca="false">IF($A36="","",COUNTIFS(QC_LOT,$A36))</f>
        <v/>
      </c>
      <c r="U36" s="26" t="str">
        <f aca="false">IF($A36="","",IF(COUNTIF($A$5:$A$204,$A36)&gt;1,IF(SUMPRODUCT(($A$5:$A$204=$A36)*(($B$5:$B$204&lt;&gt;$B36)+($C$5:$C$204&lt;&gt;$C36)))&gt;0,"INCOHERENCE","LOT EN DOUBLE"),"OK"))</f>
        <v/>
      </c>
    </row>
    <row r="37" customFormat="false" ht="15" hidden="false" customHeight="false" outlineLevel="0" collapsed="false">
      <c r="A37" s="24"/>
      <c r="B37" s="24"/>
      <c r="C37" s="24"/>
      <c r="D37" s="24"/>
      <c r="E37" s="24"/>
      <c r="F37" s="24"/>
      <c r="G37" s="24"/>
      <c r="H37" s="24"/>
      <c r="I37" s="24"/>
      <c r="J37" s="25"/>
      <c r="K37" s="24"/>
      <c r="L37" s="24"/>
      <c r="M37" s="26" t="str">
        <f aca="false">IF($A37="","",IF($K37&lt;&gt;"",$K37,IF(IFERROR(INDEX(RES_LOTSRC,MATCH($A37,RES_LOTEFF,0)),"")=$A37,"",IFERROR(INDEX(RES_LOTSRC,MATCH($A37,RES_LOTEFF,0)),""))))</f>
        <v/>
      </c>
      <c r="N37" s="26" t="str">
        <f aca="false">IF($A37="","",IF($B37&lt;&gt;"",$B37,IF($M37="","",IFERROR(INDEX($B$5:$B$204,MATCH($M37,$A$5:$A$204,0)),""))))</f>
        <v/>
      </c>
      <c r="O37" s="26" t="str">
        <f aca="false">IF($A37="","",IF($C37&lt;&gt;"",$C37,IF($M37="","",IFERROR(INDEX($C$5:$C$204,MATCH($M37,$A$5:$A$204,0)),""))))</f>
        <v/>
      </c>
      <c r="P37" s="26" t="str">
        <f aca="false">IF($A37="","",IF($D37&lt;&gt;"",$D37,IF($M37="","",IFERROR(INDEX($D$5:$D$204,MATCH($M37,$A$5:$A$204,0)),""))))</f>
        <v/>
      </c>
      <c r="Q37" s="26" t="str">
        <f aca="false">IF($A37="","",IF($G37&lt;&gt;"",$G37,IF($M37="","",IFERROR(INDEX($G$5:$G$204,MATCH($M37,$A$5:$A$204,0)),""))))</f>
        <v/>
      </c>
      <c r="R37" s="27" t="str">
        <f aca="false">IF($A37="","",SUMIFS(MVT_NET,MVT_LOT,$A37))</f>
        <v/>
      </c>
      <c r="S37" s="28" t="str">
        <f aca="false">IF($A37="","",COUNTIFS(MVT_LOT,$A37,MVT_BRUT,"&lt;&gt;0"))</f>
        <v/>
      </c>
      <c r="T37" s="28" t="str">
        <f aca="false">IF($A37="","",COUNTIFS(QC_LOT,$A37))</f>
        <v/>
      </c>
      <c r="U37" s="26" t="str">
        <f aca="false">IF($A37="","",IF(COUNTIF($A$5:$A$204,$A37)&gt;1,IF(SUMPRODUCT(($A$5:$A$204=$A37)*(($B$5:$B$204&lt;&gt;$B37)+($C$5:$C$204&lt;&gt;$C37)))&gt;0,"INCOHERENCE","LOT EN DOUBLE"),"OK"))</f>
        <v/>
      </c>
    </row>
    <row r="38" customFormat="false" ht="15" hidden="false" customHeight="false" outlineLevel="0" collapsed="false">
      <c r="A38" s="24"/>
      <c r="B38" s="24"/>
      <c r="C38" s="24"/>
      <c r="D38" s="24"/>
      <c r="E38" s="24"/>
      <c r="F38" s="24"/>
      <c r="G38" s="24"/>
      <c r="H38" s="24"/>
      <c r="I38" s="24"/>
      <c r="J38" s="25"/>
      <c r="K38" s="24"/>
      <c r="L38" s="24"/>
      <c r="M38" s="26" t="str">
        <f aca="false">IF($A38="","",IF($K38&lt;&gt;"",$K38,IF(IFERROR(INDEX(RES_LOTSRC,MATCH($A38,RES_LOTEFF,0)),"")=$A38,"",IFERROR(INDEX(RES_LOTSRC,MATCH($A38,RES_LOTEFF,0)),""))))</f>
        <v/>
      </c>
      <c r="N38" s="26" t="str">
        <f aca="false">IF($A38="","",IF($B38&lt;&gt;"",$B38,IF($M38="","",IFERROR(INDEX($B$5:$B$204,MATCH($M38,$A$5:$A$204,0)),""))))</f>
        <v/>
      </c>
      <c r="O38" s="26" t="str">
        <f aca="false">IF($A38="","",IF($C38&lt;&gt;"",$C38,IF($M38="","",IFERROR(INDEX($C$5:$C$204,MATCH($M38,$A$5:$A$204,0)),""))))</f>
        <v/>
      </c>
      <c r="P38" s="26" t="str">
        <f aca="false">IF($A38="","",IF($D38&lt;&gt;"",$D38,IF($M38="","",IFERROR(INDEX($D$5:$D$204,MATCH($M38,$A$5:$A$204,0)),""))))</f>
        <v/>
      </c>
      <c r="Q38" s="26" t="str">
        <f aca="false">IF($A38="","",IF($G38&lt;&gt;"",$G38,IF($M38="","",IFERROR(INDEX($G$5:$G$204,MATCH($M38,$A$5:$A$204,0)),""))))</f>
        <v/>
      </c>
      <c r="R38" s="27" t="str">
        <f aca="false">IF($A38="","",SUMIFS(MVT_NET,MVT_LOT,$A38))</f>
        <v/>
      </c>
      <c r="S38" s="28" t="str">
        <f aca="false">IF($A38="","",COUNTIFS(MVT_LOT,$A38,MVT_BRUT,"&lt;&gt;0"))</f>
        <v/>
      </c>
      <c r="T38" s="28" t="str">
        <f aca="false">IF($A38="","",COUNTIFS(QC_LOT,$A38))</f>
        <v/>
      </c>
      <c r="U38" s="26" t="str">
        <f aca="false">IF($A38="","",IF(COUNTIF($A$5:$A$204,$A38)&gt;1,IF(SUMPRODUCT(($A$5:$A$204=$A38)*(($B$5:$B$204&lt;&gt;$B38)+($C$5:$C$204&lt;&gt;$C38)))&gt;0,"INCOHERENCE","LOT EN DOUBLE"),"OK"))</f>
        <v/>
      </c>
    </row>
    <row r="39" customFormat="false" ht="15" hidden="false" customHeight="false" outlineLevel="0" collapsed="false">
      <c r="A39" s="24"/>
      <c r="B39" s="24"/>
      <c r="C39" s="24"/>
      <c r="D39" s="24"/>
      <c r="E39" s="24"/>
      <c r="F39" s="24"/>
      <c r="G39" s="24"/>
      <c r="H39" s="24"/>
      <c r="I39" s="24"/>
      <c r="J39" s="25"/>
      <c r="K39" s="24"/>
      <c r="L39" s="24"/>
      <c r="M39" s="26" t="str">
        <f aca="false">IF($A39="","",IF($K39&lt;&gt;"",$K39,IF(IFERROR(INDEX(RES_LOTSRC,MATCH($A39,RES_LOTEFF,0)),"")=$A39,"",IFERROR(INDEX(RES_LOTSRC,MATCH($A39,RES_LOTEFF,0)),""))))</f>
        <v/>
      </c>
      <c r="N39" s="26" t="str">
        <f aca="false">IF($A39="","",IF($B39&lt;&gt;"",$B39,IF($M39="","",IFERROR(INDEX($B$5:$B$204,MATCH($M39,$A$5:$A$204,0)),""))))</f>
        <v/>
      </c>
      <c r="O39" s="26" t="str">
        <f aca="false">IF($A39="","",IF($C39&lt;&gt;"",$C39,IF($M39="","",IFERROR(INDEX($C$5:$C$204,MATCH($M39,$A$5:$A$204,0)),""))))</f>
        <v/>
      </c>
      <c r="P39" s="26" t="str">
        <f aca="false">IF($A39="","",IF($D39&lt;&gt;"",$D39,IF($M39="","",IFERROR(INDEX($D$5:$D$204,MATCH($M39,$A$5:$A$204,0)),""))))</f>
        <v/>
      </c>
      <c r="Q39" s="26" t="str">
        <f aca="false">IF($A39="","",IF($G39&lt;&gt;"",$G39,IF($M39="","",IFERROR(INDEX($G$5:$G$204,MATCH($M39,$A$5:$A$204,0)),""))))</f>
        <v/>
      </c>
      <c r="R39" s="27" t="str">
        <f aca="false">IF($A39="","",SUMIFS(MVT_NET,MVT_LOT,$A39))</f>
        <v/>
      </c>
      <c r="S39" s="28" t="str">
        <f aca="false">IF($A39="","",COUNTIFS(MVT_LOT,$A39,MVT_BRUT,"&lt;&gt;0"))</f>
        <v/>
      </c>
      <c r="T39" s="28" t="str">
        <f aca="false">IF($A39="","",COUNTIFS(QC_LOT,$A39))</f>
        <v/>
      </c>
      <c r="U39" s="26" t="str">
        <f aca="false">IF($A39="","",IF(COUNTIF($A$5:$A$204,$A39)&gt;1,IF(SUMPRODUCT(($A$5:$A$204=$A39)*(($B$5:$B$204&lt;&gt;$B39)+($C$5:$C$204&lt;&gt;$C39)))&gt;0,"INCOHERENCE","LOT EN DOUBLE"),"OK"))</f>
        <v/>
      </c>
    </row>
    <row r="40" customFormat="false" ht="15" hidden="false" customHeight="false" outlineLevel="0" collapsed="false">
      <c r="A40" s="24"/>
      <c r="B40" s="24"/>
      <c r="C40" s="24"/>
      <c r="D40" s="24"/>
      <c r="E40" s="24"/>
      <c r="F40" s="24"/>
      <c r="G40" s="24"/>
      <c r="H40" s="24"/>
      <c r="I40" s="24"/>
      <c r="J40" s="25"/>
      <c r="K40" s="24"/>
      <c r="L40" s="24"/>
      <c r="M40" s="26" t="str">
        <f aca="false">IF($A40="","",IF($K40&lt;&gt;"",$K40,IF(IFERROR(INDEX(RES_LOTSRC,MATCH($A40,RES_LOTEFF,0)),"")=$A40,"",IFERROR(INDEX(RES_LOTSRC,MATCH($A40,RES_LOTEFF,0)),""))))</f>
        <v/>
      </c>
      <c r="N40" s="26" t="str">
        <f aca="false">IF($A40="","",IF($B40&lt;&gt;"",$B40,IF($M40="","",IFERROR(INDEX($B$5:$B$204,MATCH($M40,$A$5:$A$204,0)),""))))</f>
        <v/>
      </c>
      <c r="O40" s="26" t="str">
        <f aca="false">IF($A40="","",IF($C40&lt;&gt;"",$C40,IF($M40="","",IFERROR(INDEX($C$5:$C$204,MATCH($M40,$A$5:$A$204,0)),""))))</f>
        <v/>
      </c>
      <c r="P40" s="26" t="str">
        <f aca="false">IF($A40="","",IF($D40&lt;&gt;"",$D40,IF($M40="","",IFERROR(INDEX($D$5:$D$204,MATCH($M40,$A$5:$A$204,0)),""))))</f>
        <v/>
      </c>
      <c r="Q40" s="26" t="str">
        <f aca="false">IF($A40="","",IF($G40&lt;&gt;"",$G40,IF($M40="","",IFERROR(INDEX($G$5:$G$204,MATCH($M40,$A$5:$A$204,0)),""))))</f>
        <v/>
      </c>
      <c r="R40" s="27" t="str">
        <f aca="false">IF($A40="","",SUMIFS(MVT_NET,MVT_LOT,$A40))</f>
        <v/>
      </c>
      <c r="S40" s="28" t="str">
        <f aca="false">IF($A40="","",COUNTIFS(MVT_LOT,$A40,MVT_BRUT,"&lt;&gt;0"))</f>
        <v/>
      </c>
      <c r="T40" s="28" t="str">
        <f aca="false">IF($A40="","",COUNTIFS(QC_LOT,$A40))</f>
        <v/>
      </c>
      <c r="U40" s="26" t="str">
        <f aca="false">IF($A40="","",IF(COUNTIF($A$5:$A$204,$A40)&gt;1,IF(SUMPRODUCT(($A$5:$A$204=$A40)*(($B$5:$B$204&lt;&gt;$B40)+($C$5:$C$204&lt;&gt;$C40)))&gt;0,"INCOHERENCE","LOT EN DOUBLE"),"OK"))</f>
        <v/>
      </c>
    </row>
    <row r="41" customFormat="false" ht="15" hidden="false" customHeight="false" outlineLevel="0" collapsed="false">
      <c r="A41" s="24"/>
      <c r="B41" s="24"/>
      <c r="C41" s="24"/>
      <c r="D41" s="24"/>
      <c r="E41" s="24"/>
      <c r="F41" s="24"/>
      <c r="G41" s="24"/>
      <c r="H41" s="24"/>
      <c r="I41" s="24"/>
      <c r="J41" s="25"/>
      <c r="K41" s="24"/>
      <c r="L41" s="24"/>
      <c r="M41" s="26" t="str">
        <f aca="false">IF($A41="","",IF($K41&lt;&gt;"",$K41,IF(IFERROR(INDEX(RES_LOTSRC,MATCH($A41,RES_LOTEFF,0)),"")=$A41,"",IFERROR(INDEX(RES_LOTSRC,MATCH($A41,RES_LOTEFF,0)),""))))</f>
        <v/>
      </c>
      <c r="N41" s="26" t="str">
        <f aca="false">IF($A41="","",IF($B41&lt;&gt;"",$B41,IF($M41="","",IFERROR(INDEX($B$5:$B$204,MATCH($M41,$A$5:$A$204,0)),""))))</f>
        <v/>
      </c>
      <c r="O41" s="26" t="str">
        <f aca="false">IF($A41="","",IF($C41&lt;&gt;"",$C41,IF($M41="","",IFERROR(INDEX($C$5:$C$204,MATCH($M41,$A$5:$A$204,0)),""))))</f>
        <v/>
      </c>
      <c r="P41" s="26" t="str">
        <f aca="false">IF($A41="","",IF($D41&lt;&gt;"",$D41,IF($M41="","",IFERROR(INDEX($D$5:$D$204,MATCH($M41,$A$5:$A$204,0)),""))))</f>
        <v/>
      </c>
      <c r="Q41" s="26" t="str">
        <f aca="false">IF($A41="","",IF($G41&lt;&gt;"",$G41,IF($M41="","",IFERROR(INDEX($G$5:$G$204,MATCH($M41,$A$5:$A$204,0)),""))))</f>
        <v/>
      </c>
      <c r="R41" s="27" t="str">
        <f aca="false">IF($A41="","",SUMIFS(MVT_NET,MVT_LOT,$A41))</f>
        <v/>
      </c>
      <c r="S41" s="28" t="str">
        <f aca="false">IF($A41="","",COUNTIFS(MVT_LOT,$A41,MVT_BRUT,"&lt;&gt;0"))</f>
        <v/>
      </c>
      <c r="T41" s="28" t="str">
        <f aca="false">IF($A41="","",COUNTIFS(QC_LOT,$A41))</f>
        <v/>
      </c>
      <c r="U41" s="26" t="str">
        <f aca="false">IF($A41="","",IF(COUNTIF($A$5:$A$204,$A41)&gt;1,IF(SUMPRODUCT(($A$5:$A$204=$A41)*(($B$5:$B$204&lt;&gt;$B41)+($C$5:$C$204&lt;&gt;$C41)))&gt;0,"INCOHERENCE","LOT EN DOUBLE"),"OK"))</f>
        <v/>
      </c>
    </row>
    <row r="42" customFormat="false" ht="15" hidden="false" customHeight="false" outlineLevel="0" collapsed="false">
      <c r="A42" s="24"/>
      <c r="B42" s="24"/>
      <c r="C42" s="24"/>
      <c r="D42" s="24"/>
      <c r="E42" s="24"/>
      <c r="F42" s="24"/>
      <c r="G42" s="24"/>
      <c r="H42" s="24"/>
      <c r="I42" s="24"/>
      <c r="J42" s="25"/>
      <c r="K42" s="24"/>
      <c r="L42" s="24"/>
      <c r="M42" s="26" t="str">
        <f aca="false">IF($A42="","",IF($K42&lt;&gt;"",$K42,IF(IFERROR(INDEX(RES_LOTSRC,MATCH($A42,RES_LOTEFF,0)),"")=$A42,"",IFERROR(INDEX(RES_LOTSRC,MATCH($A42,RES_LOTEFF,0)),""))))</f>
        <v/>
      </c>
      <c r="N42" s="26" t="str">
        <f aca="false">IF($A42="","",IF($B42&lt;&gt;"",$B42,IF($M42="","",IFERROR(INDEX($B$5:$B$204,MATCH($M42,$A$5:$A$204,0)),""))))</f>
        <v/>
      </c>
      <c r="O42" s="26" t="str">
        <f aca="false">IF($A42="","",IF($C42&lt;&gt;"",$C42,IF($M42="","",IFERROR(INDEX($C$5:$C$204,MATCH($M42,$A$5:$A$204,0)),""))))</f>
        <v/>
      </c>
      <c r="P42" s="26" t="str">
        <f aca="false">IF($A42="","",IF($D42&lt;&gt;"",$D42,IF($M42="","",IFERROR(INDEX($D$5:$D$204,MATCH($M42,$A$5:$A$204,0)),""))))</f>
        <v/>
      </c>
      <c r="Q42" s="26" t="str">
        <f aca="false">IF($A42="","",IF($G42&lt;&gt;"",$G42,IF($M42="","",IFERROR(INDEX($G$5:$G$204,MATCH($M42,$A$5:$A$204,0)),""))))</f>
        <v/>
      </c>
      <c r="R42" s="27" t="str">
        <f aca="false">IF($A42="","",SUMIFS(MVT_NET,MVT_LOT,$A42))</f>
        <v/>
      </c>
      <c r="S42" s="28" t="str">
        <f aca="false">IF($A42="","",COUNTIFS(MVT_LOT,$A42,MVT_BRUT,"&lt;&gt;0"))</f>
        <v/>
      </c>
      <c r="T42" s="28" t="str">
        <f aca="false">IF($A42="","",COUNTIFS(QC_LOT,$A42))</f>
        <v/>
      </c>
      <c r="U42" s="26" t="str">
        <f aca="false">IF($A42="","",IF(COUNTIF($A$5:$A$204,$A42)&gt;1,IF(SUMPRODUCT(($A$5:$A$204=$A42)*(($B$5:$B$204&lt;&gt;$B42)+($C$5:$C$204&lt;&gt;$C42)))&gt;0,"INCOHERENCE","LOT EN DOUBLE"),"OK"))</f>
        <v/>
      </c>
    </row>
    <row r="43" customFormat="false" ht="15" hidden="false" customHeight="false" outlineLevel="0" collapsed="false">
      <c r="A43" s="24"/>
      <c r="B43" s="24"/>
      <c r="C43" s="24"/>
      <c r="D43" s="24"/>
      <c r="E43" s="24"/>
      <c r="F43" s="24"/>
      <c r="G43" s="24"/>
      <c r="H43" s="24"/>
      <c r="I43" s="24"/>
      <c r="J43" s="25"/>
      <c r="K43" s="24"/>
      <c r="L43" s="24"/>
      <c r="M43" s="26" t="str">
        <f aca="false">IF($A43="","",IF($K43&lt;&gt;"",$K43,IF(IFERROR(INDEX(RES_LOTSRC,MATCH($A43,RES_LOTEFF,0)),"")=$A43,"",IFERROR(INDEX(RES_LOTSRC,MATCH($A43,RES_LOTEFF,0)),""))))</f>
        <v/>
      </c>
      <c r="N43" s="26" t="str">
        <f aca="false">IF($A43="","",IF($B43&lt;&gt;"",$B43,IF($M43="","",IFERROR(INDEX($B$5:$B$204,MATCH($M43,$A$5:$A$204,0)),""))))</f>
        <v/>
      </c>
      <c r="O43" s="26" t="str">
        <f aca="false">IF($A43="","",IF($C43&lt;&gt;"",$C43,IF($M43="","",IFERROR(INDEX($C$5:$C$204,MATCH($M43,$A$5:$A$204,0)),""))))</f>
        <v/>
      </c>
      <c r="P43" s="26" t="str">
        <f aca="false">IF($A43="","",IF($D43&lt;&gt;"",$D43,IF($M43="","",IFERROR(INDEX($D$5:$D$204,MATCH($M43,$A$5:$A$204,0)),""))))</f>
        <v/>
      </c>
      <c r="Q43" s="26" t="str">
        <f aca="false">IF($A43="","",IF($G43&lt;&gt;"",$G43,IF($M43="","",IFERROR(INDEX($G$5:$G$204,MATCH($M43,$A$5:$A$204,0)),""))))</f>
        <v/>
      </c>
      <c r="R43" s="27" t="str">
        <f aca="false">IF($A43="","",SUMIFS(MVT_NET,MVT_LOT,$A43))</f>
        <v/>
      </c>
      <c r="S43" s="28" t="str">
        <f aca="false">IF($A43="","",COUNTIFS(MVT_LOT,$A43,MVT_BRUT,"&lt;&gt;0"))</f>
        <v/>
      </c>
      <c r="T43" s="28" t="str">
        <f aca="false">IF($A43="","",COUNTIFS(QC_LOT,$A43))</f>
        <v/>
      </c>
      <c r="U43" s="26" t="str">
        <f aca="false">IF($A43="","",IF(COUNTIF($A$5:$A$204,$A43)&gt;1,IF(SUMPRODUCT(($A$5:$A$204=$A43)*(($B$5:$B$204&lt;&gt;$B43)+($C$5:$C$204&lt;&gt;$C43)))&gt;0,"INCOHERENCE","LOT EN DOUBLE"),"OK"))</f>
        <v/>
      </c>
    </row>
    <row r="44" customFormat="false" ht="15" hidden="false" customHeight="false" outlineLevel="0" collapsed="false">
      <c r="A44" s="24"/>
      <c r="B44" s="24"/>
      <c r="C44" s="24"/>
      <c r="D44" s="24"/>
      <c r="E44" s="24"/>
      <c r="F44" s="24"/>
      <c r="G44" s="24"/>
      <c r="H44" s="24"/>
      <c r="I44" s="24"/>
      <c r="J44" s="25"/>
      <c r="K44" s="24"/>
      <c r="L44" s="24"/>
      <c r="M44" s="26" t="str">
        <f aca="false">IF($A44="","",IF($K44&lt;&gt;"",$K44,IF(IFERROR(INDEX(RES_LOTSRC,MATCH($A44,RES_LOTEFF,0)),"")=$A44,"",IFERROR(INDEX(RES_LOTSRC,MATCH($A44,RES_LOTEFF,0)),""))))</f>
        <v/>
      </c>
      <c r="N44" s="26" t="str">
        <f aca="false">IF($A44="","",IF($B44&lt;&gt;"",$B44,IF($M44="","",IFERROR(INDEX($B$5:$B$204,MATCH($M44,$A$5:$A$204,0)),""))))</f>
        <v/>
      </c>
      <c r="O44" s="26" t="str">
        <f aca="false">IF($A44="","",IF($C44&lt;&gt;"",$C44,IF($M44="","",IFERROR(INDEX($C$5:$C$204,MATCH($M44,$A$5:$A$204,0)),""))))</f>
        <v/>
      </c>
      <c r="P44" s="26" t="str">
        <f aca="false">IF($A44="","",IF($D44&lt;&gt;"",$D44,IF($M44="","",IFERROR(INDEX($D$5:$D$204,MATCH($M44,$A$5:$A$204,0)),""))))</f>
        <v/>
      </c>
      <c r="Q44" s="26" t="str">
        <f aca="false">IF($A44="","",IF($G44&lt;&gt;"",$G44,IF($M44="","",IFERROR(INDEX($G$5:$G$204,MATCH($M44,$A$5:$A$204,0)),""))))</f>
        <v/>
      </c>
      <c r="R44" s="27" t="str">
        <f aca="false">IF($A44="","",SUMIFS(MVT_NET,MVT_LOT,$A44))</f>
        <v/>
      </c>
      <c r="S44" s="28" t="str">
        <f aca="false">IF($A44="","",COUNTIFS(MVT_LOT,$A44,MVT_BRUT,"&lt;&gt;0"))</f>
        <v/>
      </c>
      <c r="T44" s="28" t="str">
        <f aca="false">IF($A44="","",COUNTIFS(QC_LOT,$A44))</f>
        <v/>
      </c>
      <c r="U44" s="26" t="str">
        <f aca="false">IF($A44="","",IF(COUNTIF($A$5:$A$204,$A44)&gt;1,IF(SUMPRODUCT(($A$5:$A$204=$A44)*(($B$5:$B$204&lt;&gt;$B44)+($C$5:$C$204&lt;&gt;$C44)))&gt;0,"INCOHERENCE","LOT EN DOUBLE"),"OK"))</f>
        <v/>
      </c>
    </row>
    <row r="45" customFormat="false" ht="15" hidden="false" customHeight="false" outlineLevel="0" collapsed="false">
      <c r="A45" s="24"/>
      <c r="B45" s="24"/>
      <c r="C45" s="24"/>
      <c r="D45" s="24"/>
      <c r="E45" s="24"/>
      <c r="F45" s="24"/>
      <c r="G45" s="24"/>
      <c r="H45" s="24"/>
      <c r="I45" s="24"/>
      <c r="J45" s="25"/>
      <c r="K45" s="24"/>
      <c r="L45" s="24"/>
      <c r="M45" s="26" t="str">
        <f aca="false">IF($A45="","",IF($K45&lt;&gt;"",$K45,IF(IFERROR(INDEX(RES_LOTSRC,MATCH($A45,RES_LOTEFF,0)),"")=$A45,"",IFERROR(INDEX(RES_LOTSRC,MATCH($A45,RES_LOTEFF,0)),""))))</f>
        <v/>
      </c>
      <c r="N45" s="26" t="str">
        <f aca="false">IF($A45="","",IF($B45&lt;&gt;"",$B45,IF($M45="","",IFERROR(INDEX($B$5:$B$204,MATCH($M45,$A$5:$A$204,0)),""))))</f>
        <v/>
      </c>
      <c r="O45" s="26" t="str">
        <f aca="false">IF($A45="","",IF($C45&lt;&gt;"",$C45,IF($M45="","",IFERROR(INDEX($C$5:$C$204,MATCH($M45,$A$5:$A$204,0)),""))))</f>
        <v/>
      </c>
      <c r="P45" s="26" t="str">
        <f aca="false">IF($A45="","",IF($D45&lt;&gt;"",$D45,IF($M45="","",IFERROR(INDEX($D$5:$D$204,MATCH($M45,$A$5:$A$204,0)),""))))</f>
        <v/>
      </c>
      <c r="Q45" s="26" t="str">
        <f aca="false">IF($A45="","",IF($G45&lt;&gt;"",$G45,IF($M45="","",IFERROR(INDEX($G$5:$G$204,MATCH($M45,$A$5:$A$204,0)),""))))</f>
        <v/>
      </c>
      <c r="R45" s="27" t="str">
        <f aca="false">IF($A45="","",SUMIFS(MVT_NET,MVT_LOT,$A45))</f>
        <v/>
      </c>
      <c r="S45" s="28" t="str">
        <f aca="false">IF($A45="","",COUNTIFS(MVT_LOT,$A45,MVT_BRUT,"&lt;&gt;0"))</f>
        <v/>
      </c>
      <c r="T45" s="28" t="str">
        <f aca="false">IF($A45="","",COUNTIFS(QC_LOT,$A45))</f>
        <v/>
      </c>
      <c r="U45" s="26" t="str">
        <f aca="false">IF($A45="","",IF(COUNTIF($A$5:$A$204,$A45)&gt;1,IF(SUMPRODUCT(($A$5:$A$204=$A45)*(($B$5:$B$204&lt;&gt;$B45)+($C$5:$C$204&lt;&gt;$C45)))&gt;0,"INCOHERENCE","LOT EN DOUBLE"),"OK"))</f>
        <v/>
      </c>
    </row>
    <row r="46" customFormat="false" ht="15" hidden="false" customHeight="false" outlineLevel="0" collapsed="false">
      <c r="A46" s="24"/>
      <c r="B46" s="24"/>
      <c r="C46" s="24"/>
      <c r="D46" s="24"/>
      <c r="E46" s="24"/>
      <c r="F46" s="24"/>
      <c r="G46" s="24"/>
      <c r="H46" s="24"/>
      <c r="I46" s="24"/>
      <c r="J46" s="25"/>
      <c r="K46" s="24"/>
      <c r="L46" s="24"/>
      <c r="M46" s="26" t="str">
        <f aca="false">IF($A46="","",IF($K46&lt;&gt;"",$K46,IF(IFERROR(INDEX(RES_LOTSRC,MATCH($A46,RES_LOTEFF,0)),"")=$A46,"",IFERROR(INDEX(RES_LOTSRC,MATCH($A46,RES_LOTEFF,0)),""))))</f>
        <v/>
      </c>
      <c r="N46" s="26" t="str">
        <f aca="false">IF($A46="","",IF($B46&lt;&gt;"",$B46,IF($M46="","",IFERROR(INDEX($B$5:$B$204,MATCH($M46,$A$5:$A$204,0)),""))))</f>
        <v/>
      </c>
      <c r="O46" s="26" t="str">
        <f aca="false">IF($A46="","",IF($C46&lt;&gt;"",$C46,IF($M46="","",IFERROR(INDEX($C$5:$C$204,MATCH($M46,$A$5:$A$204,0)),""))))</f>
        <v/>
      </c>
      <c r="P46" s="26" t="str">
        <f aca="false">IF($A46="","",IF($D46&lt;&gt;"",$D46,IF($M46="","",IFERROR(INDEX($D$5:$D$204,MATCH($M46,$A$5:$A$204,0)),""))))</f>
        <v/>
      </c>
      <c r="Q46" s="26" t="str">
        <f aca="false">IF($A46="","",IF($G46&lt;&gt;"",$G46,IF($M46="","",IFERROR(INDEX($G$5:$G$204,MATCH($M46,$A$5:$A$204,0)),""))))</f>
        <v/>
      </c>
      <c r="R46" s="27" t="str">
        <f aca="false">IF($A46="","",SUMIFS(MVT_NET,MVT_LOT,$A46))</f>
        <v/>
      </c>
      <c r="S46" s="28" t="str">
        <f aca="false">IF($A46="","",COUNTIFS(MVT_LOT,$A46,MVT_BRUT,"&lt;&gt;0"))</f>
        <v/>
      </c>
      <c r="T46" s="28" t="str">
        <f aca="false">IF($A46="","",COUNTIFS(QC_LOT,$A46))</f>
        <v/>
      </c>
      <c r="U46" s="26" t="str">
        <f aca="false">IF($A46="","",IF(COUNTIF($A$5:$A$204,$A46)&gt;1,IF(SUMPRODUCT(($A$5:$A$204=$A46)*(($B$5:$B$204&lt;&gt;$B46)+($C$5:$C$204&lt;&gt;$C46)))&gt;0,"INCOHERENCE","LOT EN DOUBLE"),"OK"))</f>
        <v/>
      </c>
    </row>
    <row r="47" customFormat="false" ht="15" hidden="false" customHeight="false" outlineLevel="0" collapsed="false">
      <c r="A47" s="24"/>
      <c r="B47" s="24"/>
      <c r="C47" s="24"/>
      <c r="D47" s="24"/>
      <c r="E47" s="24"/>
      <c r="F47" s="24"/>
      <c r="G47" s="24"/>
      <c r="H47" s="24"/>
      <c r="I47" s="24"/>
      <c r="J47" s="25"/>
      <c r="K47" s="24"/>
      <c r="L47" s="24"/>
      <c r="M47" s="26" t="str">
        <f aca="false">IF($A47="","",IF($K47&lt;&gt;"",$K47,IF(IFERROR(INDEX(RES_LOTSRC,MATCH($A47,RES_LOTEFF,0)),"")=$A47,"",IFERROR(INDEX(RES_LOTSRC,MATCH($A47,RES_LOTEFF,0)),""))))</f>
        <v/>
      </c>
      <c r="N47" s="26" t="str">
        <f aca="false">IF($A47="","",IF($B47&lt;&gt;"",$B47,IF($M47="","",IFERROR(INDEX($B$5:$B$204,MATCH($M47,$A$5:$A$204,0)),""))))</f>
        <v/>
      </c>
      <c r="O47" s="26" t="str">
        <f aca="false">IF($A47="","",IF($C47&lt;&gt;"",$C47,IF($M47="","",IFERROR(INDEX($C$5:$C$204,MATCH($M47,$A$5:$A$204,0)),""))))</f>
        <v/>
      </c>
      <c r="P47" s="26" t="str">
        <f aca="false">IF($A47="","",IF($D47&lt;&gt;"",$D47,IF($M47="","",IFERROR(INDEX($D$5:$D$204,MATCH($M47,$A$5:$A$204,0)),""))))</f>
        <v/>
      </c>
      <c r="Q47" s="26" t="str">
        <f aca="false">IF($A47="","",IF($G47&lt;&gt;"",$G47,IF($M47="","",IFERROR(INDEX($G$5:$G$204,MATCH($M47,$A$5:$A$204,0)),""))))</f>
        <v/>
      </c>
      <c r="R47" s="27" t="str">
        <f aca="false">IF($A47="","",SUMIFS(MVT_NET,MVT_LOT,$A47))</f>
        <v/>
      </c>
      <c r="S47" s="28" t="str">
        <f aca="false">IF($A47="","",COUNTIFS(MVT_LOT,$A47,MVT_BRUT,"&lt;&gt;0"))</f>
        <v/>
      </c>
      <c r="T47" s="28" t="str">
        <f aca="false">IF($A47="","",COUNTIFS(QC_LOT,$A47))</f>
        <v/>
      </c>
      <c r="U47" s="26" t="str">
        <f aca="false">IF($A47="","",IF(COUNTIF($A$5:$A$204,$A47)&gt;1,IF(SUMPRODUCT(($A$5:$A$204=$A47)*(($B$5:$B$204&lt;&gt;$B47)+($C$5:$C$204&lt;&gt;$C47)))&gt;0,"INCOHERENCE","LOT EN DOUBLE"),"OK"))</f>
        <v/>
      </c>
    </row>
    <row r="48" customFormat="false" ht="15" hidden="false" customHeight="false" outlineLevel="0" collapsed="false">
      <c r="A48" s="24"/>
      <c r="B48" s="24"/>
      <c r="C48" s="24"/>
      <c r="D48" s="24"/>
      <c r="E48" s="24"/>
      <c r="F48" s="24"/>
      <c r="G48" s="24"/>
      <c r="H48" s="24"/>
      <c r="I48" s="24"/>
      <c r="J48" s="25"/>
      <c r="K48" s="24"/>
      <c r="L48" s="24"/>
      <c r="M48" s="26" t="str">
        <f aca="false">IF($A48="","",IF($K48&lt;&gt;"",$K48,IF(IFERROR(INDEX(RES_LOTSRC,MATCH($A48,RES_LOTEFF,0)),"")=$A48,"",IFERROR(INDEX(RES_LOTSRC,MATCH($A48,RES_LOTEFF,0)),""))))</f>
        <v/>
      </c>
      <c r="N48" s="26" t="str">
        <f aca="false">IF($A48="","",IF($B48&lt;&gt;"",$B48,IF($M48="","",IFERROR(INDEX($B$5:$B$204,MATCH($M48,$A$5:$A$204,0)),""))))</f>
        <v/>
      </c>
      <c r="O48" s="26" t="str">
        <f aca="false">IF($A48="","",IF($C48&lt;&gt;"",$C48,IF($M48="","",IFERROR(INDEX($C$5:$C$204,MATCH($M48,$A$5:$A$204,0)),""))))</f>
        <v/>
      </c>
      <c r="P48" s="26" t="str">
        <f aca="false">IF($A48="","",IF($D48&lt;&gt;"",$D48,IF($M48="","",IFERROR(INDEX($D$5:$D$204,MATCH($M48,$A$5:$A$204,0)),""))))</f>
        <v/>
      </c>
      <c r="Q48" s="26" t="str">
        <f aca="false">IF($A48="","",IF($G48&lt;&gt;"",$G48,IF($M48="","",IFERROR(INDEX($G$5:$G$204,MATCH($M48,$A$5:$A$204,0)),""))))</f>
        <v/>
      </c>
      <c r="R48" s="27" t="str">
        <f aca="false">IF($A48="","",SUMIFS(MVT_NET,MVT_LOT,$A48))</f>
        <v/>
      </c>
      <c r="S48" s="28" t="str">
        <f aca="false">IF($A48="","",COUNTIFS(MVT_LOT,$A48,MVT_BRUT,"&lt;&gt;0"))</f>
        <v/>
      </c>
      <c r="T48" s="28" t="str">
        <f aca="false">IF($A48="","",COUNTIFS(QC_LOT,$A48))</f>
        <v/>
      </c>
      <c r="U48" s="26" t="str">
        <f aca="false">IF($A48="","",IF(COUNTIF($A$5:$A$204,$A48)&gt;1,IF(SUMPRODUCT(($A$5:$A$204=$A48)*(($B$5:$B$204&lt;&gt;$B48)+($C$5:$C$204&lt;&gt;$C48)))&gt;0,"INCOHERENCE","LOT EN DOUBLE"),"OK"))</f>
        <v/>
      </c>
    </row>
    <row r="49" customFormat="false" ht="15" hidden="false" customHeight="false" outlineLevel="0" collapsed="false">
      <c r="A49" s="24"/>
      <c r="B49" s="24"/>
      <c r="C49" s="24"/>
      <c r="D49" s="24"/>
      <c r="E49" s="24"/>
      <c r="F49" s="24"/>
      <c r="G49" s="24"/>
      <c r="H49" s="24"/>
      <c r="I49" s="24"/>
      <c r="J49" s="25"/>
      <c r="K49" s="24"/>
      <c r="L49" s="24"/>
      <c r="M49" s="26" t="str">
        <f aca="false">IF($A49="","",IF($K49&lt;&gt;"",$K49,IF(IFERROR(INDEX(RES_LOTSRC,MATCH($A49,RES_LOTEFF,0)),"")=$A49,"",IFERROR(INDEX(RES_LOTSRC,MATCH($A49,RES_LOTEFF,0)),""))))</f>
        <v/>
      </c>
      <c r="N49" s="26" t="str">
        <f aca="false">IF($A49="","",IF($B49&lt;&gt;"",$B49,IF($M49="","",IFERROR(INDEX($B$5:$B$204,MATCH($M49,$A$5:$A$204,0)),""))))</f>
        <v/>
      </c>
      <c r="O49" s="26" t="str">
        <f aca="false">IF($A49="","",IF($C49&lt;&gt;"",$C49,IF($M49="","",IFERROR(INDEX($C$5:$C$204,MATCH($M49,$A$5:$A$204,0)),""))))</f>
        <v/>
      </c>
      <c r="P49" s="26" t="str">
        <f aca="false">IF($A49="","",IF($D49&lt;&gt;"",$D49,IF($M49="","",IFERROR(INDEX($D$5:$D$204,MATCH($M49,$A$5:$A$204,0)),""))))</f>
        <v/>
      </c>
      <c r="Q49" s="26" t="str">
        <f aca="false">IF($A49="","",IF($G49&lt;&gt;"",$G49,IF($M49="","",IFERROR(INDEX($G$5:$G$204,MATCH($M49,$A$5:$A$204,0)),""))))</f>
        <v/>
      </c>
      <c r="R49" s="27" t="str">
        <f aca="false">IF($A49="","",SUMIFS(MVT_NET,MVT_LOT,$A49))</f>
        <v/>
      </c>
      <c r="S49" s="28" t="str">
        <f aca="false">IF($A49="","",COUNTIFS(MVT_LOT,$A49,MVT_BRUT,"&lt;&gt;0"))</f>
        <v/>
      </c>
      <c r="T49" s="28" t="str">
        <f aca="false">IF($A49="","",COUNTIFS(QC_LOT,$A49))</f>
        <v/>
      </c>
      <c r="U49" s="26" t="str">
        <f aca="false">IF($A49="","",IF(COUNTIF($A$5:$A$204,$A49)&gt;1,IF(SUMPRODUCT(($A$5:$A$204=$A49)*(($B$5:$B$204&lt;&gt;$B49)+($C$5:$C$204&lt;&gt;$C49)))&gt;0,"INCOHERENCE","LOT EN DOUBLE"),"OK"))</f>
        <v/>
      </c>
    </row>
    <row r="50" customFormat="false" ht="15" hidden="false" customHeight="false" outlineLevel="0" collapsed="false">
      <c r="A50" s="24"/>
      <c r="B50" s="24"/>
      <c r="C50" s="24"/>
      <c r="D50" s="24"/>
      <c r="E50" s="24"/>
      <c r="F50" s="24"/>
      <c r="G50" s="24"/>
      <c r="H50" s="24"/>
      <c r="I50" s="24"/>
      <c r="J50" s="25"/>
      <c r="K50" s="24"/>
      <c r="L50" s="24"/>
      <c r="M50" s="26" t="str">
        <f aca="false">IF($A50="","",IF($K50&lt;&gt;"",$K50,IF(IFERROR(INDEX(RES_LOTSRC,MATCH($A50,RES_LOTEFF,0)),"")=$A50,"",IFERROR(INDEX(RES_LOTSRC,MATCH($A50,RES_LOTEFF,0)),""))))</f>
        <v/>
      </c>
      <c r="N50" s="26" t="str">
        <f aca="false">IF($A50="","",IF($B50&lt;&gt;"",$B50,IF($M50="","",IFERROR(INDEX($B$5:$B$204,MATCH($M50,$A$5:$A$204,0)),""))))</f>
        <v/>
      </c>
      <c r="O50" s="26" t="str">
        <f aca="false">IF($A50="","",IF($C50&lt;&gt;"",$C50,IF($M50="","",IFERROR(INDEX($C$5:$C$204,MATCH($M50,$A$5:$A$204,0)),""))))</f>
        <v/>
      </c>
      <c r="P50" s="26" t="str">
        <f aca="false">IF($A50="","",IF($D50&lt;&gt;"",$D50,IF($M50="","",IFERROR(INDEX($D$5:$D$204,MATCH($M50,$A$5:$A$204,0)),""))))</f>
        <v/>
      </c>
      <c r="Q50" s="26" t="str">
        <f aca="false">IF($A50="","",IF($G50&lt;&gt;"",$G50,IF($M50="","",IFERROR(INDEX($G$5:$G$204,MATCH($M50,$A$5:$A$204,0)),""))))</f>
        <v/>
      </c>
      <c r="R50" s="27" t="str">
        <f aca="false">IF($A50="","",SUMIFS(MVT_NET,MVT_LOT,$A50))</f>
        <v/>
      </c>
      <c r="S50" s="28" t="str">
        <f aca="false">IF($A50="","",COUNTIFS(MVT_LOT,$A50,MVT_BRUT,"&lt;&gt;0"))</f>
        <v/>
      </c>
      <c r="T50" s="28" t="str">
        <f aca="false">IF($A50="","",COUNTIFS(QC_LOT,$A50))</f>
        <v/>
      </c>
      <c r="U50" s="26" t="str">
        <f aca="false">IF($A50="","",IF(COUNTIF($A$5:$A$204,$A50)&gt;1,IF(SUMPRODUCT(($A$5:$A$204=$A50)*(($B$5:$B$204&lt;&gt;$B50)+($C$5:$C$204&lt;&gt;$C50)))&gt;0,"INCOHERENCE","LOT EN DOUBLE"),"OK"))</f>
        <v/>
      </c>
    </row>
    <row r="51" customFormat="false" ht="15" hidden="false" customHeight="false" outlineLevel="0" collapsed="false">
      <c r="A51" s="24"/>
      <c r="B51" s="24"/>
      <c r="C51" s="24"/>
      <c r="D51" s="24"/>
      <c r="E51" s="24"/>
      <c r="F51" s="24"/>
      <c r="G51" s="24"/>
      <c r="H51" s="24"/>
      <c r="I51" s="24"/>
      <c r="J51" s="25"/>
      <c r="K51" s="24"/>
      <c r="L51" s="24"/>
      <c r="M51" s="26" t="str">
        <f aca="false">IF($A51="","",IF($K51&lt;&gt;"",$K51,IF(IFERROR(INDEX(RES_LOTSRC,MATCH($A51,RES_LOTEFF,0)),"")=$A51,"",IFERROR(INDEX(RES_LOTSRC,MATCH($A51,RES_LOTEFF,0)),""))))</f>
        <v/>
      </c>
      <c r="N51" s="26" t="str">
        <f aca="false">IF($A51="","",IF($B51&lt;&gt;"",$B51,IF($M51="","",IFERROR(INDEX($B$5:$B$204,MATCH($M51,$A$5:$A$204,0)),""))))</f>
        <v/>
      </c>
      <c r="O51" s="26" t="str">
        <f aca="false">IF($A51="","",IF($C51&lt;&gt;"",$C51,IF($M51="","",IFERROR(INDEX($C$5:$C$204,MATCH($M51,$A$5:$A$204,0)),""))))</f>
        <v/>
      </c>
      <c r="P51" s="26" t="str">
        <f aca="false">IF($A51="","",IF($D51&lt;&gt;"",$D51,IF($M51="","",IFERROR(INDEX($D$5:$D$204,MATCH($M51,$A$5:$A$204,0)),""))))</f>
        <v/>
      </c>
      <c r="Q51" s="26" t="str">
        <f aca="false">IF($A51="","",IF($G51&lt;&gt;"",$G51,IF($M51="","",IFERROR(INDEX($G$5:$G$204,MATCH($M51,$A$5:$A$204,0)),""))))</f>
        <v/>
      </c>
      <c r="R51" s="27" t="str">
        <f aca="false">IF($A51="","",SUMIFS(MVT_NET,MVT_LOT,$A51))</f>
        <v/>
      </c>
      <c r="S51" s="28" t="str">
        <f aca="false">IF($A51="","",COUNTIFS(MVT_LOT,$A51,MVT_BRUT,"&lt;&gt;0"))</f>
        <v/>
      </c>
      <c r="T51" s="28" t="str">
        <f aca="false">IF($A51="","",COUNTIFS(QC_LOT,$A51))</f>
        <v/>
      </c>
      <c r="U51" s="26" t="str">
        <f aca="false">IF($A51="","",IF(COUNTIF($A$5:$A$204,$A51)&gt;1,IF(SUMPRODUCT(($A$5:$A$204=$A51)*(($B$5:$B$204&lt;&gt;$B51)+($C$5:$C$204&lt;&gt;$C51)))&gt;0,"INCOHERENCE","LOT EN DOUBLE"),"OK"))</f>
        <v/>
      </c>
    </row>
    <row r="52" customFormat="false" ht="15" hidden="false" customHeight="false" outlineLevel="0" collapsed="false">
      <c r="A52" s="24"/>
      <c r="B52" s="24"/>
      <c r="C52" s="24"/>
      <c r="D52" s="24"/>
      <c r="E52" s="24"/>
      <c r="F52" s="24"/>
      <c r="G52" s="24"/>
      <c r="H52" s="24"/>
      <c r="I52" s="24"/>
      <c r="J52" s="25"/>
      <c r="K52" s="24"/>
      <c r="L52" s="24"/>
      <c r="M52" s="26" t="str">
        <f aca="false">IF($A52="","",IF($K52&lt;&gt;"",$K52,IF(IFERROR(INDEX(RES_LOTSRC,MATCH($A52,RES_LOTEFF,0)),"")=$A52,"",IFERROR(INDEX(RES_LOTSRC,MATCH($A52,RES_LOTEFF,0)),""))))</f>
        <v/>
      </c>
      <c r="N52" s="26" t="str">
        <f aca="false">IF($A52="","",IF($B52&lt;&gt;"",$B52,IF($M52="","",IFERROR(INDEX($B$5:$B$204,MATCH($M52,$A$5:$A$204,0)),""))))</f>
        <v/>
      </c>
      <c r="O52" s="26" t="str">
        <f aca="false">IF($A52="","",IF($C52&lt;&gt;"",$C52,IF($M52="","",IFERROR(INDEX($C$5:$C$204,MATCH($M52,$A$5:$A$204,0)),""))))</f>
        <v/>
      </c>
      <c r="P52" s="26" t="str">
        <f aca="false">IF($A52="","",IF($D52&lt;&gt;"",$D52,IF($M52="","",IFERROR(INDEX($D$5:$D$204,MATCH($M52,$A$5:$A$204,0)),""))))</f>
        <v/>
      </c>
      <c r="Q52" s="26" t="str">
        <f aca="false">IF($A52="","",IF($G52&lt;&gt;"",$G52,IF($M52="","",IFERROR(INDEX($G$5:$G$204,MATCH($M52,$A$5:$A$204,0)),""))))</f>
        <v/>
      </c>
      <c r="R52" s="27" t="str">
        <f aca="false">IF($A52="","",SUMIFS(MVT_NET,MVT_LOT,$A52))</f>
        <v/>
      </c>
      <c r="S52" s="28" t="str">
        <f aca="false">IF($A52="","",COUNTIFS(MVT_LOT,$A52,MVT_BRUT,"&lt;&gt;0"))</f>
        <v/>
      </c>
      <c r="T52" s="28" t="str">
        <f aca="false">IF($A52="","",COUNTIFS(QC_LOT,$A52))</f>
        <v/>
      </c>
      <c r="U52" s="26" t="str">
        <f aca="false">IF($A52="","",IF(COUNTIF($A$5:$A$204,$A52)&gt;1,IF(SUMPRODUCT(($A$5:$A$204=$A52)*(($B$5:$B$204&lt;&gt;$B52)+($C$5:$C$204&lt;&gt;$C52)))&gt;0,"INCOHERENCE","LOT EN DOUBLE"),"OK"))</f>
        <v/>
      </c>
    </row>
    <row r="53" customFormat="false" ht="15" hidden="false" customHeight="false" outlineLevel="0" collapsed="false">
      <c r="A53" s="24"/>
      <c r="B53" s="24"/>
      <c r="C53" s="24"/>
      <c r="D53" s="24"/>
      <c r="E53" s="24"/>
      <c r="F53" s="24"/>
      <c r="G53" s="24"/>
      <c r="H53" s="24"/>
      <c r="I53" s="24"/>
      <c r="J53" s="25"/>
      <c r="K53" s="24"/>
      <c r="L53" s="24"/>
      <c r="M53" s="26" t="str">
        <f aca="false">IF($A53="","",IF($K53&lt;&gt;"",$K53,IF(IFERROR(INDEX(RES_LOTSRC,MATCH($A53,RES_LOTEFF,0)),"")=$A53,"",IFERROR(INDEX(RES_LOTSRC,MATCH($A53,RES_LOTEFF,0)),""))))</f>
        <v/>
      </c>
      <c r="N53" s="26" t="str">
        <f aca="false">IF($A53="","",IF($B53&lt;&gt;"",$B53,IF($M53="","",IFERROR(INDEX($B$5:$B$204,MATCH($M53,$A$5:$A$204,0)),""))))</f>
        <v/>
      </c>
      <c r="O53" s="26" t="str">
        <f aca="false">IF($A53="","",IF($C53&lt;&gt;"",$C53,IF($M53="","",IFERROR(INDEX($C$5:$C$204,MATCH($M53,$A$5:$A$204,0)),""))))</f>
        <v/>
      </c>
      <c r="P53" s="26" t="str">
        <f aca="false">IF($A53="","",IF($D53&lt;&gt;"",$D53,IF($M53="","",IFERROR(INDEX($D$5:$D$204,MATCH($M53,$A$5:$A$204,0)),""))))</f>
        <v/>
      </c>
      <c r="Q53" s="26" t="str">
        <f aca="false">IF($A53="","",IF($G53&lt;&gt;"",$G53,IF($M53="","",IFERROR(INDEX($G$5:$G$204,MATCH($M53,$A$5:$A$204,0)),""))))</f>
        <v/>
      </c>
      <c r="R53" s="27" t="str">
        <f aca="false">IF($A53="","",SUMIFS(MVT_NET,MVT_LOT,$A53))</f>
        <v/>
      </c>
      <c r="S53" s="28" t="str">
        <f aca="false">IF($A53="","",COUNTIFS(MVT_LOT,$A53,MVT_BRUT,"&lt;&gt;0"))</f>
        <v/>
      </c>
      <c r="T53" s="28" t="str">
        <f aca="false">IF($A53="","",COUNTIFS(QC_LOT,$A53))</f>
        <v/>
      </c>
      <c r="U53" s="26" t="str">
        <f aca="false">IF($A53="","",IF(COUNTIF($A$5:$A$204,$A53)&gt;1,IF(SUMPRODUCT(($A$5:$A$204=$A53)*(($B$5:$B$204&lt;&gt;$B53)+($C$5:$C$204&lt;&gt;$C53)))&gt;0,"INCOHERENCE","LOT EN DOUBLE"),"OK"))</f>
        <v/>
      </c>
    </row>
    <row r="54" customFormat="false" ht="15" hidden="false" customHeight="false" outlineLevel="0" collapsed="false">
      <c r="A54" s="24"/>
      <c r="B54" s="24"/>
      <c r="C54" s="24"/>
      <c r="D54" s="24"/>
      <c r="E54" s="24"/>
      <c r="F54" s="24"/>
      <c r="G54" s="24"/>
      <c r="H54" s="24"/>
      <c r="I54" s="24"/>
      <c r="J54" s="25"/>
      <c r="K54" s="24"/>
      <c r="L54" s="24"/>
      <c r="M54" s="26" t="str">
        <f aca="false">IF($A54="","",IF($K54&lt;&gt;"",$K54,IF(IFERROR(INDEX(RES_LOTSRC,MATCH($A54,RES_LOTEFF,0)),"")=$A54,"",IFERROR(INDEX(RES_LOTSRC,MATCH($A54,RES_LOTEFF,0)),""))))</f>
        <v/>
      </c>
      <c r="N54" s="26" t="str">
        <f aca="false">IF($A54="","",IF($B54&lt;&gt;"",$B54,IF($M54="","",IFERROR(INDEX($B$5:$B$204,MATCH($M54,$A$5:$A$204,0)),""))))</f>
        <v/>
      </c>
      <c r="O54" s="26" t="str">
        <f aca="false">IF($A54="","",IF($C54&lt;&gt;"",$C54,IF($M54="","",IFERROR(INDEX($C$5:$C$204,MATCH($M54,$A$5:$A$204,0)),""))))</f>
        <v/>
      </c>
      <c r="P54" s="26" t="str">
        <f aca="false">IF($A54="","",IF($D54&lt;&gt;"",$D54,IF($M54="","",IFERROR(INDEX($D$5:$D$204,MATCH($M54,$A$5:$A$204,0)),""))))</f>
        <v/>
      </c>
      <c r="Q54" s="26" t="str">
        <f aca="false">IF($A54="","",IF($G54&lt;&gt;"",$G54,IF($M54="","",IFERROR(INDEX($G$5:$G$204,MATCH($M54,$A$5:$A$204,0)),""))))</f>
        <v/>
      </c>
      <c r="R54" s="27" t="str">
        <f aca="false">IF($A54="","",SUMIFS(MVT_NET,MVT_LOT,$A54))</f>
        <v/>
      </c>
      <c r="S54" s="28" t="str">
        <f aca="false">IF($A54="","",COUNTIFS(MVT_LOT,$A54,MVT_BRUT,"&lt;&gt;0"))</f>
        <v/>
      </c>
      <c r="T54" s="28" t="str">
        <f aca="false">IF($A54="","",COUNTIFS(QC_LOT,$A54))</f>
        <v/>
      </c>
      <c r="U54" s="26" t="str">
        <f aca="false">IF($A54="","",IF(COUNTIF($A$5:$A$204,$A54)&gt;1,IF(SUMPRODUCT(($A$5:$A$204=$A54)*(($B$5:$B$204&lt;&gt;$B54)+($C$5:$C$204&lt;&gt;$C54)))&gt;0,"INCOHERENCE","LOT EN DOUBLE"),"OK"))</f>
        <v/>
      </c>
    </row>
    <row r="55" customFormat="false" ht="15" hidden="false" customHeight="false" outlineLevel="0" collapsed="false">
      <c r="A55" s="24"/>
      <c r="B55" s="24"/>
      <c r="C55" s="24"/>
      <c r="D55" s="24"/>
      <c r="E55" s="24"/>
      <c r="F55" s="24"/>
      <c r="G55" s="24"/>
      <c r="H55" s="24"/>
      <c r="I55" s="24"/>
      <c r="J55" s="25"/>
      <c r="K55" s="24"/>
      <c r="L55" s="24"/>
      <c r="M55" s="26" t="str">
        <f aca="false">IF($A55="","",IF($K55&lt;&gt;"",$K55,IF(IFERROR(INDEX(RES_LOTSRC,MATCH($A55,RES_LOTEFF,0)),"")=$A55,"",IFERROR(INDEX(RES_LOTSRC,MATCH($A55,RES_LOTEFF,0)),""))))</f>
        <v/>
      </c>
      <c r="N55" s="26" t="str">
        <f aca="false">IF($A55="","",IF($B55&lt;&gt;"",$B55,IF($M55="","",IFERROR(INDEX($B$5:$B$204,MATCH($M55,$A$5:$A$204,0)),""))))</f>
        <v/>
      </c>
      <c r="O55" s="26" t="str">
        <f aca="false">IF($A55="","",IF($C55&lt;&gt;"",$C55,IF($M55="","",IFERROR(INDEX($C$5:$C$204,MATCH($M55,$A$5:$A$204,0)),""))))</f>
        <v/>
      </c>
      <c r="P55" s="26" t="str">
        <f aca="false">IF($A55="","",IF($D55&lt;&gt;"",$D55,IF($M55="","",IFERROR(INDEX($D$5:$D$204,MATCH($M55,$A$5:$A$204,0)),""))))</f>
        <v/>
      </c>
      <c r="Q55" s="26" t="str">
        <f aca="false">IF($A55="","",IF($G55&lt;&gt;"",$G55,IF($M55="","",IFERROR(INDEX($G$5:$G$204,MATCH($M55,$A$5:$A$204,0)),""))))</f>
        <v/>
      </c>
      <c r="R55" s="27" t="str">
        <f aca="false">IF($A55="","",SUMIFS(MVT_NET,MVT_LOT,$A55))</f>
        <v/>
      </c>
      <c r="S55" s="28" t="str">
        <f aca="false">IF($A55="","",COUNTIFS(MVT_LOT,$A55,MVT_BRUT,"&lt;&gt;0"))</f>
        <v/>
      </c>
      <c r="T55" s="28" t="str">
        <f aca="false">IF($A55="","",COUNTIFS(QC_LOT,$A55))</f>
        <v/>
      </c>
      <c r="U55" s="26" t="str">
        <f aca="false">IF($A55="","",IF(COUNTIF($A$5:$A$204,$A55)&gt;1,IF(SUMPRODUCT(($A$5:$A$204=$A55)*(($B$5:$B$204&lt;&gt;$B55)+($C$5:$C$204&lt;&gt;$C55)))&gt;0,"INCOHERENCE","LOT EN DOUBLE"),"OK"))</f>
        <v/>
      </c>
    </row>
    <row r="56" customFormat="false" ht="15" hidden="false" customHeight="false" outlineLevel="0" collapsed="false">
      <c r="A56" s="24"/>
      <c r="B56" s="24"/>
      <c r="C56" s="24"/>
      <c r="D56" s="24"/>
      <c r="E56" s="24"/>
      <c r="F56" s="24"/>
      <c r="G56" s="24"/>
      <c r="H56" s="24"/>
      <c r="I56" s="24"/>
      <c r="J56" s="25"/>
      <c r="K56" s="24"/>
      <c r="L56" s="24"/>
      <c r="M56" s="26" t="str">
        <f aca="false">IF($A56="","",IF($K56&lt;&gt;"",$K56,IF(IFERROR(INDEX(RES_LOTSRC,MATCH($A56,RES_LOTEFF,0)),"")=$A56,"",IFERROR(INDEX(RES_LOTSRC,MATCH($A56,RES_LOTEFF,0)),""))))</f>
        <v/>
      </c>
      <c r="N56" s="26" t="str">
        <f aca="false">IF($A56="","",IF($B56&lt;&gt;"",$B56,IF($M56="","",IFERROR(INDEX($B$5:$B$204,MATCH($M56,$A$5:$A$204,0)),""))))</f>
        <v/>
      </c>
      <c r="O56" s="26" t="str">
        <f aca="false">IF($A56="","",IF($C56&lt;&gt;"",$C56,IF($M56="","",IFERROR(INDEX($C$5:$C$204,MATCH($M56,$A$5:$A$204,0)),""))))</f>
        <v/>
      </c>
      <c r="P56" s="26" t="str">
        <f aca="false">IF($A56="","",IF($D56&lt;&gt;"",$D56,IF($M56="","",IFERROR(INDEX($D$5:$D$204,MATCH($M56,$A$5:$A$204,0)),""))))</f>
        <v/>
      </c>
      <c r="Q56" s="26" t="str">
        <f aca="false">IF($A56="","",IF($G56&lt;&gt;"",$G56,IF($M56="","",IFERROR(INDEX($G$5:$G$204,MATCH($M56,$A$5:$A$204,0)),""))))</f>
        <v/>
      </c>
      <c r="R56" s="27" t="str">
        <f aca="false">IF($A56="","",SUMIFS(MVT_NET,MVT_LOT,$A56))</f>
        <v/>
      </c>
      <c r="S56" s="28" t="str">
        <f aca="false">IF($A56="","",COUNTIFS(MVT_LOT,$A56,MVT_BRUT,"&lt;&gt;0"))</f>
        <v/>
      </c>
      <c r="T56" s="28" t="str">
        <f aca="false">IF($A56="","",COUNTIFS(QC_LOT,$A56))</f>
        <v/>
      </c>
      <c r="U56" s="26" t="str">
        <f aca="false">IF($A56="","",IF(COUNTIF($A$5:$A$204,$A56)&gt;1,IF(SUMPRODUCT(($A$5:$A$204=$A56)*(($B$5:$B$204&lt;&gt;$B56)+($C$5:$C$204&lt;&gt;$C56)))&gt;0,"INCOHERENCE","LOT EN DOUBLE"),"OK"))</f>
        <v/>
      </c>
    </row>
    <row r="57" customFormat="false" ht="15" hidden="false" customHeight="false" outlineLevel="0" collapsed="false">
      <c r="A57" s="24"/>
      <c r="B57" s="24"/>
      <c r="C57" s="24"/>
      <c r="D57" s="24"/>
      <c r="E57" s="24"/>
      <c r="F57" s="24"/>
      <c r="G57" s="24"/>
      <c r="H57" s="24"/>
      <c r="I57" s="24"/>
      <c r="J57" s="25"/>
      <c r="K57" s="24"/>
      <c r="L57" s="24"/>
      <c r="M57" s="26" t="str">
        <f aca="false">IF($A57="","",IF($K57&lt;&gt;"",$K57,IF(IFERROR(INDEX(RES_LOTSRC,MATCH($A57,RES_LOTEFF,0)),"")=$A57,"",IFERROR(INDEX(RES_LOTSRC,MATCH($A57,RES_LOTEFF,0)),""))))</f>
        <v/>
      </c>
      <c r="N57" s="26" t="str">
        <f aca="false">IF($A57="","",IF($B57&lt;&gt;"",$B57,IF($M57="","",IFERROR(INDEX($B$5:$B$204,MATCH($M57,$A$5:$A$204,0)),""))))</f>
        <v/>
      </c>
      <c r="O57" s="26" t="str">
        <f aca="false">IF($A57="","",IF($C57&lt;&gt;"",$C57,IF($M57="","",IFERROR(INDEX($C$5:$C$204,MATCH($M57,$A$5:$A$204,0)),""))))</f>
        <v/>
      </c>
      <c r="P57" s="26" t="str">
        <f aca="false">IF($A57="","",IF($D57&lt;&gt;"",$D57,IF($M57="","",IFERROR(INDEX($D$5:$D$204,MATCH($M57,$A$5:$A$204,0)),""))))</f>
        <v/>
      </c>
      <c r="Q57" s="26" t="str">
        <f aca="false">IF($A57="","",IF($G57&lt;&gt;"",$G57,IF($M57="","",IFERROR(INDEX($G$5:$G$204,MATCH($M57,$A$5:$A$204,0)),""))))</f>
        <v/>
      </c>
      <c r="R57" s="27" t="str">
        <f aca="false">IF($A57="","",SUMIFS(MVT_NET,MVT_LOT,$A57))</f>
        <v/>
      </c>
      <c r="S57" s="28" t="str">
        <f aca="false">IF($A57="","",COUNTIFS(MVT_LOT,$A57,MVT_BRUT,"&lt;&gt;0"))</f>
        <v/>
      </c>
      <c r="T57" s="28" t="str">
        <f aca="false">IF($A57="","",COUNTIFS(QC_LOT,$A57))</f>
        <v/>
      </c>
      <c r="U57" s="26" t="str">
        <f aca="false">IF($A57="","",IF(COUNTIF($A$5:$A$204,$A57)&gt;1,IF(SUMPRODUCT(($A$5:$A$204=$A57)*(($B$5:$B$204&lt;&gt;$B57)+($C$5:$C$204&lt;&gt;$C57)))&gt;0,"INCOHERENCE","LOT EN DOUBLE"),"OK"))</f>
        <v/>
      </c>
    </row>
    <row r="58" customFormat="false" ht="15" hidden="false" customHeight="false" outlineLevel="0" collapsed="false">
      <c r="A58" s="24"/>
      <c r="B58" s="24"/>
      <c r="C58" s="24"/>
      <c r="D58" s="24"/>
      <c r="E58" s="24"/>
      <c r="F58" s="24"/>
      <c r="G58" s="24"/>
      <c r="H58" s="24"/>
      <c r="I58" s="24"/>
      <c r="J58" s="25"/>
      <c r="K58" s="24"/>
      <c r="L58" s="24"/>
      <c r="M58" s="26" t="str">
        <f aca="false">IF($A58="","",IF($K58&lt;&gt;"",$K58,IF(IFERROR(INDEX(RES_LOTSRC,MATCH($A58,RES_LOTEFF,0)),"")=$A58,"",IFERROR(INDEX(RES_LOTSRC,MATCH($A58,RES_LOTEFF,0)),""))))</f>
        <v/>
      </c>
      <c r="N58" s="26" t="str">
        <f aca="false">IF($A58="","",IF($B58&lt;&gt;"",$B58,IF($M58="","",IFERROR(INDEX($B$5:$B$204,MATCH($M58,$A$5:$A$204,0)),""))))</f>
        <v/>
      </c>
      <c r="O58" s="26" t="str">
        <f aca="false">IF($A58="","",IF($C58&lt;&gt;"",$C58,IF($M58="","",IFERROR(INDEX($C$5:$C$204,MATCH($M58,$A$5:$A$204,0)),""))))</f>
        <v/>
      </c>
      <c r="P58" s="26" t="str">
        <f aca="false">IF($A58="","",IF($D58&lt;&gt;"",$D58,IF($M58="","",IFERROR(INDEX($D$5:$D$204,MATCH($M58,$A$5:$A$204,0)),""))))</f>
        <v/>
      </c>
      <c r="Q58" s="26" t="str">
        <f aca="false">IF($A58="","",IF($G58&lt;&gt;"",$G58,IF($M58="","",IFERROR(INDEX($G$5:$G$204,MATCH($M58,$A$5:$A$204,0)),""))))</f>
        <v/>
      </c>
      <c r="R58" s="27" t="str">
        <f aca="false">IF($A58="","",SUMIFS(MVT_NET,MVT_LOT,$A58))</f>
        <v/>
      </c>
      <c r="S58" s="28" t="str">
        <f aca="false">IF($A58="","",COUNTIFS(MVT_LOT,$A58,MVT_BRUT,"&lt;&gt;0"))</f>
        <v/>
      </c>
      <c r="T58" s="28" t="str">
        <f aca="false">IF($A58="","",COUNTIFS(QC_LOT,$A58))</f>
        <v/>
      </c>
      <c r="U58" s="26" t="str">
        <f aca="false">IF($A58="","",IF(COUNTIF($A$5:$A$204,$A58)&gt;1,IF(SUMPRODUCT(($A$5:$A$204=$A58)*(($B$5:$B$204&lt;&gt;$B58)+($C$5:$C$204&lt;&gt;$C58)))&gt;0,"INCOHERENCE","LOT EN DOUBLE"),"OK"))</f>
        <v/>
      </c>
    </row>
    <row r="59" customFormat="false" ht="15" hidden="false" customHeight="false" outlineLevel="0" collapsed="false">
      <c r="A59" s="24"/>
      <c r="B59" s="24"/>
      <c r="C59" s="24"/>
      <c r="D59" s="24"/>
      <c r="E59" s="24"/>
      <c r="F59" s="24"/>
      <c r="G59" s="24"/>
      <c r="H59" s="24"/>
      <c r="I59" s="24"/>
      <c r="J59" s="25"/>
      <c r="K59" s="24"/>
      <c r="L59" s="24"/>
      <c r="M59" s="26" t="str">
        <f aca="false">IF($A59="","",IF($K59&lt;&gt;"",$K59,IF(IFERROR(INDEX(RES_LOTSRC,MATCH($A59,RES_LOTEFF,0)),"")=$A59,"",IFERROR(INDEX(RES_LOTSRC,MATCH($A59,RES_LOTEFF,0)),""))))</f>
        <v/>
      </c>
      <c r="N59" s="26" t="str">
        <f aca="false">IF($A59="","",IF($B59&lt;&gt;"",$B59,IF($M59="","",IFERROR(INDEX($B$5:$B$204,MATCH($M59,$A$5:$A$204,0)),""))))</f>
        <v/>
      </c>
      <c r="O59" s="26" t="str">
        <f aca="false">IF($A59="","",IF($C59&lt;&gt;"",$C59,IF($M59="","",IFERROR(INDEX($C$5:$C$204,MATCH($M59,$A$5:$A$204,0)),""))))</f>
        <v/>
      </c>
      <c r="P59" s="26" t="str">
        <f aca="false">IF($A59="","",IF($D59&lt;&gt;"",$D59,IF($M59="","",IFERROR(INDEX($D$5:$D$204,MATCH($M59,$A$5:$A$204,0)),""))))</f>
        <v/>
      </c>
      <c r="Q59" s="26" t="str">
        <f aca="false">IF($A59="","",IF($G59&lt;&gt;"",$G59,IF($M59="","",IFERROR(INDEX($G$5:$G$204,MATCH($M59,$A$5:$A$204,0)),""))))</f>
        <v/>
      </c>
      <c r="R59" s="27" t="str">
        <f aca="false">IF($A59="","",SUMIFS(MVT_NET,MVT_LOT,$A59))</f>
        <v/>
      </c>
      <c r="S59" s="28" t="str">
        <f aca="false">IF($A59="","",COUNTIFS(MVT_LOT,$A59,MVT_BRUT,"&lt;&gt;0"))</f>
        <v/>
      </c>
      <c r="T59" s="28" t="str">
        <f aca="false">IF($A59="","",COUNTIFS(QC_LOT,$A59))</f>
        <v/>
      </c>
      <c r="U59" s="26" t="str">
        <f aca="false">IF($A59="","",IF(COUNTIF($A$5:$A$204,$A59)&gt;1,IF(SUMPRODUCT(($A$5:$A$204=$A59)*(($B$5:$B$204&lt;&gt;$B59)+($C$5:$C$204&lt;&gt;$C59)))&gt;0,"INCOHERENCE","LOT EN DOUBLE"),"OK"))</f>
        <v/>
      </c>
    </row>
    <row r="60" customFormat="false" ht="15" hidden="false" customHeight="false" outlineLevel="0" collapsed="false">
      <c r="A60" s="24"/>
      <c r="B60" s="24"/>
      <c r="C60" s="24"/>
      <c r="D60" s="24"/>
      <c r="E60" s="24"/>
      <c r="F60" s="24"/>
      <c r="G60" s="24"/>
      <c r="H60" s="24"/>
      <c r="I60" s="24"/>
      <c r="J60" s="25"/>
      <c r="K60" s="24"/>
      <c r="L60" s="24"/>
      <c r="M60" s="26" t="str">
        <f aca="false">IF($A60="","",IF($K60&lt;&gt;"",$K60,IF(IFERROR(INDEX(RES_LOTSRC,MATCH($A60,RES_LOTEFF,0)),"")=$A60,"",IFERROR(INDEX(RES_LOTSRC,MATCH($A60,RES_LOTEFF,0)),""))))</f>
        <v/>
      </c>
      <c r="N60" s="26" t="str">
        <f aca="false">IF($A60="","",IF($B60&lt;&gt;"",$B60,IF($M60="","",IFERROR(INDEX($B$5:$B$204,MATCH($M60,$A$5:$A$204,0)),""))))</f>
        <v/>
      </c>
      <c r="O60" s="26" t="str">
        <f aca="false">IF($A60="","",IF($C60&lt;&gt;"",$C60,IF($M60="","",IFERROR(INDEX($C$5:$C$204,MATCH($M60,$A$5:$A$204,0)),""))))</f>
        <v/>
      </c>
      <c r="P60" s="26" t="str">
        <f aca="false">IF($A60="","",IF($D60&lt;&gt;"",$D60,IF($M60="","",IFERROR(INDEX($D$5:$D$204,MATCH($M60,$A$5:$A$204,0)),""))))</f>
        <v/>
      </c>
      <c r="Q60" s="26" t="str">
        <f aca="false">IF($A60="","",IF($G60&lt;&gt;"",$G60,IF($M60="","",IFERROR(INDEX($G$5:$G$204,MATCH($M60,$A$5:$A$204,0)),""))))</f>
        <v/>
      </c>
      <c r="R60" s="27" t="str">
        <f aca="false">IF($A60="","",SUMIFS(MVT_NET,MVT_LOT,$A60))</f>
        <v/>
      </c>
      <c r="S60" s="28" t="str">
        <f aca="false">IF($A60="","",COUNTIFS(MVT_LOT,$A60,MVT_BRUT,"&lt;&gt;0"))</f>
        <v/>
      </c>
      <c r="T60" s="28" t="str">
        <f aca="false">IF($A60="","",COUNTIFS(QC_LOT,$A60))</f>
        <v/>
      </c>
      <c r="U60" s="26" t="str">
        <f aca="false">IF($A60="","",IF(COUNTIF($A$5:$A$204,$A60)&gt;1,IF(SUMPRODUCT(($A$5:$A$204=$A60)*(($B$5:$B$204&lt;&gt;$B60)+($C$5:$C$204&lt;&gt;$C60)))&gt;0,"INCOHERENCE","LOT EN DOUBLE"),"OK"))</f>
        <v/>
      </c>
    </row>
    <row r="61" customFormat="false" ht="15" hidden="false" customHeight="false" outlineLevel="0" collapsed="false">
      <c r="A61" s="24"/>
      <c r="B61" s="24"/>
      <c r="C61" s="24"/>
      <c r="D61" s="24"/>
      <c r="E61" s="24"/>
      <c r="F61" s="24"/>
      <c r="G61" s="24"/>
      <c r="H61" s="24"/>
      <c r="I61" s="24"/>
      <c r="J61" s="25"/>
      <c r="K61" s="24"/>
      <c r="L61" s="24"/>
      <c r="M61" s="26" t="str">
        <f aca="false">IF($A61="","",IF($K61&lt;&gt;"",$K61,IF(IFERROR(INDEX(RES_LOTSRC,MATCH($A61,RES_LOTEFF,0)),"")=$A61,"",IFERROR(INDEX(RES_LOTSRC,MATCH($A61,RES_LOTEFF,0)),""))))</f>
        <v/>
      </c>
      <c r="N61" s="26" t="str">
        <f aca="false">IF($A61="","",IF($B61&lt;&gt;"",$B61,IF($M61="","",IFERROR(INDEX($B$5:$B$204,MATCH($M61,$A$5:$A$204,0)),""))))</f>
        <v/>
      </c>
      <c r="O61" s="26" t="str">
        <f aca="false">IF($A61="","",IF($C61&lt;&gt;"",$C61,IF($M61="","",IFERROR(INDEX($C$5:$C$204,MATCH($M61,$A$5:$A$204,0)),""))))</f>
        <v/>
      </c>
      <c r="P61" s="26" t="str">
        <f aca="false">IF($A61="","",IF($D61&lt;&gt;"",$D61,IF($M61="","",IFERROR(INDEX($D$5:$D$204,MATCH($M61,$A$5:$A$204,0)),""))))</f>
        <v/>
      </c>
      <c r="Q61" s="26" t="str">
        <f aca="false">IF($A61="","",IF($G61&lt;&gt;"",$G61,IF($M61="","",IFERROR(INDEX($G$5:$G$204,MATCH($M61,$A$5:$A$204,0)),""))))</f>
        <v/>
      </c>
      <c r="R61" s="27" t="str">
        <f aca="false">IF($A61="","",SUMIFS(MVT_NET,MVT_LOT,$A61))</f>
        <v/>
      </c>
      <c r="S61" s="28" t="str">
        <f aca="false">IF($A61="","",COUNTIFS(MVT_LOT,$A61,MVT_BRUT,"&lt;&gt;0"))</f>
        <v/>
      </c>
      <c r="T61" s="28" t="str">
        <f aca="false">IF($A61="","",COUNTIFS(QC_LOT,$A61))</f>
        <v/>
      </c>
      <c r="U61" s="26" t="str">
        <f aca="false">IF($A61="","",IF(COUNTIF($A$5:$A$204,$A61)&gt;1,IF(SUMPRODUCT(($A$5:$A$204=$A61)*(($B$5:$B$204&lt;&gt;$B61)+($C$5:$C$204&lt;&gt;$C61)))&gt;0,"INCOHERENCE","LOT EN DOUBLE"),"OK"))</f>
        <v/>
      </c>
    </row>
    <row r="62" customFormat="false" ht="15" hidden="false" customHeight="false" outlineLevel="0" collapsed="false">
      <c r="A62" s="24"/>
      <c r="B62" s="24"/>
      <c r="C62" s="24"/>
      <c r="D62" s="24"/>
      <c r="E62" s="24"/>
      <c r="F62" s="24"/>
      <c r="G62" s="24"/>
      <c r="H62" s="24"/>
      <c r="I62" s="24"/>
      <c r="J62" s="25"/>
      <c r="K62" s="24"/>
      <c r="L62" s="24"/>
      <c r="M62" s="26" t="str">
        <f aca="false">IF($A62="","",IF($K62&lt;&gt;"",$K62,IF(IFERROR(INDEX(RES_LOTSRC,MATCH($A62,RES_LOTEFF,0)),"")=$A62,"",IFERROR(INDEX(RES_LOTSRC,MATCH($A62,RES_LOTEFF,0)),""))))</f>
        <v/>
      </c>
      <c r="N62" s="26" t="str">
        <f aca="false">IF($A62="","",IF($B62&lt;&gt;"",$B62,IF($M62="","",IFERROR(INDEX($B$5:$B$204,MATCH($M62,$A$5:$A$204,0)),""))))</f>
        <v/>
      </c>
      <c r="O62" s="26" t="str">
        <f aca="false">IF($A62="","",IF($C62&lt;&gt;"",$C62,IF($M62="","",IFERROR(INDEX($C$5:$C$204,MATCH($M62,$A$5:$A$204,0)),""))))</f>
        <v/>
      </c>
      <c r="P62" s="26" t="str">
        <f aca="false">IF($A62="","",IF($D62&lt;&gt;"",$D62,IF($M62="","",IFERROR(INDEX($D$5:$D$204,MATCH($M62,$A$5:$A$204,0)),""))))</f>
        <v/>
      </c>
      <c r="Q62" s="26" t="str">
        <f aca="false">IF($A62="","",IF($G62&lt;&gt;"",$G62,IF($M62="","",IFERROR(INDEX($G$5:$G$204,MATCH($M62,$A$5:$A$204,0)),""))))</f>
        <v/>
      </c>
      <c r="R62" s="27" t="str">
        <f aca="false">IF($A62="","",SUMIFS(MVT_NET,MVT_LOT,$A62))</f>
        <v/>
      </c>
      <c r="S62" s="28" t="str">
        <f aca="false">IF($A62="","",COUNTIFS(MVT_LOT,$A62,MVT_BRUT,"&lt;&gt;0"))</f>
        <v/>
      </c>
      <c r="T62" s="28" t="str">
        <f aca="false">IF($A62="","",COUNTIFS(QC_LOT,$A62))</f>
        <v/>
      </c>
      <c r="U62" s="26" t="str">
        <f aca="false">IF($A62="","",IF(COUNTIF($A$5:$A$204,$A62)&gt;1,IF(SUMPRODUCT(($A$5:$A$204=$A62)*(($B$5:$B$204&lt;&gt;$B62)+($C$5:$C$204&lt;&gt;$C62)))&gt;0,"INCOHERENCE","LOT EN DOUBLE"),"OK"))</f>
        <v/>
      </c>
    </row>
    <row r="63" customFormat="false" ht="15" hidden="false" customHeight="false" outlineLevel="0" collapsed="false">
      <c r="A63" s="24"/>
      <c r="B63" s="24"/>
      <c r="C63" s="24"/>
      <c r="D63" s="24"/>
      <c r="E63" s="24"/>
      <c r="F63" s="24"/>
      <c r="G63" s="24"/>
      <c r="H63" s="24"/>
      <c r="I63" s="24"/>
      <c r="J63" s="25"/>
      <c r="K63" s="24"/>
      <c r="L63" s="24"/>
      <c r="M63" s="26" t="str">
        <f aca="false">IF($A63="","",IF($K63&lt;&gt;"",$K63,IF(IFERROR(INDEX(RES_LOTSRC,MATCH($A63,RES_LOTEFF,0)),"")=$A63,"",IFERROR(INDEX(RES_LOTSRC,MATCH($A63,RES_LOTEFF,0)),""))))</f>
        <v/>
      </c>
      <c r="N63" s="26" t="str">
        <f aca="false">IF($A63="","",IF($B63&lt;&gt;"",$B63,IF($M63="","",IFERROR(INDEX($B$5:$B$204,MATCH($M63,$A$5:$A$204,0)),""))))</f>
        <v/>
      </c>
      <c r="O63" s="26" t="str">
        <f aca="false">IF($A63="","",IF($C63&lt;&gt;"",$C63,IF($M63="","",IFERROR(INDEX($C$5:$C$204,MATCH($M63,$A$5:$A$204,0)),""))))</f>
        <v/>
      </c>
      <c r="P63" s="26" t="str">
        <f aca="false">IF($A63="","",IF($D63&lt;&gt;"",$D63,IF($M63="","",IFERROR(INDEX($D$5:$D$204,MATCH($M63,$A$5:$A$204,0)),""))))</f>
        <v/>
      </c>
      <c r="Q63" s="26" t="str">
        <f aca="false">IF($A63="","",IF($G63&lt;&gt;"",$G63,IF($M63="","",IFERROR(INDEX($G$5:$G$204,MATCH($M63,$A$5:$A$204,0)),""))))</f>
        <v/>
      </c>
      <c r="R63" s="27" t="str">
        <f aca="false">IF($A63="","",SUMIFS(MVT_NET,MVT_LOT,$A63))</f>
        <v/>
      </c>
      <c r="S63" s="28" t="str">
        <f aca="false">IF($A63="","",COUNTIFS(MVT_LOT,$A63,MVT_BRUT,"&lt;&gt;0"))</f>
        <v/>
      </c>
      <c r="T63" s="28" t="str">
        <f aca="false">IF($A63="","",COUNTIFS(QC_LOT,$A63))</f>
        <v/>
      </c>
      <c r="U63" s="26" t="str">
        <f aca="false">IF($A63="","",IF(COUNTIF($A$5:$A$204,$A63)&gt;1,IF(SUMPRODUCT(($A$5:$A$204=$A63)*(($B$5:$B$204&lt;&gt;$B63)+($C$5:$C$204&lt;&gt;$C63)))&gt;0,"INCOHERENCE","LOT EN DOUBLE"),"OK"))</f>
        <v/>
      </c>
    </row>
    <row r="64" customFormat="false" ht="15" hidden="false" customHeight="false" outlineLevel="0" collapsed="false">
      <c r="A64" s="24"/>
      <c r="B64" s="24"/>
      <c r="C64" s="24"/>
      <c r="D64" s="24"/>
      <c r="E64" s="24"/>
      <c r="F64" s="24"/>
      <c r="G64" s="24"/>
      <c r="H64" s="24"/>
      <c r="I64" s="24"/>
      <c r="J64" s="25"/>
      <c r="K64" s="24"/>
      <c r="L64" s="24"/>
      <c r="M64" s="26" t="str">
        <f aca="false">IF($A64="","",IF($K64&lt;&gt;"",$K64,IF(IFERROR(INDEX(RES_LOTSRC,MATCH($A64,RES_LOTEFF,0)),"")=$A64,"",IFERROR(INDEX(RES_LOTSRC,MATCH($A64,RES_LOTEFF,0)),""))))</f>
        <v/>
      </c>
      <c r="N64" s="26" t="str">
        <f aca="false">IF($A64="","",IF($B64&lt;&gt;"",$B64,IF($M64="","",IFERROR(INDEX($B$5:$B$204,MATCH($M64,$A$5:$A$204,0)),""))))</f>
        <v/>
      </c>
      <c r="O64" s="26" t="str">
        <f aca="false">IF($A64="","",IF($C64&lt;&gt;"",$C64,IF($M64="","",IFERROR(INDEX($C$5:$C$204,MATCH($M64,$A$5:$A$204,0)),""))))</f>
        <v/>
      </c>
      <c r="P64" s="26" t="str">
        <f aca="false">IF($A64="","",IF($D64&lt;&gt;"",$D64,IF($M64="","",IFERROR(INDEX($D$5:$D$204,MATCH($M64,$A$5:$A$204,0)),""))))</f>
        <v/>
      </c>
      <c r="Q64" s="26" t="str">
        <f aca="false">IF($A64="","",IF($G64&lt;&gt;"",$G64,IF($M64="","",IFERROR(INDEX($G$5:$G$204,MATCH($M64,$A$5:$A$204,0)),""))))</f>
        <v/>
      </c>
      <c r="R64" s="27" t="str">
        <f aca="false">IF($A64="","",SUMIFS(MVT_NET,MVT_LOT,$A64))</f>
        <v/>
      </c>
      <c r="S64" s="28" t="str">
        <f aca="false">IF($A64="","",COUNTIFS(MVT_LOT,$A64,MVT_BRUT,"&lt;&gt;0"))</f>
        <v/>
      </c>
      <c r="T64" s="28" t="str">
        <f aca="false">IF($A64="","",COUNTIFS(QC_LOT,$A64))</f>
        <v/>
      </c>
      <c r="U64" s="26" t="str">
        <f aca="false">IF($A64="","",IF(COUNTIF($A$5:$A$204,$A64)&gt;1,IF(SUMPRODUCT(($A$5:$A$204=$A64)*(($B$5:$B$204&lt;&gt;$B64)+($C$5:$C$204&lt;&gt;$C64)))&gt;0,"INCOHERENCE","LOT EN DOUBLE"),"OK"))</f>
        <v/>
      </c>
    </row>
    <row r="65" customFormat="false" ht="15" hidden="false" customHeight="false" outlineLevel="0" collapsed="false">
      <c r="A65" s="24"/>
      <c r="B65" s="24"/>
      <c r="C65" s="24"/>
      <c r="D65" s="24"/>
      <c r="E65" s="24"/>
      <c r="F65" s="24"/>
      <c r="G65" s="24"/>
      <c r="H65" s="24"/>
      <c r="I65" s="24"/>
      <c r="J65" s="25"/>
      <c r="K65" s="24"/>
      <c r="L65" s="24"/>
      <c r="M65" s="26" t="str">
        <f aca="false">IF($A65="","",IF($K65&lt;&gt;"",$K65,IF(IFERROR(INDEX(RES_LOTSRC,MATCH($A65,RES_LOTEFF,0)),"")=$A65,"",IFERROR(INDEX(RES_LOTSRC,MATCH($A65,RES_LOTEFF,0)),""))))</f>
        <v/>
      </c>
      <c r="N65" s="26" t="str">
        <f aca="false">IF($A65="","",IF($B65&lt;&gt;"",$B65,IF($M65="","",IFERROR(INDEX($B$5:$B$204,MATCH($M65,$A$5:$A$204,0)),""))))</f>
        <v/>
      </c>
      <c r="O65" s="26" t="str">
        <f aca="false">IF($A65="","",IF($C65&lt;&gt;"",$C65,IF($M65="","",IFERROR(INDEX($C$5:$C$204,MATCH($M65,$A$5:$A$204,0)),""))))</f>
        <v/>
      </c>
      <c r="P65" s="26" t="str">
        <f aca="false">IF($A65="","",IF($D65&lt;&gt;"",$D65,IF($M65="","",IFERROR(INDEX($D$5:$D$204,MATCH($M65,$A$5:$A$204,0)),""))))</f>
        <v/>
      </c>
      <c r="Q65" s="26" t="str">
        <f aca="false">IF($A65="","",IF($G65&lt;&gt;"",$G65,IF($M65="","",IFERROR(INDEX($G$5:$G$204,MATCH($M65,$A$5:$A$204,0)),""))))</f>
        <v/>
      </c>
      <c r="R65" s="27" t="str">
        <f aca="false">IF($A65="","",SUMIFS(MVT_NET,MVT_LOT,$A65))</f>
        <v/>
      </c>
      <c r="S65" s="28" t="str">
        <f aca="false">IF($A65="","",COUNTIFS(MVT_LOT,$A65,MVT_BRUT,"&lt;&gt;0"))</f>
        <v/>
      </c>
      <c r="T65" s="28" t="str">
        <f aca="false">IF($A65="","",COUNTIFS(QC_LOT,$A65))</f>
        <v/>
      </c>
      <c r="U65" s="26" t="str">
        <f aca="false">IF($A65="","",IF(COUNTIF($A$5:$A$204,$A65)&gt;1,IF(SUMPRODUCT(($A$5:$A$204=$A65)*(($B$5:$B$204&lt;&gt;$B65)+($C$5:$C$204&lt;&gt;$C65)))&gt;0,"INCOHERENCE","LOT EN DOUBLE"),"OK"))</f>
        <v/>
      </c>
    </row>
    <row r="66" customFormat="false" ht="15" hidden="false" customHeight="false" outlineLevel="0" collapsed="false">
      <c r="A66" s="24"/>
      <c r="B66" s="24"/>
      <c r="C66" s="24"/>
      <c r="D66" s="24"/>
      <c r="E66" s="24"/>
      <c r="F66" s="24"/>
      <c r="G66" s="24"/>
      <c r="H66" s="24"/>
      <c r="I66" s="24"/>
      <c r="J66" s="25"/>
      <c r="K66" s="24"/>
      <c r="L66" s="24"/>
      <c r="M66" s="26" t="str">
        <f aca="false">IF($A66="","",IF($K66&lt;&gt;"",$K66,IF(IFERROR(INDEX(RES_LOTSRC,MATCH($A66,RES_LOTEFF,0)),"")=$A66,"",IFERROR(INDEX(RES_LOTSRC,MATCH($A66,RES_LOTEFF,0)),""))))</f>
        <v/>
      </c>
      <c r="N66" s="26" t="str">
        <f aca="false">IF($A66="","",IF($B66&lt;&gt;"",$B66,IF($M66="","",IFERROR(INDEX($B$5:$B$204,MATCH($M66,$A$5:$A$204,0)),""))))</f>
        <v/>
      </c>
      <c r="O66" s="26" t="str">
        <f aca="false">IF($A66="","",IF($C66&lt;&gt;"",$C66,IF($M66="","",IFERROR(INDEX($C$5:$C$204,MATCH($M66,$A$5:$A$204,0)),""))))</f>
        <v/>
      </c>
      <c r="P66" s="26" t="str">
        <f aca="false">IF($A66="","",IF($D66&lt;&gt;"",$D66,IF($M66="","",IFERROR(INDEX($D$5:$D$204,MATCH($M66,$A$5:$A$204,0)),""))))</f>
        <v/>
      </c>
      <c r="Q66" s="26" t="str">
        <f aca="false">IF($A66="","",IF($G66&lt;&gt;"",$G66,IF($M66="","",IFERROR(INDEX($G$5:$G$204,MATCH($M66,$A$5:$A$204,0)),""))))</f>
        <v/>
      </c>
      <c r="R66" s="27" t="str">
        <f aca="false">IF($A66="","",SUMIFS(MVT_NET,MVT_LOT,$A66))</f>
        <v/>
      </c>
      <c r="S66" s="28" t="str">
        <f aca="false">IF($A66="","",COUNTIFS(MVT_LOT,$A66,MVT_BRUT,"&lt;&gt;0"))</f>
        <v/>
      </c>
      <c r="T66" s="28" t="str">
        <f aca="false">IF($A66="","",COUNTIFS(QC_LOT,$A66))</f>
        <v/>
      </c>
      <c r="U66" s="26" t="str">
        <f aca="false">IF($A66="","",IF(COUNTIF($A$5:$A$204,$A66)&gt;1,IF(SUMPRODUCT(($A$5:$A$204=$A66)*(($B$5:$B$204&lt;&gt;$B66)+($C$5:$C$204&lt;&gt;$C66)))&gt;0,"INCOHERENCE","LOT EN DOUBLE"),"OK"))</f>
        <v/>
      </c>
    </row>
    <row r="67" customFormat="false" ht="15" hidden="false" customHeight="false" outlineLevel="0" collapsed="false">
      <c r="A67" s="24"/>
      <c r="B67" s="24"/>
      <c r="C67" s="24"/>
      <c r="D67" s="24"/>
      <c r="E67" s="24"/>
      <c r="F67" s="24"/>
      <c r="G67" s="24"/>
      <c r="H67" s="24"/>
      <c r="I67" s="24"/>
      <c r="J67" s="25"/>
      <c r="K67" s="24"/>
      <c r="L67" s="24"/>
      <c r="M67" s="26" t="str">
        <f aca="false">IF($A67="","",IF($K67&lt;&gt;"",$K67,IF(IFERROR(INDEX(RES_LOTSRC,MATCH($A67,RES_LOTEFF,0)),"")=$A67,"",IFERROR(INDEX(RES_LOTSRC,MATCH($A67,RES_LOTEFF,0)),""))))</f>
        <v/>
      </c>
      <c r="N67" s="26" t="str">
        <f aca="false">IF($A67="","",IF($B67&lt;&gt;"",$B67,IF($M67="","",IFERROR(INDEX($B$5:$B$204,MATCH($M67,$A$5:$A$204,0)),""))))</f>
        <v/>
      </c>
      <c r="O67" s="26" t="str">
        <f aca="false">IF($A67="","",IF($C67&lt;&gt;"",$C67,IF($M67="","",IFERROR(INDEX($C$5:$C$204,MATCH($M67,$A$5:$A$204,0)),""))))</f>
        <v/>
      </c>
      <c r="P67" s="26" t="str">
        <f aca="false">IF($A67="","",IF($D67&lt;&gt;"",$D67,IF($M67="","",IFERROR(INDEX($D$5:$D$204,MATCH($M67,$A$5:$A$204,0)),""))))</f>
        <v/>
      </c>
      <c r="Q67" s="26" t="str">
        <f aca="false">IF($A67="","",IF($G67&lt;&gt;"",$G67,IF($M67="","",IFERROR(INDEX($G$5:$G$204,MATCH($M67,$A$5:$A$204,0)),""))))</f>
        <v/>
      </c>
      <c r="R67" s="27" t="str">
        <f aca="false">IF($A67="","",SUMIFS(MVT_NET,MVT_LOT,$A67))</f>
        <v/>
      </c>
      <c r="S67" s="28" t="str">
        <f aca="false">IF($A67="","",COUNTIFS(MVT_LOT,$A67,MVT_BRUT,"&lt;&gt;0"))</f>
        <v/>
      </c>
      <c r="T67" s="28" t="str">
        <f aca="false">IF($A67="","",COUNTIFS(QC_LOT,$A67))</f>
        <v/>
      </c>
      <c r="U67" s="26" t="str">
        <f aca="false">IF($A67="","",IF(COUNTIF($A$5:$A$204,$A67)&gt;1,IF(SUMPRODUCT(($A$5:$A$204=$A67)*(($B$5:$B$204&lt;&gt;$B67)+($C$5:$C$204&lt;&gt;$C67)))&gt;0,"INCOHERENCE","LOT EN DOUBLE"),"OK"))</f>
        <v/>
      </c>
    </row>
    <row r="68" customFormat="false" ht="15" hidden="false" customHeight="false" outlineLevel="0" collapsed="false">
      <c r="A68" s="24"/>
      <c r="B68" s="24"/>
      <c r="C68" s="24"/>
      <c r="D68" s="24"/>
      <c r="E68" s="24"/>
      <c r="F68" s="24"/>
      <c r="G68" s="24"/>
      <c r="H68" s="24"/>
      <c r="I68" s="24"/>
      <c r="J68" s="25"/>
      <c r="K68" s="24"/>
      <c r="L68" s="24"/>
      <c r="M68" s="26" t="str">
        <f aca="false">IF($A68="","",IF($K68&lt;&gt;"",$K68,IF(IFERROR(INDEX(RES_LOTSRC,MATCH($A68,RES_LOTEFF,0)),"")=$A68,"",IFERROR(INDEX(RES_LOTSRC,MATCH($A68,RES_LOTEFF,0)),""))))</f>
        <v/>
      </c>
      <c r="N68" s="26" t="str">
        <f aca="false">IF($A68="","",IF($B68&lt;&gt;"",$B68,IF($M68="","",IFERROR(INDEX($B$5:$B$204,MATCH($M68,$A$5:$A$204,0)),""))))</f>
        <v/>
      </c>
      <c r="O68" s="26" t="str">
        <f aca="false">IF($A68="","",IF($C68&lt;&gt;"",$C68,IF($M68="","",IFERROR(INDEX($C$5:$C$204,MATCH($M68,$A$5:$A$204,0)),""))))</f>
        <v/>
      </c>
      <c r="P68" s="26" t="str">
        <f aca="false">IF($A68="","",IF($D68&lt;&gt;"",$D68,IF($M68="","",IFERROR(INDEX($D$5:$D$204,MATCH($M68,$A$5:$A$204,0)),""))))</f>
        <v/>
      </c>
      <c r="Q68" s="26" t="str">
        <f aca="false">IF($A68="","",IF($G68&lt;&gt;"",$G68,IF($M68="","",IFERROR(INDEX($G$5:$G$204,MATCH($M68,$A$5:$A$204,0)),""))))</f>
        <v/>
      </c>
      <c r="R68" s="27" t="str">
        <f aca="false">IF($A68="","",SUMIFS(MVT_NET,MVT_LOT,$A68))</f>
        <v/>
      </c>
      <c r="S68" s="28" t="str">
        <f aca="false">IF($A68="","",COUNTIFS(MVT_LOT,$A68,MVT_BRUT,"&lt;&gt;0"))</f>
        <v/>
      </c>
      <c r="T68" s="28" t="str">
        <f aca="false">IF($A68="","",COUNTIFS(QC_LOT,$A68))</f>
        <v/>
      </c>
      <c r="U68" s="26" t="str">
        <f aca="false">IF($A68="","",IF(COUNTIF($A$5:$A$204,$A68)&gt;1,IF(SUMPRODUCT(($A$5:$A$204=$A68)*(($B$5:$B$204&lt;&gt;$B68)+($C$5:$C$204&lt;&gt;$C68)))&gt;0,"INCOHERENCE","LOT EN DOUBLE"),"OK"))</f>
        <v/>
      </c>
    </row>
    <row r="69" customFormat="false" ht="15" hidden="false" customHeight="false" outlineLevel="0" collapsed="false">
      <c r="A69" s="24"/>
      <c r="B69" s="24"/>
      <c r="C69" s="24"/>
      <c r="D69" s="24"/>
      <c r="E69" s="24"/>
      <c r="F69" s="24"/>
      <c r="G69" s="24"/>
      <c r="H69" s="24"/>
      <c r="I69" s="24"/>
      <c r="J69" s="25"/>
      <c r="K69" s="24"/>
      <c r="L69" s="24"/>
      <c r="M69" s="26" t="str">
        <f aca="false">IF($A69="","",IF($K69&lt;&gt;"",$K69,IF(IFERROR(INDEX(RES_LOTSRC,MATCH($A69,RES_LOTEFF,0)),"")=$A69,"",IFERROR(INDEX(RES_LOTSRC,MATCH($A69,RES_LOTEFF,0)),""))))</f>
        <v/>
      </c>
      <c r="N69" s="26" t="str">
        <f aca="false">IF($A69="","",IF($B69&lt;&gt;"",$B69,IF($M69="","",IFERROR(INDEX($B$5:$B$204,MATCH($M69,$A$5:$A$204,0)),""))))</f>
        <v/>
      </c>
      <c r="O69" s="26" t="str">
        <f aca="false">IF($A69="","",IF($C69&lt;&gt;"",$C69,IF($M69="","",IFERROR(INDEX($C$5:$C$204,MATCH($M69,$A$5:$A$204,0)),""))))</f>
        <v/>
      </c>
      <c r="P69" s="26" t="str">
        <f aca="false">IF($A69="","",IF($D69&lt;&gt;"",$D69,IF($M69="","",IFERROR(INDEX($D$5:$D$204,MATCH($M69,$A$5:$A$204,0)),""))))</f>
        <v/>
      </c>
      <c r="Q69" s="26" t="str">
        <f aca="false">IF($A69="","",IF($G69&lt;&gt;"",$G69,IF($M69="","",IFERROR(INDEX($G$5:$G$204,MATCH($M69,$A$5:$A$204,0)),""))))</f>
        <v/>
      </c>
      <c r="R69" s="27" t="str">
        <f aca="false">IF($A69="","",SUMIFS(MVT_NET,MVT_LOT,$A69))</f>
        <v/>
      </c>
      <c r="S69" s="28" t="str">
        <f aca="false">IF($A69="","",COUNTIFS(MVT_LOT,$A69,MVT_BRUT,"&lt;&gt;0"))</f>
        <v/>
      </c>
      <c r="T69" s="28" t="str">
        <f aca="false">IF($A69="","",COUNTIFS(QC_LOT,$A69))</f>
        <v/>
      </c>
      <c r="U69" s="26" t="str">
        <f aca="false">IF($A69="","",IF(COUNTIF($A$5:$A$204,$A69)&gt;1,IF(SUMPRODUCT(($A$5:$A$204=$A69)*(($B$5:$B$204&lt;&gt;$B69)+($C$5:$C$204&lt;&gt;$C69)))&gt;0,"INCOHERENCE","LOT EN DOUBLE"),"OK"))</f>
        <v/>
      </c>
    </row>
    <row r="70" customFormat="false" ht="15" hidden="false" customHeight="false" outlineLevel="0" collapsed="false">
      <c r="A70" s="24"/>
      <c r="B70" s="24"/>
      <c r="C70" s="24"/>
      <c r="D70" s="24"/>
      <c r="E70" s="24"/>
      <c r="F70" s="24"/>
      <c r="G70" s="24"/>
      <c r="H70" s="24"/>
      <c r="I70" s="24"/>
      <c r="J70" s="25"/>
      <c r="K70" s="24"/>
      <c r="L70" s="24"/>
      <c r="M70" s="26" t="str">
        <f aca="false">IF($A70="","",IF($K70&lt;&gt;"",$K70,IF(IFERROR(INDEX(RES_LOTSRC,MATCH($A70,RES_LOTEFF,0)),"")=$A70,"",IFERROR(INDEX(RES_LOTSRC,MATCH($A70,RES_LOTEFF,0)),""))))</f>
        <v/>
      </c>
      <c r="N70" s="26" t="str">
        <f aca="false">IF($A70="","",IF($B70&lt;&gt;"",$B70,IF($M70="","",IFERROR(INDEX($B$5:$B$204,MATCH($M70,$A$5:$A$204,0)),""))))</f>
        <v/>
      </c>
      <c r="O70" s="26" t="str">
        <f aca="false">IF($A70="","",IF($C70&lt;&gt;"",$C70,IF($M70="","",IFERROR(INDEX($C$5:$C$204,MATCH($M70,$A$5:$A$204,0)),""))))</f>
        <v/>
      </c>
      <c r="P70" s="26" t="str">
        <f aca="false">IF($A70="","",IF($D70&lt;&gt;"",$D70,IF($M70="","",IFERROR(INDEX($D$5:$D$204,MATCH($M70,$A$5:$A$204,0)),""))))</f>
        <v/>
      </c>
      <c r="Q70" s="26" t="str">
        <f aca="false">IF($A70="","",IF($G70&lt;&gt;"",$G70,IF($M70="","",IFERROR(INDEX($G$5:$G$204,MATCH($M70,$A$5:$A$204,0)),""))))</f>
        <v/>
      </c>
      <c r="R70" s="27" t="str">
        <f aca="false">IF($A70="","",SUMIFS(MVT_NET,MVT_LOT,$A70))</f>
        <v/>
      </c>
      <c r="S70" s="28" t="str">
        <f aca="false">IF($A70="","",COUNTIFS(MVT_LOT,$A70,MVT_BRUT,"&lt;&gt;0"))</f>
        <v/>
      </c>
      <c r="T70" s="28" t="str">
        <f aca="false">IF($A70="","",COUNTIFS(QC_LOT,$A70))</f>
        <v/>
      </c>
      <c r="U70" s="26" t="str">
        <f aca="false">IF($A70="","",IF(COUNTIF($A$5:$A$204,$A70)&gt;1,IF(SUMPRODUCT(($A$5:$A$204=$A70)*(($B$5:$B$204&lt;&gt;$B70)+($C$5:$C$204&lt;&gt;$C70)))&gt;0,"INCOHERENCE","LOT EN DOUBLE"),"OK"))</f>
        <v/>
      </c>
    </row>
    <row r="71" customFormat="false" ht="15" hidden="false" customHeight="false" outlineLevel="0" collapsed="false">
      <c r="A71" s="24"/>
      <c r="B71" s="24"/>
      <c r="C71" s="24"/>
      <c r="D71" s="24"/>
      <c r="E71" s="24"/>
      <c r="F71" s="24"/>
      <c r="G71" s="24"/>
      <c r="H71" s="24"/>
      <c r="I71" s="24"/>
      <c r="J71" s="25"/>
      <c r="K71" s="24"/>
      <c r="L71" s="24"/>
      <c r="M71" s="26" t="str">
        <f aca="false">IF($A71="","",IF($K71&lt;&gt;"",$K71,IF(IFERROR(INDEX(RES_LOTSRC,MATCH($A71,RES_LOTEFF,0)),"")=$A71,"",IFERROR(INDEX(RES_LOTSRC,MATCH($A71,RES_LOTEFF,0)),""))))</f>
        <v/>
      </c>
      <c r="N71" s="26" t="str">
        <f aca="false">IF($A71="","",IF($B71&lt;&gt;"",$B71,IF($M71="","",IFERROR(INDEX($B$5:$B$204,MATCH($M71,$A$5:$A$204,0)),""))))</f>
        <v/>
      </c>
      <c r="O71" s="26" t="str">
        <f aca="false">IF($A71="","",IF($C71&lt;&gt;"",$C71,IF($M71="","",IFERROR(INDEX($C$5:$C$204,MATCH($M71,$A$5:$A$204,0)),""))))</f>
        <v/>
      </c>
      <c r="P71" s="26" t="str">
        <f aca="false">IF($A71="","",IF($D71&lt;&gt;"",$D71,IF($M71="","",IFERROR(INDEX($D$5:$D$204,MATCH($M71,$A$5:$A$204,0)),""))))</f>
        <v/>
      </c>
      <c r="Q71" s="26" t="str">
        <f aca="false">IF($A71="","",IF($G71&lt;&gt;"",$G71,IF($M71="","",IFERROR(INDEX($G$5:$G$204,MATCH($M71,$A$5:$A$204,0)),""))))</f>
        <v/>
      </c>
      <c r="R71" s="27" t="str">
        <f aca="false">IF($A71="","",SUMIFS(MVT_NET,MVT_LOT,$A71))</f>
        <v/>
      </c>
      <c r="S71" s="28" t="str">
        <f aca="false">IF($A71="","",COUNTIFS(MVT_LOT,$A71,MVT_BRUT,"&lt;&gt;0"))</f>
        <v/>
      </c>
      <c r="T71" s="28" t="str">
        <f aca="false">IF($A71="","",COUNTIFS(QC_LOT,$A71))</f>
        <v/>
      </c>
      <c r="U71" s="26" t="str">
        <f aca="false">IF($A71="","",IF(COUNTIF($A$5:$A$204,$A71)&gt;1,IF(SUMPRODUCT(($A$5:$A$204=$A71)*(($B$5:$B$204&lt;&gt;$B71)+($C$5:$C$204&lt;&gt;$C71)))&gt;0,"INCOHERENCE","LOT EN DOUBLE"),"OK"))</f>
        <v/>
      </c>
    </row>
    <row r="72" customFormat="false" ht="15" hidden="false" customHeight="false" outlineLevel="0" collapsed="false">
      <c r="A72" s="24"/>
      <c r="B72" s="24"/>
      <c r="C72" s="24"/>
      <c r="D72" s="24"/>
      <c r="E72" s="24"/>
      <c r="F72" s="24"/>
      <c r="G72" s="24"/>
      <c r="H72" s="24"/>
      <c r="I72" s="24"/>
      <c r="J72" s="25"/>
      <c r="K72" s="24"/>
      <c r="L72" s="24"/>
      <c r="M72" s="26" t="str">
        <f aca="false">IF($A72="","",IF($K72&lt;&gt;"",$K72,IF(IFERROR(INDEX(RES_LOTSRC,MATCH($A72,RES_LOTEFF,0)),"")=$A72,"",IFERROR(INDEX(RES_LOTSRC,MATCH($A72,RES_LOTEFF,0)),""))))</f>
        <v/>
      </c>
      <c r="N72" s="26" t="str">
        <f aca="false">IF($A72="","",IF($B72&lt;&gt;"",$B72,IF($M72="","",IFERROR(INDEX($B$5:$B$204,MATCH($M72,$A$5:$A$204,0)),""))))</f>
        <v/>
      </c>
      <c r="O72" s="26" t="str">
        <f aca="false">IF($A72="","",IF($C72&lt;&gt;"",$C72,IF($M72="","",IFERROR(INDEX($C$5:$C$204,MATCH($M72,$A$5:$A$204,0)),""))))</f>
        <v/>
      </c>
      <c r="P72" s="26" t="str">
        <f aca="false">IF($A72="","",IF($D72&lt;&gt;"",$D72,IF($M72="","",IFERROR(INDEX($D$5:$D$204,MATCH($M72,$A$5:$A$204,0)),""))))</f>
        <v/>
      </c>
      <c r="Q72" s="26" t="str">
        <f aca="false">IF($A72="","",IF($G72&lt;&gt;"",$G72,IF($M72="","",IFERROR(INDEX($G$5:$G$204,MATCH($M72,$A$5:$A$204,0)),""))))</f>
        <v/>
      </c>
      <c r="R72" s="27" t="str">
        <f aca="false">IF($A72="","",SUMIFS(MVT_NET,MVT_LOT,$A72))</f>
        <v/>
      </c>
      <c r="S72" s="28" t="str">
        <f aca="false">IF($A72="","",COUNTIFS(MVT_LOT,$A72,MVT_BRUT,"&lt;&gt;0"))</f>
        <v/>
      </c>
      <c r="T72" s="28" t="str">
        <f aca="false">IF($A72="","",COUNTIFS(QC_LOT,$A72))</f>
        <v/>
      </c>
      <c r="U72" s="26" t="str">
        <f aca="false">IF($A72="","",IF(COUNTIF($A$5:$A$204,$A72)&gt;1,IF(SUMPRODUCT(($A$5:$A$204=$A72)*(($B$5:$B$204&lt;&gt;$B72)+($C$5:$C$204&lt;&gt;$C72)))&gt;0,"INCOHERENCE","LOT EN DOUBLE"),"OK"))</f>
        <v/>
      </c>
    </row>
    <row r="73" customFormat="false" ht="15" hidden="false" customHeight="false" outlineLevel="0" collapsed="false">
      <c r="A73" s="24"/>
      <c r="B73" s="24"/>
      <c r="C73" s="24"/>
      <c r="D73" s="24"/>
      <c r="E73" s="24"/>
      <c r="F73" s="24"/>
      <c r="G73" s="24"/>
      <c r="H73" s="24"/>
      <c r="I73" s="24"/>
      <c r="J73" s="25"/>
      <c r="K73" s="24"/>
      <c r="L73" s="24"/>
      <c r="M73" s="26" t="str">
        <f aca="false">IF($A73="","",IF($K73&lt;&gt;"",$K73,IF(IFERROR(INDEX(RES_LOTSRC,MATCH($A73,RES_LOTEFF,0)),"")=$A73,"",IFERROR(INDEX(RES_LOTSRC,MATCH($A73,RES_LOTEFF,0)),""))))</f>
        <v/>
      </c>
      <c r="N73" s="26" t="str">
        <f aca="false">IF($A73="","",IF($B73&lt;&gt;"",$B73,IF($M73="","",IFERROR(INDEX($B$5:$B$204,MATCH($M73,$A$5:$A$204,0)),""))))</f>
        <v/>
      </c>
      <c r="O73" s="26" t="str">
        <f aca="false">IF($A73="","",IF($C73&lt;&gt;"",$C73,IF($M73="","",IFERROR(INDEX($C$5:$C$204,MATCH($M73,$A$5:$A$204,0)),""))))</f>
        <v/>
      </c>
      <c r="P73" s="26" t="str">
        <f aca="false">IF($A73="","",IF($D73&lt;&gt;"",$D73,IF($M73="","",IFERROR(INDEX($D$5:$D$204,MATCH($M73,$A$5:$A$204,0)),""))))</f>
        <v/>
      </c>
      <c r="Q73" s="26" t="str">
        <f aca="false">IF($A73="","",IF($G73&lt;&gt;"",$G73,IF($M73="","",IFERROR(INDEX($G$5:$G$204,MATCH($M73,$A$5:$A$204,0)),""))))</f>
        <v/>
      </c>
      <c r="R73" s="27" t="str">
        <f aca="false">IF($A73="","",SUMIFS(MVT_NET,MVT_LOT,$A73))</f>
        <v/>
      </c>
      <c r="S73" s="28" t="str">
        <f aca="false">IF($A73="","",COUNTIFS(MVT_LOT,$A73,MVT_BRUT,"&lt;&gt;0"))</f>
        <v/>
      </c>
      <c r="T73" s="28" t="str">
        <f aca="false">IF($A73="","",COUNTIFS(QC_LOT,$A73))</f>
        <v/>
      </c>
      <c r="U73" s="26" t="str">
        <f aca="false">IF($A73="","",IF(COUNTIF($A$5:$A$204,$A73)&gt;1,IF(SUMPRODUCT(($A$5:$A$204=$A73)*(($B$5:$B$204&lt;&gt;$B73)+($C$5:$C$204&lt;&gt;$C73)))&gt;0,"INCOHERENCE","LOT EN DOUBLE"),"OK"))</f>
        <v/>
      </c>
    </row>
    <row r="74" customFormat="false" ht="15" hidden="false" customHeight="false" outlineLevel="0" collapsed="false">
      <c r="A74" s="24"/>
      <c r="B74" s="24"/>
      <c r="C74" s="24"/>
      <c r="D74" s="24"/>
      <c r="E74" s="24"/>
      <c r="F74" s="24"/>
      <c r="G74" s="24"/>
      <c r="H74" s="24"/>
      <c r="I74" s="24"/>
      <c r="J74" s="25"/>
      <c r="K74" s="24"/>
      <c r="L74" s="24"/>
      <c r="M74" s="26" t="str">
        <f aca="false">IF($A74="","",IF($K74&lt;&gt;"",$K74,IF(IFERROR(INDEX(RES_LOTSRC,MATCH($A74,RES_LOTEFF,0)),"")=$A74,"",IFERROR(INDEX(RES_LOTSRC,MATCH($A74,RES_LOTEFF,0)),""))))</f>
        <v/>
      </c>
      <c r="N74" s="26" t="str">
        <f aca="false">IF($A74="","",IF($B74&lt;&gt;"",$B74,IF($M74="","",IFERROR(INDEX($B$5:$B$204,MATCH($M74,$A$5:$A$204,0)),""))))</f>
        <v/>
      </c>
      <c r="O74" s="26" t="str">
        <f aca="false">IF($A74="","",IF($C74&lt;&gt;"",$C74,IF($M74="","",IFERROR(INDEX($C$5:$C$204,MATCH($M74,$A$5:$A$204,0)),""))))</f>
        <v/>
      </c>
      <c r="P74" s="26" t="str">
        <f aca="false">IF($A74="","",IF($D74&lt;&gt;"",$D74,IF($M74="","",IFERROR(INDEX($D$5:$D$204,MATCH($M74,$A$5:$A$204,0)),""))))</f>
        <v/>
      </c>
      <c r="Q74" s="26" t="str">
        <f aca="false">IF($A74="","",IF($G74&lt;&gt;"",$G74,IF($M74="","",IFERROR(INDEX($G$5:$G$204,MATCH($M74,$A$5:$A$204,0)),""))))</f>
        <v/>
      </c>
      <c r="R74" s="27" t="str">
        <f aca="false">IF($A74="","",SUMIFS(MVT_NET,MVT_LOT,$A74))</f>
        <v/>
      </c>
      <c r="S74" s="28" t="str">
        <f aca="false">IF($A74="","",COUNTIFS(MVT_LOT,$A74,MVT_BRUT,"&lt;&gt;0"))</f>
        <v/>
      </c>
      <c r="T74" s="28" t="str">
        <f aca="false">IF($A74="","",COUNTIFS(QC_LOT,$A74))</f>
        <v/>
      </c>
      <c r="U74" s="26" t="str">
        <f aca="false">IF($A74="","",IF(COUNTIF($A$5:$A$204,$A74)&gt;1,IF(SUMPRODUCT(($A$5:$A$204=$A74)*(($B$5:$B$204&lt;&gt;$B74)+($C$5:$C$204&lt;&gt;$C74)))&gt;0,"INCOHERENCE","LOT EN DOUBLE"),"OK"))</f>
        <v/>
      </c>
    </row>
    <row r="75" customFormat="false" ht="15" hidden="false" customHeight="false" outlineLevel="0" collapsed="false">
      <c r="A75" s="24"/>
      <c r="B75" s="24"/>
      <c r="C75" s="24"/>
      <c r="D75" s="24"/>
      <c r="E75" s="24"/>
      <c r="F75" s="24"/>
      <c r="G75" s="24"/>
      <c r="H75" s="24"/>
      <c r="I75" s="24"/>
      <c r="J75" s="25"/>
      <c r="K75" s="24"/>
      <c r="L75" s="24"/>
      <c r="M75" s="26" t="str">
        <f aca="false">IF($A75="","",IF($K75&lt;&gt;"",$K75,IF(IFERROR(INDEX(RES_LOTSRC,MATCH($A75,RES_LOTEFF,0)),"")=$A75,"",IFERROR(INDEX(RES_LOTSRC,MATCH($A75,RES_LOTEFF,0)),""))))</f>
        <v/>
      </c>
      <c r="N75" s="26" t="str">
        <f aca="false">IF($A75="","",IF($B75&lt;&gt;"",$B75,IF($M75="","",IFERROR(INDEX($B$5:$B$204,MATCH($M75,$A$5:$A$204,0)),""))))</f>
        <v/>
      </c>
      <c r="O75" s="26" t="str">
        <f aca="false">IF($A75="","",IF($C75&lt;&gt;"",$C75,IF($M75="","",IFERROR(INDEX($C$5:$C$204,MATCH($M75,$A$5:$A$204,0)),""))))</f>
        <v/>
      </c>
      <c r="P75" s="26" t="str">
        <f aca="false">IF($A75="","",IF($D75&lt;&gt;"",$D75,IF($M75="","",IFERROR(INDEX($D$5:$D$204,MATCH($M75,$A$5:$A$204,0)),""))))</f>
        <v/>
      </c>
      <c r="Q75" s="26" t="str">
        <f aca="false">IF($A75="","",IF($G75&lt;&gt;"",$G75,IF($M75="","",IFERROR(INDEX($G$5:$G$204,MATCH($M75,$A$5:$A$204,0)),""))))</f>
        <v/>
      </c>
      <c r="R75" s="27" t="str">
        <f aca="false">IF($A75="","",SUMIFS(MVT_NET,MVT_LOT,$A75))</f>
        <v/>
      </c>
      <c r="S75" s="28" t="str">
        <f aca="false">IF($A75="","",COUNTIFS(MVT_LOT,$A75,MVT_BRUT,"&lt;&gt;0"))</f>
        <v/>
      </c>
      <c r="T75" s="28" t="str">
        <f aca="false">IF($A75="","",COUNTIFS(QC_LOT,$A75))</f>
        <v/>
      </c>
      <c r="U75" s="26" t="str">
        <f aca="false">IF($A75="","",IF(COUNTIF($A$5:$A$204,$A75)&gt;1,IF(SUMPRODUCT(($A$5:$A$204=$A75)*(($B$5:$B$204&lt;&gt;$B75)+($C$5:$C$204&lt;&gt;$C75)))&gt;0,"INCOHERENCE","LOT EN DOUBLE"),"OK"))</f>
        <v/>
      </c>
    </row>
    <row r="76" customFormat="false" ht="15" hidden="false" customHeight="false" outlineLevel="0" collapsed="false">
      <c r="A76" s="24"/>
      <c r="B76" s="24"/>
      <c r="C76" s="24"/>
      <c r="D76" s="24"/>
      <c r="E76" s="24"/>
      <c r="F76" s="24"/>
      <c r="G76" s="24"/>
      <c r="H76" s="24"/>
      <c r="I76" s="24"/>
      <c r="J76" s="25"/>
      <c r="K76" s="24"/>
      <c r="L76" s="24"/>
      <c r="M76" s="26" t="str">
        <f aca="false">IF($A76="","",IF($K76&lt;&gt;"",$K76,IF(IFERROR(INDEX(RES_LOTSRC,MATCH($A76,RES_LOTEFF,0)),"")=$A76,"",IFERROR(INDEX(RES_LOTSRC,MATCH($A76,RES_LOTEFF,0)),""))))</f>
        <v/>
      </c>
      <c r="N76" s="26" t="str">
        <f aca="false">IF($A76="","",IF($B76&lt;&gt;"",$B76,IF($M76="","",IFERROR(INDEX($B$5:$B$204,MATCH($M76,$A$5:$A$204,0)),""))))</f>
        <v/>
      </c>
      <c r="O76" s="26" t="str">
        <f aca="false">IF($A76="","",IF($C76&lt;&gt;"",$C76,IF($M76="","",IFERROR(INDEX($C$5:$C$204,MATCH($M76,$A$5:$A$204,0)),""))))</f>
        <v/>
      </c>
      <c r="P76" s="26" t="str">
        <f aca="false">IF($A76="","",IF($D76&lt;&gt;"",$D76,IF($M76="","",IFERROR(INDEX($D$5:$D$204,MATCH($M76,$A$5:$A$204,0)),""))))</f>
        <v/>
      </c>
      <c r="Q76" s="26" t="str">
        <f aca="false">IF($A76="","",IF($G76&lt;&gt;"",$G76,IF($M76="","",IFERROR(INDEX($G$5:$G$204,MATCH($M76,$A$5:$A$204,0)),""))))</f>
        <v/>
      </c>
      <c r="R76" s="27" t="str">
        <f aca="false">IF($A76="","",SUMIFS(MVT_NET,MVT_LOT,$A76))</f>
        <v/>
      </c>
      <c r="S76" s="28" t="str">
        <f aca="false">IF($A76="","",COUNTIFS(MVT_LOT,$A76,MVT_BRUT,"&lt;&gt;0"))</f>
        <v/>
      </c>
      <c r="T76" s="28" t="str">
        <f aca="false">IF($A76="","",COUNTIFS(QC_LOT,$A76))</f>
        <v/>
      </c>
      <c r="U76" s="26" t="str">
        <f aca="false">IF($A76="","",IF(COUNTIF($A$5:$A$204,$A76)&gt;1,IF(SUMPRODUCT(($A$5:$A$204=$A76)*(($B$5:$B$204&lt;&gt;$B76)+($C$5:$C$204&lt;&gt;$C76)))&gt;0,"INCOHERENCE","LOT EN DOUBLE"),"OK"))</f>
        <v/>
      </c>
    </row>
    <row r="77" customFormat="false" ht="15" hidden="false" customHeight="false" outlineLevel="0" collapsed="false">
      <c r="A77" s="24"/>
      <c r="B77" s="24"/>
      <c r="C77" s="24"/>
      <c r="D77" s="24"/>
      <c r="E77" s="24"/>
      <c r="F77" s="24"/>
      <c r="G77" s="24"/>
      <c r="H77" s="24"/>
      <c r="I77" s="24"/>
      <c r="J77" s="25"/>
      <c r="K77" s="24"/>
      <c r="L77" s="24"/>
      <c r="M77" s="26" t="str">
        <f aca="false">IF($A77="","",IF($K77&lt;&gt;"",$K77,IF(IFERROR(INDEX(RES_LOTSRC,MATCH($A77,RES_LOTEFF,0)),"")=$A77,"",IFERROR(INDEX(RES_LOTSRC,MATCH($A77,RES_LOTEFF,0)),""))))</f>
        <v/>
      </c>
      <c r="N77" s="26" t="str">
        <f aca="false">IF($A77="","",IF($B77&lt;&gt;"",$B77,IF($M77="","",IFERROR(INDEX($B$5:$B$204,MATCH($M77,$A$5:$A$204,0)),""))))</f>
        <v/>
      </c>
      <c r="O77" s="26" t="str">
        <f aca="false">IF($A77="","",IF($C77&lt;&gt;"",$C77,IF($M77="","",IFERROR(INDEX($C$5:$C$204,MATCH($M77,$A$5:$A$204,0)),""))))</f>
        <v/>
      </c>
      <c r="P77" s="26" t="str">
        <f aca="false">IF($A77="","",IF($D77&lt;&gt;"",$D77,IF($M77="","",IFERROR(INDEX($D$5:$D$204,MATCH($M77,$A$5:$A$204,0)),""))))</f>
        <v/>
      </c>
      <c r="Q77" s="26" t="str">
        <f aca="false">IF($A77="","",IF($G77&lt;&gt;"",$G77,IF($M77="","",IFERROR(INDEX($G$5:$G$204,MATCH($M77,$A$5:$A$204,0)),""))))</f>
        <v/>
      </c>
      <c r="R77" s="27" t="str">
        <f aca="false">IF($A77="","",SUMIFS(MVT_NET,MVT_LOT,$A77))</f>
        <v/>
      </c>
      <c r="S77" s="28" t="str">
        <f aca="false">IF($A77="","",COUNTIFS(MVT_LOT,$A77,MVT_BRUT,"&lt;&gt;0"))</f>
        <v/>
      </c>
      <c r="T77" s="28" t="str">
        <f aca="false">IF($A77="","",COUNTIFS(QC_LOT,$A77))</f>
        <v/>
      </c>
      <c r="U77" s="26" t="str">
        <f aca="false">IF($A77="","",IF(COUNTIF($A$5:$A$204,$A77)&gt;1,IF(SUMPRODUCT(($A$5:$A$204=$A77)*(($B$5:$B$204&lt;&gt;$B77)+($C$5:$C$204&lt;&gt;$C77)))&gt;0,"INCOHERENCE","LOT EN DOUBLE"),"OK"))</f>
        <v/>
      </c>
    </row>
    <row r="78" customFormat="false" ht="15" hidden="false" customHeight="false" outlineLevel="0" collapsed="false">
      <c r="A78" s="24"/>
      <c r="B78" s="24"/>
      <c r="C78" s="24"/>
      <c r="D78" s="24"/>
      <c r="E78" s="24"/>
      <c r="F78" s="24"/>
      <c r="G78" s="24"/>
      <c r="H78" s="24"/>
      <c r="I78" s="24"/>
      <c r="J78" s="25"/>
      <c r="K78" s="24"/>
      <c r="L78" s="24"/>
      <c r="M78" s="26" t="str">
        <f aca="false">IF($A78="","",IF($K78&lt;&gt;"",$K78,IF(IFERROR(INDEX(RES_LOTSRC,MATCH($A78,RES_LOTEFF,0)),"")=$A78,"",IFERROR(INDEX(RES_LOTSRC,MATCH($A78,RES_LOTEFF,0)),""))))</f>
        <v/>
      </c>
      <c r="N78" s="26" t="str">
        <f aca="false">IF($A78="","",IF($B78&lt;&gt;"",$B78,IF($M78="","",IFERROR(INDEX($B$5:$B$204,MATCH($M78,$A$5:$A$204,0)),""))))</f>
        <v/>
      </c>
      <c r="O78" s="26" t="str">
        <f aca="false">IF($A78="","",IF($C78&lt;&gt;"",$C78,IF($M78="","",IFERROR(INDEX($C$5:$C$204,MATCH($M78,$A$5:$A$204,0)),""))))</f>
        <v/>
      </c>
      <c r="P78" s="26" t="str">
        <f aca="false">IF($A78="","",IF($D78&lt;&gt;"",$D78,IF($M78="","",IFERROR(INDEX($D$5:$D$204,MATCH($M78,$A$5:$A$204,0)),""))))</f>
        <v/>
      </c>
      <c r="Q78" s="26" t="str">
        <f aca="false">IF($A78="","",IF($G78&lt;&gt;"",$G78,IF($M78="","",IFERROR(INDEX($G$5:$G$204,MATCH($M78,$A$5:$A$204,0)),""))))</f>
        <v/>
      </c>
      <c r="R78" s="27" t="str">
        <f aca="false">IF($A78="","",SUMIFS(MVT_NET,MVT_LOT,$A78))</f>
        <v/>
      </c>
      <c r="S78" s="28" t="str">
        <f aca="false">IF($A78="","",COUNTIFS(MVT_LOT,$A78,MVT_BRUT,"&lt;&gt;0"))</f>
        <v/>
      </c>
      <c r="T78" s="28" t="str">
        <f aca="false">IF($A78="","",COUNTIFS(QC_LOT,$A78))</f>
        <v/>
      </c>
      <c r="U78" s="26" t="str">
        <f aca="false">IF($A78="","",IF(COUNTIF($A$5:$A$204,$A78)&gt;1,IF(SUMPRODUCT(($A$5:$A$204=$A78)*(($B$5:$B$204&lt;&gt;$B78)+($C$5:$C$204&lt;&gt;$C78)))&gt;0,"INCOHERENCE","LOT EN DOUBLE"),"OK"))</f>
        <v/>
      </c>
    </row>
    <row r="79" customFormat="false" ht="15" hidden="false" customHeight="false" outlineLevel="0" collapsed="false">
      <c r="A79" s="24"/>
      <c r="B79" s="24"/>
      <c r="C79" s="24"/>
      <c r="D79" s="24"/>
      <c r="E79" s="24"/>
      <c r="F79" s="24"/>
      <c r="G79" s="24"/>
      <c r="H79" s="24"/>
      <c r="I79" s="24"/>
      <c r="J79" s="25"/>
      <c r="K79" s="24"/>
      <c r="L79" s="24"/>
      <c r="M79" s="26" t="str">
        <f aca="false">IF($A79="","",IF($K79&lt;&gt;"",$K79,IF(IFERROR(INDEX(RES_LOTSRC,MATCH($A79,RES_LOTEFF,0)),"")=$A79,"",IFERROR(INDEX(RES_LOTSRC,MATCH($A79,RES_LOTEFF,0)),""))))</f>
        <v/>
      </c>
      <c r="N79" s="26" t="str">
        <f aca="false">IF($A79="","",IF($B79&lt;&gt;"",$B79,IF($M79="","",IFERROR(INDEX($B$5:$B$204,MATCH($M79,$A$5:$A$204,0)),""))))</f>
        <v/>
      </c>
      <c r="O79" s="26" t="str">
        <f aca="false">IF($A79="","",IF($C79&lt;&gt;"",$C79,IF($M79="","",IFERROR(INDEX($C$5:$C$204,MATCH($M79,$A$5:$A$204,0)),""))))</f>
        <v/>
      </c>
      <c r="P79" s="26" t="str">
        <f aca="false">IF($A79="","",IF($D79&lt;&gt;"",$D79,IF($M79="","",IFERROR(INDEX($D$5:$D$204,MATCH($M79,$A$5:$A$204,0)),""))))</f>
        <v/>
      </c>
      <c r="Q79" s="26" t="str">
        <f aca="false">IF($A79="","",IF($G79&lt;&gt;"",$G79,IF($M79="","",IFERROR(INDEX($G$5:$G$204,MATCH($M79,$A$5:$A$204,0)),""))))</f>
        <v/>
      </c>
      <c r="R79" s="27" t="str">
        <f aca="false">IF($A79="","",SUMIFS(MVT_NET,MVT_LOT,$A79))</f>
        <v/>
      </c>
      <c r="S79" s="28" t="str">
        <f aca="false">IF($A79="","",COUNTIFS(MVT_LOT,$A79,MVT_BRUT,"&lt;&gt;0"))</f>
        <v/>
      </c>
      <c r="T79" s="28" t="str">
        <f aca="false">IF($A79="","",COUNTIFS(QC_LOT,$A79))</f>
        <v/>
      </c>
      <c r="U79" s="26" t="str">
        <f aca="false">IF($A79="","",IF(COUNTIF($A$5:$A$204,$A79)&gt;1,IF(SUMPRODUCT(($A$5:$A$204=$A79)*(($B$5:$B$204&lt;&gt;$B79)+($C$5:$C$204&lt;&gt;$C79)))&gt;0,"INCOHERENCE","LOT EN DOUBLE"),"OK"))</f>
        <v/>
      </c>
    </row>
    <row r="80" customFormat="false" ht="15" hidden="false" customHeight="false" outlineLevel="0" collapsed="false">
      <c r="A80" s="24"/>
      <c r="B80" s="24"/>
      <c r="C80" s="24"/>
      <c r="D80" s="24"/>
      <c r="E80" s="24"/>
      <c r="F80" s="24"/>
      <c r="G80" s="24"/>
      <c r="H80" s="24"/>
      <c r="I80" s="24"/>
      <c r="J80" s="25"/>
      <c r="K80" s="24"/>
      <c r="L80" s="24"/>
      <c r="M80" s="26" t="str">
        <f aca="false">IF($A80="","",IF($K80&lt;&gt;"",$K80,IF(IFERROR(INDEX(RES_LOTSRC,MATCH($A80,RES_LOTEFF,0)),"")=$A80,"",IFERROR(INDEX(RES_LOTSRC,MATCH($A80,RES_LOTEFF,0)),""))))</f>
        <v/>
      </c>
      <c r="N80" s="26" t="str">
        <f aca="false">IF($A80="","",IF($B80&lt;&gt;"",$B80,IF($M80="","",IFERROR(INDEX($B$5:$B$204,MATCH($M80,$A$5:$A$204,0)),""))))</f>
        <v/>
      </c>
      <c r="O80" s="26" t="str">
        <f aca="false">IF($A80="","",IF($C80&lt;&gt;"",$C80,IF($M80="","",IFERROR(INDEX($C$5:$C$204,MATCH($M80,$A$5:$A$204,0)),""))))</f>
        <v/>
      </c>
      <c r="P80" s="26" t="str">
        <f aca="false">IF($A80="","",IF($D80&lt;&gt;"",$D80,IF($M80="","",IFERROR(INDEX($D$5:$D$204,MATCH($M80,$A$5:$A$204,0)),""))))</f>
        <v/>
      </c>
      <c r="Q80" s="26" t="str">
        <f aca="false">IF($A80="","",IF($G80&lt;&gt;"",$G80,IF($M80="","",IFERROR(INDEX($G$5:$G$204,MATCH($M80,$A$5:$A$204,0)),""))))</f>
        <v/>
      </c>
      <c r="R80" s="27" t="str">
        <f aca="false">IF($A80="","",SUMIFS(MVT_NET,MVT_LOT,$A80))</f>
        <v/>
      </c>
      <c r="S80" s="28" t="str">
        <f aca="false">IF($A80="","",COUNTIFS(MVT_LOT,$A80,MVT_BRUT,"&lt;&gt;0"))</f>
        <v/>
      </c>
      <c r="T80" s="28" t="str">
        <f aca="false">IF($A80="","",COUNTIFS(QC_LOT,$A80))</f>
        <v/>
      </c>
      <c r="U80" s="26" t="str">
        <f aca="false">IF($A80="","",IF(COUNTIF($A$5:$A$204,$A80)&gt;1,IF(SUMPRODUCT(($A$5:$A$204=$A80)*(($B$5:$B$204&lt;&gt;$B80)+($C$5:$C$204&lt;&gt;$C80)))&gt;0,"INCOHERENCE","LOT EN DOUBLE"),"OK"))</f>
        <v/>
      </c>
    </row>
    <row r="81" customFormat="false" ht="15" hidden="false" customHeight="false" outlineLevel="0" collapsed="false">
      <c r="A81" s="24"/>
      <c r="B81" s="24"/>
      <c r="C81" s="24"/>
      <c r="D81" s="24"/>
      <c r="E81" s="24"/>
      <c r="F81" s="24"/>
      <c r="G81" s="24"/>
      <c r="H81" s="24"/>
      <c r="I81" s="24"/>
      <c r="J81" s="25"/>
      <c r="K81" s="24"/>
      <c r="L81" s="24"/>
      <c r="M81" s="26" t="str">
        <f aca="false">IF($A81="","",IF($K81&lt;&gt;"",$K81,IF(IFERROR(INDEX(RES_LOTSRC,MATCH($A81,RES_LOTEFF,0)),"")=$A81,"",IFERROR(INDEX(RES_LOTSRC,MATCH($A81,RES_LOTEFF,0)),""))))</f>
        <v/>
      </c>
      <c r="N81" s="26" t="str">
        <f aca="false">IF($A81="","",IF($B81&lt;&gt;"",$B81,IF($M81="","",IFERROR(INDEX($B$5:$B$204,MATCH($M81,$A$5:$A$204,0)),""))))</f>
        <v/>
      </c>
      <c r="O81" s="26" t="str">
        <f aca="false">IF($A81="","",IF($C81&lt;&gt;"",$C81,IF($M81="","",IFERROR(INDEX($C$5:$C$204,MATCH($M81,$A$5:$A$204,0)),""))))</f>
        <v/>
      </c>
      <c r="P81" s="26" t="str">
        <f aca="false">IF($A81="","",IF($D81&lt;&gt;"",$D81,IF($M81="","",IFERROR(INDEX($D$5:$D$204,MATCH($M81,$A$5:$A$204,0)),""))))</f>
        <v/>
      </c>
      <c r="Q81" s="26" t="str">
        <f aca="false">IF($A81="","",IF($G81&lt;&gt;"",$G81,IF($M81="","",IFERROR(INDEX($G$5:$G$204,MATCH($M81,$A$5:$A$204,0)),""))))</f>
        <v/>
      </c>
      <c r="R81" s="27" t="str">
        <f aca="false">IF($A81="","",SUMIFS(MVT_NET,MVT_LOT,$A81))</f>
        <v/>
      </c>
      <c r="S81" s="28" t="str">
        <f aca="false">IF($A81="","",COUNTIFS(MVT_LOT,$A81,MVT_BRUT,"&lt;&gt;0"))</f>
        <v/>
      </c>
      <c r="T81" s="28" t="str">
        <f aca="false">IF($A81="","",COUNTIFS(QC_LOT,$A81))</f>
        <v/>
      </c>
      <c r="U81" s="26" t="str">
        <f aca="false">IF($A81="","",IF(COUNTIF($A$5:$A$204,$A81)&gt;1,IF(SUMPRODUCT(($A$5:$A$204=$A81)*(($B$5:$B$204&lt;&gt;$B81)+($C$5:$C$204&lt;&gt;$C81)))&gt;0,"INCOHERENCE","LOT EN DOUBLE"),"OK"))</f>
        <v/>
      </c>
    </row>
    <row r="82" customFormat="false" ht="15" hidden="false" customHeight="false" outlineLevel="0" collapsed="false">
      <c r="A82" s="24"/>
      <c r="B82" s="24"/>
      <c r="C82" s="24"/>
      <c r="D82" s="24"/>
      <c r="E82" s="24"/>
      <c r="F82" s="24"/>
      <c r="G82" s="24"/>
      <c r="H82" s="24"/>
      <c r="I82" s="24"/>
      <c r="J82" s="25"/>
      <c r="K82" s="24"/>
      <c r="L82" s="24"/>
      <c r="M82" s="26" t="str">
        <f aca="false">IF($A82="","",IF($K82&lt;&gt;"",$K82,IF(IFERROR(INDEX(RES_LOTSRC,MATCH($A82,RES_LOTEFF,0)),"")=$A82,"",IFERROR(INDEX(RES_LOTSRC,MATCH($A82,RES_LOTEFF,0)),""))))</f>
        <v/>
      </c>
      <c r="N82" s="26" t="str">
        <f aca="false">IF($A82="","",IF($B82&lt;&gt;"",$B82,IF($M82="","",IFERROR(INDEX($B$5:$B$204,MATCH($M82,$A$5:$A$204,0)),""))))</f>
        <v/>
      </c>
      <c r="O82" s="26" t="str">
        <f aca="false">IF($A82="","",IF($C82&lt;&gt;"",$C82,IF($M82="","",IFERROR(INDEX($C$5:$C$204,MATCH($M82,$A$5:$A$204,0)),""))))</f>
        <v/>
      </c>
      <c r="P82" s="26" t="str">
        <f aca="false">IF($A82="","",IF($D82&lt;&gt;"",$D82,IF($M82="","",IFERROR(INDEX($D$5:$D$204,MATCH($M82,$A$5:$A$204,0)),""))))</f>
        <v/>
      </c>
      <c r="Q82" s="26" t="str">
        <f aca="false">IF($A82="","",IF($G82&lt;&gt;"",$G82,IF($M82="","",IFERROR(INDEX($G$5:$G$204,MATCH($M82,$A$5:$A$204,0)),""))))</f>
        <v/>
      </c>
      <c r="R82" s="27" t="str">
        <f aca="false">IF($A82="","",SUMIFS(MVT_NET,MVT_LOT,$A82))</f>
        <v/>
      </c>
      <c r="S82" s="28" t="str">
        <f aca="false">IF($A82="","",COUNTIFS(MVT_LOT,$A82,MVT_BRUT,"&lt;&gt;0"))</f>
        <v/>
      </c>
      <c r="T82" s="28" t="str">
        <f aca="false">IF($A82="","",COUNTIFS(QC_LOT,$A82))</f>
        <v/>
      </c>
      <c r="U82" s="26" t="str">
        <f aca="false">IF($A82="","",IF(COUNTIF($A$5:$A$204,$A82)&gt;1,IF(SUMPRODUCT(($A$5:$A$204=$A82)*(($B$5:$B$204&lt;&gt;$B82)+($C$5:$C$204&lt;&gt;$C82)))&gt;0,"INCOHERENCE","LOT EN DOUBLE"),"OK"))</f>
        <v/>
      </c>
    </row>
    <row r="83" customFormat="false" ht="15" hidden="false" customHeight="false" outlineLevel="0" collapsed="false">
      <c r="A83" s="24"/>
      <c r="B83" s="24"/>
      <c r="C83" s="24"/>
      <c r="D83" s="24"/>
      <c r="E83" s="24"/>
      <c r="F83" s="24"/>
      <c r="G83" s="24"/>
      <c r="H83" s="24"/>
      <c r="I83" s="24"/>
      <c r="J83" s="25"/>
      <c r="K83" s="24"/>
      <c r="L83" s="24"/>
      <c r="M83" s="26" t="str">
        <f aca="false">IF($A83="","",IF($K83&lt;&gt;"",$K83,IF(IFERROR(INDEX(RES_LOTSRC,MATCH($A83,RES_LOTEFF,0)),"")=$A83,"",IFERROR(INDEX(RES_LOTSRC,MATCH($A83,RES_LOTEFF,0)),""))))</f>
        <v/>
      </c>
      <c r="N83" s="26" t="str">
        <f aca="false">IF($A83="","",IF($B83&lt;&gt;"",$B83,IF($M83="","",IFERROR(INDEX($B$5:$B$204,MATCH($M83,$A$5:$A$204,0)),""))))</f>
        <v/>
      </c>
      <c r="O83" s="26" t="str">
        <f aca="false">IF($A83="","",IF($C83&lt;&gt;"",$C83,IF($M83="","",IFERROR(INDEX($C$5:$C$204,MATCH($M83,$A$5:$A$204,0)),""))))</f>
        <v/>
      </c>
      <c r="P83" s="26" t="str">
        <f aca="false">IF($A83="","",IF($D83&lt;&gt;"",$D83,IF($M83="","",IFERROR(INDEX($D$5:$D$204,MATCH($M83,$A$5:$A$204,0)),""))))</f>
        <v/>
      </c>
      <c r="Q83" s="26" t="str">
        <f aca="false">IF($A83="","",IF($G83&lt;&gt;"",$G83,IF($M83="","",IFERROR(INDEX($G$5:$G$204,MATCH($M83,$A$5:$A$204,0)),""))))</f>
        <v/>
      </c>
      <c r="R83" s="27" t="str">
        <f aca="false">IF($A83="","",SUMIFS(MVT_NET,MVT_LOT,$A83))</f>
        <v/>
      </c>
      <c r="S83" s="28" t="str">
        <f aca="false">IF($A83="","",COUNTIFS(MVT_LOT,$A83,MVT_BRUT,"&lt;&gt;0"))</f>
        <v/>
      </c>
      <c r="T83" s="28" t="str">
        <f aca="false">IF($A83="","",COUNTIFS(QC_LOT,$A83))</f>
        <v/>
      </c>
      <c r="U83" s="26" t="str">
        <f aca="false">IF($A83="","",IF(COUNTIF($A$5:$A$204,$A83)&gt;1,IF(SUMPRODUCT(($A$5:$A$204=$A83)*(($B$5:$B$204&lt;&gt;$B83)+($C$5:$C$204&lt;&gt;$C83)))&gt;0,"INCOHERENCE","LOT EN DOUBLE"),"OK"))</f>
        <v/>
      </c>
    </row>
    <row r="84" customFormat="false" ht="15" hidden="false" customHeight="false" outlineLevel="0" collapsed="false">
      <c r="A84" s="24"/>
      <c r="B84" s="24"/>
      <c r="C84" s="24"/>
      <c r="D84" s="24"/>
      <c r="E84" s="24"/>
      <c r="F84" s="24"/>
      <c r="G84" s="24"/>
      <c r="H84" s="24"/>
      <c r="I84" s="24"/>
      <c r="J84" s="25"/>
      <c r="K84" s="24"/>
      <c r="L84" s="24"/>
      <c r="M84" s="26" t="str">
        <f aca="false">IF($A84="","",IF($K84&lt;&gt;"",$K84,IF(IFERROR(INDEX(RES_LOTSRC,MATCH($A84,RES_LOTEFF,0)),"")=$A84,"",IFERROR(INDEX(RES_LOTSRC,MATCH($A84,RES_LOTEFF,0)),""))))</f>
        <v/>
      </c>
      <c r="N84" s="26" t="str">
        <f aca="false">IF($A84="","",IF($B84&lt;&gt;"",$B84,IF($M84="","",IFERROR(INDEX($B$5:$B$204,MATCH($M84,$A$5:$A$204,0)),""))))</f>
        <v/>
      </c>
      <c r="O84" s="26" t="str">
        <f aca="false">IF($A84="","",IF($C84&lt;&gt;"",$C84,IF($M84="","",IFERROR(INDEX($C$5:$C$204,MATCH($M84,$A$5:$A$204,0)),""))))</f>
        <v/>
      </c>
      <c r="P84" s="26" t="str">
        <f aca="false">IF($A84="","",IF($D84&lt;&gt;"",$D84,IF($M84="","",IFERROR(INDEX($D$5:$D$204,MATCH($M84,$A$5:$A$204,0)),""))))</f>
        <v/>
      </c>
      <c r="Q84" s="26" t="str">
        <f aca="false">IF($A84="","",IF($G84&lt;&gt;"",$G84,IF($M84="","",IFERROR(INDEX($G$5:$G$204,MATCH($M84,$A$5:$A$204,0)),""))))</f>
        <v/>
      </c>
      <c r="R84" s="27" t="str">
        <f aca="false">IF($A84="","",SUMIFS(MVT_NET,MVT_LOT,$A84))</f>
        <v/>
      </c>
      <c r="S84" s="28" t="str">
        <f aca="false">IF($A84="","",COUNTIFS(MVT_LOT,$A84,MVT_BRUT,"&lt;&gt;0"))</f>
        <v/>
      </c>
      <c r="T84" s="28" t="str">
        <f aca="false">IF($A84="","",COUNTIFS(QC_LOT,$A84))</f>
        <v/>
      </c>
      <c r="U84" s="26" t="str">
        <f aca="false">IF($A84="","",IF(COUNTIF($A$5:$A$204,$A84)&gt;1,IF(SUMPRODUCT(($A$5:$A$204=$A84)*(($B$5:$B$204&lt;&gt;$B84)+($C$5:$C$204&lt;&gt;$C84)))&gt;0,"INCOHERENCE","LOT EN DOUBLE"),"OK"))</f>
        <v/>
      </c>
    </row>
    <row r="85" customFormat="false" ht="15" hidden="false" customHeight="false" outlineLevel="0" collapsed="false">
      <c r="A85" s="24"/>
      <c r="B85" s="24"/>
      <c r="C85" s="24"/>
      <c r="D85" s="24"/>
      <c r="E85" s="24"/>
      <c r="F85" s="24"/>
      <c r="G85" s="24"/>
      <c r="H85" s="24"/>
      <c r="I85" s="24"/>
      <c r="J85" s="25"/>
      <c r="K85" s="24"/>
      <c r="L85" s="24"/>
      <c r="M85" s="26" t="str">
        <f aca="false">IF($A85="","",IF($K85&lt;&gt;"",$K85,IF(IFERROR(INDEX(RES_LOTSRC,MATCH($A85,RES_LOTEFF,0)),"")=$A85,"",IFERROR(INDEX(RES_LOTSRC,MATCH($A85,RES_LOTEFF,0)),""))))</f>
        <v/>
      </c>
      <c r="N85" s="26" t="str">
        <f aca="false">IF($A85="","",IF($B85&lt;&gt;"",$B85,IF($M85="","",IFERROR(INDEX($B$5:$B$204,MATCH($M85,$A$5:$A$204,0)),""))))</f>
        <v/>
      </c>
      <c r="O85" s="26" t="str">
        <f aca="false">IF($A85="","",IF($C85&lt;&gt;"",$C85,IF($M85="","",IFERROR(INDEX($C$5:$C$204,MATCH($M85,$A$5:$A$204,0)),""))))</f>
        <v/>
      </c>
      <c r="P85" s="26" t="str">
        <f aca="false">IF($A85="","",IF($D85&lt;&gt;"",$D85,IF($M85="","",IFERROR(INDEX($D$5:$D$204,MATCH($M85,$A$5:$A$204,0)),""))))</f>
        <v/>
      </c>
      <c r="Q85" s="26" t="str">
        <f aca="false">IF($A85="","",IF($G85&lt;&gt;"",$G85,IF($M85="","",IFERROR(INDEX($G$5:$G$204,MATCH($M85,$A$5:$A$204,0)),""))))</f>
        <v/>
      </c>
      <c r="R85" s="27" t="str">
        <f aca="false">IF($A85="","",SUMIFS(MVT_NET,MVT_LOT,$A85))</f>
        <v/>
      </c>
      <c r="S85" s="28" t="str">
        <f aca="false">IF($A85="","",COUNTIFS(MVT_LOT,$A85,MVT_BRUT,"&lt;&gt;0"))</f>
        <v/>
      </c>
      <c r="T85" s="28" t="str">
        <f aca="false">IF($A85="","",COUNTIFS(QC_LOT,$A85))</f>
        <v/>
      </c>
      <c r="U85" s="26" t="str">
        <f aca="false">IF($A85="","",IF(COUNTIF($A$5:$A$204,$A85)&gt;1,IF(SUMPRODUCT(($A$5:$A$204=$A85)*(($B$5:$B$204&lt;&gt;$B85)+($C$5:$C$204&lt;&gt;$C85)))&gt;0,"INCOHERENCE","LOT EN DOUBLE"),"OK"))</f>
        <v/>
      </c>
    </row>
    <row r="86" customFormat="false" ht="15" hidden="false" customHeight="false" outlineLevel="0" collapsed="false">
      <c r="A86" s="24"/>
      <c r="B86" s="24"/>
      <c r="C86" s="24"/>
      <c r="D86" s="24"/>
      <c r="E86" s="24"/>
      <c r="F86" s="24"/>
      <c r="G86" s="24"/>
      <c r="H86" s="24"/>
      <c r="I86" s="24"/>
      <c r="J86" s="25"/>
      <c r="K86" s="24"/>
      <c r="L86" s="24"/>
      <c r="M86" s="26" t="str">
        <f aca="false">IF($A86="","",IF($K86&lt;&gt;"",$K86,IF(IFERROR(INDEX(RES_LOTSRC,MATCH($A86,RES_LOTEFF,0)),"")=$A86,"",IFERROR(INDEX(RES_LOTSRC,MATCH($A86,RES_LOTEFF,0)),""))))</f>
        <v/>
      </c>
      <c r="N86" s="26" t="str">
        <f aca="false">IF($A86="","",IF($B86&lt;&gt;"",$B86,IF($M86="","",IFERROR(INDEX($B$5:$B$204,MATCH($M86,$A$5:$A$204,0)),""))))</f>
        <v/>
      </c>
      <c r="O86" s="26" t="str">
        <f aca="false">IF($A86="","",IF($C86&lt;&gt;"",$C86,IF($M86="","",IFERROR(INDEX($C$5:$C$204,MATCH($M86,$A$5:$A$204,0)),""))))</f>
        <v/>
      </c>
      <c r="P86" s="26" t="str">
        <f aca="false">IF($A86="","",IF($D86&lt;&gt;"",$D86,IF($M86="","",IFERROR(INDEX($D$5:$D$204,MATCH($M86,$A$5:$A$204,0)),""))))</f>
        <v/>
      </c>
      <c r="Q86" s="26" t="str">
        <f aca="false">IF($A86="","",IF($G86&lt;&gt;"",$G86,IF($M86="","",IFERROR(INDEX($G$5:$G$204,MATCH($M86,$A$5:$A$204,0)),""))))</f>
        <v/>
      </c>
      <c r="R86" s="27" t="str">
        <f aca="false">IF($A86="","",SUMIFS(MVT_NET,MVT_LOT,$A86))</f>
        <v/>
      </c>
      <c r="S86" s="28" t="str">
        <f aca="false">IF($A86="","",COUNTIFS(MVT_LOT,$A86,MVT_BRUT,"&lt;&gt;0"))</f>
        <v/>
      </c>
      <c r="T86" s="28" t="str">
        <f aca="false">IF($A86="","",COUNTIFS(QC_LOT,$A86))</f>
        <v/>
      </c>
      <c r="U86" s="26" t="str">
        <f aca="false">IF($A86="","",IF(COUNTIF($A$5:$A$204,$A86)&gt;1,IF(SUMPRODUCT(($A$5:$A$204=$A86)*(($B$5:$B$204&lt;&gt;$B86)+($C$5:$C$204&lt;&gt;$C86)))&gt;0,"INCOHERENCE","LOT EN DOUBLE"),"OK"))</f>
        <v/>
      </c>
    </row>
    <row r="87" customFormat="false" ht="15" hidden="false" customHeight="false" outlineLevel="0" collapsed="false">
      <c r="A87" s="24"/>
      <c r="B87" s="24"/>
      <c r="C87" s="24"/>
      <c r="D87" s="24"/>
      <c r="E87" s="24"/>
      <c r="F87" s="24"/>
      <c r="G87" s="24"/>
      <c r="H87" s="24"/>
      <c r="I87" s="24"/>
      <c r="J87" s="25"/>
      <c r="K87" s="24"/>
      <c r="L87" s="24"/>
      <c r="M87" s="26" t="str">
        <f aca="false">IF($A87="","",IF($K87&lt;&gt;"",$K87,IF(IFERROR(INDEX(RES_LOTSRC,MATCH($A87,RES_LOTEFF,0)),"")=$A87,"",IFERROR(INDEX(RES_LOTSRC,MATCH($A87,RES_LOTEFF,0)),""))))</f>
        <v/>
      </c>
      <c r="N87" s="26" t="str">
        <f aca="false">IF($A87="","",IF($B87&lt;&gt;"",$B87,IF($M87="","",IFERROR(INDEX($B$5:$B$204,MATCH($M87,$A$5:$A$204,0)),""))))</f>
        <v/>
      </c>
      <c r="O87" s="26" t="str">
        <f aca="false">IF($A87="","",IF($C87&lt;&gt;"",$C87,IF($M87="","",IFERROR(INDEX($C$5:$C$204,MATCH($M87,$A$5:$A$204,0)),""))))</f>
        <v/>
      </c>
      <c r="P87" s="26" t="str">
        <f aca="false">IF($A87="","",IF($D87&lt;&gt;"",$D87,IF($M87="","",IFERROR(INDEX($D$5:$D$204,MATCH($M87,$A$5:$A$204,0)),""))))</f>
        <v/>
      </c>
      <c r="Q87" s="26" t="str">
        <f aca="false">IF($A87="","",IF($G87&lt;&gt;"",$G87,IF($M87="","",IFERROR(INDEX($G$5:$G$204,MATCH($M87,$A$5:$A$204,0)),""))))</f>
        <v/>
      </c>
      <c r="R87" s="27" t="str">
        <f aca="false">IF($A87="","",SUMIFS(MVT_NET,MVT_LOT,$A87))</f>
        <v/>
      </c>
      <c r="S87" s="28" t="str">
        <f aca="false">IF($A87="","",COUNTIFS(MVT_LOT,$A87,MVT_BRUT,"&lt;&gt;0"))</f>
        <v/>
      </c>
      <c r="T87" s="28" t="str">
        <f aca="false">IF($A87="","",COUNTIFS(QC_LOT,$A87))</f>
        <v/>
      </c>
      <c r="U87" s="26" t="str">
        <f aca="false">IF($A87="","",IF(COUNTIF($A$5:$A$204,$A87)&gt;1,IF(SUMPRODUCT(($A$5:$A$204=$A87)*(($B$5:$B$204&lt;&gt;$B87)+($C$5:$C$204&lt;&gt;$C87)))&gt;0,"INCOHERENCE","LOT EN DOUBLE"),"OK"))</f>
        <v/>
      </c>
    </row>
    <row r="88" customFormat="false" ht="15" hidden="false" customHeight="false" outlineLevel="0" collapsed="false">
      <c r="A88" s="24"/>
      <c r="B88" s="24"/>
      <c r="C88" s="24"/>
      <c r="D88" s="24"/>
      <c r="E88" s="24"/>
      <c r="F88" s="24"/>
      <c r="G88" s="24"/>
      <c r="H88" s="24"/>
      <c r="I88" s="24"/>
      <c r="J88" s="25"/>
      <c r="K88" s="24"/>
      <c r="L88" s="24"/>
      <c r="M88" s="26" t="str">
        <f aca="false">IF($A88="","",IF($K88&lt;&gt;"",$K88,IF(IFERROR(INDEX(RES_LOTSRC,MATCH($A88,RES_LOTEFF,0)),"")=$A88,"",IFERROR(INDEX(RES_LOTSRC,MATCH($A88,RES_LOTEFF,0)),""))))</f>
        <v/>
      </c>
      <c r="N88" s="26" t="str">
        <f aca="false">IF($A88="","",IF($B88&lt;&gt;"",$B88,IF($M88="","",IFERROR(INDEX($B$5:$B$204,MATCH($M88,$A$5:$A$204,0)),""))))</f>
        <v/>
      </c>
      <c r="O88" s="26" t="str">
        <f aca="false">IF($A88="","",IF($C88&lt;&gt;"",$C88,IF($M88="","",IFERROR(INDEX($C$5:$C$204,MATCH($M88,$A$5:$A$204,0)),""))))</f>
        <v/>
      </c>
      <c r="P88" s="26" t="str">
        <f aca="false">IF($A88="","",IF($D88&lt;&gt;"",$D88,IF($M88="","",IFERROR(INDEX($D$5:$D$204,MATCH($M88,$A$5:$A$204,0)),""))))</f>
        <v/>
      </c>
      <c r="Q88" s="26" t="str">
        <f aca="false">IF($A88="","",IF($G88&lt;&gt;"",$G88,IF($M88="","",IFERROR(INDEX($G$5:$G$204,MATCH($M88,$A$5:$A$204,0)),""))))</f>
        <v/>
      </c>
      <c r="R88" s="27" t="str">
        <f aca="false">IF($A88="","",SUMIFS(MVT_NET,MVT_LOT,$A88))</f>
        <v/>
      </c>
      <c r="S88" s="28" t="str">
        <f aca="false">IF($A88="","",COUNTIFS(MVT_LOT,$A88,MVT_BRUT,"&lt;&gt;0"))</f>
        <v/>
      </c>
      <c r="T88" s="28" t="str">
        <f aca="false">IF($A88="","",COUNTIFS(QC_LOT,$A88))</f>
        <v/>
      </c>
      <c r="U88" s="26" t="str">
        <f aca="false">IF($A88="","",IF(COUNTIF($A$5:$A$204,$A88)&gt;1,IF(SUMPRODUCT(($A$5:$A$204=$A88)*(($B$5:$B$204&lt;&gt;$B88)+($C$5:$C$204&lt;&gt;$C88)))&gt;0,"INCOHERENCE","LOT EN DOUBLE"),"OK"))</f>
        <v/>
      </c>
    </row>
    <row r="89" customFormat="false" ht="15" hidden="false" customHeight="false" outlineLevel="0" collapsed="false">
      <c r="A89" s="24"/>
      <c r="B89" s="24"/>
      <c r="C89" s="24"/>
      <c r="D89" s="24"/>
      <c r="E89" s="24"/>
      <c r="F89" s="24"/>
      <c r="G89" s="24"/>
      <c r="H89" s="24"/>
      <c r="I89" s="24"/>
      <c r="J89" s="25"/>
      <c r="K89" s="24"/>
      <c r="L89" s="24"/>
      <c r="M89" s="26" t="str">
        <f aca="false">IF($A89="","",IF($K89&lt;&gt;"",$K89,IF(IFERROR(INDEX(RES_LOTSRC,MATCH($A89,RES_LOTEFF,0)),"")=$A89,"",IFERROR(INDEX(RES_LOTSRC,MATCH($A89,RES_LOTEFF,0)),""))))</f>
        <v/>
      </c>
      <c r="N89" s="26" t="str">
        <f aca="false">IF($A89="","",IF($B89&lt;&gt;"",$B89,IF($M89="","",IFERROR(INDEX($B$5:$B$204,MATCH($M89,$A$5:$A$204,0)),""))))</f>
        <v/>
      </c>
      <c r="O89" s="26" t="str">
        <f aca="false">IF($A89="","",IF($C89&lt;&gt;"",$C89,IF($M89="","",IFERROR(INDEX($C$5:$C$204,MATCH($M89,$A$5:$A$204,0)),""))))</f>
        <v/>
      </c>
      <c r="P89" s="26" t="str">
        <f aca="false">IF($A89="","",IF($D89&lt;&gt;"",$D89,IF($M89="","",IFERROR(INDEX($D$5:$D$204,MATCH($M89,$A$5:$A$204,0)),""))))</f>
        <v/>
      </c>
      <c r="Q89" s="26" t="str">
        <f aca="false">IF($A89="","",IF($G89&lt;&gt;"",$G89,IF($M89="","",IFERROR(INDEX($G$5:$G$204,MATCH($M89,$A$5:$A$204,0)),""))))</f>
        <v/>
      </c>
      <c r="R89" s="27" t="str">
        <f aca="false">IF($A89="","",SUMIFS(MVT_NET,MVT_LOT,$A89))</f>
        <v/>
      </c>
      <c r="S89" s="28" t="str">
        <f aca="false">IF($A89="","",COUNTIFS(MVT_LOT,$A89,MVT_BRUT,"&lt;&gt;0"))</f>
        <v/>
      </c>
      <c r="T89" s="28" t="str">
        <f aca="false">IF($A89="","",COUNTIFS(QC_LOT,$A89))</f>
        <v/>
      </c>
      <c r="U89" s="26" t="str">
        <f aca="false">IF($A89="","",IF(COUNTIF($A$5:$A$204,$A89)&gt;1,IF(SUMPRODUCT(($A$5:$A$204=$A89)*(($B$5:$B$204&lt;&gt;$B89)+($C$5:$C$204&lt;&gt;$C89)))&gt;0,"INCOHERENCE","LOT EN DOUBLE"),"OK"))</f>
        <v/>
      </c>
    </row>
    <row r="90" customFormat="false" ht="15" hidden="false" customHeight="false" outlineLevel="0" collapsed="false">
      <c r="A90" s="24"/>
      <c r="B90" s="24"/>
      <c r="C90" s="24"/>
      <c r="D90" s="24"/>
      <c r="E90" s="24"/>
      <c r="F90" s="24"/>
      <c r="G90" s="24"/>
      <c r="H90" s="24"/>
      <c r="I90" s="24"/>
      <c r="J90" s="25"/>
      <c r="K90" s="24"/>
      <c r="L90" s="24"/>
      <c r="M90" s="26" t="str">
        <f aca="false">IF($A90="","",IF($K90&lt;&gt;"",$K90,IF(IFERROR(INDEX(RES_LOTSRC,MATCH($A90,RES_LOTEFF,0)),"")=$A90,"",IFERROR(INDEX(RES_LOTSRC,MATCH($A90,RES_LOTEFF,0)),""))))</f>
        <v/>
      </c>
      <c r="N90" s="26" t="str">
        <f aca="false">IF($A90="","",IF($B90&lt;&gt;"",$B90,IF($M90="","",IFERROR(INDEX($B$5:$B$204,MATCH($M90,$A$5:$A$204,0)),""))))</f>
        <v/>
      </c>
      <c r="O90" s="26" t="str">
        <f aca="false">IF($A90="","",IF($C90&lt;&gt;"",$C90,IF($M90="","",IFERROR(INDEX($C$5:$C$204,MATCH($M90,$A$5:$A$204,0)),""))))</f>
        <v/>
      </c>
      <c r="P90" s="26" t="str">
        <f aca="false">IF($A90="","",IF($D90&lt;&gt;"",$D90,IF($M90="","",IFERROR(INDEX($D$5:$D$204,MATCH($M90,$A$5:$A$204,0)),""))))</f>
        <v/>
      </c>
      <c r="Q90" s="26" t="str">
        <f aca="false">IF($A90="","",IF($G90&lt;&gt;"",$G90,IF($M90="","",IFERROR(INDEX($G$5:$G$204,MATCH($M90,$A$5:$A$204,0)),""))))</f>
        <v/>
      </c>
      <c r="R90" s="27" t="str">
        <f aca="false">IF($A90="","",SUMIFS(MVT_NET,MVT_LOT,$A90))</f>
        <v/>
      </c>
      <c r="S90" s="28" t="str">
        <f aca="false">IF($A90="","",COUNTIFS(MVT_LOT,$A90,MVT_BRUT,"&lt;&gt;0"))</f>
        <v/>
      </c>
      <c r="T90" s="28" t="str">
        <f aca="false">IF($A90="","",COUNTIFS(QC_LOT,$A90))</f>
        <v/>
      </c>
      <c r="U90" s="26" t="str">
        <f aca="false">IF($A90="","",IF(COUNTIF($A$5:$A$204,$A90)&gt;1,IF(SUMPRODUCT(($A$5:$A$204=$A90)*(($B$5:$B$204&lt;&gt;$B90)+($C$5:$C$204&lt;&gt;$C90)))&gt;0,"INCOHERENCE","LOT EN DOUBLE"),"OK"))</f>
        <v/>
      </c>
    </row>
    <row r="91" customFormat="false" ht="15" hidden="false" customHeight="false" outlineLevel="0" collapsed="false">
      <c r="A91" s="24"/>
      <c r="B91" s="24"/>
      <c r="C91" s="24"/>
      <c r="D91" s="24"/>
      <c r="E91" s="24"/>
      <c r="F91" s="24"/>
      <c r="G91" s="24"/>
      <c r="H91" s="24"/>
      <c r="I91" s="24"/>
      <c r="J91" s="25"/>
      <c r="K91" s="24"/>
      <c r="L91" s="24"/>
      <c r="M91" s="26" t="str">
        <f aca="false">IF($A91="","",IF($K91&lt;&gt;"",$K91,IF(IFERROR(INDEX(RES_LOTSRC,MATCH($A91,RES_LOTEFF,0)),"")=$A91,"",IFERROR(INDEX(RES_LOTSRC,MATCH($A91,RES_LOTEFF,0)),""))))</f>
        <v/>
      </c>
      <c r="N91" s="26" t="str">
        <f aca="false">IF($A91="","",IF($B91&lt;&gt;"",$B91,IF($M91="","",IFERROR(INDEX($B$5:$B$204,MATCH($M91,$A$5:$A$204,0)),""))))</f>
        <v/>
      </c>
      <c r="O91" s="26" t="str">
        <f aca="false">IF($A91="","",IF($C91&lt;&gt;"",$C91,IF($M91="","",IFERROR(INDEX($C$5:$C$204,MATCH($M91,$A$5:$A$204,0)),""))))</f>
        <v/>
      </c>
      <c r="P91" s="26" t="str">
        <f aca="false">IF($A91="","",IF($D91&lt;&gt;"",$D91,IF($M91="","",IFERROR(INDEX($D$5:$D$204,MATCH($M91,$A$5:$A$204,0)),""))))</f>
        <v/>
      </c>
      <c r="Q91" s="26" t="str">
        <f aca="false">IF($A91="","",IF($G91&lt;&gt;"",$G91,IF($M91="","",IFERROR(INDEX($G$5:$G$204,MATCH($M91,$A$5:$A$204,0)),""))))</f>
        <v/>
      </c>
      <c r="R91" s="27" t="str">
        <f aca="false">IF($A91="","",SUMIFS(MVT_NET,MVT_LOT,$A91))</f>
        <v/>
      </c>
      <c r="S91" s="28" t="str">
        <f aca="false">IF($A91="","",COUNTIFS(MVT_LOT,$A91,MVT_BRUT,"&lt;&gt;0"))</f>
        <v/>
      </c>
      <c r="T91" s="28" t="str">
        <f aca="false">IF($A91="","",COUNTIFS(QC_LOT,$A91))</f>
        <v/>
      </c>
      <c r="U91" s="26" t="str">
        <f aca="false">IF($A91="","",IF(COUNTIF($A$5:$A$204,$A91)&gt;1,IF(SUMPRODUCT(($A$5:$A$204=$A91)*(($B$5:$B$204&lt;&gt;$B91)+($C$5:$C$204&lt;&gt;$C91)))&gt;0,"INCOHERENCE","LOT EN DOUBLE"),"OK"))</f>
        <v/>
      </c>
    </row>
    <row r="92" customFormat="false" ht="15" hidden="false" customHeight="false" outlineLevel="0" collapsed="false">
      <c r="A92" s="24"/>
      <c r="B92" s="24"/>
      <c r="C92" s="24"/>
      <c r="D92" s="24"/>
      <c r="E92" s="24"/>
      <c r="F92" s="24"/>
      <c r="G92" s="24"/>
      <c r="H92" s="24"/>
      <c r="I92" s="24"/>
      <c r="J92" s="25"/>
      <c r="K92" s="24"/>
      <c r="L92" s="24"/>
      <c r="M92" s="26" t="str">
        <f aca="false">IF($A92="","",IF($K92&lt;&gt;"",$K92,IF(IFERROR(INDEX(RES_LOTSRC,MATCH($A92,RES_LOTEFF,0)),"")=$A92,"",IFERROR(INDEX(RES_LOTSRC,MATCH($A92,RES_LOTEFF,0)),""))))</f>
        <v/>
      </c>
      <c r="N92" s="26" t="str">
        <f aca="false">IF($A92="","",IF($B92&lt;&gt;"",$B92,IF($M92="","",IFERROR(INDEX($B$5:$B$204,MATCH($M92,$A$5:$A$204,0)),""))))</f>
        <v/>
      </c>
      <c r="O92" s="26" t="str">
        <f aca="false">IF($A92="","",IF($C92&lt;&gt;"",$C92,IF($M92="","",IFERROR(INDEX($C$5:$C$204,MATCH($M92,$A$5:$A$204,0)),""))))</f>
        <v/>
      </c>
      <c r="P92" s="26" t="str">
        <f aca="false">IF($A92="","",IF($D92&lt;&gt;"",$D92,IF($M92="","",IFERROR(INDEX($D$5:$D$204,MATCH($M92,$A$5:$A$204,0)),""))))</f>
        <v/>
      </c>
      <c r="Q92" s="26" t="str">
        <f aca="false">IF($A92="","",IF($G92&lt;&gt;"",$G92,IF($M92="","",IFERROR(INDEX($G$5:$G$204,MATCH($M92,$A$5:$A$204,0)),""))))</f>
        <v/>
      </c>
      <c r="R92" s="27" t="str">
        <f aca="false">IF($A92="","",SUMIFS(MVT_NET,MVT_LOT,$A92))</f>
        <v/>
      </c>
      <c r="S92" s="28" t="str">
        <f aca="false">IF($A92="","",COUNTIFS(MVT_LOT,$A92,MVT_BRUT,"&lt;&gt;0"))</f>
        <v/>
      </c>
      <c r="T92" s="28" t="str">
        <f aca="false">IF($A92="","",COUNTIFS(QC_LOT,$A92))</f>
        <v/>
      </c>
      <c r="U92" s="26" t="str">
        <f aca="false">IF($A92="","",IF(COUNTIF($A$5:$A$204,$A92)&gt;1,IF(SUMPRODUCT(($A$5:$A$204=$A92)*(($B$5:$B$204&lt;&gt;$B92)+($C$5:$C$204&lt;&gt;$C92)))&gt;0,"INCOHERENCE","LOT EN DOUBLE"),"OK"))</f>
        <v/>
      </c>
    </row>
    <row r="93" customFormat="false" ht="15" hidden="false" customHeight="false" outlineLevel="0" collapsed="false">
      <c r="A93" s="24"/>
      <c r="B93" s="24"/>
      <c r="C93" s="24"/>
      <c r="D93" s="24"/>
      <c r="E93" s="24"/>
      <c r="F93" s="24"/>
      <c r="G93" s="24"/>
      <c r="H93" s="24"/>
      <c r="I93" s="24"/>
      <c r="J93" s="25"/>
      <c r="K93" s="24"/>
      <c r="L93" s="24"/>
      <c r="M93" s="26" t="str">
        <f aca="false">IF($A93="","",IF($K93&lt;&gt;"",$K93,IF(IFERROR(INDEX(RES_LOTSRC,MATCH($A93,RES_LOTEFF,0)),"")=$A93,"",IFERROR(INDEX(RES_LOTSRC,MATCH($A93,RES_LOTEFF,0)),""))))</f>
        <v/>
      </c>
      <c r="N93" s="26" t="str">
        <f aca="false">IF($A93="","",IF($B93&lt;&gt;"",$B93,IF($M93="","",IFERROR(INDEX($B$5:$B$204,MATCH($M93,$A$5:$A$204,0)),""))))</f>
        <v/>
      </c>
      <c r="O93" s="26" t="str">
        <f aca="false">IF($A93="","",IF($C93&lt;&gt;"",$C93,IF($M93="","",IFERROR(INDEX($C$5:$C$204,MATCH($M93,$A$5:$A$204,0)),""))))</f>
        <v/>
      </c>
      <c r="P93" s="26" t="str">
        <f aca="false">IF($A93="","",IF($D93&lt;&gt;"",$D93,IF($M93="","",IFERROR(INDEX($D$5:$D$204,MATCH($M93,$A$5:$A$204,0)),""))))</f>
        <v/>
      </c>
      <c r="Q93" s="26" t="str">
        <f aca="false">IF($A93="","",IF($G93&lt;&gt;"",$G93,IF($M93="","",IFERROR(INDEX($G$5:$G$204,MATCH($M93,$A$5:$A$204,0)),""))))</f>
        <v/>
      </c>
      <c r="R93" s="27" t="str">
        <f aca="false">IF($A93="","",SUMIFS(MVT_NET,MVT_LOT,$A93))</f>
        <v/>
      </c>
      <c r="S93" s="28" t="str">
        <f aca="false">IF($A93="","",COUNTIFS(MVT_LOT,$A93,MVT_BRUT,"&lt;&gt;0"))</f>
        <v/>
      </c>
      <c r="T93" s="28" t="str">
        <f aca="false">IF($A93="","",COUNTIFS(QC_LOT,$A93))</f>
        <v/>
      </c>
      <c r="U93" s="26" t="str">
        <f aca="false">IF($A93="","",IF(COUNTIF($A$5:$A$204,$A93)&gt;1,IF(SUMPRODUCT(($A$5:$A$204=$A93)*(($B$5:$B$204&lt;&gt;$B93)+($C$5:$C$204&lt;&gt;$C93)))&gt;0,"INCOHERENCE","LOT EN DOUBLE"),"OK"))</f>
        <v/>
      </c>
    </row>
    <row r="94" customFormat="false" ht="15" hidden="false" customHeight="false" outlineLevel="0" collapsed="false">
      <c r="A94" s="24"/>
      <c r="B94" s="24"/>
      <c r="C94" s="24"/>
      <c r="D94" s="24"/>
      <c r="E94" s="24"/>
      <c r="F94" s="24"/>
      <c r="G94" s="24"/>
      <c r="H94" s="24"/>
      <c r="I94" s="24"/>
      <c r="J94" s="25"/>
      <c r="K94" s="24"/>
      <c r="L94" s="24"/>
      <c r="M94" s="26" t="str">
        <f aca="false">IF($A94="","",IF($K94&lt;&gt;"",$K94,IF(IFERROR(INDEX(RES_LOTSRC,MATCH($A94,RES_LOTEFF,0)),"")=$A94,"",IFERROR(INDEX(RES_LOTSRC,MATCH($A94,RES_LOTEFF,0)),""))))</f>
        <v/>
      </c>
      <c r="N94" s="26" t="str">
        <f aca="false">IF($A94="","",IF($B94&lt;&gt;"",$B94,IF($M94="","",IFERROR(INDEX($B$5:$B$204,MATCH($M94,$A$5:$A$204,0)),""))))</f>
        <v/>
      </c>
      <c r="O94" s="26" t="str">
        <f aca="false">IF($A94="","",IF($C94&lt;&gt;"",$C94,IF($M94="","",IFERROR(INDEX($C$5:$C$204,MATCH($M94,$A$5:$A$204,0)),""))))</f>
        <v/>
      </c>
      <c r="P94" s="26" t="str">
        <f aca="false">IF($A94="","",IF($D94&lt;&gt;"",$D94,IF($M94="","",IFERROR(INDEX($D$5:$D$204,MATCH($M94,$A$5:$A$204,0)),""))))</f>
        <v/>
      </c>
      <c r="Q94" s="26" t="str">
        <f aca="false">IF($A94="","",IF($G94&lt;&gt;"",$G94,IF($M94="","",IFERROR(INDEX($G$5:$G$204,MATCH($M94,$A$5:$A$204,0)),""))))</f>
        <v/>
      </c>
      <c r="R94" s="27" t="str">
        <f aca="false">IF($A94="","",SUMIFS(MVT_NET,MVT_LOT,$A94))</f>
        <v/>
      </c>
      <c r="S94" s="28" t="str">
        <f aca="false">IF($A94="","",COUNTIFS(MVT_LOT,$A94,MVT_BRUT,"&lt;&gt;0"))</f>
        <v/>
      </c>
      <c r="T94" s="28" t="str">
        <f aca="false">IF($A94="","",COUNTIFS(QC_LOT,$A94))</f>
        <v/>
      </c>
      <c r="U94" s="26" t="str">
        <f aca="false">IF($A94="","",IF(COUNTIF($A$5:$A$204,$A94)&gt;1,IF(SUMPRODUCT(($A$5:$A$204=$A94)*(($B$5:$B$204&lt;&gt;$B94)+($C$5:$C$204&lt;&gt;$C94)))&gt;0,"INCOHERENCE","LOT EN DOUBLE"),"OK"))</f>
        <v/>
      </c>
    </row>
    <row r="95" customFormat="false" ht="15" hidden="false" customHeight="false" outlineLevel="0" collapsed="false">
      <c r="A95" s="24"/>
      <c r="B95" s="24"/>
      <c r="C95" s="24"/>
      <c r="D95" s="24"/>
      <c r="E95" s="24"/>
      <c r="F95" s="24"/>
      <c r="G95" s="24"/>
      <c r="H95" s="24"/>
      <c r="I95" s="24"/>
      <c r="J95" s="25"/>
      <c r="K95" s="24"/>
      <c r="L95" s="24"/>
      <c r="M95" s="26" t="str">
        <f aca="false">IF($A95="","",IF($K95&lt;&gt;"",$K95,IF(IFERROR(INDEX(RES_LOTSRC,MATCH($A95,RES_LOTEFF,0)),"")=$A95,"",IFERROR(INDEX(RES_LOTSRC,MATCH($A95,RES_LOTEFF,0)),""))))</f>
        <v/>
      </c>
      <c r="N95" s="26" t="str">
        <f aca="false">IF($A95="","",IF($B95&lt;&gt;"",$B95,IF($M95="","",IFERROR(INDEX($B$5:$B$204,MATCH($M95,$A$5:$A$204,0)),""))))</f>
        <v/>
      </c>
      <c r="O95" s="26" t="str">
        <f aca="false">IF($A95="","",IF($C95&lt;&gt;"",$C95,IF($M95="","",IFERROR(INDEX($C$5:$C$204,MATCH($M95,$A$5:$A$204,0)),""))))</f>
        <v/>
      </c>
      <c r="P95" s="26" t="str">
        <f aca="false">IF($A95="","",IF($D95&lt;&gt;"",$D95,IF($M95="","",IFERROR(INDEX($D$5:$D$204,MATCH($M95,$A$5:$A$204,0)),""))))</f>
        <v/>
      </c>
      <c r="Q95" s="26" t="str">
        <f aca="false">IF($A95="","",IF($G95&lt;&gt;"",$G95,IF($M95="","",IFERROR(INDEX($G$5:$G$204,MATCH($M95,$A$5:$A$204,0)),""))))</f>
        <v/>
      </c>
      <c r="R95" s="27" t="str">
        <f aca="false">IF($A95="","",SUMIFS(MVT_NET,MVT_LOT,$A95))</f>
        <v/>
      </c>
      <c r="S95" s="28" t="str">
        <f aca="false">IF($A95="","",COUNTIFS(MVT_LOT,$A95,MVT_BRUT,"&lt;&gt;0"))</f>
        <v/>
      </c>
      <c r="T95" s="28" t="str">
        <f aca="false">IF($A95="","",COUNTIFS(QC_LOT,$A95))</f>
        <v/>
      </c>
      <c r="U95" s="26" t="str">
        <f aca="false">IF($A95="","",IF(COUNTIF($A$5:$A$204,$A95)&gt;1,IF(SUMPRODUCT(($A$5:$A$204=$A95)*(($B$5:$B$204&lt;&gt;$B95)+($C$5:$C$204&lt;&gt;$C95)))&gt;0,"INCOHERENCE","LOT EN DOUBLE"),"OK"))</f>
        <v/>
      </c>
    </row>
    <row r="96" customFormat="false" ht="15" hidden="false" customHeight="false" outlineLevel="0" collapsed="false">
      <c r="A96" s="24"/>
      <c r="B96" s="24"/>
      <c r="C96" s="24"/>
      <c r="D96" s="24"/>
      <c r="E96" s="24"/>
      <c r="F96" s="24"/>
      <c r="G96" s="24"/>
      <c r="H96" s="24"/>
      <c r="I96" s="24"/>
      <c r="J96" s="25"/>
      <c r="K96" s="24"/>
      <c r="L96" s="24"/>
      <c r="M96" s="26" t="str">
        <f aca="false">IF($A96="","",IF($K96&lt;&gt;"",$K96,IF(IFERROR(INDEX(RES_LOTSRC,MATCH($A96,RES_LOTEFF,0)),"")=$A96,"",IFERROR(INDEX(RES_LOTSRC,MATCH($A96,RES_LOTEFF,0)),""))))</f>
        <v/>
      </c>
      <c r="N96" s="26" t="str">
        <f aca="false">IF($A96="","",IF($B96&lt;&gt;"",$B96,IF($M96="","",IFERROR(INDEX($B$5:$B$204,MATCH($M96,$A$5:$A$204,0)),""))))</f>
        <v/>
      </c>
      <c r="O96" s="26" t="str">
        <f aca="false">IF($A96="","",IF($C96&lt;&gt;"",$C96,IF($M96="","",IFERROR(INDEX($C$5:$C$204,MATCH($M96,$A$5:$A$204,0)),""))))</f>
        <v/>
      </c>
      <c r="P96" s="26" t="str">
        <f aca="false">IF($A96="","",IF($D96&lt;&gt;"",$D96,IF($M96="","",IFERROR(INDEX($D$5:$D$204,MATCH($M96,$A$5:$A$204,0)),""))))</f>
        <v/>
      </c>
      <c r="Q96" s="26" t="str">
        <f aca="false">IF($A96="","",IF($G96&lt;&gt;"",$G96,IF($M96="","",IFERROR(INDEX($G$5:$G$204,MATCH($M96,$A$5:$A$204,0)),""))))</f>
        <v/>
      </c>
      <c r="R96" s="27" t="str">
        <f aca="false">IF($A96="","",SUMIFS(MVT_NET,MVT_LOT,$A96))</f>
        <v/>
      </c>
      <c r="S96" s="28" t="str">
        <f aca="false">IF($A96="","",COUNTIFS(MVT_LOT,$A96,MVT_BRUT,"&lt;&gt;0"))</f>
        <v/>
      </c>
      <c r="T96" s="28" t="str">
        <f aca="false">IF($A96="","",COUNTIFS(QC_LOT,$A96))</f>
        <v/>
      </c>
      <c r="U96" s="26" t="str">
        <f aca="false">IF($A96="","",IF(COUNTIF($A$5:$A$204,$A96)&gt;1,IF(SUMPRODUCT(($A$5:$A$204=$A96)*(($B$5:$B$204&lt;&gt;$B96)+($C$5:$C$204&lt;&gt;$C96)))&gt;0,"INCOHERENCE","LOT EN DOUBLE"),"OK"))</f>
        <v/>
      </c>
    </row>
    <row r="97" customFormat="false" ht="15" hidden="false" customHeight="false" outlineLevel="0" collapsed="false">
      <c r="A97" s="24"/>
      <c r="B97" s="24"/>
      <c r="C97" s="24"/>
      <c r="D97" s="24"/>
      <c r="E97" s="24"/>
      <c r="F97" s="24"/>
      <c r="G97" s="24"/>
      <c r="H97" s="24"/>
      <c r="I97" s="24"/>
      <c r="J97" s="25"/>
      <c r="K97" s="24"/>
      <c r="L97" s="24"/>
      <c r="M97" s="26" t="str">
        <f aca="false">IF($A97="","",IF($K97&lt;&gt;"",$K97,IF(IFERROR(INDEX(RES_LOTSRC,MATCH($A97,RES_LOTEFF,0)),"")=$A97,"",IFERROR(INDEX(RES_LOTSRC,MATCH($A97,RES_LOTEFF,0)),""))))</f>
        <v/>
      </c>
      <c r="N97" s="26" t="str">
        <f aca="false">IF($A97="","",IF($B97&lt;&gt;"",$B97,IF($M97="","",IFERROR(INDEX($B$5:$B$204,MATCH($M97,$A$5:$A$204,0)),""))))</f>
        <v/>
      </c>
      <c r="O97" s="26" t="str">
        <f aca="false">IF($A97="","",IF($C97&lt;&gt;"",$C97,IF($M97="","",IFERROR(INDEX($C$5:$C$204,MATCH($M97,$A$5:$A$204,0)),""))))</f>
        <v/>
      </c>
      <c r="P97" s="26" t="str">
        <f aca="false">IF($A97="","",IF($D97&lt;&gt;"",$D97,IF($M97="","",IFERROR(INDEX($D$5:$D$204,MATCH($M97,$A$5:$A$204,0)),""))))</f>
        <v/>
      </c>
      <c r="Q97" s="26" t="str">
        <f aca="false">IF($A97="","",IF($G97&lt;&gt;"",$G97,IF($M97="","",IFERROR(INDEX($G$5:$G$204,MATCH($M97,$A$5:$A$204,0)),""))))</f>
        <v/>
      </c>
      <c r="R97" s="27" t="str">
        <f aca="false">IF($A97="","",SUMIFS(MVT_NET,MVT_LOT,$A97))</f>
        <v/>
      </c>
      <c r="S97" s="28" t="str">
        <f aca="false">IF($A97="","",COUNTIFS(MVT_LOT,$A97,MVT_BRUT,"&lt;&gt;0"))</f>
        <v/>
      </c>
      <c r="T97" s="28" t="str">
        <f aca="false">IF($A97="","",COUNTIFS(QC_LOT,$A97))</f>
        <v/>
      </c>
      <c r="U97" s="26" t="str">
        <f aca="false">IF($A97="","",IF(COUNTIF($A$5:$A$204,$A97)&gt;1,IF(SUMPRODUCT(($A$5:$A$204=$A97)*(($B$5:$B$204&lt;&gt;$B97)+($C$5:$C$204&lt;&gt;$C97)))&gt;0,"INCOHERENCE","LOT EN DOUBLE"),"OK"))</f>
        <v/>
      </c>
    </row>
    <row r="98" customFormat="false" ht="15" hidden="false" customHeight="false" outlineLevel="0" collapsed="false">
      <c r="A98" s="24"/>
      <c r="B98" s="24"/>
      <c r="C98" s="24"/>
      <c r="D98" s="24"/>
      <c r="E98" s="24"/>
      <c r="F98" s="24"/>
      <c r="G98" s="24"/>
      <c r="H98" s="24"/>
      <c r="I98" s="24"/>
      <c r="J98" s="25"/>
      <c r="K98" s="24"/>
      <c r="L98" s="24"/>
      <c r="M98" s="26" t="str">
        <f aca="false">IF($A98="","",IF($K98&lt;&gt;"",$K98,IF(IFERROR(INDEX(RES_LOTSRC,MATCH($A98,RES_LOTEFF,0)),"")=$A98,"",IFERROR(INDEX(RES_LOTSRC,MATCH($A98,RES_LOTEFF,0)),""))))</f>
        <v/>
      </c>
      <c r="N98" s="26" t="str">
        <f aca="false">IF($A98="","",IF($B98&lt;&gt;"",$B98,IF($M98="","",IFERROR(INDEX($B$5:$B$204,MATCH($M98,$A$5:$A$204,0)),""))))</f>
        <v/>
      </c>
      <c r="O98" s="26" t="str">
        <f aca="false">IF($A98="","",IF($C98&lt;&gt;"",$C98,IF($M98="","",IFERROR(INDEX($C$5:$C$204,MATCH($M98,$A$5:$A$204,0)),""))))</f>
        <v/>
      </c>
      <c r="P98" s="26" t="str">
        <f aca="false">IF($A98="","",IF($D98&lt;&gt;"",$D98,IF($M98="","",IFERROR(INDEX($D$5:$D$204,MATCH($M98,$A$5:$A$204,0)),""))))</f>
        <v/>
      </c>
      <c r="Q98" s="26" t="str">
        <f aca="false">IF($A98="","",IF($G98&lt;&gt;"",$G98,IF($M98="","",IFERROR(INDEX($G$5:$G$204,MATCH($M98,$A$5:$A$204,0)),""))))</f>
        <v/>
      </c>
      <c r="R98" s="27" t="str">
        <f aca="false">IF($A98="","",SUMIFS(MVT_NET,MVT_LOT,$A98))</f>
        <v/>
      </c>
      <c r="S98" s="28" t="str">
        <f aca="false">IF($A98="","",COUNTIFS(MVT_LOT,$A98,MVT_BRUT,"&lt;&gt;0"))</f>
        <v/>
      </c>
      <c r="T98" s="28" t="str">
        <f aca="false">IF($A98="","",COUNTIFS(QC_LOT,$A98))</f>
        <v/>
      </c>
      <c r="U98" s="26" t="str">
        <f aca="false">IF($A98="","",IF(COUNTIF($A$5:$A$204,$A98)&gt;1,IF(SUMPRODUCT(($A$5:$A$204=$A98)*(($B$5:$B$204&lt;&gt;$B98)+($C$5:$C$204&lt;&gt;$C98)))&gt;0,"INCOHERENCE","LOT EN DOUBLE"),"OK"))</f>
        <v/>
      </c>
    </row>
    <row r="99" customFormat="false" ht="15" hidden="false" customHeight="false" outlineLevel="0" collapsed="false">
      <c r="A99" s="24"/>
      <c r="B99" s="24"/>
      <c r="C99" s="24"/>
      <c r="D99" s="24"/>
      <c r="E99" s="24"/>
      <c r="F99" s="24"/>
      <c r="G99" s="24"/>
      <c r="H99" s="24"/>
      <c r="I99" s="24"/>
      <c r="J99" s="25"/>
      <c r="K99" s="24"/>
      <c r="L99" s="24"/>
      <c r="M99" s="26" t="str">
        <f aca="false">IF($A99="","",IF($K99&lt;&gt;"",$K99,IF(IFERROR(INDEX(RES_LOTSRC,MATCH($A99,RES_LOTEFF,0)),"")=$A99,"",IFERROR(INDEX(RES_LOTSRC,MATCH($A99,RES_LOTEFF,0)),""))))</f>
        <v/>
      </c>
      <c r="N99" s="26" t="str">
        <f aca="false">IF($A99="","",IF($B99&lt;&gt;"",$B99,IF($M99="","",IFERROR(INDEX($B$5:$B$204,MATCH($M99,$A$5:$A$204,0)),""))))</f>
        <v/>
      </c>
      <c r="O99" s="26" t="str">
        <f aca="false">IF($A99="","",IF($C99&lt;&gt;"",$C99,IF($M99="","",IFERROR(INDEX($C$5:$C$204,MATCH($M99,$A$5:$A$204,0)),""))))</f>
        <v/>
      </c>
      <c r="P99" s="26" t="str">
        <f aca="false">IF($A99="","",IF($D99&lt;&gt;"",$D99,IF($M99="","",IFERROR(INDEX($D$5:$D$204,MATCH($M99,$A$5:$A$204,0)),""))))</f>
        <v/>
      </c>
      <c r="Q99" s="26" t="str">
        <f aca="false">IF($A99="","",IF($G99&lt;&gt;"",$G99,IF($M99="","",IFERROR(INDEX($G$5:$G$204,MATCH($M99,$A$5:$A$204,0)),""))))</f>
        <v/>
      </c>
      <c r="R99" s="27" t="str">
        <f aca="false">IF($A99="","",SUMIFS(MVT_NET,MVT_LOT,$A99))</f>
        <v/>
      </c>
      <c r="S99" s="28" t="str">
        <f aca="false">IF($A99="","",COUNTIFS(MVT_LOT,$A99,MVT_BRUT,"&lt;&gt;0"))</f>
        <v/>
      </c>
      <c r="T99" s="28" t="str">
        <f aca="false">IF($A99="","",COUNTIFS(QC_LOT,$A99))</f>
        <v/>
      </c>
      <c r="U99" s="26" t="str">
        <f aca="false">IF($A99="","",IF(COUNTIF($A$5:$A$204,$A99)&gt;1,IF(SUMPRODUCT(($A$5:$A$204=$A99)*(($B$5:$B$204&lt;&gt;$B99)+($C$5:$C$204&lt;&gt;$C99)))&gt;0,"INCOHERENCE","LOT EN DOUBLE"),"OK"))</f>
        <v/>
      </c>
    </row>
    <row r="100" customFormat="false" ht="15" hidden="false" customHeight="false" outlineLevel="0" collapsed="false">
      <c r="A100" s="24"/>
      <c r="B100" s="24"/>
      <c r="C100" s="24"/>
      <c r="D100" s="24"/>
      <c r="E100" s="24"/>
      <c r="F100" s="24"/>
      <c r="G100" s="24"/>
      <c r="H100" s="24"/>
      <c r="I100" s="24"/>
      <c r="J100" s="25"/>
      <c r="K100" s="24"/>
      <c r="L100" s="24"/>
      <c r="M100" s="26" t="str">
        <f aca="false">IF($A100="","",IF($K100&lt;&gt;"",$K100,IF(IFERROR(INDEX(RES_LOTSRC,MATCH($A100,RES_LOTEFF,0)),"")=$A100,"",IFERROR(INDEX(RES_LOTSRC,MATCH($A100,RES_LOTEFF,0)),""))))</f>
        <v/>
      </c>
      <c r="N100" s="26" t="str">
        <f aca="false">IF($A100="","",IF($B100&lt;&gt;"",$B100,IF($M100="","",IFERROR(INDEX($B$5:$B$204,MATCH($M100,$A$5:$A$204,0)),""))))</f>
        <v/>
      </c>
      <c r="O100" s="26" t="str">
        <f aca="false">IF($A100="","",IF($C100&lt;&gt;"",$C100,IF($M100="","",IFERROR(INDEX($C$5:$C$204,MATCH($M100,$A$5:$A$204,0)),""))))</f>
        <v/>
      </c>
      <c r="P100" s="26" t="str">
        <f aca="false">IF($A100="","",IF($D100&lt;&gt;"",$D100,IF($M100="","",IFERROR(INDEX($D$5:$D$204,MATCH($M100,$A$5:$A$204,0)),""))))</f>
        <v/>
      </c>
      <c r="Q100" s="26" t="str">
        <f aca="false">IF($A100="","",IF($G100&lt;&gt;"",$G100,IF($M100="","",IFERROR(INDEX($G$5:$G$204,MATCH($M100,$A$5:$A$204,0)),""))))</f>
        <v/>
      </c>
      <c r="R100" s="27" t="str">
        <f aca="false">IF($A100="","",SUMIFS(MVT_NET,MVT_LOT,$A100))</f>
        <v/>
      </c>
      <c r="S100" s="28" t="str">
        <f aca="false">IF($A100="","",COUNTIFS(MVT_LOT,$A100,MVT_BRUT,"&lt;&gt;0"))</f>
        <v/>
      </c>
      <c r="T100" s="28" t="str">
        <f aca="false">IF($A100="","",COUNTIFS(QC_LOT,$A100))</f>
        <v/>
      </c>
      <c r="U100" s="26" t="str">
        <f aca="false">IF($A100="","",IF(COUNTIF($A$5:$A$204,$A100)&gt;1,IF(SUMPRODUCT(($A$5:$A$204=$A100)*(($B$5:$B$204&lt;&gt;$B100)+($C$5:$C$204&lt;&gt;$C100)))&gt;0,"INCOHERENCE","LOT EN DOUBLE"),"OK"))</f>
        <v/>
      </c>
    </row>
    <row r="101" customFormat="false" ht="15" hidden="false" customHeight="false" outlineLevel="0" collapsed="false">
      <c r="A101" s="24"/>
      <c r="B101" s="24"/>
      <c r="C101" s="24"/>
      <c r="D101" s="24"/>
      <c r="E101" s="24"/>
      <c r="F101" s="24"/>
      <c r="G101" s="24"/>
      <c r="H101" s="24"/>
      <c r="I101" s="24"/>
      <c r="J101" s="25"/>
      <c r="K101" s="24"/>
      <c r="L101" s="24"/>
      <c r="M101" s="26" t="str">
        <f aca="false">IF($A101="","",IF($K101&lt;&gt;"",$K101,IF(IFERROR(INDEX(RES_LOTSRC,MATCH($A101,RES_LOTEFF,0)),"")=$A101,"",IFERROR(INDEX(RES_LOTSRC,MATCH($A101,RES_LOTEFF,0)),""))))</f>
        <v/>
      </c>
      <c r="N101" s="26" t="str">
        <f aca="false">IF($A101="","",IF($B101&lt;&gt;"",$B101,IF($M101="","",IFERROR(INDEX($B$5:$B$204,MATCH($M101,$A$5:$A$204,0)),""))))</f>
        <v/>
      </c>
      <c r="O101" s="26" t="str">
        <f aca="false">IF($A101="","",IF($C101&lt;&gt;"",$C101,IF($M101="","",IFERROR(INDEX($C$5:$C$204,MATCH($M101,$A$5:$A$204,0)),""))))</f>
        <v/>
      </c>
      <c r="P101" s="26" t="str">
        <f aca="false">IF($A101="","",IF($D101&lt;&gt;"",$D101,IF($M101="","",IFERROR(INDEX($D$5:$D$204,MATCH($M101,$A$5:$A$204,0)),""))))</f>
        <v/>
      </c>
      <c r="Q101" s="26" t="str">
        <f aca="false">IF($A101="","",IF($G101&lt;&gt;"",$G101,IF($M101="","",IFERROR(INDEX($G$5:$G$204,MATCH($M101,$A$5:$A$204,0)),""))))</f>
        <v/>
      </c>
      <c r="R101" s="27" t="str">
        <f aca="false">IF($A101="","",SUMIFS(MVT_NET,MVT_LOT,$A101))</f>
        <v/>
      </c>
      <c r="S101" s="28" t="str">
        <f aca="false">IF($A101="","",COUNTIFS(MVT_LOT,$A101,MVT_BRUT,"&lt;&gt;0"))</f>
        <v/>
      </c>
      <c r="T101" s="28" t="str">
        <f aca="false">IF($A101="","",COUNTIFS(QC_LOT,$A101))</f>
        <v/>
      </c>
      <c r="U101" s="26" t="str">
        <f aca="false">IF($A101="","",IF(COUNTIF($A$5:$A$204,$A101)&gt;1,IF(SUMPRODUCT(($A$5:$A$204=$A101)*(($B$5:$B$204&lt;&gt;$B101)+($C$5:$C$204&lt;&gt;$C101)))&gt;0,"INCOHERENCE","LOT EN DOUBLE"),"OK"))</f>
        <v/>
      </c>
    </row>
    <row r="102" customFormat="false" ht="15" hidden="false" customHeight="false" outlineLevel="0" collapsed="false">
      <c r="A102" s="24"/>
      <c r="B102" s="24"/>
      <c r="C102" s="24"/>
      <c r="D102" s="24"/>
      <c r="E102" s="24"/>
      <c r="F102" s="24"/>
      <c r="G102" s="24"/>
      <c r="H102" s="24"/>
      <c r="I102" s="24"/>
      <c r="J102" s="25"/>
      <c r="K102" s="24"/>
      <c r="L102" s="24"/>
      <c r="M102" s="26" t="str">
        <f aca="false">IF($A102="","",IF($K102&lt;&gt;"",$K102,IF(IFERROR(INDEX(RES_LOTSRC,MATCH($A102,RES_LOTEFF,0)),"")=$A102,"",IFERROR(INDEX(RES_LOTSRC,MATCH($A102,RES_LOTEFF,0)),""))))</f>
        <v/>
      </c>
      <c r="N102" s="26" t="str">
        <f aca="false">IF($A102="","",IF($B102&lt;&gt;"",$B102,IF($M102="","",IFERROR(INDEX($B$5:$B$204,MATCH($M102,$A$5:$A$204,0)),""))))</f>
        <v/>
      </c>
      <c r="O102" s="26" t="str">
        <f aca="false">IF($A102="","",IF($C102&lt;&gt;"",$C102,IF($M102="","",IFERROR(INDEX($C$5:$C$204,MATCH($M102,$A$5:$A$204,0)),""))))</f>
        <v/>
      </c>
      <c r="P102" s="26" t="str">
        <f aca="false">IF($A102="","",IF($D102&lt;&gt;"",$D102,IF($M102="","",IFERROR(INDEX($D$5:$D$204,MATCH($M102,$A$5:$A$204,0)),""))))</f>
        <v/>
      </c>
      <c r="Q102" s="26" t="str">
        <f aca="false">IF($A102="","",IF($G102&lt;&gt;"",$G102,IF($M102="","",IFERROR(INDEX($G$5:$G$204,MATCH($M102,$A$5:$A$204,0)),""))))</f>
        <v/>
      </c>
      <c r="R102" s="27" t="str">
        <f aca="false">IF($A102="","",SUMIFS(MVT_NET,MVT_LOT,$A102))</f>
        <v/>
      </c>
      <c r="S102" s="28" t="str">
        <f aca="false">IF($A102="","",COUNTIFS(MVT_LOT,$A102,MVT_BRUT,"&lt;&gt;0"))</f>
        <v/>
      </c>
      <c r="T102" s="28" t="str">
        <f aca="false">IF($A102="","",COUNTIFS(QC_LOT,$A102))</f>
        <v/>
      </c>
      <c r="U102" s="26" t="str">
        <f aca="false">IF($A102="","",IF(COUNTIF($A$5:$A$204,$A102)&gt;1,IF(SUMPRODUCT(($A$5:$A$204=$A102)*(($B$5:$B$204&lt;&gt;$B102)+($C$5:$C$204&lt;&gt;$C102)))&gt;0,"INCOHERENCE","LOT EN DOUBLE"),"OK"))</f>
        <v/>
      </c>
    </row>
    <row r="103" customFormat="false" ht="15" hidden="false" customHeight="false" outlineLevel="0" collapsed="false">
      <c r="A103" s="24"/>
      <c r="B103" s="24"/>
      <c r="C103" s="24"/>
      <c r="D103" s="24"/>
      <c r="E103" s="24"/>
      <c r="F103" s="24"/>
      <c r="G103" s="24"/>
      <c r="H103" s="24"/>
      <c r="I103" s="24"/>
      <c r="J103" s="25"/>
      <c r="K103" s="24"/>
      <c r="L103" s="24"/>
      <c r="M103" s="26" t="str">
        <f aca="false">IF($A103="","",IF($K103&lt;&gt;"",$K103,IF(IFERROR(INDEX(RES_LOTSRC,MATCH($A103,RES_LOTEFF,0)),"")=$A103,"",IFERROR(INDEX(RES_LOTSRC,MATCH($A103,RES_LOTEFF,0)),""))))</f>
        <v/>
      </c>
      <c r="N103" s="26" t="str">
        <f aca="false">IF($A103="","",IF($B103&lt;&gt;"",$B103,IF($M103="","",IFERROR(INDEX($B$5:$B$204,MATCH($M103,$A$5:$A$204,0)),""))))</f>
        <v/>
      </c>
      <c r="O103" s="26" t="str">
        <f aca="false">IF($A103="","",IF($C103&lt;&gt;"",$C103,IF($M103="","",IFERROR(INDEX($C$5:$C$204,MATCH($M103,$A$5:$A$204,0)),""))))</f>
        <v/>
      </c>
      <c r="P103" s="26" t="str">
        <f aca="false">IF($A103="","",IF($D103&lt;&gt;"",$D103,IF($M103="","",IFERROR(INDEX($D$5:$D$204,MATCH($M103,$A$5:$A$204,0)),""))))</f>
        <v/>
      </c>
      <c r="Q103" s="26" t="str">
        <f aca="false">IF($A103="","",IF($G103&lt;&gt;"",$G103,IF($M103="","",IFERROR(INDEX($G$5:$G$204,MATCH($M103,$A$5:$A$204,0)),""))))</f>
        <v/>
      </c>
      <c r="R103" s="27" t="str">
        <f aca="false">IF($A103="","",SUMIFS(MVT_NET,MVT_LOT,$A103))</f>
        <v/>
      </c>
      <c r="S103" s="28" t="str">
        <f aca="false">IF($A103="","",COUNTIFS(MVT_LOT,$A103,MVT_BRUT,"&lt;&gt;0"))</f>
        <v/>
      </c>
      <c r="T103" s="28" t="str">
        <f aca="false">IF($A103="","",COUNTIFS(QC_LOT,$A103))</f>
        <v/>
      </c>
      <c r="U103" s="26" t="str">
        <f aca="false">IF($A103="","",IF(COUNTIF($A$5:$A$204,$A103)&gt;1,IF(SUMPRODUCT(($A$5:$A$204=$A103)*(($B$5:$B$204&lt;&gt;$B103)+($C$5:$C$204&lt;&gt;$C103)))&gt;0,"INCOHERENCE","LOT EN DOUBLE"),"OK"))</f>
        <v/>
      </c>
    </row>
    <row r="104" customFormat="false" ht="15" hidden="false" customHeight="false" outlineLevel="0" collapsed="false">
      <c r="A104" s="24"/>
      <c r="B104" s="24"/>
      <c r="C104" s="24"/>
      <c r="D104" s="24"/>
      <c r="E104" s="24"/>
      <c r="F104" s="24"/>
      <c r="G104" s="24"/>
      <c r="H104" s="24"/>
      <c r="I104" s="24"/>
      <c r="J104" s="25"/>
      <c r="K104" s="24"/>
      <c r="L104" s="24"/>
      <c r="M104" s="26" t="str">
        <f aca="false">IF($A104="","",IF($K104&lt;&gt;"",$K104,IF(IFERROR(INDEX(RES_LOTSRC,MATCH($A104,RES_LOTEFF,0)),"")=$A104,"",IFERROR(INDEX(RES_LOTSRC,MATCH($A104,RES_LOTEFF,0)),""))))</f>
        <v/>
      </c>
      <c r="N104" s="26" t="str">
        <f aca="false">IF($A104="","",IF($B104&lt;&gt;"",$B104,IF($M104="","",IFERROR(INDEX($B$5:$B$204,MATCH($M104,$A$5:$A$204,0)),""))))</f>
        <v/>
      </c>
      <c r="O104" s="26" t="str">
        <f aca="false">IF($A104="","",IF($C104&lt;&gt;"",$C104,IF($M104="","",IFERROR(INDEX($C$5:$C$204,MATCH($M104,$A$5:$A$204,0)),""))))</f>
        <v/>
      </c>
      <c r="P104" s="26" t="str">
        <f aca="false">IF($A104="","",IF($D104&lt;&gt;"",$D104,IF($M104="","",IFERROR(INDEX($D$5:$D$204,MATCH($M104,$A$5:$A$204,0)),""))))</f>
        <v/>
      </c>
      <c r="Q104" s="26" t="str">
        <f aca="false">IF($A104="","",IF($G104&lt;&gt;"",$G104,IF($M104="","",IFERROR(INDEX($G$5:$G$204,MATCH($M104,$A$5:$A$204,0)),""))))</f>
        <v/>
      </c>
      <c r="R104" s="27" t="str">
        <f aca="false">IF($A104="","",SUMIFS(MVT_NET,MVT_LOT,$A104))</f>
        <v/>
      </c>
      <c r="S104" s="28" t="str">
        <f aca="false">IF($A104="","",COUNTIFS(MVT_LOT,$A104,MVT_BRUT,"&lt;&gt;0"))</f>
        <v/>
      </c>
      <c r="T104" s="28" t="str">
        <f aca="false">IF($A104="","",COUNTIFS(QC_LOT,$A104))</f>
        <v/>
      </c>
      <c r="U104" s="26" t="str">
        <f aca="false">IF($A104="","",IF(COUNTIF($A$5:$A$204,$A104)&gt;1,IF(SUMPRODUCT(($A$5:$A$204=$A104)*(($B$5:$B$204&lt;&gt;$B104)+($C$5:$C$204&lt;&gt;$C104)))&gt;0,"INCOHERENCE","LOT EN DOUBLE"),"OK"))</f>
        <v/>
      </c>
    </row>
    <row r="105" customFormat="false" ht="15" hidden="false" customHeight="false" outlineLevel="0" collapsed="false">
      <c r="A105" s="24"/>
      <c r="B105" s="24"/>
      <c r="C105" s="24"/>
      <c r="D105" s="24"/>
      <c r="E105" s="24"/>
      <c r="F105" s="24"/>
      <c r="G105" s="24"/>
      <c r="H105" s="24"/>
      <c r="I105" s="24"/>
      <c r="J105" s="25"/>
      <c r="K105" s="24"/>
      <c r="L105" s="24"/>
      <c r="M105" s="26" t="str">
        <f aca="false">IF($A105="","",IF($K105&lt;&gt;"",$K105,IF(IFERROR(INDEX(RES_LOTSRC,MATCH($A105,RES_LOTEFF,0)),"")=$A105,"",IFERROR(INDEX(RES_LOTSRC,MATCH($A105,RES_LOTEFF,0)),""))))</f>
        <v/>
      </c>
      <c r="N105" s="26" t="str">
        <f aca="false">IF($A105="","",IF($B105&lt;&gt;"",$B105,IF($M105="","",IFERROR(INDEX($B$5:$B$204,MATCH($M105,$A$5:$A$204,0)),""))))</f>
        <v/>
      </c>
      <c r="O105" s="26" t="str">
        <f aca="false">IF($A105="","",IF($C105&lt;&gt;"",$C105,IF($M105="","",IFERROR(INDEX($C$5:$C$204,MATCH($M105,$A$5:$A$204,0)),""))))</f>
        <v/>
      </c>
      <c r="P105" s="26" t="str">
        <f aca="false">IF($A105="","",IF($D105&lt;&gt;"",$D105,IF($M105="","",IFERROR(INDEX($D$5:$D$204,MATCH($M105,$A$5:$A$204,0)),""))))</f>
        <v/>
      </c>
      <c r="Q105" s="26" t="str">
        <f aca="false">IF($A105="","",IF($G105&lt;&gt;"",$G105,IF($M105="","",IFERROR(INDEX($G$5:$G$204,MATCH($M105,$A$5:$A$204,0)),""))))</f>
        <v/>
      </c>
      <c r="R105" s="27" t="str">
        <f aca="false">IF($A105="","",SUMIFS(MVT_NET,MVT_LOT,$A105))</f>
        <v/>
      </c>
      <c r="S105" s="28" t="str">
        <f aca="false">IF($A105="","",COUNTIFS(MVT_LOT,$A105,MVT_BRUT,"&lt;&gt;0"))</f>
        <v/>
      </c>
      <c r="T105" s="28" t="str">
        <f aca="false">IF($A105="","",COUNTIFS(QC_LOT,$A105))</f>
        <v/>
      </c>
      <c r="U105" s="26" t="str">
        <f aca="false">IF($A105="","",IF(COUNTIF($A$5:$A$204,$A105)&gt;1,IF(SUMPRODUCT(($A$5:$A$204=$A105)*(($B$5:$B$204&lt;&gt;$B105)+($C$5:$C$204&lt;&gt;$C105)))&gt;0,"INCOHERENCE","LOT EN DOUBLE"),"OK"))</f>
        <v/>
      </c>
    </row>
    <row r="106" customFormat="false" ht="15" hidden="false" customHeight="false" outlineLevel="0" collapsed="false">
      <c r="A106" s="24"/>
      <c r="B106" s="24"/>
      <c r="C106" s="24"/>
      <c r="D106" s="24"/>
      <c r="E106" s="24"/>
      <c r="F106" s="24"/>
      <c r="G106" s="24"/>
      <c r="H106" s="24"/>
      <c r="I106" s="24"/>
      <c r="J106" s="25"/>
      <c r="K106" s="24"/>
      <c r="L106" s="24"/>
      <c r="M106" s="26" t="str">
        <f aca="false">IF($A106="","",IF($K106&lt;&gt;"",$K106,IF(IFERROR(INDEX(RES_LOTSRC,MATCH($A106,RES_LOTEFF,0)),"")=$A106,"",IFERROR(INDEX(RES_LOTSRC,MATCH($A106,RES_LOTEFF,0)),""))))</f>
        <v/>
      </c>
      <c r="N106" s="26" t="str">
        <f aca="false">IF($A106="","",IF($B106&lt;&gt;"",$B106,IF($M106="","",IFERROR(INDEX($B$5:$B$204,MATCH($M106,$A$5:$A$204,0)),""))))</f>
        <v/>
      </c>
      <c r="O106" s="26" t="str">
        <f aca="false">IF($A106="","",IF($C106&lt;&gt;"",$C106,IF($M106="","",IFERROR(INDEX($C$5:$C$204,MATCH($M106,$A$5:$A$204,0)),""))))</f>
        <v/>
      </c>
      <c r="P106" s="26" t="str">
        <f aca="false">IF($A106="","",IF($D106&lt;&gt;"",$D106,IF($M106="","",IFERROR(INDEX($D$5:$D$204,MATCH($M106,$A$5:$A$204,0)),""))))</f>
        <v/>
      </c>
      <c r="Q106" s="26" t="str">
        <f aca="false">IF($A106="","",IF($G106&lt;&gt;"",$G106,IF($M106="","",IFERROR(INDEX($G$5:$G$204,MATCH($M106,$A$5:$A$204,0)),""))))</f>
        <v/>
      </c>
      <c r="R106" s="27" t="str">
        <f aca="false">IF($A106="","",SUMIFS(MVT_NET,MVT_LOT,$A106))</f>
        <v/>
      </c>
      <c r="S106" s="28" t="str">
        <f aca="false">IF($A106="","",COUNTIFS(MVT_LOT,$A106,MVT_BRUT,"&lt;&gt;0"))</f>
        <v/>
      </c>
      <c r="T106" s="28" t="str">
        <f aca="false">IF($A106="","",COUNTIFS(QC_LOT,$A106))</f>
        <v/>
      </c>
      <c r="U106" s="26" t="str">
        <f aca="false">IF($A106="","",IF(COUNTIF($A$5:$A$204,$A106)&gt;1,IF(SUMPRODUCT(($A$5:$A$204=$A106)*(($B$5:$B$204&lt;&gt;$B106)+($C$5:$C$204&lt;&gt;$C106)))&gt;0,"INCOHERENCE","LOT EN DOUBLE"),"OK"))</f>
        <v/>
      </c>
    </row>
    <row r="107" customFormat="false" ht="15" hidden="false" customHeight="false" outlineLevel="0" collapsed="false">
      <c r="A107" s="24"/>
      <c r="B107" s="24"/>
      <c r="C107" s="24"/>
      <c r="D107" s="24"/>
      <c r="E107" s="24"/>
      <c r="F107" s="24"/>
      <c r="G107" s="24"/>
      <c r="H107" s="24"/>
      <c r="I107" s="24"/>
      <c r="J107" s="25"/>
      <c r="K107" s="24"/>
      <c r="L107" s="24"/>
      <c r="M107" s="26" t="str">
        <f aca="false">IF($A107="","",IF($K107&lt;&gt;"",$K107,IF(IFERROR(INDEX(RES_LOTSRC,MATCH($A107,RES_LOTEFF,0)),"")=$A107,"",IFERROR(INDEX(RES_LOTSRC,MATCH($A107,RES_LOTEFF,0)),""))))</f>
        <v/>
      </c>
      <c r="N107" s="26" t="str">
        <f aca="false">IF($A107="","",IF($B107&lt;&gt;"",$B107,IF($M107="","",IFERROR(INDEX($B$5:$B$204,MATCH($M107,$A$5:$A$204,0)),""))))</f>
        <v/>
      </c>
      <c r="O107" s="26" t="str">
        <f aca="false">IF($A107="","",IF($C107&lt;&gt;"",$C107,IF($M107="","",IFERROR(INDEX($C$5:$C$204,MATCH($M107,$A$5:$A$204,0)),""))))</f>
        <v/>
      </c>
      <c r="P107" s="26" t="str">
        <f aca="false">IF($A107="","",IF($D107&lt;&gt;"",$D107,IF($M107="","",IFERROR(INDEX($D$5:$D$204,MATCH($M107,$A$5:$A$204,0)),""))))</f>
        <v/>
      </c>
      <c r="Q107" s="26" t="str">
        <f aca="false">IF($A107="","",IF($G107&lt;&gt;"",$G107,IF($M107="","",IFERROR(INDEX($G$5:$G$204,MATCH($M107,$A$5:$A$204,0)),""))))</f>
        <v/>
      </c>
      <c r="R107" s="27" t="str">
        <f aca="false">IF($A107="","",SUMIFS(MVT_NET,MVT_LOT,$A107))</f>
        <v/>
      </c>
      <c r="S107" s="28" t="str">
        <f aca="false">IF($A107="","",COUNTIFS(MVT_LOT,$A107,MVT_BRUT,"&lt;&gt;0"))</f>
        <v/>
      </c>
      <c r="T107" s="28" t="str">
        <f aca="false">IF($A107="","",COUNTIFS(QC_LOT,$A107))</f>
        <v/>
      </c>
      <c r="U107" s="26" t="str">
        <f aca="false">IF($A107="","",IF(COUNTIF($A$5:$A$204,$A107)&gt;1,IF(SUMPRODUCT(($A$5:$A$204=$A107)*(($B$5:$B$204&lt;&gt;$B107)+($C$5:$C$204&lt;&gt;$C107)))&gt;0,"INCOHERENCE","LOT EN DOUBLE"),"OK"))</f>
        <v/>
      </c>
    </row>
    <row r="108" customFormat="false" ht="15" hidden="false" customHeight="false" outlineLevel="0" collapsed="false">
      <c r="A108" s="24"/>
      <c r="B108" s="24"/>
      <c r="C108" s="24"/>
      <c r="D108" s="24"/>
      <c r="E108" s="24"/>
      <c r="F108" s="24"/>
      <c r="G108" s="24"/>
      <c r="H108" s="24"/>
      <c r="I108" s="24"/>
      <c r="J108" s="25"/>
      <c r="K108" s="24"/>
      <c r="L108" s="24"/>
      <c r="M108" s="26" t="str">
        <f aca="false">IF($A108="","",IF($K108&lt;&gt;"",$K108,IF(IFERROR(INDEX(RES_LOTSRC,MATCH($A108,RES_LOTEFF,0)),"")=$A108,"",IFERROR(INDEX(RES_LOTSRC,MATCH($A108,RES_LOTEFF,0)),""))))</f>
        <v/>
      </c>
      <c r="N108" s="26" t="str">
        <f aca="false">IF($A108="","",IF($B108&lt;&gt;"",$B108,IF($M108="","",IFERROR(INDEX($B$5:$B$204,MATCH($M108,$A$5:$A$204,0)),""))))</f>
        <v/>
      </c>
      <c r="O108" s="26" t="str">
        <f aca="false">IF($A108="","",IF($C108&lt;&gt;"",$C108,IF($M108="","",IFERROR(INDEX($C$5:$C$204,MATCH($M108,$A$5:$A$204,0)),""))))</f>
        <v/>
      </c>
      <c r="P108" s="26" t="str">
        <f aca="false">IF($A108="","",IF($D108&lt;&gt;"",$D108,IF($M108="","",IFERROR(INDEX($D$5:$D$204,MATCH($M108,$A$5:$A$204,0)),""))))</f>
        <v/>
      </c>
      <c r="Q108" s="26" t="str">
        <f aca="false">IF($A108="","",IF($G108&lt;&gt;"",$G108,IF($M108="","",IFERROR(INDEX($G$5:$G$204,MATCH($M108,$A$5:$A$204,0)),""))))</f>
        <v/>
      </c>
      <c r="R108" s="27" t="str">
        <f aca="false">IF($A108="","",SUMIFS(MVT_NET,MVT_LOT,$A108))</f>
        <v/>
      </c>
      <c r="S108" s="28" t="str">
        <f aca="false">IF($A108="","",COUNTIFS(MVT_LOT,$A108,MVT_BRUT,"&lt;&gt;0"))</f>
        <v/>
      </c>
      <c r="T108" s="28" t="str">
        <f aca="false">IF($A108="","",COUNTIFS(QC_LOT,$A108))</f>
        <v/>
      </c>
      <c r="U108" s="26" t="str">
        <f aca="false">IF($A108="","",IF(COUNTIF($A$5:$A$204,$A108)&gt;1,IF(SUMPRODUCT(($A$5:$A$204=$A108)*(($B$5:$B$204&lt;&gt;$B108)+($C$5:$C$204&lt;&gt;$C108)))&gt;0,"INCOHERENCE","LOT EN DOUBLE"),"OK"))</f>
        <v/>
      </c>
    </row>
    <row r="109" customFormat="false" ht="15" hidden="false" customHeight="false" outlineLevel="0" collapsed="false">
      <c r="A109" s="24"/>
      <c r="B109" s="24"/>
      <c r="C109" s="24"/>
      <c r="D109" s="24"/>
      <c r="E109" s="24"/>
      <c r="F109" s="24"/>
      <c r="G109" s="24"/>
      <c r="H109" s="24"/>
      <c r="I109" s="24"/>
      <c r="J109" s="25"/>
      <c r="K109" s="24"/>
      <c r="L109" s="24"/>
      <c r="M109" s="26" t="str">
        <f aca="false">IF($A109="","",IF($K109&lt;&gt;"",$K109,IF(IFERROR(INDEX(RES_LOTSRC,MATCH($A109,RES_LOTEFF,0)),"")=$A109,"",IFERROR(INDEX(RES_LOTSRC,MATCH($A109,RES_LOTEFF,0)),""))))</f>
        <v/>
      </c>
      <c r="N109" s="26" t="str">
        <f aca="false">IF($A109="","",IF($B109&lt;&gt;"",$B109,IF($M109="","",IFERROR(INDEX($B$5:$B$204,MATCH($M109,$A$5:$A$204,0)),""))))</f>
        <v/>
      </c>
      <c r="O109" s="26" t="str">
        <f aca="false">IF($A109="","",IF($C109&lt;&gt;"",$C109,IF($M109="","",IFERROR(INDEX($C$5:$C$204,MATCH($M109,$A$5:$A$204,0)),""))))</f>
        <v/>
      </c>
      <c r="P109" s="26" t="str">
        <f aca="false">IF($A109="","",IF($D109&lt;&gt;"",$D109,IF($M109="","",IFERROR(INDEX($D$5:$D$204,MATCH($M109,$A$5:$A$204,0)),""))))</f>
        <v/>
      </c>
      <c r="Q109" s="26" t="str">
        <f aca="false">IF($A109="","",IF($G109&lt;&gt;"",$G109,IF($M109="","",IFERROR(INDEX($G$5:$G$204,MATCH($M109,$A$5:$A$204,0)),""))))</f>
        <v/>
      </c>
      <c r="R109" s="27" t="str">
        <f aca="false">IF($A109="","",SUMIFS(MVT_NET,MVT_LOT,$A109))</f>
        <v/>
      </c>
      <c r="S109" s="28" t="str">
        <f aca="false">IF($A109="","",COUNTIFS(MVT_LOT,$A109,MVT_BRUT,"&lt;&gt;0"))</f>
        <v/>
      </c>
      <c r="T109" s="28" t="str">
        <f aca="false">IF($A109="","",COUNTIFS(QC_LOT,$A109))</f>
        <v/>
      </c>
      <c r="U109" s="26" t="str">
        <f aca="false">IF($A109="","",IF(COUNTIF($A$5:$A$204,$A109)&gt;1,IF(SUMPRODUCT(($A$5:$A$204=$A109)*(($B$5:$B$204&lt;&gt;$B109)+($C$5:$C$204&lt;&gt;$C109)))&gt;0,"INCOHERENCE","LOT EN DOUBLE"),"OK"))</f>
        <v/>
      </c>
    </row>
    <row r="110" customFormat="false" ht="15" hidden="false" customHeight="false" outlineLevel="0" collapsed="false">
      <c r="A110" s="24"/>
      <c r="B110" s="24"/>
      <c r="C110" s="24"/>
      <c r="D110" s="24"/>
      <c r="E110" s="24"/>
      <c r="F110" s="24"/>
      <c r="G110" s="24"/>
      <c r="H110" s="24"/>
      <c r="I110" s="24"/>
      <c r="J110" s="25"/>
      <c r="K110" s="24"/>
      <c r="L110" s="24"/>
      <c r="M110" s="26" t="str">
        <f aca="false">IF($A110="","",IF($K110&lt;&gt;"",$K110,IF(IFERROR(INDEX(RES_LOTSRC,MATCH($A110,RES_LOTEFF,0)),"")=$A110,"",IFERROR(INDEX(RES_LOTSRC,MATCH($A110,RES_LOTEFF,0)),""))))</f>
        <v/>
      </c>
      <c r="N110" s="26" t="str">
        <f aca="false">IF($A110="","",IF($B110&lt;&gt;"",$B110,IF($M110="","",IFERROR(INDEX($B$5:$B$204,MATCH($M110,$A$5:$A$204,0)),""))))</f>
        <v/>
      </c>
      <c r="O110" s="26" t="str">
        <f aca="false">IF($A110="","",IF($C110&lt;&gt;"",$C110,IF($M110="","",IFERROR(INDEX($C$5:$C$204,MATCH($M110,$A$5:$A$204,0)),""))))</f>
        <v/>
      </c>
      <c r="P110" s="26" t="str">
        <f aca="false">IF($A110="","",IF($D110&lt;&gt;"",$D110,IF($M110="","",IFERROR(INDEX($D$5:$D$204,MATCH($M110,$A$5:$A$204,0)),""))))</f>
        <v/>
      </c>
      <c r="Q110" s="26" t="str">
        <f aca="false">IF($A110="","",IF($G110&lt;&gt;"",$G110,IF($M110="","",IFERROR(INDEX($G$5:$G$204,MATCH($M110,$A$5:$A$204,0)),""))))</f>
        <v/>
      </c>
      <c r="R110" s="27" t="str">
        <f aca="false">IF($A110="","",SUMIFS(MVT_NET,MVT_LOT,$A110))</f>
        <v/>
      </c>
      <c r="S110" s="28" t="str">
        <f aca="false">IF($A110="","",COUNTIFS(MVT_LOT,$A110,MVT_BRUT,"&lt;&gt;0"))</f>
        <v/>
      </c>
      <c r="T110" s="28" t="str">
        <f aca="false">IF($A110="","",COUNTIFS(QC_LOT,$A110))</f>
        <v/>
      </c>
      <c r="U110" s="26" t="str">
        <f aca="false">IF($A110="","",IF(COUNTIF($A$5:$A$204,$A110)&gt;1,IF(SUMPRODUCT(($A$5:$A$204=$A110)*(($B$5:$B$204&lt;&gt;$B110)+($C$5:$C$204&lt;&gt;$C110)))&gt;0,"INCOHERENCE","LOT EN DOUBLE"),"OK"))</f>
        <v/>
      </c>
    </row>
    <row r="111" customFormat="false" ht="15" hidden="false" customHeight="false" outlineLevel="0" collapsed="false">
      <c r="A111" s="24"/>
      <c r="B111" s="24"/>
      <c r="C111" s="24"/>
      <c r="D111" s="24"/>
      <c r="E111" s="24"/>
      <c r="F111" s="24"/>
      <c r="G111" s="24"/>
      <c r="H111" s="24"/>
      <c r="I111" s="24"/>
      <c r="J111" s="25"/>
      <c r="K111" s="24"/>
      <c r="L111" s="24"/>
      <c r="M111" s="26" t="str">
        <f aca="false">IF($A111="","",IF($K111&lt;&gt;"",$K111,IF(IFERROR(INDEX(RES_LOTSRC,MATCH($A111,RES_LOTEFF,0)),"")=$A111,"",IFERROR(INDEX(RES_LOTSRC,MATCH($A111,RES_LOTEFF,0)),""))))</f>
        <v/>
      </c>
      <c r="N111" s="26" t="str">
        <f aca="false">IF($A111="","",IF($B111&lt;&gt;"",$B111,IF($M111="","",IFERROR(INDEX($B$5:$B$204,MATCH($M111,$A$5:$A$204,0)),""))))</f>
        <v/>
      </c>
      <c r="O111" s="26" t="str">
        <f aca="false">IF($A111="","",IF($C111&lt;&gt;"",$C111,IF($M111="","",IFERROR(INDEX($C$5:$C$204,MATCH($M111,$A$5:$A$204,0)),""))))</f>
        <v/>
      </c>
      <c r="P111" s="26" t="str">
        <f aca="false">IF($A111="","",IF($D111&lt;&gt;"",$D111,IF($M111="","",IFERROR(INDEX($D$5:$D$204,MATCH($M111,$A$5:$A$204,0)),""))))</f>
        <v/>
      </c>
      <c r="Q111" s="26" t="str">
        <f aca="false">IF($A111="","",IF($G111&lt;&gt;"",$G111,IF($M111="","",IFERROR(INDEX($G$5:$G$204,MATCH($M111,$A$5:$A$204,0)),""))))</f>
        <v/>
      </c>
      <c r="R111" s="27" t="str">
        <f aca="false">IF($A111="","",SUMIFS(MVT_NET,MVT_LOT,$A111))</f>
        <v/>
      </c>
      <c r="S111" s="28" t="str">
        <f aca="false">IF($A111="","",COUNTIFS(MVT_LOT,$A111,MVT_BRUT,"&lt;&gt;0"))</f>
        <v/>
      </c>
      <c r="T111" s="28" t="str">
        <f aca="false">IF($A111="","",COUNTIFS(QC_LOT,$A111))</f>
        <v/>
      </c>
      <c r="U111" s="26" t="str">
        <f aca="false">IF($A111="","",IF(COUNTIF($A$5:$A$204,$A111)&gt;1,IF(SUMPRODUCT(($A$5:$A$204=$A111)*(($B$5:$B$204&lt;&gt;$B111)+($C$5:$C$204&lt;&gt;$C111)))&gt;0,"INCOHERENCE","LOT EN DOUBLE"),"OK"))</f>
        <v/>
      </c>
    </row>
    <row r="112" customFormat="false" ht="15" hidden="false" customHeight="false" outlineLevel="0" collapsed="false">
      <c r="A112" s="24"/>
      <c r="B112" s="24"/>
      <c r="C112" s="24"/>
      <c r="D112" s="24"/>
      <c r="E112" s="24"/>
      <c r="F112" s="24"/>
      <c r="G112" s="24"/>
      <c r="H112" s="24"/>
      <c r="I112" s="24"/>
      <c r="J112" s="25"/>
      <c r="K112" s="24"/>
      <c r="L112" s="24"/>
      <c r="M112" s="26" t="str">
        <f aca="false">IF($A112="","",IF($K112&lt;&gt;"",$K112,IF(IFERROR(INDEX(RES_LOTSRC,MATCH($A112,RES_LOTEFF,0)),"")=$A112,"",IFERROR(INDEX(RES_LOTSRC,MATCH($A112,RES_LOTEFF,0)),""))))</f>
        <v/>
      </c>
      <c r="N112" s="26" t="str">
        <f aca="false">IF($A112="","",IF($B112&lt;&gt;"",$B112,IF($M112="","",IFERROR(INDEX($B$5:$B$204,MATCH($M112,$A$5:$A$204,0)),""))))</f>
        <v/>
      </c>
      <c r="O112" s="26" t="str">
        <f aca="false">IF($A112="","",IF($C112&lt;&gt;"",$C112,IF($M112="","",IFERROR(INDEX($C$5:$C$204,MATCH($M112,$A$5:$A$204,0)),""))))</f>
        <v/>
      </c>
      <c r="P112" s="26" t="str">
        <f aca="false">IF($A112="","",IF($D112&lt;&gt;"",$D112,IF($M112="","",IFERROR(INDEX($D$5:$D$204,MATCH($M112,$A$5:$A$204,0)),""))))</f>
        <v/>
      </c>
      <c r="Q112" s="26" t="str">
        <f aca="false">IF($A112="","",IF($G112&lt;&gt;"",$G112,IF($M112="","",IFERROR(INDEX($G$5:$G$204,MATCH($M112,$A$5:$A$204,0)),""))))</f>
        <v/>
      </c>
      <c r="R112" s="27" t="str">
        <f aca="false">IF($A112="","",SUMIFS(MVT_NET,MVT_LOT,$A112))</f>
        <v/>
      </c>
      <c r="S112" s="28" t="str">
        <f aca="false">IF($A112="","",COUNTIFS(MVT_LOT,$A112,MVT_BRUT,"&lt;&gt;0"))</f>
        <v/>
      </c>
      <c r="T112" s="28" t="str">
        <f aca="false">IF($A112="","",COUNTIFS(QC_LOT,$A112))</f>
        <v/>
      </c>
      <c r="U112" s="26" t="str">
        <f aca="false">IF($A112="","",IF(COUNTIF($A$5:$A$204,$A112)&gt;1,IF(SUMPRODUCT(($A$5:$A$204=$A112)*(($B$5:$B$204&lt;&gt;$B112)+($C$5:$C$204&lt;&gt;$C112)))&gt;0,"INCOHERENCE","LOT EN DOUBLE"),"OK"))</f>
        <v/>
      </c>
    </row>
    <row r="113" customFormat="false" ht="15" hidden="false" customHeight="false" outlineLevel="0" collapsed="false">
      <c r="A113" s="24"/>
      <c r="B113" s="24"/>
      <c r="C113" s="24"/>
      <c r="D113" s="24"/>
      <c r="E113" s="24"/>
      <c r="F113" s="24"/>
      <c r="G113" s="24"/>
      <c r="H113" s="24"/>
      <c r="I113" s="24"/>
      <c r="J113" s="25"/>
      <c r="K113" s="24"/>
      <c r="L113" s="24"/>
      <c r="M113" s="26" t="str">
        <f aca="false">IF($A113="","",IF($K113&lt;&gt;"",$K113,IF(IFERROR(INDEX(RES_LOTSRC,MATCH($A113,RES_LOTEFF,0)),"")=$A113,"",IFERROR(INDEX(RES_LOTSRC,MATCH($A113,RES_LOTEFF,0)),""))))</f>
        <v/>
      </c>
      <c r="N113" s="26" t="str">
        <f aca="false">IF($A113="","",IF($B113&lt;&gt;"",$B113,IF($M113="","",IFERROR(INDEX($B$5:$B$204,MATCH($M113,$A$5:$A$204,0)),""))))</f>
        <v/>
      </c>
      <c r="O113" s="26" t="str">
        <f aca="false">IF($A113="","",IF($C113&lt;&gt;"",$C113,IF($M113="","",IFERROR(INDEX($C$5:$C$204,MATCH($M113,$A$5:$A$204,0)),""))))</f>
        <v/>
      </c>
      <c r="P113" s="26" t="str">
        <f aca="false">IF($A113="","",IF($D113&lt;&gt;"",$D113,IF($M113="","",IFERROR(INDEX($D$5:$D$204,MATCH($M113,$A$5:$A$204,0)),""))))</f>
        <v/>
      </c>
      <c r="Q113" s="26" t="str">
        <f aca="false">IF($A113="","",IF($G113&lt;&gt;"",$G113,IF($M113="","",IFERROR(INDEX($G$5:$G$204,MATCH($M113,$A$5:$A$204,0)),""))))</f>
        <v/>
      </c>
      <c r="R113" s="27" t="str">
        <f aca="false">IF($A113="","",SUMIFS(MVT_NET,MVT_LOT,$A113))</f>
        <v/>
      </c>
      <c r="S113" s="28" t="str">
        <f aca="false">IF($A113="","",COUNTIFS(MVT_LOT,$A113,MVT_BRUT,"&lt;&gt;0"))</f>
        <v/>
      </c>
      <c r="T113" s="28" t="str">
        <f aca="false">IF($A113="","",COUNTIFS(QC_LOT,$A113))</f>
        <v/>
      </c>
      <c r="U113" s="26" t="str">
        <f aca="false">IF($A113="","",IF(COUNTIF($A$5:$A$204,$A113)&gt;1,IF(SUMPRODUCT(($A$5:$A$204=$A113)*(($B$5:$B$204&lt;&gt;$B113)+($C$5:$C$204&lt;&gt;$C113)))&gt;0,"INCOHERENCE","LOT EN DOUBLE"),"OK"))</f>
        <v/>
      </c>
    </row>
    <row r="114" customFormat="false" ht="15" hidden="false" customHeight="false" outlineLevel="0" collapsed="false">
      <c r="A114" s="24"/>
      <c r="B114" s="24"/>
      <c r="C114" s="24"/>
      <c r="D114" s="24"/>
      <c r="E114" s="24"/>
      <c r="F114" s="24"/>
      <c r="G114" s="24"/>
      <c r="H114" s="24"/>
      <c r="I114" s="24"/>
      <c r="J114" s="25"/>
      <c r="K114" s="24"/>
      <c r="L114" s="24"/>
      <c r="M114" s="26" t="str">
        <f aca="false">IF($A114="","",IF($K114&lt;&gt;"",$K114,IF(IFERROR(INDEX(RES_LOTSRC,MATCH($A114,RES_LOTEFF,0)),"")=$A114,"",IFERROR(INDEX(RES_LOTSRC,MATCH($A114,RES_LOTEFF,0)),""))))</f>
        <v/>
      </c>
      <c r="N114" s="26" t="str">
        <f aca="false">IF($A114="","",IF($B114&lt;&gt;"",$B114,IF($M114="","",IFERROR(INDEX($B$5:$B$204,MATCH($M114,$A$5:$A$204,0)),""))))</f>
        <v/>
      </c>
      <c r="O114" s="26" t="str">
        <f aca="false">IF($A114="","",IF($C114&lt;&gt;"",$C114,IF($M114="","",IFERROR(INDEX($C$5:$C$204,MATCH($M114,$A$5:$A$204,0)),""))))</f>
        <v/>
      </c>
      <c r="P114" s="26" t="str">
        <f aca="false">IF($A114="","",IF($D114&lt;&gt;"",$D114,IF($M114="","",IFERROR(INDEX($D$5:$D$204,MATCH($M114,$A$5:$A$204,0)),""))))</f>
        <v/>
      </c>
      <c r="Q114" s="26" t="str">
        <f aca="false">IF($A114="","",IF($G114&lt;&gt;"",$G114,IF($M114="","",IFERROR(INDEX($G$5:$G$204,MATCH($M114,$A$5:$A$204,0)),""))))</f>
        <v/>
      </c>
      <c r="R114" s="27" t="str">
        <f aca="false">IF($A114="","",SUMIFS(MVT_NET,MVT_LOT,$A114))</f>
        <v/>
      </c>
      <c r="S114" s="28" t="str">
        <f aca="false">IF($A114="","",COUNTIFS(MVT_LOT,$A114,MVT_BRUT,"&lt;&gt;0"))</f>
        <v/>
      </c>
      <c r="T114" s="28" t="str">
        <f aca="false">IF($A114="","",COUNTIFS(QC_LOT,$A114))</f>
        <v/>
      </c>
      <c r="U114" s="26" t="str">
        <f aca="false">IF($A114="","",IF(COUNTIF($A$5:$A$204,$A114)&gt;1,IF(SUMPRODUCT(($A$5:$A$204=$A114)*(($B$5:$B$204&lt;&gt;$B114)+($C$5:$C$204&lt;&gt;$C114)))&gt;0,"INCOHERENCE","LOT EN DOUBLE"),"OK"))</f>
        <v/>
      </c>
    </row>
    <row r="115" customFormat="false" ht="15" hidden="false" customHeight="false" outlineLevel="0" collapsed="false">
      <c r="A115" s="24"/>
      <c r="B115" s="24"/>
      <c r="C115" s="24"/>
      <c r="D115" s="24"/>
      <c r="E115" s="24"/>
      <c r="F115" s="24"/>
      <c r="G115" s="24"/>
      <c r="H115" s="24"/>
      <c r="I115" s="24"/>
      <c r="J115" s="25"/>
      <c r="K115" s="24"/>
      <c r="L115" s="24"/>
      <c r="M115" s="26" t="str">
        <f aca="false">IF($A115="","",IF($K115&lt;&gt;"",$K115,IF(IFERROR(INDEX(RES_LOTSRC,MATCH($A115,RES_LOTEFF,0)),"")=$A115,"",IFERROR(INDEX(RES_LOTSRC,MATCH($A115,RES_LOTEFF,0)),""))))</f>
        <v/>
      </c>
      <c r="N115" s="26" t="str">
        <f aca="false">IF($A115="","",IF($B115&lt;&gt;"",$B115,IF($M115="","",IFERROR(INDEX($B$5:$B$204,MATCH($M115,$A$5:$A$204,0)),""))))</f>
        <v/>
      </c>
      <c r="O115" s="26" t="str">
        <f aca="false">IF($A115="","",IF($C115&lt;&gt;"",$C115,IF($M115="","",IFERROR(INDEX($C$5:$C$204,MATCH($M115,$A$5:$A$204,0)),""))))</f>
        <v/>
      </c>
      <c r="P115" s="26" t="str">
        <f aca="false">IF($A115="","",IF($D115&lt;&gt;"",$D115,IF($M115="","",IFERROR(INDEX($D$5:$D$204,MATCH($M115,$A$5:$A$204,0)),""))))</f>
        <v/>
      </c>
      <c r="Q115" s="26" t="str">
        <f aca="false">IF($A115="","",IF($G115&lt;&gt;"",$G115,IF($M115="","",IFERROR(INDEX($G$5:$G$204,MATCH($M115,$A$5:$A$204,0)),""))))</f>
        <v/>
      </c>
      <c r="R115" s="27" t="str">
        <f aca="false">IF($A115="","",SUMIFS(MVT_NET,MVT_LOT,$A115))</f>
        <v/>
      </c>
      <c r="S115" s="28" t="str">
        <f aca="false">IF($A115="","",COUNTIFS(MVT_LOT,$A115,MVT_BRUT,"&lt;&gt;0"))</f>
        <v/>
      </c>
      <c r="T115" s="28" t="str">
        <f aca="false">IF($A115="","",COUNTIFS(QC_LOT,$A115))</f>
        <v/>
      </c>
      <c r="U115" s="26" t="str">
        <f aca="false">IF($A115="","",IF(COUNTIF($A$5:$A$204,$A115)&gt;1,IF(SUMPRODUCT(($A$5:$A$204=$A115)*(($B$5:$B$204&lt;&gt;$B115)+($C$5:$C$204&lt;&gt;$C115)))&gt;0,"INCOHERENCE","LOT EN DOUBLE"),"OK"))</f>
        <v/>
      </c>
    </row>
    <row r="116" customFormat="false" ht="15" hidden="false" customHeight="false" outlineLevel="0" collapsed="false">
      <c r="A116" s="24"/>
      <c r="B116" s="24"/>
      <c r="C116" s="24"/>
      <c r="D116" s="24"/>
      <c r="E116" s="24"/>
      <c r="F116" s="24"/>
      <c r="G116" s="24"/>
      <c r="H116" s="24"/>
      <c r="I116" s="24"/>
      <c r="J116" s="25"/>
      <c r="K116" s="24"/>
      <c r="L116" s="24"/>
      <c r="M116" s="26" t="str">
        <f aca="false">IF($A116="","",IF($K116&lt;&gt;"",$K116,IF(IFERROR(INDEX(RES_LOTSRC,MATCH($A116,RES_LOTEFF,0)),"")=$A116,"",IFERROR(INDEX(RES_LOTSRC,MATCH($A116,RES_LOTEFF,0)),""))))</f>
        <v/>
      </c>
      <c r="N116" s="26" t="str">
        <f aca="false">IF($A116="","",IF($B116&lt;&gt;"",$B116,IF($M116="","",IFERROR(INDEX($B$5:$B$204,MATCH($M116,$A$5:$A$204,0)),""))))</f>
        <v/>
      </c>
      <c r="O116" s="26" t="str">
        <f aca="false">IF($A116="","",IF($C116&lt;&gt;"",$C116,IF($M116="","",IFERROR(INDEX($C$5:$C$204,MATCH($M116,$A$5:$A$204,0)),""))))</f>
        <v/>
      </c>
      <c r="P116" s="26" t="str">
        <f aca="false">IF($A116="","",IF($D116&lt;&gt;"",$D116,IF($M116="","",IFERROR(INDEX($D$5:$D$204,MATCH($M116,$A$5:$A$204,0)),""))))</f>
        <v/>
      </c>
      <c r="Q116" s="26" t="str">
        <f aca="false">IF($A116="","",IF($G116&lt;&gt;"",$G116,IF($M116="","",IFERROR(INDEX($G$5:$G$204,MATCH($M116,$A$5:$A$204,0)),""))))</f>
        <v/>
      </c>
      <c r="R116" s="27" t="str">
        <f aca="false">IF($A116="","",SUMIFS(MVT_NET,MVT_LOT,$A116))</f>
        <v/>
      </c>
      <c r="S116" s="28" t="str">
        <f aca="false">IF($A116="","",COUNTIFS(MVT_LOT,$A116,MVT_BRUT,"&lt;&gt;0"))</f>
        <v/>
      </c>
      <c r="T116" s="28" t="str">
        <f aca="false">IF($A116="","",COUNTIFS(QC_LOT,$A116))</f>
        <v/>
      </c>
      <c r="U116" s="26" t="str">
        <f aca="false">IF($A116="","",IF(COUNTIF($A$5:$A$204,$A116)&gt;1,IF(SUMPRODUCT(($A$5:$A$204=$A116)*(($B$5:$B$204&lt;&gt;$B116)+($C$5:$C$204&lt;&gt;$C116)))&gt;0,"INCOHERENCE","LOT EN DOUBLE"),"OK"))</f>
        <v/>
      </c>
    </row>
    <row r="117" customFormat="false" ht="15" hidden="false" customHeight="false" outlineLevel="0" collapsed="false">
      <c r="A117" s="24"/>
      <c r="B117" s="24"/>
      <c r="C117" s="24"/>
      <c r="D117" s="24"/>
      <c r="E117" s="24"/>
      <c r="F117" s="24"/>
      <c r="G117" s="24"/>
      <c r="H117" s="24"/>
      <c r="I117" s="24"/>
      <c r="J117" s="25"/>
      <c r="K117" s="24"/>
      <c r="L117" s="24"/>
      <c r="M117" s="26" t="str">
        <f aca="false">IF($A117="","",IF($K117&lt;&gt;"",$K117,IF(IFERROR(INDEX(RES_LOTSRC,MATCH($A117,RES_LOTEFF,0)),"")=$A117,"",IFERROR(INDEX(RES_LOTSRC,MATCH($A117,RES_LOTEFF,0)),""))))</f>
        <v/>
      </c>
      <c r="N117" s="26" t="str">
        <f aca="false">IF($A117="","",IF($B117&lt;&gt;"",$B117,IF($M117="","",IFERROR(INDEX($B$5:$B$204,MATCH($M117,$A$5:$A$204,0)),""))))</f>
        <v/>
      </c>
      <c r="O117" s="26" t="str">
        <f aca="false">IF($A117="","",IF($C117&lt;&gt;"",$C117,IF($M117="","",IFERROR(INDEX($C$5:$C$204,MATCH($M117,$A$5:$A$204,0)),""))))</f>
        <v/>
      </c>
      <c r="P117" s="26" t="str">
        <f aca="false">IF($A117="","",IF($D117&lt;&gt;"",$D117,IF($M117="","",IFERROR(INDEX($D$5:$D$204,MATCH($M117,$A$5:$A$204,0)),""))))</f>
        <v/>
      </c>
      <c r="Q117" s="26" t="str">
        <f aca="false">IF($A117="","",IF($G117&lt;&gt;"",$G117,IF($M117="","",IFERROR(INDEX($G$5:$G$204,MATCH($M117,$A$5:$A$204,0)),""))))</f>
        <v/>
      </c>
      <c r="R117" s="27" t="str">
        <f aca="false">IF($A117="","",SUMIFS(MVT_NET,MVT_LOT,$A117))</f>
        <v/>
      </c>
      <c r="S117" s="28" t="str">
        <f aca="false">IF($A117="","",COUNTIFS(MVT_LOT,$A117,MVT_BRUT,"&lt;&gt;0"))</f>
        <v/>
      </c>
      <c r="T117" s="28" t="str">
        <f aca="false">IF($A117="","",COUNTIFS(QC_LOT,$A117))</f>
        <v/>
      </c>
      <c r="U117" s="26" t="str">
        <f aca="false">IF($A117="","",IF(COUNTIF($A$5:$A$204,$A117)&gt;1,IF(SUMPRODUCT(($A$5:$A$204=$A117)*(($B$5:$B$204&lt;&gt;$B117)+($C$5:$C$204&lt;&gt;$C117)))&gt;0,"INCOHERENCE","LOT EN DOUBLE"),"OK"))</f>
        <v/>
      </c>
    </row>
    <row r="118" customFormat="false" ht="15" hidden="false" customHeight="false" outlineLevel="0" collapsed="false">
      <c r="A118" s="24"/>
      <c r="B118" s="24"/>
      <c r="C118" s="24"/>
      <c r="D118" s="24"/>
      <c r="E118" s="24"/>
      <c r="F118" s="24"/>
      <c r="G118" s="24"/>
      <c r="H118" s="24"/>
      <c r="I118" s="24"/>
      <c r="J118" s="25"/>
      <c r="K118" s="24"/>
      <c r="L118" s="24"/>
      <c r="M118" s="26" t="str">
        <f aca="false">IF($A118="","",IF($K118&lt;&gt;"",$K118,IF(IFERROR(INDEX(RES_LOTSRC,MATCH($A118,RES_LOTEFF,0)),"")=$A118,"",IFERROR(INDEX(RES_LOTSRC,MATCH($A118,RES_LOTEFF,0)),""))))</f>
        <v/>
      </c>
      <c r="N118" s="26" t="str">
        <f aca="false">IF($A118="","",IF($B118&lt;&gt;"",$B118,IF($M118="","",IFERROR(INDEX($B$5:$B$204,MATCH($M118,$A$5:$A$204,0)),""))))</f>
        <v/>
      </c>
      <c r="O118" s="26" t="str">
        <f aca="false">IF($A118="","",IF($C118&lt;&gt;"",$C118,IF($M118="","",IFERROR(INDEX($C$5:$C$204,MATCH($M118,$A$5:$A$204,0)),""))))</f>
        <v/>
      </c>
      <c r="P118" s="26" t="str">
        <f aca="false">IF($A118="","",IF($D118&lt;&gt;"",$D118,IF($M118="","",IFERROR(INDEX($D$5:$D$204,MATCH($M118,$A$5:$A$204,0)),""))))</f>
        <v/>
      </c>
      <c r="Q118" s="26" t="str">
        <f aca="false">IF($A118="","",IF($G118&lt;&gt;"",$G118,IF($M118="","",IFERROR(INDEX($G$5:$G$204,MATCH($M118,$A$5:$A$204,0)),""))))</f>
        <v/>
      </c>
      <c r="R118" s="27" t="str">
        <f aca="false">IF($A118="","",SUMIFS(MVT_NET,MVT_LOT,$A118))</f>
        <v/>
      </c>
      <c r="S118" s="28" t="str">
        <f aca="false">IF($A118="","",COUNTIFS(MVT_LOT,$A118,MVT_BRUT,"&lt;&gt;0"))</f>
        <v/>
      </c>
      <c r="T118" s="28" t="str">
        <f aca="false">IF($A118="","",COUNTIFS(QC_LOT,$A118))</f>
        <v/>
      </c>
      <c r="U118" s="26" t="str">
        <f aca="false">IF($A118="","",IF(COUNTIF($A$5:$A$204,$A118)&gt;1,IF(SUMPRODUCT(($A$5:$A$204=$A118)*(($B$5:$B$204&lt;&gt;$B118)+($C$5:$C$204&lt;&gt;$C118)))&gt;0,"INCOHERENCE","LOT EN DOUBLE"),"OK"))</f>
        <v/>
      </c>
    </row>
    <row r="119" customFormat="false" ht="15" hidden="false" customHeight="false" outlineLevel="0" collapsed="false">
      <c r="A119" s="24"/>
      <c r="B119" s="24"/>
      <c r="C119" s="24"/>
      <c r="D119" s="24"/>
      <c r="E119" s="24"/>
      <c r="F119" s="24"/>
      <c r="G119" s="24"/>
      <c r="H119" s="24"/>
      <c r="I119" s="24"/>
      <c r="J119" s="25"/>
      <c r="K119" s="24"/>
      <c r="L119" s="24"/>
      <c r="M119" s="26" t="str">
        <f aca="false">IF($A119="","",IF($K119&lt;&gt;"",$K119,IF(IFERROR(INDEX(RES_LOTSRC,MATCH($A119,RES_LOTEFF,0)),"")=$A119,"",IFERROR(INDEX(RES_LOTSRC,MATCH($A119,RES_LOTEFF,0)),""))))</f>
        <v/>
      </c>
      <c r="N119" s="26" t="str">
        <f aca="false">IF($A119="","",IF($B119&lt;&gt;"",$B119,IF($M119="","",IFERROR(INDEX($B$5:$B$204,MATCH($M119,$A$5:$A$204,0)),""))))</f>
        <v/>
      </c>
      <c r="O119" s="26" t="str">
        <f aca="false">IF($A119="","",IF($C119&lt;&gt;"",$C119,IF($M119="","",IFERROR(INDEX($C$5:$C$204,MATCH($M119,$A$5:$A$204,0)),""))))</f>
        <v/>
      </c>
      <c r="P119" s="26" t="str">
        <f aca="false">IF($A119="","",IF($D119&lt;&gt;"",$D119,IF($M119="","",IFERROR(INDEX($D$5:$D$204,MATCH($M119,$A$5:$A$204,0)),""))))</f>
        <v/>
      </c>
      <c r="Q119" s="26" t="str">
        <f aca="false">IF($A119="","",IF($G119&lt;&gt;"",$G119,IF($M119="","",IFERROR(INDEX($G$5:$G$204,MATCH($M119,$A$5:$A$204,0)),""))))</f>
        <v/>
      </c>
      <c r="R119" s="27" t="str">
        <f aca="false">IF($A119="","",SUMIFS(MVT_NET,MVT_LOT,$A119))</f>
        <v/>
      </c>
      <c r="S119" s="28" t="str">
        <f aca="false">IF($A119="","",COUNTIFS(MVT_LOT,$A119,MVT_BRUT,"&lt;&gt;0"))</f>
        <v/>
      </c>
      <c r="T119" s="28" t="str">
        <f aca="false">IF($A119="","",COUNTIFS(QC_LOT,$A119))</f>
        <v/>
      </c>
      <c r="U119" s="26" t="str">
        <f aca="false">IF($A119="","",IF(COUNTIF($A$5:$A$204,$A119)&gt;1,IF(SUMPRODUCT(($A$5:$A$204=$A119)*(($B$5:$B$204&lt;&gt;$B119)+($C$5:$C$204&lt;&gt;$C119)))&gt;0,"INCOHERENCE","LOT EN DOUBLE"),"OK"))</f>
        <v/>
      </c>
    </row>
    <row r="120" customFormat="false" ht="15" hidden="false" customHeight="false" outlineLevel="0" collapsed="false">
      <c r="A120" s="24"/>
      <c r="B120" s="24"/>
      <c r="C120" s="24"/>
      <c r="D120" s="24"/>
      <c r="E120" s="24"/>
      <c r="F120" s="24"/>
      <c r="G120" s="24"/>
      <c r="H120" s="24"/>
      <c r="I120" s="24"/>
      <c r="J120" s="25"/>
      <c r="K120" s="24"/>
      <c r="L120" s="24"/>
      <c r="M120" s="26" t="str">
        <f aca="false">IF($A120="","",IF($K120&lt;&gt;"",$K120,IF(IFERROR(INDEX(RES_LOTSRC,MATCH($A120,RES_LOTEFF,0)),"")=$A120,"",IFERROR(INDEX(RES_LOTSRC,MATCH($A120,RES_LOTEFF,0)),""))))</f>
        <v/>
      </c>
      <c r="N120" s="26" t="str">
        <f aca="false">IF($A120="","",IF($B120&lt;&gt;"",$B120,IF($M120="","",IFERROR(INDEX($B$5:$B$204,MATCH($M120,$A$5:$A$204,0)),""))))</f>
        <v/>
      </c>
      <c r="O120" s="26" t="str">
        <f aca="false">IF($A120="","",IF($C120&lt;&gt;"",$C120,IF($M120="","",IFERROR(INDEX($C$5:$C$204,MATCH($M120,$A$5:$A$204,0)),""))))</f>
        <v/>
      </c>
      <c r="P120" s="26" t="str">
        <f aca="false">IF($A120="","",IF($D120&lt;&gt;"",$D120,IF($M120="","",IFERROR(INDEX($D$5:$D$204,MATCH($M120,$A$5:$A$204,0)),""))))</f>
        <v/>
      </c>
      <c r="Q120" s="26" t="str">
        <f aca="false">IF($A120="","",IF($G120&lt;&gt;"",$G120,IF($M120="","",IFERROR(INDEX($G$5:$G$204,MATCH($M120,$A$5:$A$204,0)),""))))</f>
        <v/>
      </c>
      <c r="R120" s="27" t="str">
        <f aca="false">IF($A120="","",SUMIFS(MVT_NET,MVT_LOT,$A120))</f>
        <v/>
      </c>
      <c r="S120" s="28" t="str">
        <f aca="false">IF($A120="","",COUNTIFS(MVT_LOT,$A120,MVT_BRUT,"&lt;&gt;0"))</f>
        <v/>
      </c>
      <c r="T120" s="28" t="str">
        <f aca="false">IF($A120="","",COUNTIFS(QC_LOT,$A120))</f>
        <v/>
      </c>
      <c r="U120" s="26" t="str">
        <f aca="false">IF($A120="","",IF(COUNTIF($A$5:$A$204,$A120)&gt;1,IF(SUMPRODUCT(($A$5:$A$204=$A120)*(($B$5:$B$204&lt;&gt;$B120)+($C$5:$C$204&lt;&gt;$C120)))&gt;0,"INCOHERENCE","LOT EN DOUBLE"),"OK"))</f>
        <v/>
      </c>
    </row>
    <row r="121" customFormat="false" ht="15" hidden="false" customHeight="false" outlineLevel="0" collapsed="false">
      <c r="A121" s="24"/>
      <c r="B121" s="24"/>
      <c r="C121" s="24"/>
      <c r="D121" s="24"/>
      <c r="E121" s="24"/>
      <c r="F121" s="24"/>
      <c r="G121" s="24"/>
      <c r="H121" s="24"/>
      <c r="I121" s="24"/>
      <c r="J121" s="25"/>
      <c r="K121" s="24"/>
      <c r="L121" s="24"/>
      <c r="M121" s="26" t="str">
        <f aca="false">IF($A121="","",IF($K121&lt;&gt;"",$K121,IF(IFERROR(INDEX(RES_LOTSRC,MATCH($A121,RES_LOTEFF,0)),"")=$A121,"",IFERROR(INDEX(RES_LOTSRC,MATCH($A121,RES_LOTEFF,0)),""))))</f>
        <v/>
      </c>
      <c r="N121" s="26" t="str">
        <f aca="false">IF($A121="","",IF($B121&lt;&gt;"",$B121,IF($M121="","",IFERROR(INDEX($B$5:$B$204,MATCH($M121,$A$5:$A$204,0)),""))))</f>
        <v/>
      </c>
      <c r="O121" s="26" t="str">
        <f aca="false">IF($A121="","",IF($C121&lt;&gt;"",$C121,IF($M121="","",IFERROR(INDEX($C$5:$C$204,MATCH($M121,$A$5:$A$204,0)),""))))</f>
        <v/>
      </c>
      <c r="P121" s="26" t="str">
        <f aca="false">IF($A121="","",IF($D121&lt;&gt;"",$D121,IF($M121="","",IFERROR(INDEX($D$5:$D$204,MATCH($M121,$A$5:$A$204,0)),""))))</f>
        <v/>
      </c>
      <c r="Q121" s="26" t="str">
        <f aca="false">IF($A121="","",IF($G121&lt;&gt;"",$G121,IF($M121="","",IFERROR(INDEX($G$5:$G$204,MATCH($M121,$A$5:$A$204,0)),""))))</f>
        <v/>
      </c>
      <c r="R121" s="27" t="str">
        <f aca="false">IF($A121="","",SUMIFS(MVT_NET,MVT_LOT,$A121))</f>
        <v/>
      </c>
      <c r="S121" s="28" t="str">
        <f aca="false">IF($A121="","",COUNTIFS(MVT_LOT,$A121,MVT_BRUT,"&lt;&gt;0"))</f>
        <v/>
      </c>
      <c r="T121" s="28" t="str">
        <f aca="false">IF($A121="","",COUNTIFS(QC_LOT,$A121))</f>
        <v/>
      </c>
      <c r="U121" s="26" t="str">
        <f aca="false">IF($A121="","",IF(COUNTIF($A$5:$A$204,$A121)&gt;1,IF(SUMPRODUCT(($A$5:$A$204=$A121)*(($B$5:$B$204&lt;&gt;$B121)+($C$5:$C$204&lt;&gt;$C121)))&gt;0,"INCOHERENCE","LOT EN DOUBLE"),"OK"))</f>
        <v/>
      </c>
    </row>
    <row r="122" customFormat="false" ht="15" hidden="false" customHeight="false" outlineLevel="0" collapsed="false">
      <c r="A122" s="24"/>
      <c r="B122" s="24"/>
      <c r="C122" s="24"/>
      <c r="D122" s="24"/>
      <c r="E122" s="24"/>
      <c r="F122" s="24"/>
      <c r="G122" s="24"/>
      <c r="H122" s="24"/>
      <c r="I122" s="24"/>
      <c r="J122" s="25"/>
      <c r="K122" s="24"/>
      <c r="L122" s="24"/>
      <c r="M122" s="26" t="str">
        <f aca="false">IF($A122="","",IF($K122&lt;&gt;"",$K122,IF(IFERROR(INDEX(RES_LOTSRC,MATCH($A122,RES_LOTEFF,0)),"")=$A122,"",IFERROR(INDEX(RES_LOTSRC,MATCH($A122,RES_LOTEFF,0)),""))))</f>
        <v/>
      </c>
      <c r="N122" s="26" t="str">
        <f aca="false">IF($A122="","",IF($B122&lt;&gt;"",$B122,IF($M122="","",IFERROR(INDEX($B$5:$B$204,MATCH($M122,$A$5:$A$204,0)),""))))</f>
        <v/>
      </c>
      <c r="O122" s="26" t="str">
        <f aca="false">IF($A122="","",IF($C122&lt;&gt;"",$C122,IF($M122="","",IFERROR(INDEX($C$5:$C$204,MATCH($M122,$A$5:$A$204,0)),""))))</f>
        <v/>
      </c>
      <c r="P122" s="26" t="str">
        <f aca="false">IF($A122="","",IF($D122&lt;&gt;"",$D122,IF($M122="","",IFERROR(INDEX($D$5:$D$204,MATCH($M122,$A$5:$A$204,0)),""))))</f>
        <v/>
      </c>
      <c r="Q122" s="26" t="str">
        <f aca="false">IF($A122="","",IF($G122&lt;&gt;"",$G122,IF($M122="","",IFERROR(INDEX($G$5:$G$204,MATCH($M122,$A$5:$A$204,0)),""))))</f>
        <v/>
      </c>
      <c r="R122" s="27" t="str">
        <f aca="false">IF($A122="","",SUMIFS(MVT_NET,MVT_LOT,$A122))</f>
        <v/>
      </c>
      <c r="S122" s="28" t="str">
        <f aca="false">IF($A122="","",COUNTIFS(MVT_LOT,$A122,MVT_BRUT,"&lt;&gt;0"))</f>
        <v/>
      </c>
      <c r="T122" s="28" t="str">
        <f aca="false">IF($A122="","",COUNTIFS(QC_LOT,$A122))</f>
        <v/>
      </c>
      <c r="U122" s="26" t="str">
        <f aca="false">IF($A122="","",IF(COUNTIF($A$5:$A$204,$A122)&gt;1,IF(SUMPRODUCT(($A$5:$A$204=$A122)*(($B$5:$B$204&lt;&gt;$B122)+($C$5:$C$204&lt;&gt;$C122)))&gt;0,"INCOHERENCE","LOT EN DOUBLE"),"OK"))</f>
        <v/>
      </c>
    </row>
    <row r="123" customFormat="false" ht="15" hidden="false" customHeight="false" outlineLevel="0" collapsed="false">
      <c r="A123" s="24"/>
      <c r="B123" s="24"/>
      <c r="C123" s="24"/>
      <c r="D123" s="24"/>
      <c r="E123" s="24"/>
      <c r="F123" s="24"/>
      <c r="G123" s="24"/>
      <c r="H123" s="24"/>
      <c r="I123" s="24"/>
      <c r="J123" s="25"/>
      <c r="K123" s="24"/>
      <c r="L123" s="24"/>
      <c r="M123" s="26" t="str">
        <f aca="false">IF($A123="","",IF($K123&lt;&gt;"",$K123,IF(IFERROR(INDEX(RES_LOTSRC,MATCH($A123,RES_LOTEFF,0)),"")=$A123,"",IFERROR(INDEX(RES_LOTSRC,MATCH($A123,RES_LOTEFF,0)),""))))</f>
        <v/>
      </c>
      <c r="N123" s="26" t="str">
        <f aca="false">IF($A123="","",IF($B123&lt;&gt;"",$B123,IF($M123="","",IFERROR(INDEX($B$5:$B$204,MATCH($M123,$A$5:$A$204,0)),""))))</f>
        <v/>
      </c>
      <c r="O123" s="26" t="str">
        <f aca="false">IF($A123="","",IF($C123&lt;&gt;"",$C123,IF($M123="","",IFERROR(INDEX($C$5:$C$204,MATCH($M123,$A$5:$A$204,0)),""))))</f>
        <v/>
      </c>
      <c r="P123" s="26" t="str">
        <f aca="false">IF($A123="","",IF($D123&lt;&gt;"",$D123,IF($M123="","",IFERROR(INDEX($D$5:$D$204,MATCH($M123,$A$5:$A$204,0)),""))))</f>
        <v/>
      </c>
      <c r="Q123" s="26" t="str">
        <f aca="false">IF($A123="","",IF($G123&lt;&gt;"",$G123,IF($M123="","",IFERROR(INDEX($G$5:$G$204,MATCH($M123,$A$5:$A$204,0)),""))))</f>
        <v/>
      </c>
      <c r="R123" s="27" t="str">
        <f aca="false">IF($A123="","",SUMIFS(MVT_NET,MVT_LOT,$A123))</f>
        <v/>
      </c>
      <c r="S123" s="28" t="str">
        <f aca="false">IF($A123="","",COUNTIFS(MVT_LOT,$A123,MVT_BRUT,"&lt;&gt;0"))</f>
        <v/>
      </c>
      <c r="T123" s="28" t="str">
        <f aca="false">IF($A123="","",COUNTIFS(QC_LOT,$A123))</f>
        <v/>
      </c>
      <c r="U123" s="26" t="str">
        <f aca="false">IF($A123="","",IF(COUNTIF($A$5:$A$204,$A123)&gt;1,IF(SUMPRODUCT(($A$5:$A$204=$A123)*(($B$5:$B$204&lt;&gt;$B123)+($C$5:$C$204&lt;&gt;$C123)))&gt;0,"INCOHERENCE","LOT EN DOUBLE"),"OK"))</f>
        <v/>
      </c>
    </row>
    <row r="124" customFormat="false" ht="15" hidden="false" customHeight="false" outlineLevel="0" collapsed="false">
      <c r="A124" s="24"/>
      <c r="B124" s="24"/>
      <c r="C124" s="24"/>
      <c r="D124" s="24"/>
      <c r="E124" s="24"/>
      <c r="F124" s="24"/>
      <c r="G124" s="24"/>
      <c r="H124" s="24"/>
      <c r="I124" s="24"/>
      <c r="J124" s="25"/>
      <c r="K124" s="24"/>
      <c r="L124" s="24"/>
      <c r="M124" s="26" t="str">
        <f aca="false">IF($A124="","",IF($K124&lt;&gt;"",$K124,IF(IFERROR(INDEX(RES_LOTSRC,MATCH($A124,RES_LOTEFF,0)),"")=$A124,"",IFERROR(INDEX(RES_LOTSRC,MATCH($A124,RES_LOTEFF,0)),""))))</f>
        <v/>
      </c>
      <c r="N124" s="26" t="str">
        <f aca="false">IF($A124="","",IF($B124&lt;&gt;"",$B124,IF($M124="","",IFERROR(INDEX($B$5:$B$204,MATCH($M124,$A$5:$A$204,0)),""))))</f>
        <v/>
      </c>
      <c r="O124" s="26" t="str">
        <f aca="false">IF($A124="","",IF($C124&lt;&gt;"",$C124,IF($M124="","",IFERROR(INDEX($C$5:$C$204,MATCH($M124,$A$5:$A$204,0)),""))))</f>
        <v/>
      </c>
      <c r="P124" s="26" t="str">
        <f aca="false">IF($A124="","",IF($D124&lt;&gt;"",$D124,IF($M124="","",IFERROR(INDEX($D$5:$D$204,MATCH($M124,$A$5:$A$204,0)),""))))</f>
        <v/>
      </c>
      <c r="Q124" s="26" t="str">
        <f aca="false">IF($A124="","",IF($G124&lt;&gt;"",$G124,IF($M124="","",IFERROR(INDEX($G$5:$G$204,MATCH($M124,$A$5:$A$204,0)),""))))</f>
        <v/>
      </c>
      <c r="R124" s="27" t="str">
        <f aca="false">IF($A124="","",SUMIFS(MVT_NET,MVT_LOT,$A124))</f>
        <v/>
      </c>
      <c r="S124" s="28" t="str">
        <f aca="false">IF($A124="","",COUNTIFS(MVT_LOT,$A124,MVT_BRUT,"&lt;&gt;0"))</f>
        <v/>
      </c>
      <c r="T124" s="28" t="str">
        <f aca="false">IF($A124="","",COUNTIFS(QC_LOT,$A124))</f>
        <v/>
      </c>
      <c r="U124" s="26" t="str">
        <f aca="false">IF($A124="","",IF(COUNTIF($A$5:$A$204,$A124)&gt;1,IF(SUMPRODUCT(($A$5:$A$204=$A124)*(($B$5:$B$204&lt;&gt;$B124)+($C$5:$C$204&lt;&gt;$C124)))&gt;0,"INCOHERENCE","LOT EN DOUBLE"),"OK"))</f>
        <v/>
      </c>
    </row>
    <row r="125" customFormat="false" ht="15" hidden="false" customHeight="false" outlineLevel="0" collapsed="false">
      <c r="A125" s="24"/>
      <c r="B125" s="24"/>
      <c r="C125" s="24"/>
      <c r="D125" s="24"/>
      <c r="E125" s="24"/>
      <c r="F125" s="24"/>
      <c r="G125" s="24"/>
      <c r="H125" s="24"/>
      <c r="I125" s="24"/>
      <c r="J125" s="25"/>
      <c r="K125" s="24"/>
      <c r="L125" s="24"/>
      <c r="M125" s="26" t="str">
        <f aca="false">IF($A125="","",IF($K125&lt;&gt;"",$K125,IF(IFERROR(INDEX(RES_LOTSRC,MATCH($A125,RES_LOTEFF,0)),"")=$A125,"",IFERROR(INDEX(RES_LOTSRC,MATCH($A125,RES_LOTEFF,0)),""))))</f>
        <v/>
      </c>
      <c r="N125" s="26" t="str">
        <f aca="false">IF($A125="","",IF($B125&lt;&gt;"",$B125,IF($M125="","",IFERROR(INDEX($B$5:$B$204,MATCH($M125,$A$5:$A$204,0)),""))))</f>
        <v/>
      </c>
      <c r="O125" s="26" t="str">
        <f aca="false">IF($A125="","",IF($C125&lt;&gt;"",$C125,IF($M125="","",IFERROR(INDEX($C$5:$C$204,MATCH($M125,$A$5:$A$204,0)),""))))</f>
        <v/>
      </c>
      <c r="P125" s="26" t="str">
        <f aca="false">IF($A125="","",IF($D125&lt;&gt;"",$D125,IF($M125="","",IFERROR(INDEX($D$5:$D$204,MATCH($M125,$A$5:$A$204,0)),""))))</f>
        <v/>
      </c>
      <c r="Q125" s="26" t="str">
        <f aca="false">IF($A125="","",IF($G125&lt;&gt;"",$G125,IF($M125="","",IFERROR(INDEX($G$5:$G$204,MATCH($M125,$A$5:$A$204,0)),""))))</f>
        <v/>
      </c>
      <c r="R125" s="27" t="str">
        <f aca="false">IF($A125="","",SUMIFS(MVT_NET,MVT_LOT,$A125))</f>
        <v/>
      </c>
      <c r="S125" s="28" t="str">
        <f aca="false">IF($A125="","",COUNTIFS(MVT_LOT,$A125,MVT_BRUT,"&lt;&gt;0"))</f>
        <v/>
      </c>
      <c r="T125" s="28" t="str">
        <f aca="false">IF($A125="","",COUNTIFS(QC_LOT,$A125))</f>
        <v/>
      </c>
      <c r="U125" s="26" t="str">
        <f aca="false">IF($A125="","",IF(COUNTIF($A$5:$A$204,$A125)&gt;1,IF(SUMPRODUCT(($A$5:$A$204=$A125)*(($B$5:$B$204&lt;&gt;$B125)+($C$5:$C$204&lt;&gt;$C125)))&gt;0,"INCOHERENCE","LOT EN DOUBLE"),"OK"))</f>
        <v/>
      </c>
    </row>
    <row r="126" customFormat="false" ht="15" hidden="false" customHeight="false" outlineLevel="0" collapsed="false">
      <c r="A126" s="24"/>
      <c r="B126" s="24"/>
      <c r="C126" s="24"/>
      <c r="D126" s="24"/>
      <c r="E126" s="24"/>
      <c r="F126" s="24"/>
      <c r="G126" s="24"/>
      <c r="H126" s="24"/>
      <c r="I126" s="24"/>
      <c r="J126" s="25"/>
      <c r="K126" s="24"/>
      <c r="L126" s="24"/>
      <c r="M126" s="26" t="str">
        <f aca="false">IF($A126="","",IF($K126&lt;&gt;"",$K126,IF(IFERROR(INDEX(RES_LOTSRC,MATCH($A126,RES_LOTEFF,0)),"")=$A126,"",IFERROR(INDEX(RES_LOTSRC,MATCH($A126,RES_LOTEFF,0)),""))))</f>
        <v/>
      </c>
      <c r="N126" s="26" t="str">
        <f aca="false">IF($A126="","",IF($B126&lt;&gt;"",$B126,IF($M126="","",IFERROR(INDEX($B$5:$B$204,MATCH($M126,$A$5:$A$204,0)),""))))</f>
        <v/>
      </c>
      <c r="O126" s="26" t="str">
        <f aca="false">IF($A126="","",IF($C126&lt;&gt;"",$C126,IF($M126="","",IFERROR(INDEX($C$5:$C$204,MATCH($M126,$A$5:$A$204,0)),""))))</f>
        <v/>
      </c>
      <c r="P126" s="26" t="str">
        <f aca="false">IF($A126="","",IF($D126&lt;&gt;"",$D126,IF($M126="","",IFERROR(INDEX($D$5:$D$204,MATCH($M126,$A$5:$A$204,0)),""))))</f>
        <v/>
      </c>
      <c r="Q126" s="26" t="str">
        <f aca="false">IF($A126="","",IF($G126&lt;&gt;"",$G126,IF($M126="","",IFERROR(INDEX($G$5:$G$204,MATCH($M126,$A$5:$A$204,0)),""))))</f>
        <v/>
      </c>
      <c r="R126" s="27" t="str">
        <f aca="false">IF($A126="","",SUMIFS(MVT_NET,MVT_LOT,$A126))</f>
        <v/>
      </c>
      <c r="S126" s="28" t="str">
        <f aca="false">IF($A126="","",COUNTIFS(MVT_LOT,$A126,MVT_BRUT,"&lt;&gt;0"))</f>
        <v/>
      </c>
      <c r="T126" s="28" t="str">
        <f aca="false">IF($A126="","",COUNTIFS(QC_LOT,$A126))</f>
        <v/>
      </c>
      <c r="U126" s="26" t="str">
        <f aca="false">IF($A126="","",IF(COUNTIF($A$5:$A$204,$A126)&gt;1,IF(SUMPRODUCT(($A$5:$A$204=$A126)*(($B$5:$B$204&lt;&gt;$B126)+($C$5:$C$204&lt;&gt;$C126)))&gt;0,"INCOHERENCE","LOT EN DOUBLE"),"OK"))</f>
        <v/>
      </c>
    </row>
    <row r="127" customFormat="false" ht="15" hidden="false" customHeight="false" outlineLevel="0" collapsed="false">
      <c r="A127" s="24"/>
      <c r="B127" s="24"/>
      <c r="C127" s="24"/>
      <c r="D127" s="24"/>
      <c r="E127" s="24"/>
      <c r="F127" s="24"/>
      <c r="G127" s="24"/>
      <c r="H127" s="24"/>
      <c r="I127" s="24"/>
      <c r="J127" s="25"/>
      <c r="K127" s="24"/>
      <c r="L127" s="24"/>
      <c r="M127" s="26" t="str">
        <f aca="false">IF($A127="","",IF($K127&lt;&gt;"",$K127,IF(IFERROR(INDEX(RES_LOTSRC,MATCH($A127,RES_LOTEFF,0)),"")=$A127,"",IFERROR(INDEX(RES_LOTSRC,MATCH($A127,RES_LOTEFF,0)),""))))</f>
        <v/>
      </c>
      <c r="N127" s="26" t="str">
        <f aca="false">IF($A127="","",IF($B127&lt;&gt;"",$B127,IF($M127="","",IFERROR(INDEX($B$5:$B$204,MATCH($M127,$A$5:$A$204,0)),""))))</f>
        <v/>
      </c>
      <c r="O127" s="26" t="str">
        <f aca="false">IF($A127="","",IF($C127&lt;&gt;"",$C127,IF($M127="","",IFERROR(INDEX($C$5:$C$204,MATCH($M127,$A$5:$A$204,0)),""))))</f>
        <v/>
      </c>
      <c r="P127" s="26" t="str">
        <f aca="false">IF($A127="","",IF($D127&lt;&gt;"",$D127,IF($M127="","",IFERROR(INDEX($D$5:$D$204,MATCH($M127,$A$5:$A$204,0)),""))))</f>
        <v/>
      </c>
      <c r="Q127" s="26" t="str">
        <f aca="false">IF($A127="","",IF($G127&lt;&gt;"",$G127,IF($M127="","",IFERROR(INDEX($G$5:$G$204,MATCH($M127,$A$5:$A$204,0)),""))))</f>
        <v/>
      </c>
      <c r="R127" s="27" t="str">
        <f aca="false">IF($A127="","",SUMIFS(MVT_NET,MVT_LOT,$A127))</f>
        <v/>
      </c>
      <c r="S127" s="28" t="str">
        <f aca="false">IF($A127="","",COUNTIFS(MVT_LOT,$A127,MVT_BRUT,"&lt;&gt;0"))</f>
        <v/>
      </c>
      <c r="T127" s="28" t="str">
        <f aca="false">IF($A127="","",COUNTIFS(QC_LOT,$A127))</f>
        <v/>
      </c>
      <c r="U127" s="26" t="str">
        <f aca="false">IF($A127="","",IF(COUNTIF($A$5:$A$204,$A127)&gt;1,IF(SUMPRODUCT(($A$5:$A$204=$A127)*(($B$5:$B$204&lt;&gt;$B127)+($C$5:$C$204&lt;&gt;$C127)))&gt;0,"INCOHERENCE","LOT EN DOUBLE"),"OK"))</f>
        <v/>
      </c>
    </row>
    <row r="128" customFormat="false" ht="15" hidden="false" customHeight="false" outlineLevel="0" collapsed="false">
      <c r="A128" s="24"/>
      <c r="B128" s="24"/>
      <c r="C128" s="24"/>
      <c r="D128" s="24"/>
      <c r="E128" s="24"/>
      <c r="F128" s="24"/>
      <c r="G128" s="24"/>
      <c r="H128" s="24"/>
      <c r="I128" s="24"/>
      <c r="J128" s="25"/>
      <c r="K128" s="24"/>
      <c r="L128" s="24"/>
      <c r="M128" s="26" t="str">
        <f aca="false">IF($A128="","",IF($K128&lt;&gt;"",$K128,IF(IFERROR(INDEX(RES_LOTSRC,MATCH($A128,RES_LOTEFF,0)),"")=$A128,"",IFERROR(INDEX(RES_LOTSRC,MATCH($A128,RES_LOTEFF,0)),""))))</f>
        <v/>
      </c>
      <c r="N128" s="26" t="str">
        <f aca="false">IF($A128="","",IF($B128&lt;&gt;"",$B128,IF($M128="","",IFERROR(INDEX($B$5:$B$204,MATCH($M128,$A$5:$A$204,0)),""))))</f>
        <v/>
      </c>
      <c r="O128" s="26" t="str">
        <f aca="false">IF($A128="","",IF($C128&lt;&gt;"",$C128,IF($M128="","",IFERROR(INDEX($C$5:$C$204,MATCH($M128,$A$5:$A$204,0)),""))))</f>
        <v/>
      </c>
      <c r="P128" s="26" t="str">
        <f aca="false">IF($A128="","",IF($D128&lt;&gt;"",$D128,IF($M128="","",IFERROR(INDEX($D$5:$D$204,MATCH($M128,$A$5:$A$204,0)),""))))</f>
        <v/>
      </c>
      <c r="Q128" s="26" t="str">
        <f aca="false">IF($A128="","",IF($G128&lt;&gt;"",$G128,IF($M128="","",IFERROR(INDEX($G$5:$G$204,MATCH($M128,$A$5:$A$204,0)),""))))</f>
        <v/>
      </c>
      <c r="R128" s="27" t="str">
        <f aca="false">IF($A128="","",SUMIFS(MVT_NET,MVT_LOT,$A128))</f>
        <v/>
      </c>
      <c r="S128" s="28" t="str">
        <f aca="false">IF($A128="","",COUNTIFS(MVT_LOT,$A128,MVT_BRUT,"&lt;&gt;0"))</f>
        <v/>
      </c>
      <c r="T128" s="28" t="str">
        <f aca="false">IF($A128="","",COUNTIFS(QC_LOT,$A128))</f>
        <v/>
      </c>
      <c r="U128" s="26" t="str">
        <f aca="false">IF($A128="","",IF(COUNTIF($A$5:$A$204,$A128)&gt;1,IF(SUMPRODUCT(($A$5:$A$204=$A128)*(($B$5:$B$204&lt;&gt;$B128)+($C$5:$C$204&lt;&gt;$C128)))&gt;0,"INCOHERENCE","LOT EN DOUBLE"),"OK"))</f>
        <v/>
      </c>
    </row>
    <row r="129" customFormat="false" ht="15" hidden="false" customHeight="false" outlineLevel="0" collapsed="false">
      <c r="A129" s="24"/>
      <c r="B129" s="24"/>
      <c r="C129" s="24"/>
      <c r="D129" s="24"/>
      <c r="E129" s="24"/>
      <c r="F129" s="24"/>
      <c r="G129" s="24"/>
      <c r="H129" s="24"/>
      <c r="I129" s="24"/>
      <c r="J129" s="25"/>
      <c r="K129" s="24"/>
      <c r="L129" s="24"/>
      <c r="M129" s="26" t="str">
        <f aca="false">IF($A129="","",IF($K129&lt;&gt;"",$K129,IF(IFERROR(INDEX(RES_LOTSRC,MATCH($A129,RES_LOTEFF,0)),"")=$A129,"",IFERROR(INDEX(RES_LOTSRC,MATCH($A129,RES_LOTEFF,0)),""))))</f>
        <v/>
      </c>
      <c r="N129" s="26" t="str">
        <f aca="false">IF($A129="","",IF($B129&lt;&gt;"",$B129,IF($M129="","",IFERROR(INDEX($B$5:$B$204,MATCH($M129,$A$5:$A$204,0)),""))))</f>
        <v/>
      </c>
      <c r="O129" s="26" t="str">
        <f aca="false">IF($A129="","",IF($C129&lt;&gt;"",$C129,IF($M129="","",IFERROR(INDEX($C$5:$C$204,MATCH($M129,$A$5:$A$204,0)),""))))</f>
        <v/>
      </c>
      <c r="P129" s="26" t="str">
        <f aca="false">IF($A129="","",IF($D129&lt;&gt;"",$D129,IF($M129="","",IFERROR(INDEX($D$5:$D$204,MATCH($M129,$A$5:$A$204,0)),""))))</f>
        <v/>
      </c>
      <c r="Q129" s="26" t="str">
        <f aca="false">IF($A129="","",IF($G129&lt;&gt;"",$G129,IF($M129="","",IFERROR(INDEX($G$5:$G$204,MATCH($M129,$A$5:$A$204,0)),""))))</f>
        <v/>
      </c>
      <c r="R129" s="27" t="str">
        <f aca="false">IF($A129="","",SUMIFS(MVT_NET,MVT_LOT,$A129))</f>
        <v/>
      </c>
      <c r="S129" s="28" t="str">
        <f aca="false">IF($A129="","",COUNTIFS(MVT_LOT,$A129,MVT_BRUT,"&lt;&gt;0"))</f>
        <v/>
      </c>
      <c r="T129" s="28" t="str">
        <f aca="false">IF($A129="","",COUNTIFS(QC_LOT,$A129))</f>
        <v/>
      </c>
      <c r="U129" s="26" t="str">
        <f aca="false">IF($A129="","",IF(COUNTIF($A$5:$A$204,$A129)&gt;1,IF(SUMPRODUCT(($A$5:$A$204=$A129)*(($B$5:$B$204&lt;&gt;$B129)+($C$5:$C$204&lt;&gt;$C129)))&gt;0,"INCOHERENCE","LOT EN DOUBLE"),"OK"))</f>
        <v/>
      </c>
    </row>
    <row r="130" customFormat="false" ht="15" hidden="false" customHeight="false" outlineLevel="0" collapsed="false">
      <c r="A130" s="24"/>
      <c r="B130" s="24"/>
      <c r="C130" s="24"/>
      <c r="D130" s="24"/>
      <c r="E130" s="24"/>
      <c r="F130" s="24"/>
      <c r="G130" s="24"/>
      <c r="H130" s="24"/>
      <c r="I130" s="24"/>
      <c r="J130" s="25"/>
      <c r="K130" s="24"/>
      <c r="L130" s="24"/>
      <c r="M130" s="26" t="str">
        <f aca="false">IF($A130="","",IF($K130&lt;&gt;"",$K130,IF(IFERROR(INDEX(RES_LOTSRC,MATCH($A130,RES_LOTEFF,0)),"")=$A130,"",IFERROR(INDEX(RES_LOTSRC,MATCH($A130,RES_LOTEFF,0)),""))))</f>
        <v/>
      </c>
      <c r="N130" s="26" t="str">
        <f aca="false">IF($A130="","",IF($B130&lt;&gt;"",$B130,IF($M130="","",IFERROR(INDEX($B$5:$B$204,MATCH($M130,$A$5:$A$204,0)),""))))</f>
        <v/>
      </c>
      <c r="O130" s="26" t="str">
        <f aca="false">IF($A130="","",IF($C130&lt;&gt;"",$C130,IF($M130="","",IFERROR(INDEX($C$5:$C$204,MATCH($M130,$A$5:$A$204,0)),""))))</f>
        <v/>
      </c>
      <c r="P130" s="26" t="str">
        <f aca="false">IF($A130="","",IF($D130&lt;&gt;"",$D130,IF($M130="","",IFERROR(INDEX($D$5:$D$204,MATCH($M130,$A$5:$A$204,0)),""))))</f>
        <v/>
      </c>
      <c r="Q130" s="26" t="str">
        <f aca="false">IF($A130="","",IF($G130&lt;&gt;"",$G130,IF($M130="","",IFERROR(INDEX($G$5:$G$204,MATCH($M130,$A$5:$A$204,0)),""))))</f>
        <v/>
      </c>
      <c r="R130" s="27" t="str">
        <f aca="false">IF($A130="","",SUMIFS(MVT_NET,MVT_LOT,$A130))</f>
        <v/>
      </c>
      <c r="S130" s="28" t="str">
        <f aca="false">IF($A130="","",COUNTIFS(MVT_LOT,$A130,MVT_BRUT,"&lt;&gt;0"))</f>
        <v/>
      </c>
      <c r="T130" s="28" t="str">
        <f aca="false">IF($A130="","",COUNTIFS(QC_LOT,$A130))</f>
        <v/>
      </c>
      <c r="U130" s="26" t="str">
        <f aca="false">IF($A130="","",IF(COUNTIF($A$5:$A$204,$A130)&gt;1,IF(SUMPRODUCT(($A$5:$A$204=$A130)*(($B$5:$B$204&lt;&gt;$B130)+($C$5:$C$204&lt;&gt;$C130)))&gt;0,"INCOHERENCE","LOT EN DOUBLE"),"OK"))</f>
        <v/>
      </c>
    </row>
    <row r="131" customFormat="false" ht="15" hidden="false" customHeight="false" outlineLevel="0" collapsed="false">
      <c r="A131" s="24"/>
      <c r="B131" s="24"/>
      <c r="C131" s="24"/>
      <c r="D131" s="24"/>
      <c r="E131" s="24"/>
      <c r="F131" s="24"/>
      <c r="G131" s="24"/>
      <c r="H131" s="24"/>
      <c r="I131" s="24"/>
      <c r="J131" s="25"/>
      <c r="K131" s="24"/>
      <c r="L131" s="24"/>
      <c r="M131" s="26" t="str">
        <f aca="false">IF($A131="","",IF($K131&lt;&gt;"",$K131,IF(IFERROR(INDEX(RES_LOTSRC,MATCH($A131,RES_LOTEFF,0)),"")=$A131,"",IFERROR(INDEX(RES_LOTSRC,MATCH($A131,RES_LOTEFF,0)),""))))</f>
        <v/>
      </c>
      <c r="N131" s="26" t="str">
        <f aca="false">IF($A131="","",IF($B131&lt;&gt;"",$B131,IF($M131="","",IFERROR(INDEX($B$5:$B$204,MATCH($M131,$A$5:$A$204,0)),""))))</f>
        <v/>
      </c>
      <c r="O131" s="26" t="str">
        <f aca="false">IF($A131="","",IF($C131&lt;&gt;"",$C131,IF($M131="","",IFERROR(INDEX($C$5:$C$204,MATCH($M131,$A$5:$A$204,0)),""))))</f>
        <v/>
      </c>
      <c r="P131" s="26" t="str">
        <f aca="false">IF($A131="","",IF($D131&lt;&gt;"",$D131,IF($M131="","",IFERROR(INDEX($D$5:$D$204,MATCH($M131,$A$5:$A$204,0)),""))))</f>
        <v/>
      </c>
      <c r="Q131" s="26" t="str">
        <f aca="false">IF($A131="","",IF($G131&lt;&gt;"",$G131,IF($M131="","",IFERROR(INDEX($G$5:$G$204,MATCH($M131,$A$5:$A$204,0)),""))))</f>
        <v/>
      </c>
      <c r="R131" s="27" t="str">
        <f aca="false">IF($A131="","",SUMIFS(MVT_NET,MVT_LOT,$A131))</f>
        <v/>
      </c>
      <c r="S131" s="28" t="str">
        <f aca="false">IF($A131="","",COUNTIFS(MVT_LOT,$A131,MVT_BRUT,"&lt;&gt;0"))</f>
        <v/>
      </c>
      <c r="T131" s="28" t="str">
        <f aca="false">IF($A131="","",COUNTIFS(QC_LOT,$A131))</f>
        <v/>
      </c>
      <c r="U131" s="26" t="str">
        <f aca="false">IF($A131="","",IF(COUNTIF($A$5:$A$204,$A131)&gt;1,IF(SUMPRODUCT(($A$5:$A$204=$A131)*(($B$5:$B$204&lt;&gt;$B131)+($C$5:$C$204&lt;&gt;$C131)))&gt;0,"INCOHERENCE","LOT EN DOUBLE"),"OK"))</f>
        <v/>
      </c>
    </row>
    <row r="132" customFormat="false" ht="15" hidden="false" customHeight="false" outlineLevel="0" collapsed="false">
      <c r="A132" s="24"/>
      <c r="B132" s="24"/>
      <c r="C132" s="24"/>
      <c r="D132" s="24"/>
      <c r="E132" s="24"/>
      <c r="F132" s="24"/>
      <c r="G132" s="24"/>
      <c r="H132" s="24"/>
      <c r="I132" s="24"/>
      <c r="J132" s="25"/>
      <c r="K132" s="24"/>
      <c r="L132" s="24"/>
      <c r="M132" s="26" t="str">
        <f aca="false">IF($A132="","",IF($K132&lt;&gt;"",$K132,IF(IFERROR(INDEX(RES_LOTSRC,MATCH($A132,RES_LOTEFF,0)),"")=$A132,"",IFERROR(INDEX(RES_LOTSRC,MATCH($A132,RES_LOTEFF,0)),""))))</f>
        <v/>
      </c>
      <c r="N132" s="26" t="str">
        <f aca="false">IF($A132="","",IF($B132&lt;&gt;"",$B132,IF($M132="","",IFERROR(INDEX($B$5:$B$204,MATCH($M132,$A$5:$A$204,0)),""))))</f>
        <v/>
      </c>
      <c r="O132" s="26" t="str">
        <f aca="false">IF($A132="","",IF($C132&lt;&gt;"",$C132,IF($M132="","",IFERROR(INDEX($C$5:$C$204,MATCH($M132,$A$5:$A$204,0)),""))))</f>
        <v/>
      </c>
      <c r="P132" s="26" t="str">
        <f aca="false">IF($A132="","",IF($D132&lt;&gt;"",$D132,IF($M132="","",IFERROR(INDEX($D$5:$D$204,MATCH($M132,$A$5:$A$204,0)),""))))</f>
        <v/>
      </c>
      <c r="Q132" s="26" t="str">
        <f aca="false">IF($A132="","",IF($G132&lt;&gt;"",$G132,IF($M132="","",IFERROR(INDEX($G$5:$G$204,MATCH($M132,$A$5:$A$204,0)),""))))</f>
        <v/>
      </c>
      <c r="R132" s="27" t="str">
        <f aca="false">IF($A132="","",SUMIFS(MVT_NET,MVT_LOT,$A132))</f>
        <v/>
      </c>
      <c r="S132" s="28" t="str">
        <f aca="false">IF($A132="","",COUNTIFS(MVT_LOT,$A132,MVT_BRUT,"&lt;&gt;0"))</f>
        <v/>
      </c>
      <c r="T132" s="28" t="str">
        <f aca="false">IF($A132="","",COUNTIFS(QC_LOT,$A132))</f>
        <v/>
      </c>
      <c r="U132" s="26" t="str">
        <f aca="false">IF($A132="","",IF(COUNTIF($A$5:$A$204,$A132)&gt;1,IF(SUMPRODUCT(($A$5:$A$204=$A132)*(($B$5:$B$204&lt;&gt;$B132)+($C$5:$C$204&lt;&gt;$C132)))&gt;0,"INCOHERENCE","LOT EN DOUBLE"),"OK"))</f>
        <v/>
      </c>
    </row>
    <row r="133" customFormat="false" ht="15" hidden="false" customHeight="false" outlineLevel="0" collapsed="false">
      <c r="A133" s="24"/>
      <c r="B133" s="24"/>
      <c r="C133" s="24"/>
      <c r="D133" s="24"/>
      <c r="E133" s="24"/>
      <c r="F133" s="24"/>
      <c r="G133" s="24"/>
      <c r="H133" s="24"/>
      <c r="I133" s="24"/>
      <c r="J133" s="25"/>
      <c r="K133" s="24"/>
      <c r="L133" s="24"/>
      <c r="M133" s="26" t="str">
        <f aca="false">IF($A133="","",IF($K133&lt;&gt;"",$K133,IF(IFERROR(INDEX(RES_LOTSRC,MATCH($A133,RES_LOTEFF,0)),"")=$A133,"",IFERROR(INDEX(RES_LOTSRC,MATCH($A133,RES_LOTEFF,0)),""))))</f>
        <v/>
      </c>
      <c r="N133" s="26" t="str">
        <f aca="false">IF($A133="","",IF($B133&lt;&gt;"",$B133,IF($M133="","",IFERROR(INDEX($B$5:$B$204,MATCH($M133,$A$5:$A$204,0)),""))))</f>
        <v/>
      </c>
      <c r="O133" s="26" t="str">
        <f aca="false">IF($A133="","",IF($C133&lt;&gt;"",$C133,IF($M133="","",IFERROR(INDEX($C$5:$C$204,MATCH($M133,$A$5:$A$204,0)),""))))</f>
        <v/>
      </c>
      <c r="P133" s="26" t="str">
        <f aca="false">IF($A133="","",IF($D133&lt;&gt;"",$D133,IF($M133="","",IFERROR(INDEX($D$5:$D$204,MATCH($M133,$A$5:$A$204,0)),""))))</f>
        <v/>
      </c>
      <c r="Q133" s="26" t="str">
        <f aca="false">IF($A133="","",IF($G133&lt;&gt;"",$G133,IF($M133="","",IFERROR(INDEX($G$5:$G$204,MATCH($M133,$A$5:$A$204,0)),""))))</f>
        <v/>
      </c>
      <c r="R133" s="27" t="str">
        <f aca="false">IF($A133="","",SUMIFS(MVT_NET,MVT_LOT,$A133))</f>
        <v/>
      </c>
      <c r="S133" s="28" t="str">
        <f aca="false">IF($A133="","",COUNTIFS(MVT_LOT,$A133,MVT_BRUT,"&lt;&gt;0"))</f>
        <v/>
      </c>
      <c r="T133" s="28" t="str">
        <f aca="false">IF($A133="","",COUNTIFS(QC_LOT,$A133))</f>
        <v/>
      </c>
      <c r="U133" s="26" t="str">
        <f aca="false">IF($A133="","",IF(COUNTIF($A$5:$A$204,$A133)&gt;1,IF(SUMPRODUCT(($A$5:$A$204=$A133)*(($B$5:$B$204&lt;&gt;$B133)+($C$5:$C$204&lt;&gt;$C133)))&gt;0,"INCOHERENCE","LOT EN DOUBLE"),"OK"))</f>
        <v/>
      </c>
    </row>
    <row r="134" customFormat="false" ht="15" hidden="false" customHeight="false" outlineLevel="0" collapsed="false">
      <c r="A134" s="24"/>
      <c r="B134" s="24"/>
      <c r="C134" s="24"/>
      <c r="D134" s="24"/>
      <c r="E134" s="24"/>
      <c r="F134" s="24"/>
      <c r="G134" s="24"/>
      <c r="H134" s="24"/>
      <c r="I134" s="24"/>
      <c r="J134" s="25"/>
      <c r="K134" s="24"/>
      <c r="L134" s="24"/>
      <c r="M134" s="26" t="str">
        <f aca="false">IF($A134="","",IF($K134&lt;&gt;"",$K134,IF(IFERROR(INDEX(RES_LOTSRC,MATCH($A134,RES_LOTEFF,0)),"")=$A134,"",IFERROR(INDEX(RES_LOTSRC,MATCH($A134,RES_LOTEFF,0)),""))))</f>
        <v/>
      </c>
      <c r="N134" s="26" t="str">
        <f aca="false">IF($A134="","",IF($B134&lt;&gt;"",$B134,IF($M134="","",IFERROR(INDEX($B$5:$B$204,MATCH($M134,$A$5:$A$204,0)),""))))</f>
        <v/>
      </c>
      <c r="O134" s="26" t="str">
        <f aca="false">IF($A134="","",IF($C134&lt;&gt;"",$C134,IF($M134="","",IFERROR(INDEX($C$5:$C$204,MATCH($M134,$A$5:$A$204,0)),""))))</f>
        <v/>
      </c>
      <c r="P134" s="26" t="str">
        <f aca="false">IF($A134="","",IF($D134&lt;&gt;"",$D134,IF($M134="","",IFERROR(INDEX($D$5:$D$204,MATCH($M134,$A$5:$A$204,0)),""))))</f>
        <v/>
      </c>
      <c r="Q134" s="26" t="str">
        <f aca="false">IF($A134="","",IF($G134&lt;&gt;"",$G134,IF($M134="","",IFERROR(INDEX($G$5:$G$204,MATCH($M134,$A$5:$A$204,0)),""))))</f>
        <v/>
      </c>
      <c r="R134" s="27" t="str">
        <f aca="false">IF($A134="","",SUMIFS(MVT_NET,MVT_LOT,$A134))</f>
        <v/>
      </c>
      <c r="S134" s="28" t="str">
        <f aca="false">IF($A134="","",COUNTIFS(MVT_LOT,$A134,MVT_BRUT,"&lt;&gt;0"))</f>
        <v/>
      </c>
      <c r="T134" s="28" t="str">
        <f aca="false">IF($A134="","",COUNTIFS(QC_LOT,$A134))</f>
        <v/>
      </c>
      <c r="U134" s="26" t="str">
        <f aca="false">IF($A134="","",IF(COUNTIF($A$5:$A$204,$A134)&gt;1,IF(SUMPRODUCT(($A$5:$A$204=$A134)*(($B$5:$B$204&lt;&gt;$B134)+($C$5:$C$204&lt;&gt;$C134)))&gt;0,"INCOHERENCE","LOT EN DOUBLE"),"OK"))</f>
        <v/>
      </c>
    </row>
    <row r="135" customFormat="false" ht="15" hidden="false" customHeight="false" outlineLevel="0" collapsed="false">
      <c r="A135" s="24"/>
      <c r="B135" s="24"/>
      <c r="C135" s="24"/>
      <c r="D135" s="24"/>
      <c r="E135" s="24"/>
      <c r="F135" s="24"/>
      <c r="G135" s="24"/>
      <c r="H135" s="24"/>
      <c r="I135" s="24"/>
      <c r="J135" s="25"/>
      <c r="K135" s="24"/>
      <c r="L135" s="24"/>
      <c r="M135" s="26" t="str">
        <f aca="false">IF($A135="","",IF($K135&lt;&gt;"",$K135,IF(IFERROR(INDEX(RES_LOTSRC,MATCH($A135,RES_LOTEFF,0)),"")=$A135,"",IFERROR(INDEX(RES_LOTSRC,MATCH($A135,RES_LOTEFF,0)),""))))</f>
        <v/>
      </c>
      <c r="N135" s="26" t="str">
        <f aca="false">IF($A135="","",IF($B135&lt;&gt;"",$B135,IF($M135="","",IFERROR(INDEX($B$5:$B$204,MATCH($M135,$A$5:$A$204,0)),""))))</f>
        <v/>
      </c>
      <c r="O135" s="26" t="str">
        <f aca="false">IF($A135="","",IF($C135&lt;&gt;"",$C135,IF($M135="","",IFERROR(INDEX($C$5:$C$204,MATCH($M135,$A$5:$A$204,0)),""))))</f>
        <v/>
      </c>
      <c r="P135" s="26" t="str">
        <f aca="false">IF($A135="","",IF($D135&lt;&gt;"",$D135,IF($M135="","",IFERROR(INDEX($D$5:$D$204,MATCH($M135,$A$5:$A$204,0)),""))))</f>
        <v/>
      </c>
      <c r="Q135" s="26" t="str">
        <f aca="false">IF($A135="","",IF($G135&lt;&gt;"",$G135,IF($M135="","",IFERROR(INDEX($G$5:$G$204,MATCH($M135,$A$5:$A$204,0)),""))))</f>
        <v/>
      </c>
      <c r="R135" s="27" t="str">
        <f aca="false">IF($A135="","",SUMIFS(MVT_NET,MVT_LOT,$A135))</f>
        <v/>
      </c>
      <c r="S135" s="28" t="str">
        <f aca="false">IF($A135="","",COUNTIFS(MVT_LOT,$A135,MVT_BRUT,"&lt;&gt;0"))</f>
        <v/>
      </c>
      <c r="T135" s="28" t="str">
        <f aca="false">IF($A135="","",COUNTIFS(QC_LOT,$A135))</f>
        <v/>
      </c>
      <c r="U135" s="26" t="str">
        <f aca="false">IF($A135="","",IF(COUNTIF($A$5:$A$204,$A135)&gt;1,IF(SUMPRODUCT(($A$5:$A$204=$A135)*(($B$5:$B$204&lt;&gt;$B135)+($C$5:$C$204&lt;&gt;$C135)))&gt;0,"INCOHERENCE","LOT EN DOUBLE"),"OK"))</f>
        <v/>
      </c>
    </row>
    <row r="136" customFormat="false" ht="15" hidden="false" customHeight="false" outlineLevel="0" collapsed="false">
      <c r="A136" s="24"/>
      <c r="B136" s="24"/>
      <c r="C136" s="24"/>
      <c r="D136" s="24"/>
      <c r="E136" s="24"/>
      <c r="F136" s="24"/>
      <c r="G136" s="24"/>
      <c r="H136" s="24"/>
      <c r="I136" s="24"/>
      <c r="J136" s="25"/>
      <c r="K136" s="24"/>
      <c r="L136" s="24"/>
      <c r="M136" s="26" t="str">
        <f aca="false">IF($A136="","",IF($K136&lt;&gt;"",$K136,IF(IFERROR(INDEX(RES_LOTSRC,MATCH($A136,RES_LOTEFF,0)),"")=$A136,"",IFERROR(INDEX(RES_LOTSRC,MATCH($A136,RES_LOTEFF,0)),""))))</f>
        <v/>
      </c>
      <c r="N136" s="26" t="str">
        <f aca="false">IF($A136="","",IF($B136&lt;&gt;"",$B136,IF($M136="","",IFERROR(INDEX($B$5:$B$204,MATCH($M136,$A$5:$A$204,0)),""))))</f>
        <v/>
      </c>
      <c r="O136" s="26" t="str">
        <f aca="false">IF($A136="","",IF($C136&lt;&gt;"",$C136,IF($M136="","",IFERROR(INDEX($C$5:$C$204,MATCH($M136,$A$5:$A$204,0)),""))))</f>
        <v/>
      </c>
      <c r="P136" s="26" t="str">
        <f aca="false">IF($A136="","",IF($D136&lt;&gt;"",$D136,IF($M136="","",IFERROR(INDEX($D$5:$D$204,MATCH($M136,$A$5:$A$204,0)),""))))</f>
        <v/>
      </c>
      <c r="Q136" s="26" t="str">
        <f aca="false">IF($A136="","",IF($G136&lt;&gt;"",$G136,IF($M136="","",IFERROR(INDEX($G$5:$G$204,MATCH($M136,$A$5:$A$204,0)),""))))</f>
        <v/>
      </c>
      <c r="R136" s="27" t="str">
        <f aca="false">IF($A136="","",SUMIFS(MVT_NET,MVT_LOT,$A136))</f>
        <v/>
      </c>
      <c r="S136" s="28" t="str">
        <f aca="false">IF($A136="","",COUNTIFS(MVT_LOT,$A136,MVT_BRUT,"&lt;&gt;0"))</f>
        <v/>
      </c>
      <c r="T136" s="28" t="str">
        <f aca="false">IF($A136="","",COUNTIFS(QC_LOT,$A136))</f>
        <v/>
      </c>
      <c r="U136" s="26" t="str">
        <f aca="false">IF($A136="","",IF(COUNTIF($A$5:$A$204,$A136)&gt;1,IF(SUMPRODUCT(($A$5:$A$204=$A136)*(($B$5:$B$204&lt;&gt;$B136)+($C$5:$C$204&lt;&gt;$C136)))&gt;0,"INCOHERENCE","LOT EN DOUBLE"),"OK"))</f>
        <v/>
      </c>
    </row>
    <row r="137" customFormat="false" ht="15" hidden="false" customHeight="false" outlineLevel="0" collapsed="false">
      <c r="A137" s="24"/>
      <c r="B137" s="24"/>
      <c r="C137" s="24"/>
      <c r="D137" s="24"/>
      <c r="E137" s="24"/>
      <c r="F137" s="24"/>
      <c r="G137" s="24"/>
      <c r="H137" s="24"/>
      <c r="I137" s="24"/>
      <c r="J137" s="25"/>
      <c r="K137" s="24"/>
      <c r="L137" s="24"/>
      <c r="M137" s="26" t="str">
        <f aca="false">IF($A137="","",IF($K137&lt;&gt;"",$K137,IF(IFERROR(INDEX(RES_LOTSRC,MATCH($A137,RES_LOTEFF,0)),"")=$A137,"",IFERROR(INDEX(RES_LOTSRC,MATCH($A137,RES_LOTEFF,0)),""))))</f>
        <v/>
      </c>
      <c r="N137" s="26" t="str">
        <f aca="false">IF($A137="","",IF($B137&lt;&gt;"",$B137,IF($M137="","",IFERROR(INDEX($B$5:$B$204,MATCH($M137,$A$5:$A$204,0)),""))))</f>
        <v/>
      </c>
      <c r="O137" s="26" t="str">
        <f aca="false">IF($A137="","",IF($C137&lt;&gt;"",$C137,IF($M137="","",IFERROR(INDEX($C$5:$C$204,MATCH($M137,$A$5:$A$204,0)),""))))</f>
        <v/>
      </c>
      <c r="P137" s="26" t="str">
        <f aca="false">IF($A137="","",IF($D137&lt;&gt;"",$D137,IF($M137="","",IFERROR(INDEX($D$5:$D$204,MATCH($M137,$A$5:$A$204,0)),""))))</f>
        <v/>
      </c>
      <c r="Q137" s="26" t="str">
        <f aca="false">IF($A137="","",IF($G137&lt;&gt;"",$G137,IF($M137="","",IFERROR(INDEX($G$5:$G$204,MATCH($M137,$A$5:$A$204,0)),""))))</f>
        <v/>
      </c>
      <c r="R137" s="27" t="str">
        <f aca="false">IF($A137="","",SUMIFS(MVT_NET,MVT_LOT,$A137))</f>
        <v/>
      </c>
      <c r="S137" s="28" t="str">
        <f aca="false">IF($A137="","",COUNTIFS(MVT_LOT,$A137,MVT_BRUT,"&lt;&gt;0"))</f>
        <v/>
      </c>
      <c r="T137" s="28" t="str">
        <f aca="false">IF($A137="","",COUNTIFS(QC_LOT,$A137))</f>
        <v/>
      </c>
      <c r="U137" s="26" t="str">
        <f aca="false">IF($A137="","",IF(COUNTIF($A$5:$A$204,$A137)&gt;1,IF(SUMPRODUCT(($A$5:$A$204=$A137)*(($B$5:$B$204&lt;&gt;$B137)+($C$5:$C$204&lt;&gt;$C137)))&gt;0,"INCOHERENCE","LOT EN DOUBLE"),"OK"))</f>
        <v/>
      </c>
    </row>
    <row r="138" customFormat="false" ht="15" hidden="false" customHeight="false" outlineLevel="0" collapsed="false">
      <c r="A138" s="24"/>
      <c r="B138" s="24"/>
      <c r="C138" s="24"/>
      <c r="D138" s="24"/>
      <c r="E138" s="24"/>
      <c r="F138" s="24"/>
      <c r="G138" s="24"/>
      <c r="H138" s="24"/>
      <c r="I138" s="24"/>
      <c r="J138" s="25"/>
      <c r="K138" s="24"/>
      <c r="L138" s="24"/>
      <c r="M138" s="26" t="str">
        <f aca="false">IF($A138="","",IF($K138&lt;&gt;"",$K138,IF(IFERROR(INDEX(RES_LOTSRC,MATCH($A138,RES_LOTEFF,0)),"")=$A138,"",IFERROR(INDEX(RES_LOTSRC,MATCH($A138,RES_LOTEFF,0)),""))))</f>
        <v/>
      </c>
      <c r="N138" s="26" t="str">
        <f aca="false">IF($A138="","",IF($B138&lt;&gt;"",$B138,IF($M138="","",IFERROR(INDEX($B$5:$B$204,MATCH($M138,$A$5:$A$204,0)),""))))</f>
        <v/>
      </c>
      <c r="O138" s="26" t="str">
        <f aca="false">IF($A138="","",IF($C138&lt;&gt;"",$C138,IF($M138="","",IFERROR(INDEX($C$5:$C$204,MATCH($M138,$A$5:$A$204,0)),""))))</f>
        <v/>
      </c>
      <c r="P138" s="26" t="str">
        <f aca="false">IF($A138="","",IF($D138&lt;&gt;"",$D138,IF($M138="","",IFERROR(INDEX($D$5:$D$204,MATCH($M138,$A$5:$A$204,0)),""))))</f>
        <v/>
      </c>
      <c r="Q138" s="26" t="str">
        <f aca="false">IF($A138="","",IF($G138&lt;&gt;"",$G138,IF($M138="","",IFERROR(INDEX($G$5:$G$204,MATCH($M138,$A$5:$A$204,0)),""))))</f>
        <v/>
      </c>
      <c r="R138" s="27" t="str">
        <f aca="false">IF($A138="","",SUMIFS(MVT_NET,MVT_LOT,$A138))</f>
        <v/>
      </c>
      <c r="S138" s="28" t="str">
        <f aca="false">IF($A138="","",COUNTIFS(MVT_LOT,$A138,MVT_BRUT,"&lt;&gt;0"))</f>
        <v/>
      </c>
      <c r="T138" s="28" t="str">
        <f aca="false">IF($A138="","",COUNTIFS(QC_LOT,$A138))</f>
        <v/>
      </c>
      <c r="U138" s="26" t="str">
        <f aca="false">IF($A138="","",IF(COUNTIF($A$5:$A$204,$A138)&gt;1,IF(SUMPRODUCT(($A$5:$A$204=$A138)*(($B$5:$B$204&lt;&gt;$B138)+($C$5:$C$204&lt;&gt;$C138)))&gt;0,"INCOHERENCE","LOT EN DOUBLE"),"OK"))</f>
        <v/>
      </c>
    </row>
    <row r="139" customFormat="false" ht="15" hidden="false" customHeight="false" outlineLevel="0" collapsed="false">
      <c r="A139" s="24"/>
      <c r="B139" s="24"/>
      <c r="C139" s="24"/>
      <c r="D139" s="24"/>
      <c r="E139" s="24"/>
      <c r="F139" s="24"/>
      <c r="G139" s="24"/>
      <c r="H139" s="24"/>
      <c r="I139" s="24"/>
      <c r="J139" s="25"/>
      <c r="K139" s="24"/>
      <c r="L139" s="24"/>
      <c r="M139" s="26" t="str">
        <f aca="false">IF($A139="","",IF($K139&lt;&gt;"",$K139,IF(IFERROR(INDEX(RES_LOTSRC,MATCH($A139,RES_LOTEFF,0)),"")=$A139,"",IFERROR(INDEX(RES_LOTSRC,MATCH($A139,RES_LOTEFF,0)),""))))</f>
        <v/>
      </c>
      <c r="N139" s="26" t="str">
        <f aca="false">IF($A139="","",IF($B139&lt;&gt;"",$B139,IF($M139="","",IFERROR(INDEX($B$5:$B$204,MATCH($M139,$A$5:$A$204,0)),""))))</f>
        <v/>
      </c>
      <c r="O139" s="26" t="str">
        <f aca="false">IF($A139="","",IF($C139&lt;&gt;"",$C139,IF($M139="","",IFERROR(INDEX($C$5:$C$204,MATCH($M139,$A$5:$A$204,0)),""))))</f>
        <v/>
      </c>
      <c r="P139" s="26" t="str">
        <f aca="false">IF($A139="","",IF($D139&lt;&gt;"",$D139,IF($M139="","",IFERROR(INDEX($D$5:$D$204,MATCH($M139,$A$5:$A$204,0)),""))))</f>
        <v/>
      </c>
      <c r="Q139" s="26" t="str">
        <f aca="false">IF($A139="","",IF($G139&lt;&gt;"",$G139,IF($M139="","",IFERROR(INDEX($G$5:$G$204,MATCH($M139,$A$5:$A$204,0)),""))))</f>
        <v/>
      </c>
      <c r="R139" s="27" t="str">
        <f aca="false">IF($A139="","",SUMIFS(MVT_NET,MVT_LOT,$A139))</f>
        <v/>
      </c>
      <c r="S139" s="28" t="str">
        <f aca="false">IF($A139="","",COUNTIFS(MVT_LOT,$A139,MVT_BRUT,"&lt;&gt;0"))</f>
        <v/>
      </c>
      <c r="T139" s="28" t="str">
        <f aca="false">IF($A139="","",COUNTIFS(QC_LOT,$A139))</f>
        <v/>
      </c>
      <c r="U139" s="26" t="str">
        <f aca="false">IF($A139="","",IF(COUNTIF($A$5:$A$204,$A139)&gt;1,IF(SUMPRODUCT(($A$5:$A$204=$A139)*(($B$5:$B$204&lt;&gt;$B139)+($C$5:$C$204&lt;&gt;$C139)))&gt;0,"INCOHERENCE","LOT EN DOUBLE"),"OK"))</f>
        <v/>
      </c>
    </row>
    <row r="140" customFormat="false" ht="15" hidden="false" customHeight="false" outlineLevel="0" collapsed="false">
      <c r="A140" s="24"/>
      <c r="B140" s="24"/>
      <c r="C140" s="24"/>
      <c r="D140" s="24"/>
      <c r="E140" s="24"/>
      <c r="F140" s="24"/>
      <c r="G140" s="24"/>
      <c r="H140" s="24"/>
      <c r="I140" s="24"/>
      <c r="J140" s="25"/>
      <c r="K140" s="24"/>
      <c r="L140" s="24"/>
      <c r="M140" s="26" t="str">
        <f aca="false">IF($A140="","",IF($K140&lt;&gt;"",$K140,IF(IFERROR(INDEX(RES_LOTSRC,MATCH($A140,RES_LOTEFF,0)),"")=$A140,"",IFERROR(INDEX(RES_LOTSRC,MATCH($A140,RES_LOTEFF,0)),""))))</f>
        <v/>
      </c>
      <c r="N140" s="26" t="str">
        <f aca="false">IF($A140="","",IF($B140&lt;&gt;"",$B140,IF($M140="","",IFERROR(INDEX($B$5:$B$204,MATCH($M140,$A$5:$A$204,0)),""))))</f>
        <v/>
      </c>
      <c r="O140" s="26" t="str">
        <f aca="false">IF($A140="","",IF($C140&lt;&gt;"",$C140,IF($M140="","",IFERROR(INDEX($C$5:$C$204,MATCH($M140,$A$5:$A$204,0)),""))))</f>
        <v/>
      </c>
      <c r="P140" s="26" t="str">
        <f aca="false">IF($A140="","",IF($D140&lt;&gt;"",$D140,IF($M140="","",IFERROR(INDEX($D$5:$D$204,MATCH($M140,$A$5:$A$204,0)),""))))</f>
        <v/>
      </c>
      <c r="Q140" s="26" t="str">
        <f aca="false">IF($A140="","",IF($G140&lt;&gt;"",$G140,IF($M140="","",IFERROR(INDEX($G$5:$G$204,MATCH($M140,$A$5:$A$204,0)),""))))</f>
        <v/>
      </c>
      <c r="R140" s="27" t="str">
        <f aca="false">IF($A140="","",SUMIFS(MVT_NET,MVT_LOT,$A140))</f>
        <v/>
      </c>
      <c r="S140" s="28" t="str">
        <f aca="false">IF($A140="","",COUNTIFS(MVT_LOT,$A140,MVT_BRUT,"&lt;&gt;0"))</f>
        <v/>
      </c>
      <c r="T140" s="28" t="str">
        <f aca="false">IF($A140="","",COUNTIFS(QC_LOT,$A140))</f>
        <v/>
      </c>
      <c r="U140" s="26" t="str">
        <f aca="false">IF($A140="","",IF(COUNTIF($A$5:$A$204,$A140)&gt;1,IF(SUMPRODUCT(($A$5:$A$204=$A140)*(($B$5:$B$204&lt;&gt;$B140)+($C$5:$C$204&lt;&gt;$C140)))&gt;0,"INCOHERENCE","LOT EN DOUBLE"),"OK"))</f>
        <v/>
      </c>
    </row>
    <row r="141" customFormat="false" ht="15" hidden="false" customHeight="false" outlineLevel="0" collapsed="false">
      <c r="A141" s="24"/>
      <c r="B141" s="24"/>
      <c r="C141" s="24"/>
      <c r="D141" s="24"/>
      <c r="E141" s="24"/>
      <c r="F141" s="24"/>
      <c r="G141" s="24"/>
      <c r="H141" s="24"/>
      <c r="I141" s="24"/>
      <c r="J141" s="25"/>
      <c r="K141" s="24"/>
      <c r="L141" s="24"/>
      <c r="M141" s="26" t="str">
        <f aca="false">IF($A141="","",IF($K141&lt;&gt;"",$K141,IF(IFERROR(INDEX(RES_LOTSRC,MATCH($A141,RES_LOTEFF,0)),"")=$A141,"",IFERROR(INDEX(RES_LOTSRC,MATCH($A141,RES_LOTEFF,0)),""))))</f>
        <v/>
      </c>
      <c r="N141" s="26" t="str">
        <f aca="false">IF($A141="","",IF($B141&lt;&gt;"",$B141,IF($M141="","",IFERROR(INDEX($B$5:$B$204,MATCH($M141,$A$5:$A$204,0)),""))))</f>
        <v/>
      </c>
      <c r="O141" s="26" t="str">
        <f aca="false">IF($A141="","",IF($C141&lt;&gt;"",$C141,IF($M141="","",IFERROR(INDEX($C$5:$C$204,MATCH($M141,$A$5:$A$204,0)),""))))</f>
        <v/>
      </c>
      <c r="P141" s="26" t="str">
        <f aca="false">IF($A141="","",IF($D141&lt;&gt;"",$D141,IF($M141="","",IFERROR(INDEX($D$5:$D$204,MATCH($M141,$A$5:$A$204,0)),""))))</f>
        <v/>
      </c>
      <c r="Q141" s="26" t="str">
        <f aca="false">IF($A141="","",IF($G141&lt;&gt;"",$G141,IF($M141="","",IFERROR(INDEX($G$5:$G$204,MATCH($M141,$A$5:$A$204,0)),""))))</f>
        <v/>
      </c>
      <c r="R141" s="27" t="str">
        <f aca="false">IF($A141="","",SUMIFS(MVT_NET,MVT_LOT,$A141))</f>
        <v/>
      </c>
      <c r="S141" s="28" t="str">
        <f aca="false">IF($A141="","",COUNTIFS(MVT_LOT,$A141,MVT_BRUT,"&lt;&gt;0"))</f>
        <v/>
      </c>
      <c r="T141" s="28" t="str">
        <f aca="false">IF($A141="","",COUNTIFS(QC_LOT,$A141))</f>
        <v/>
      </c>
      <c r="U141" s="26" t="str">
        <f aca="false">IF($A141="","",IF(COUNTIF($A$5:$A$204,$A141)&gt;1,IF(SUMPRODUCT(($A$5:$A$204=$A141)*(($B$5:$B$204&lt;&gt;$B141)+($C$5:$C$204&lt;&gt;$C141)))&gt;0,"INCOHERENCE","LOT EN DOUBLE"),"OK"))</f>
        <v/>
      </c>
    </row>
    <row r="142" customFormat="false" ht="15" hidden="false" customHeight="false" outlineLevel="0" collapsed="false">
      <c r="A142" s="24"/>
      <c r="B142" s="24"/>
      <c r="C142" s="24"/>
      <c r="D142" s="24"/>
      <c r="E142" s="24"/>
      <c r="F142" s="24"/>
      <c r="G142" s="24"/>
      <c r="H142" s="24"/>
      <c r="I142" s="24"/>
      <c r="J142" s="25"/>
      <c r="K142" s="24"/>
      <c r="L142" s="24"/>
      <c r="M142" s="26" t="str">
        <f aca="false">IF($A142="","",IF($K142&lt;&gt;"",$K142,IF(IFERROR(INDEX(RES_LOTSRC,MATCH($A142,RES_LOTEFF,0)),"")=$A142,"",IFERROR(INDEX(RES_LOTSRC,MATCH($A142,RES_LOTEFF,0)),""))))</f>
        <v/>
      </c>
      <c r="N142" s="26" t="str">
        <f aca="false">IF($A142="","",IF($B142&lt;&gt;"",$B142,IF($M142="","",IFERROR(INDEX($B$5:$B$204,MATCH($M142,$A$5:$A$204,0)),""))))</f>
        <v/>
      </c>
      <c r="O142" s="26" t="str">
        <f aca="false">IF($A142="","",IF($C142&lt;&gt;"",$C142,IF($M142="","",IFERROR(INDEX($C$5:$C$204,MATCH($M142,$A$5:$A$204,0)),""))))</f>
        <v/>
      </c>
      <c r="P142" s="26" t="str">
        <f aca="false">IF($A142="","",IF($D142&lt;&gt;"",$D142,IF($M142="","",IFERROR(INDEX($D$5:$D$204,MATCH($M142,$A$5:$A$204,0)),""))))</f>
        <v/>
      </c>
      <c r="Q142" s="26" t="str">
        <f aca="false">IF($A142="","",IF($G142&lt;&gt;"",$G142,IF($M142="","",IFERROR(INDEX($G$5:$G$204,MATCH($M142,$A$5:$A$204,0)),""))))</f>
        <v/>
      </c>
      <c r="R142" s="27" t="str">
        <f aca="false">IF($A142="","",SUMIFS(MVT_NET,MVT_LOT,$A142))</f>
        <v/>
      </c>
      <c r="S142" s="28" t="str">
        <f aca="false">IF($A142="","",COUNTIFS(MVT_LOT,$A142,MVT_BRUT,"&lt;&gt;0"))</f>
        <v/>
      </c>
      <c r="T142" s="28" t="str">
        <f aca="false">IF($A142="","",COUNTIFS(QC_LOT,$A142))</f>
        <v/>
      </c>
      <c r="U142" s="26" t="str">
        <f aca="false">IF($A142="","",IF(COUNTIF($A$5:$A$204,$A142)&gt;1,IF(SUMPRODUCT(($A$5:$A$204=$A142)*(($B$5:$B$204&lt;&gt;$B142)+($C$5:$C$204&lt;&gt;$C142)))&gt;0,"INCOHERENCE","LOT EN DOUBLE"),"OK"))</f>
        <v/>
      </c>
    </row>
    <row r="143" customFormat="false" ht="15" hidden="false" customHeight="false" outlineLevel="0" collapsed="false">
      <c r="A143" s="24"/>
      <c r="B143" s="24"/>
      <c r="C143" s="24"/>
      <c r="D143" s="24"/>
      <c r="E143" s="24"/>
      <c r="F143" s="24"/>
      <c r="G143" s="24"/>
      <c r="H143" s="24"/>
      <c r="I143" s="24"/>
      <c r="J143" s="25"/>
      <c r="K143" s="24"/>
      <c r="L143" s="24"/>
      <c r="M143" s="26" t="str">
        <f aca="false">IF($A143="","",IF($K143&lt;&gt;"",$K143,IF(IFERROR(INDEX(RES_LOTSRC,MATCH($A143,RES_LOTEFF,0)),"")=$A143,"",IFERROR(INDEX(RES_LOTSRC,MATCH($A143,RES_LOTEFF,0)),""))))</f>
        <v/>
      </c>
      <c r="N143" s="26" t="str">
        <f aca="false">IF($A143="","",IF($B143&lt;&gt;"",$B143,IF($M143="","",IFERROR(INDEX($B$5:$B$204,MATCH($M143,$A$5:$A$204,0)),""))))</f>
        <v/>
      </c>
      <c r="O143" s="26" t="str">
        <f aca="false">IF($A143="","",IF($C143&lt;&gt;"",$C143,IF($M143="","",IFERROR(INDEX($C$5:$C$204,MATCH($M143,$A$5:$A$204,0)),""))))</f>
        <v/>
      </c>
      <c r="P143" s="26" t="str">
        <f aca="false">IF($A143="","",IF($D143&lt;&gt;"",$D143,IF($M143="","",IFERROR(INDEX($D$5:$D$204,MATCH($M143,$A$5:$A$204,0)),""))))</f>
        <v/>
      </c>
      <c r="Q143" s="26" t="str">
        <f aca="false">IF($A143="","",IF($G143&lt;&gt;"",$G143,IF($M143="","",IFERROR(INDEX($G$5:$G$204,MATCH($M143,$A$5:$A$204,0)),""))))</f>
        <v/>
      </c>
      <c r="R143" s="27" t="str">
        <f aca="false">IF($A143="","",SUMIFS(MVT_NET,MVT_LOT,$A143))</f>
        <v/>
      </c>
      <c r="S143" s="28" t="str">
        <f aca="false">IF($A143="","",COUNTIFS(MVT_LOT,$A143,MVT_BRUT,"&lt;&gt;0"))</f>
        <v/>
      </c>
      <c r="T143" s="28" t="str">
        <f aca="false">IF($A143="","",COUNTIFS(QC_LOT,$A143))</f>
        <v/>
      </c>
      <c r="U143" s="26" t="str">
        <f aca="false">IF($A143="","",IF(COUNTIF($A$5:$A$204,$A143)&gt;1,IF(SUMPRODUCT(($A$5:$A$204=$A143)*(($B$5:$B$204&lt;&gt;$B143)+($C$5:$C$204&lt;&gt;$C143)))&gt;0,"INCOHERENCE","LOT EN DOUBLE"),"OK"))</f>
        <v/>
      </c>
    </row>
    <row r="144" customFormat="false" ht="15" hidden="false" customHeight="false" outlineLevel="0" collapsed="false">
      <c r="A144" s="24"/>
      <c r="B144" s="24"/>
      <c r="C144" s="24"/>
      <c r="D144" s="24"/>
      <c r="E144" s="24"/>
      <c r="F144" s="24"/>
      <c r="G144" s="24"/>
      <c r="H144" s="24"/>
      <c r="I144" s="24"/>
      <c r="J144" s="25"/>
      <c r="K144" s="24"/>
      <c r="L144" s="24"/>
      <c r="M144" s="26" t="str">
        <f aca="false">IF($A144="","",IF($K144&lt;&gt;"",$K144,IF(IFERROR(INDEX(RES_LOTSRC,MATCH($A144,RES_LOTEFF,0)),"")=$A144,"",IFERROR(INDEX(RES_LOTSRC,MATCH($A144,RES_LOTEFF,0)),""))))</f>
        <v/>
      </c>
      <c r="N144" s="26" t="str">
        <f aca="false">IF($A144="","",IF($B144&lt;&gt;"",$B144,IF($M144="","",IFERROR(INDEX($B$5:$B$204,MATCH($M144,$A$5:$A$204,0)),""))))</f>
        <v/>
      </c>
      <c r="O144" s="26" t="str">
        <f aca="false">IF($A144="","",IF($C144&lt;&gt;"",$C144,IF($M144="","",IFERROR(INDEX($C$5:$C$204,MATCH($M144,$A$5:$A$204,0)),""))))</f>
        <v/>
      </c>
      <c r="P144" s="26" t="str">
        <f aca="false">IF($A144="","",IF($D144&lt;&gt;"",$D144,IF($M144="","",IFERROR(INDEX($D$5:$D$204,MATCH($M144,$A$5:$A$204,0)),""))))</f>
        <v/>
      </c>
      <c r="Q144" s="26" t="str">
        <f aca="false">IF($A144="","",IF($G144&lt;&gt;"",$G144,IF($M144="","",IFERROR(INDEX($G$5:$G$204,MATCH($M144,$A$5:$A$204,0)),""))))</f>
        <v/>
      </c>
      <c r="R144" s="27" t="str">
        <f aca="false">IF($A144="","",SUMIFS(MVT_NET,MVT_LOT,$A144))</f>
        <v/>
      </c>
      <c r="S144" s="28" t="str">
        <f aca="false">IF($A144="","",COUNTIFS(MVT_LOT,$A144,MVT_BRUT,"&lt;&gt;0"))</f>
        <v/>
      </c>
      <c r="T144" s="28" t="str">
        <f aca="false">IF($A144="","",COUNTIFS(QC_LOT,$A144))</f>
        <v/>
      </c>
      <c r="U144" s="26" t="str">
        <f aca="false">IF($A144="","",IF(COUNTIF($A$5:$A$204,$A144)&gt;1,IF(SUMPRODUCT(($A$5:$A$204=$A144)*(($B$5:$B$204&lt;&gt;$B144)+($C$5:$C$204&lt;&gt;$C144)))&gt;0,"INCOHERENCE","LOT EN DOUBLE"),"OK"))</f>
        <v/>
      </c>
    </row>
    <row r="145" customFormat="false" ht="15" hidden="false" customHeight="false" outlineLevel="0" collapsed="false">
      <c r="A145" s="24"/>
      <c r="B145" s="24"/>
      <c r="C145" s="24"/>
      <c r="D145" s="24"/>
      <c r="E145" s="24"/>
      <c r="F145" s="24"/>
      <c r="G145" s="24"/>
      <c r="H145" s="24"/>
      <c r="I145" s="24"/>
      <c r="J145" s="25"/>
      <c r="K145" s="24"/>
      <c r="L145" s="24"/>
      <c r="M145" s="26" t="str">
        <f aca="false">IF($A145="","",IF($K145&lt;&gt;"",$K145,IF(IFERROR(INDEX(RES_LOTSRC,MATCH($A145,RES_LOTEFF,0)),"")=$A145,"",IFERROR(INDEX(RES_LOTSRC,MATCH($A145,RES_LOTEFF,0)),""))))</f>
        <v/>
      </c>
      <c r="N145" s="26" t="str">
        <f aca="false">IF($A145="","",IF($B145&lt;&gt;"",$B145,IF($M145="","",IFERROR(INDEX($B$5:$B$204,MATCH($M145,$A$5:$A$204,0)),""))))</f>
        <v/>
      </c>
      <c r="O145" s="26" t="str">
        <f aca="false">IF($A145="","",IF($C145&lt;&gt;"",$C145,IF($M145="","",IFERROR(INDEX($C$5:$C$204,MATCH($M145,$A$5:$A$204,0)),""))))</f>
        <v/>
      </c>
      <c r="P145" s="26" t="str">
        <f aca="false">IF($A145="","",IF($D145&lt;&gt;"",$D145,IF($M145="","",IFERROR(INDEX($D$5:$D$204,MATCH($M145,$A$5:$A$204,0)),""))))</f>
        <v/>
      </c>
      <c r="Q145" s="26" t="str">
        <f aca="false">IF($A145="","",IF($G145&lt;&gt;"",$G145,IF($M145="","",IFERROR(INDEX($G$5:$G$204,MATCH($M145,$A$5:$A$204,0)),""))))</f>
        <v/>
      </c>
      <c r="R145" s="27" t="str">
        <f aca="false">IF($A145="","",SUMIFS(MVT_NET,MVT_LOT,$A145))</f>
        <v/>
      </c>
      <c r="S145" s="28" t="str">
        <f aca="false">IF($A145="","",COUNTIFS(MVT_LOT,$A145,MVT_BRUT,"&lt;&gt;0"))</f>
        <v/>
      </c>
      <c r="T145" s="28" t="str">
        <f aca="false">IF($A145="","",COUNTIFS(QC_LOT,$A145))</f>
        <v/>
      </c>
      <c r="U145" s="26" t="str">
        <f aca="false">IF($A145="","",IF(COUNTIF($A$5:$A$204,$A145)&gt;1,IF(SUMPRODUCT(($A$5:$A$204=$A145)*(($B$5:$B$204&lt;&gt;$B145)+($C$5:$C$204&lt;&gt;$C145)))&gt;0,"INCOHERENCE","LOT EN DOUBLE"),"OK"))</f>
        <v/>
      </c>
    </row>
    <row r="146" customFormat="false" ht="15" hidden="false" customHeight="false" outlineLevel="0" collapsed="false">
      <c r="A146" s="24"/>
      <c r="B146" s="24"/>
      <c r="C146" s="24"/>
      <c r="D146" s="24"/>
      <c r="E146" s="24"/>
      <c r="F146" s="24"/>
      <c r="G146" s="24"/>
      <c r="H146" s="24"/>
      <c r="I146" s="24"/>
      <c r="J146" s="25"/>
      <c r="K146" s="24"/>
      <c r="L146" s="24"/>
      <c r="M146" s="26" t="str">
        <f aca="false">IF($A146="","",IF($K146&lt;&gt;"",$K146,IF(IFERROR(INDEX(RES_LOTSRC,MATCH($A146,RES_LOTEFF,0)),"")=$A146,"",IFERROR(INDEX(RES_LOTSRC,MATCH($A146,RES_LOTEFF,0)),""))))</f>
        <v/>
      </c>
      <c r="N146" s="26" t="str">
        <f aca="false">IF($A146="","",IF($B146&lt;&gt;"",$B146,IF($M146="","",IFERROR(INDEX($B$5:$B$204,MATCH($M146,$A$5:$A$204,0)),""))))</f>
        <v/>
      </c>
      <c r="O146" s="26" t="str">
        <f aca="false">IF($A146="","",IF($C146&lt;&gt;"",$C146,IF($M146="","",IFERROR(INDEX($C$5:$C$204,MATCH($M146,$A$5:$A$204,0)),""))))</f>
        <v/>
      </c>
      <c r="P146" s="26" t="str">
        <f aca="false">IF($A146="","",IF($D146&lt;&gt;"",$D146,IF($M146="","",IFERROR(INDEX($D$5:$D$204,MATCH($M146,$A$5:$A$204,0)),""))))</f>
        <v/>
      </c>
      <c r="Q146" s="26" t="str">
        <f aca="false">IF($A146="","",IF($G146&lt;&gt;"",$G146,IF($M146="","",IFERROR(INDEX($G$5:$G$204,MATCH($M146,$A$5:$A$204,0)),""))))</f>
        <v/>
      </c>
      <c r="R146" s="27" t="str">
        <f aca="false">IF($A146="","",SUMIFS(MVT_NET,MVT_LOT,$A146))</f>
        <v/>
      </c>
      <c r="S146" s="28" t="str">
        <f aca="false">IF($A146="","",COUNTIFS(MVT_LOT,$A146,MVT_BRUT,"&lt;&gt;0"))</f>
        <v/>
      </c>
      <c r="T146" s="28" t="str">
        <f aca="false">IF($A146="","",COUNTIFS(QC_LOT,$A146))</f>
        <v/>
      </c>
      <c r="U146" s="26" t="str">
        <f aca="false">IF($A146="","",IF(COUNTIF($A$5:$A$204,$A146)&gt;1,IF(SUMPRODUCT(($A$5:$A$204=$A146)*(($B$5:$B$204&lt;&gt;$B146)+($C$5:$C$204&lt;&gt;$C146)))&gt;0,"INCOHERENCE","LOT EN DOUBLE"),"OK"))</f>
        <v/>
      </c>
    </row>
    <row r="147" customFormat="false" ht="15" hidden="false" customHeight="false" outlineLevel="0" collapsed="false">
      <c r="A147" s="24"/>
      <c r="B147" s="24"/>
      <c r="C147" s="24"/>
      <c r="D147" s="24"/>
      <c r="E147" s="24"/>
      <c r="F147" s="24"/>
      <c r="G147" s="24"/>
      <c r="H147" s="24"/>
      <c r="I147" s="24"/>
      <c r="J147" s="25"/>
      <c r="K147" s="24"/>
      <c r="L147" s="24"/>
      <c r="M147" s="26" t="str">
        <f aca="false">IF($A147="","",IF($K147&lt;&gt;"",$K147,IF(IFERROR(INDEX(RES_LOTSRC,MATCH($A147,RES_LOTEFF,0)),"")=$A147,"",IFERROR(INDEX(RES_LOTSRC,MATCH($A147,RES_LOTEFF,0)),""))))</f>
        <v/>
      </c>
      <c r="N147" s="26" t="str">
        <f aca="false">IF($A147="","",IF($B147&lt;&gt;"",$B147,IF($M147="","",IFERROR(INDEX($B$5:$B$204,MATCH($M147,$A$5:$A$204,0)),""))))</f>
        <v/>
      </c>
      <c r="O147" s="26" t="str">
        <f aca="false">IF($A147="","",IF($C147&lt;&gt;"",$C147,IF($M147="","",IFERROR(INDEX($C$5:$C$204,MATCH($M147,$A$5:$A$204,0)),""))))</f>
        <v/>
      </c>
      <c r="P147" s="26" t="str">
        <f aca="false">IF($A147="","",IF($D147&lt;&gt;"",$D147,IF($M147="","",IFERROR(INDEX($D$5:$D$204,MATCH($M147,$A$5:$A$204,0)),""))))</f>
        <v/>
      </c>
      <c r="Q147" s="26" t="str">
        <f aca="false">IF($A147="","",IF($G147&lt;&gt;"",$G147,IF($M147="","",IFERROR(INDEX($G$5:$G$204,MATCH($M147,$A$5:$A$204,0)),""))))</f>
        <v/>
      </c>
      <c r="R147" s="27" t="str">
        <f aca="false">IF($A147="","",SUMIFS(MVT_NET,MVT_LOT,$A147))</f>
        <v/>
      </c>
      <c r="S147" s="28" t="str">
        <f aca="false">IF($A147="","",COUNTIFS(MVT_LOT,$A147,MVT_BRUT,"&lt;&gt;0"))</f>
        <v/>
      </c>
      <c r="T147" s="28" t="str">
        <f aca="false">IF($A147="","",COUNTIFS(QC_LOT,$A147))</f>
        <v/>
      </c>
      <c r="U147" s="26" t="str">
        <f aca="false">IF($A147="","",IF(COUNTIF($A$5:$A$204,$A147)&gt;1,IF(SUMPRODUCT(($A$5:$A$204=$A147)*(($B$5:$B$204&lt;&gt;$B147)+($C$5:$C$204&lt;&gt;$C147)))&gt;0,"INCOHERENCE","LOT EN DOUBLE"),"OK"))</f>
        <v/>
      </c>
    </row>
    <row r="148" customFormat="false" ht="15" hidden="false" customHeight="false" outlineLevel="0" collapsed="false">
      <c r="A148" s="24"/>
      <c r="B148" s="24"/>
      <c r="C148" s="24"/>
      <c r="D148" s="24"/>
      <c r="E148" s="24"/>
      <c r="F148" s="24"/>
      <c r="G148" s="24"/>
      <c r="H148" s="24"/>
      <c r="I148" s="24"/>
      <c r="J148" s="25"/>
      <c r="K148" s="24"/>
      <c r="L148" s="24"/>
      <c r="M148" s="26" t="str">
        <f aca="false">IF($A148="","",IF($K148&lt;&gt;"",$K148,IF(IFERROR(INDEX(RES_LOTSRC,MATCH($A148,RES_LOTEFF,0)),"")=$A148,"",IFERROR(INDEX(RES_LOTSRC,MATCH($A148,RES_LOTEFF,0)),""))))</f>
        <v/>
      </c>
      <c r="N148" s="26" t="str">
        <f aca="false">IF($A148="","",IF($B148&lt;&gt;"",$B148,IF($M148="","",IFERROR(INDEX($B$5:$B$204,MATCH($M148,$A$5:$A$204,0)),""))))</f>
        <v/>
      </c>
      <c r="O148" s="26" t="str">
        <f aca="false">IF($A148="","",IF($C148&lt;&gt;"",$C148,IF($M148="","",IFERROR(INDEX($C$5:$C$204,MATCH($M148,$A$5:$A$204,0)),""))))</f>
        <v/>
      </c>
      <c r="P148" s="26" t="str">
        <f aca="false">IF($A148="","",IF($D148&lt;&gt;"",$D148,IF($M148="","",IFERROR(INDEX($D$5:$D$204,MATCH($M148,$A$5:$A$204,0)),""))))</f>
        <v/>
      </c>
      <c r="Q148" s="26" t="str">
        <f aca="false">IF($A148="","",IF($G148&lt;&gt;"",$G148,IF($M148="","",IFERROR(INDEX($G$5:$G$204,MATCH($M148,$A$5:$A$204,0)),""))))</f>
        <v/>
      </c>
      <c r="R148" s="27" t="str">
        <f aca="false">IF($A148="","",SUMIFS(MVT_NET,MVT_LOT,$A148))</f>
        <v/>
      </c>
      <c r="S148" s="28" t="str">
        <f aca="false">IF($A148="","",COUNTIFS(MVT_LOT,$A148,MVT_BRUT,"&lt;&gt;0"))</f>
        <v/>
      </c>
      <c r="T148" s="28" t="str">
        <f aca="false">IF($A148="","",COUNTIFS(QC_LOT,$A148))</f>
        <v/>
      </c>
      <c r="U148" s="26" t="str">
        <f aca="false">IF($A148="","",IF(COUNTIF($A$5:$A$204,$A148)&gt;1,IF(SUMPRODUCT(($A$5:$A$204=$A148)*(($B$5:$B$204&lt;&gt;$B148)+($C$5:$C$204&lt;&gt;$C148)))&gt;0,"INCOHERENCE","LOT EN DOUBLE"),"OK"))</f>
        <v/>
      </c>
    </row>
    <row r="149" customFormat="false" ht="15" hidden="false" customHeight="false" outlineLevel="0" collapsed="false">
      <c r="A149" s="24"/>
      <c r="B149" s="24"/>
      <c r="C149" s="24"/>
      <c r="D149" s="24"/>
      <c r="E149" s="24"/>
      <c r="F149" s="24"/>
      <c r="G149" s="24"/>
      <c r="H149" s="24"/>
      <c r="I149" s="24"/>
      <c r="J149" s="25"/>
      <c r="K149" s="24"/>
      <c r="L149" s="24"/>
      <c r="M149" s="26" t="str">
        <f aca="false">IF($A149="","",IF($K149&lt;&gt;"",$K149,IF(IFERROR(INDEX(RES_LOTSRC,MATCH($A149,RES_LOTEFF,0)),"")=$A149,"",IFERROR(INDEX(RES_LOTSRC,MATCH($A149,RES_LOTEFF,0)),""))))</f>
        <v/>
      </c>
      <c r="N149" s="26" t="str">
        <f aca="false">IF($A149="","",IF($B149&lt;&gt;"",$B149,IF($M149="","",IFERROR(INDEX($B$5:$B$204,MATCH($M149,$A$5:$A$204,0)),""))))</f>
        <v/>
      </c>
      <c r="O149" s="26" t="str">
        <f aca="false">IF($A149="","",IF($C149&lt;&gt;"",$C149,IF($M149="","",IFERROR(INDEX($C$5:$C$204,MATCH($M149,$A$5:$A$204,0)),""))))</f>
        <v/>
      </c>
      <c r="P149" s="26" t="str">
        <f aca="false">IF($A149="","",IF($D149&lt;&gt;"",$D149,IF($M149="","",IFERROR(INDEX($D$5:$D$204,MATCH($M149,$A$5:$A$204,0)),""))))</f>
        <v/>
      </c>
      <c r="Q149" s="26" t="str">
        <f aca="false">IF($A149="","",IF($G149&lt;&gt;"",$G149,IF($M149="","",IFERROR(INDEX($G$5:$G$204,MATCH($M149,$A$5:$A$204,0)),""))))</f>
        <v/>
      </c>
      <c r="R149" s="27" t="str">
        <f aca="false">IF($A149="","",SUMIFS(MVT_NET,MVT_LOT,$A149))</f>
        <v/>
      </c>
      <c r="S149" s="28" t="str">
        <f aca="false">IF($A149="","",COUNTIFS(MVT_LOT,$A149,MVT_BRUT,"&lt;&gt;0"))</f>
        <v/>
      </c>
      <c r="T149" s="28" t="str">
        <f aca="false">IF($A149="","",COUNTIFS(QC_LOT,$A149))</f>
        <v/>
      </c>
      <c r="U149" s="26" t="str">
        <f aca="false">IF($A149="","",IF(COUNTIF($A$5:$A$204,$A149)&gt;1,IF(SUMPRODUCT(($A$5:$A$204=$A149)*(($B$5:$B$204&lt;&gt;$B149)+($C$5:$C$204&lt;&gt;$C149)))&gt;0,"INCOHERENCE","LOT EN DOUBLE"),"OK"))</f>
        <v/>
      </c>
    </row>
    <row r="150" customFormat="false" ht="15" hidden="false" customHeight="false" outlineLevel="0" collapsed="false">
      <c r="A150" s="24"/>
      <c r="B150" s="24"/>
      <c r="C150" s="24"/>
      <c r="D150" s="24"/>
      <c r="E150" s="24"/>
      <c r="F150" s="24"/>
      <c r="G150" s="24"/>
      <c r="H150" s="24"/>
      <c r="I150" s="24"/>
      <c r="J150" s="25"/>
      <c r="K150" s="24"/>
      <c r="L150" s="24"/>
      <c r="M150" s="26" t="str">
        <f aca="false">IF($A150="","",IF($K150&lt;&gt;"",$K150,IF(IFERROR(INDEX(RES_LOTSRC,MATCH($A150,RES_LOTEFF,0)),"")=$A150,"",IFERROR(INDEX(RES_LOTSRC,MATCH($A150,RES_LOTEFF,0)),""))))</f>
        <v/>
      </c>
      <c r="N150" s="26" t="str">
        <f aca="false">IF($A150="","",IF($B150&lt;&gt;"",$B150,IF($M150="","",IFERROR(INDEX($B$5:$B$204,MATCH($M150,$A$5:$A$204,0)),""))))</f>
        <v/>
      </c>
      <c r="O150" s="26" t="str">
        <f aca="false">IF($A150="","",IF($C150&lt;&gt;"",$C150,IF($M150="","",IFERROR(INDEX($C$5:$C$204,MATCH($M150,$A$5:$A$204,0)),""))))</f>
        <v/>
      </c>
      <c r="P150" s="26" t="str">
        <f aca="false">IF($A150="","",IF($D150&lt;&gt;"",$D150,IF($M150="","",IFERROR(INDEX($D$5:$D$204,MATCH($M150,$A$5:$A$204,0)),""))))</f>
        <v/>
      </c>
      <c r="Q150" s="26" t="str">
        <f aca="false">IF($A150="","",IF($G150&lt;&gt;"",$G150,IF($M150="","",IFERROR(INDEX($G$5:$G$204,MATCH($M150,$A$5:$A$204,0)),""))))</f>
        <v/>
      </c>
      <c r="R150" s="27" t="str">
        <f aca="false">IF($A150="","",SUMIFS(MVT_NET,MVT_LOT,$A150))</f>
        <v/>
      </c>
      <c r="S150" s="28" t="str">
        <f aca="false">IF($A150="","",COUNTIFS(MVT_LOT,$A150,MVT_BRUT,"&lt;&gt;0"))</f>
        <v/>
      </c>
      <c r="T150" s="28" t="str">
        <f aca="false">IF($A150="","",COUNTIFS(QC_LOT,$A150))</f>
        <v/>
      </c>
      <c r="U150" s="26" t="str">
        <f aca="false">IF($A150="","",IF(COUNTIF($A$5:$A$204,$A150)&gt;1,IF(SUMPRODUCT(($A$5:$A$204=$A150)*(($B$5:$B$204&lt;&gt;$B150)+($C$5:$C$204&lt;&gt;$C150)))&gt;0,"INCOHERENCE","LOT EN DOUBLE"),"OK"))</f>
        <v/>
      </c>
    </row>
    <row r="151" customFormat="false" ht="15" hidden="false" customHeight="false" outlineLevel="0" collapsed="false">
      <c r="A151" s="24"/>
      <c r="B151" s="24"/>
      <c r="C151" s="24"/>
      <c r="D151" s="24"/>
      <c r="E151" s="24"/>
      <c r="F151" s="24"/>
      <c r="G151" s="24"/>
      <c r="H151" s="24"/>
      <c r="I151" s="24"/>
      <c r="J151" s="25"/>
      <c r="K151" s="24"/>
      <c r="L151" s="24"/>
      <c r="M151" s="26" t="str">
        <f aca="false">IF($A151="","",IF($K151&lt;&gt;"",$K151,IF(IFERROR(INDEX(RES_LOTSRC,MATCH($A151,RES_LOTEFF,0)),"")=$A151,"",IFERROR(INDEX(RES_LOTSRC,MATCH($A151,RES_LOTEFF,0)),""))))</f>
        <v/>
      </c>
      <c r="N151" s="26" t="str">
        <f aca="false">IF($A151="","",IF($B151&lt;&gt;"",$B151,IF($M151="","",IFERROR(INDEX($B$5:$B$204,MATCH($M151,$A$5:$A$204,0)),""))))</f>
        <v/>
      </c>
      <c r="O151" s="26" t="str">
        <f aca="false">IF($A151="","",IF($C151&lt;&gt;"",$C151,IF($M151="","",IFERROR(INDEX($C$5:$C$204,MATCH($M151,$A$5:$A$204,0)),""))))</f>
        <v/>
      </c>
      <c r="P151" s="26" t="str">
        <f aca="false">IF($A151="","",IF($D151&lt;&gt;"",$D151,IF($M151="","",IFERROR(INDEX($D$5:$D$204,MATCH($M151,$A$5:$A$204,0)),""))))</f>
        <v/>
      </c>
      <c r="Q151" s="26" t="str">
        <f aca="false">IF($A151="","",IF($G151&lt;&gt;"",$G151,IF($M151="","",IFERROR(INDEX($G$5:$G$204,MATCH($M151,$A$5:$A$204,0)),""))))</f>
        <v/>
      </c>
      <c r="R151" s="27" t="str">
        <f aca="false">IF($A151="","",SUMIFS(MVT_NET,MVT_LOT,$A151))</f>
        <v/>
      </c>
      <c r="S151" s="28" t="str">
        <f aca="false">IF($A151="","",COUNTIFS(MVT_LOT,$A151,MVT_BRUT,"&lt;&gt;0"))</f>
        <v/>
      </c>
      <c r="T151" s="28" t="str">
        <f aca="false">IF($A151="","",COUNTIFS(QC_LOT,$A151))</f>
        <v/>
      </c>
      <c r="U151" s="26" t="str">
        <f aca="false">IF($A151="","",IF(COUNTIF($A$5:$A$204,$A151)&gt;1,IF(SUMPRODUCT(($A$5:$A$204=$A151)*(($B$5:$B$204&lt;&gt;$B151)+($C$5:$C$204&lt;&gt;$C151)))&gt;0,"INCOHERENCE","LOT EN DOUBLE"),"OK"))</f>
        <v/>
      </c>
    </row>
    <row r="152" customFormat="false" ht="15" hidden="false" customHeight="false" outlineLevel="0" collapsed="false">
      <c r="A152" s="24"/>
      <c r="B152" s="24"/>
      <c r="C152" s="24"/>
      <c r="D152" s="24"/>
      <c r="E152" s="24"/>
      <c r="F152" s="24"/>
      <c r="G152" s="24"/>
      <c r="H152" s="24"/>
      <c r="I152" s="24"/>
      <c r="J152" s="25"/>
      <c r="K152" s="24"/>
      <c r="L152" s="24"/>
      <c r="M152" s="26" t="str">
        <f aca="false">IF($A152="","",IF($K152&lt;&gt;"",$K152,IF(IFERROR(INDEX(RES_LOTSRC,MATCH($A152,RES_LOTEFF,0)),"")=$A152,"",IFERROR(INDEX(RES_LOTSRC,MATCH($A152,RES_LOTEFF,0)),""))))</f>
        <v/>
      </c>
      <c r="N152" s="26" t="str">
        <f aca="false">IF($A152="","",IF($B152&lt;&gt;"",$B152,IF($M152="","",IFERROR(INDEX($B$5:$B$204,MATCH($M152,$A$5:$A$204,0)),""))))</f>
        <v/>
      </c>
      <c r="O152" s="26" t="str">
        <f aca="false">IF($A152="","",IF($C152&lt;&gt;"",$C152,IF($M152="","",IFERROR(INDEX($C$5:$C$204,MATCH($M152,$A$5:$A$204,0)),""))))</f>
        <v/>
      </c>
      <c r="P152" s="26" t="str">
        <f aca="false">IF($A152="","",IF($D152&lt;&gt;"",$D152,IF($M152="","",IFERROR(INDEX($D$5:$D$204,MATCH($M152,$A$5:$A$204,0)),""))))</f>
        <v/>
      </c>
      <c r="Q152" s="26" t="str">
        <f aca="false">IF($A152="","",IF($G152&lt;&gt;"",$G152,IF($M152="","",IFERROR(INDEX($G$5:$G$204,MATCH($M152,$A$5:$A$204,0)),""))))</f>
        <v/>
      </c>
      <c r="R152" s="27" t="str">
        <f aca="false">IF($A152="","",SUMIFS(MVT_NET,MVT_LOT,$A152))</f>
        <v/>
      </c>
      <c r="S152" s="28" t="str">
        <f aca="false">IF($A152="","",COUNTIFS(MVT_LOT,$A152,MVT_BRUT,"&lt;&gt;0"))</f>
        <v/>
      </c>
      <c r="T152" s="28" t="str">
        <f aca="false">IF($A152="","",COUNTIFS(QC_LOT,$A152))</f>
        <v/>
      </c>
      <c r="U152" s="26" t="str">
        <f aca="false">IF($A152="","",IF(COUNTIF($A$5:$A$204,$A152)&gt;1,IF(SUMPRODUCT(($A$5:$A$204=$A152)*(($B$5:$B$204&lt;&gt;$B152)+($C$5:$C$204&lt;&gt;$C152)))&gt;0,"INCOHERENCE","LOT EN DOUBLE"),"OK"))</f>
        <v/>
      </c>
    </row>
    <row r="153" customFormat="false" ht="15" hidden="false" customHeight="false" outlineLevel="0" collapsed="false">
      <c r="A153" s="24"/>
      <c r="B153" s="24"/>
      <c r="C153" s="24"/>
      <c r="D153" s="24"/>
      <c r="E153" s="24"/>
      <c r="F153" s="24"/>
      <c r="G153" s="24"/>
      <c r="H153" s="24"/>
      <c r="I153" s="24"/>
      <c r="J153" s="25"/>
      <c r="K153" s="24"/>
      <c r="L153" s="24"/>
      <c r="M153" s="26" t="str">
        <f aca="false">IF($A153="","",IF($K153&lt;&gt;"",$K153,IF(IFERROR(INDEX(RES_LOTSRC,MATCH($A153,RES_LOTEFF,0)),"")=$A153,"",IFERROR(INDEX(RES_LOTSRC,MATCH($A153,RES_LOTEFF,0)),""))))</f>
        <v/>
      </c>
      <c r="N153" s="26" t="str">
        <f aca="false">IF($A153="","",IF($B153&lt;&gt;"",$B153,IF($M153="","",IFERROR(INDEX($B$5:$B$204,MATCH($M153,$A$5:$A$204,0)),""))))</f>
        <v/>
      </c>
      <c r="O153" s="26" t="str">
        <f aca="false">IF($A153="","",IF($C153&lt;&gt;"",$C153,IF($M153="","",IFERROR(INDEX($C$5:$C$204,MATCH($M153,$A$5:$A$204,0)),""))))</f>
        <v/>
      </c>
      <c r="P153" s="26" t="str">
        <f aca="false">IF($A153="","",IF($D153&lt;&gt;"",$D153,IF($M153="","",IFERROR(INDEX($D$5:$D$204,MATCH($M153,$A$5:$A$204,0)),""))))</f>
        <v/>
      </c>
      <c r="Q153" s="26" t="str">
        <f aca="false">IF($A153="","",IF($G153&lt;&gt;"",$G153,IF($M153="","",IFERROR(INDEX($G$5:$G$204,MATCH($M153,$A$5:$A$204,0)),""))))</f>
        <v/>
      </c>
      <c r="R153" s="27" t="str">
        <f aca="false">IF($A153="","",SUMIFS(MVT_NET,MVT_LOT,$A153))</f>
        <v/>
      </c>
      <c r="S153" s="28" t="str">
        <f aca="false">IF($A153="","",COUNTIFS(MVT_LOT,$A153,MVT_BRUT,"&lt;&gt;0"))</f>
        <v/>
      </c>
      <c r="T153" s="28" t="str">
        <f aca="false">IF($A153="","",COUNTIFS(QC_LOT,$A153))</f>
        <v/>
      </c>
      <c r="U153" s="26" t="str">
        <f aca="false">IF($A153="","",IF(COUNTIF($A$5:$A$204,$A153)&gt;1,IF(SUMPRODUCT(($A$5:$A$204=$A153)*(($B$5:$B$204&lt;&gt;$B153)+($C$5:$C$204&lt;&gt;$C153)))&gt;0,"INCOHERENCE","LOT EN DOUBLE"),"OK"))</f>
        <v/>
      </c>
    </row>
    <row r="154" customFormat="false" ht="15" hidden="false" customHeight="false" outlineLevel="0" collapsed="false">
      <c r="A154" s="24"/>
      <c r="B154" s="24"/>
      <c r="C154" s="24"/>
      <c r="D154" s="24"/>
      <c r="E154" s="24"/>
      <c r="F154" s="24"/>
      <c r="G154" s="24"/>
      <c r="H154" s="24"/>
      <c r="I154" s="24"/>
      <c r="J154" s="25"/>
      <c r="K154" s="24"/>
      <c r="L154" s="24"/>
      <c r="M154" s="26" t="str">
        <f aca="false">IF($A154="","",IF($K154&lt;&gt;"",$K154,IF(IFERROR(INDEX(RES_LOTSRC,MATCH($A154,RES_LOTEFF,0)),"")=$A154,"",IFERROR(INDEX(RES_LOTSRC,MATCH($A154,RES_LOTEFF,0)),""))))</f>
        <v/>
      </c>
      <c r="N154" s="26" t="str">
        <f aca="false">IF($A154="","",IF($B154&lt;&gt;"",$B154,IF($M154="","",IFERROR(INDEX($B$5:$B$204,MATCH($M154,$A$5:$A$204,0)),""))))</f>
        <v/>
      </c>
      <c r="O154" s="26" t="str">
        <f aca="false">IF($A154="","",IF($C154&lt;&gt;"",$C154,IF($M154="","",IFERROR(INDEX($C$5:$C$204,MATCH($M154,$A$5:$A$204,0)),""))))</f>
        <v/>
      </c>
      <c r="P154" s="26" t="str">
        <f aca="false">IF($A154="","",IF($D154&lt;&gt;"",$D154,IF($M154="","",IFERROR(INDEX($D$5:$D$204,MATCH($M154,$A$5:$A$204,0)),""))))</f>
        <v/>
      </c>
      <c r="Q154" s="26" t="str">
        <f aca="false">IF($A154="","",IF($G154&lt;&gt;"",$G154,IF($M154="","",IFERROR(INDEX($G$5:$G$204,MATCH($M154,$A$5:$A$204,0)),""))))</f>
        <v/>
      </c>
      <c r="R154" s="27" t="str">
        <f aca="false">IF($A154="","",SUMIFS(MVT_NET,MVT_LOT,$A154))</f>
        <v/>
      </c>
      <c r="S154" s="28" t="str">
        <f aca="false">IF($A154="","",COUNTIFS(MVT_LOT,$A154,MVT_BRUT,"&lt;&gt;0"))</f>
        <v/>
      </c>
      <c r="T154" s="28" t="str">
        <f aca="false">IF($A154="","",COUNTIFS(QC_LOT,$A154))</f>
        <v/>
      </c>
      <c r="U154" s="26" t="str">
        <f aca="false">IF($A154="","",IF(COUNTIF($A$5:$A$204,$A154)&gt;1,IF(SUMPRODUCT(($A$5:$A$204=$A154)*(($B$5:$B$204&lt;&gt;$B154)+($C$5:$C$204&lt;&gt;$C154)))&gt;0,"INCOHERENCE","LOT EN DOUBLE"),"OK"))</f>
        <v/>
      </c>
    </row>
    <row r="155" customFormat="false" ht="15" hidden="false" customHeight="false" outlineLevel="0" collapsed="false">
      <c r="A155" s="24"/>
      <c r="B155" s="24"/>
      <c r="C155" s="24"/>
      <c r="D155" s="24"/>
      <c r="E155" s="24"/>
      <c r="F155" s="24"/>
      <c r="G155" s="24"/>
      <c r="H155" s="24"/>
      <c r="I155" s="24"/>
      <c r="J155" s="25"/>
      <c r="K155" s="24"/>
      <c r="L155" s="24"/>
      <c r="M155" s="26" t="str">
        <f aca="false">IF($A155="","",IF($K155&lt;&gt;"",$K155,IF(IFERROR(INDEX(RES_LOTSRC,MATCH($A155,RES_LOTEFF,0)),"")=$A155,"",IFERROR(INDEX(RES_LOTSRC,MATCH($A155,RES_LOTEFF,0)),""))))</f>
        <v/>
      </c>
      <c r="N155" s="26" t="str">
        <f aca="false">IF($A155="","",IF($B155&lt;&gt;"",$B155,IF($M155="","",IFERROR(INDEX($B$5:$B$204,MATCH($M155,$A$5:$A$204,0)),""))))</f>
        <v/>
      </c>
      <c r="O155" s="26" t="str">
        <f aca="false">IF($A155="","",IF($C155&lt;&gt;"",$C155,IF($M155="","",IFERROR(INDEX($C$5:$C$204,MATCH($M155,$A$5:$A$204,0)),""))))</f>
        <v/>
      </c>
      <c r="P155" s="26" t="str">
        <f aca="false">IF($A155="","",IF($D155&lt;&gt;"",$D155,IF($M155="","",IFERROR(INDEX($D$5:$D$204,MATCH($M155,$A$5:$A$204,0)),""))))</f>
        <v/>
      </c>
      <c r="Q155" s="26" t="str">
        <f aca="false">IF($A155="","",IF($G155&lt;&gt;"",$G155,IF($M155="","",IFERROR(INDEX($G$5:$G$204,MATCH($M155,$A$5:$A$204,0)),""))))</f>
        <v/>
      </c>
      <c r="R155" s="27" t="str">
        <f aca="false">IF($A155="","",SUMIFS(MVT_NET,MVT_LOT,$A155))</f>
        <v/>
      </c>
      <c r="S155" s="28" t="str">
        <f aca="false">IF($A155="","",COUNTIFS(MVT_LOT,$A155,MVT_BRUT,"&lt;&gt;0"))</f>
        <v/>
      </c>
      <c r="T155" s="28" t="str">
        <f aca="false">IF($A155="","",COUNTIFS(QC_LOT,$A155))</f>
        <v/>
      </c>
      <c r="U155" s="26" t="str">
        <f aca="false">IF($A155="","",IF(COUNTIF($A$5:$A$204,$A155)&gt;1,IF(SUMPRODUCT(($A$5:$A$204=$A155)*(($B$5:$B$204&lt;&gt;$B155)+($C$5:$C$204&lt;&gt;$C155)))&gt;0,"INCOHERENCE","LOT EN DOUBLE"),"OK"))</f>
        <v/>
      </c>
    </row>
    <row r="156" customFormat="false" ht="15" hidden="false" customHeight="false" outlineLevel="0" collapsed="false">
      <c r="A156" s="24"/>
      <c r="B156" s="24"/>
      <c r="C156" s="24"/>
      <c r="D156" s="24"/>
      <c r="E156" s="24"/>
      <c r="F156" s="24"/>
      <c r="G156" s="24"/>
      <c r="H156" s="24"/>
      <c r="I156" s="24"/>
      <c r="J156" s="25"/>
      <c r="K156" s="24"/>
      <c r="L156" s="24"/>
      <c r="M156" s="26" t="str">
        <f aca="false">IF($A156="","",IF($K156&lt;&gt;"",$K156,IF(IFERROR(INDEX(RES_LOTSRC,MATCH($A156,RES_LOTEFF,0)),"")=$A156,"",IFERROR(INDEX(RES_LOTSRC,MATCH($A156,RES_LOTEFF,0)),""))))</f>
        <v/>
      </c>
      <c r="N156" s="26" t="str">
        <f aca="false">IF($A156="","",IF($B156&lt;&gt;"",$B156,IF($M156="","",IFERROR(INDEX($B$5:$B$204,MATCH($M156,$A$5:$A$204,0)),""))))</f>
        <v/>
      </c>
      <c r="O156" s="26" t="str">
        <f aca="false">IF($A156="","",IF($C156&lt;&gt;"",$C156,IF($M156="","",IFERROR(INDEX($C$5:$C$204,MATCH($M156,$A$5:$A$204,0)),""))))</f>
        <v/>
      </c>
      <c r="P156" s="26" t="str">
        <f aca="false">IF($A156="","",IF($D156&lt;&gt;"",$D156,IF($M156="","",IFERROR(INDEX($D$5:$D$204,MATCH($M156,$A$5:$A$204,0)),""))))</f>
        <v/>
      </c>
      <c r="Q156" s="26" t="str">
        <f aca="false">IF($A156="","",IF($G156&lt;&gt;"",$G156,IF($M156="","",IFERROR(INDEX($G$5:$G$204,MATCH($M156,$A$5:$A$204,0)),""))))</f>
        <v/>
      </c>
      <c r="R156" s="27" t="str">
        <f aca="false">IF($A156="","",SUMIFS(MVT_NET,MVT_LOT,$A156))</f>
        <v/>
      </c>
      <c r="S156" s="28" t="str">
        <f aca="false">IF($A156="","",COUNTIFS(MVT_LOT,$A156,MVT_BRUT,"&lt;&gt;0"))</f>
        <v/>
      </c>
      <c r="T156" s="28" t="str">
        <f aca="false">IF($A156="","",COUNTIFS(QC_LOT,$A156))</f>
        <v/>
      </c>
      <c r="U156" s="26" t="str">
        <f aca="false">IF($A156="","",IF(COUNTIF($A$5:$A$204,$A156)&gt;1,IF(SUMPRODUCT(($A$5:$A$204=$A156)*(($B$5:$B$204&lt;&gt;$B156)+($C$5:$C$204&lt;&gt;$C156)))&gt;0,"INCOHERENCE","LOT EN DOUBLE"),"OK"))</f>
        <v/>
      </c>
    </row>
    <row r="157" customFormat="false" ht="15" hidden="false" customHeight="false" outlineLevel="0" collapsed="false">
      <c r="A157" s="24"/>
      <c r="B157" s="24"/>
      <c r="C157" s="24"/>
      <c r="D157" s="24"/>
      <c r="E157" s="24"/>
      <c r="F157" s="24"/>
      <c r="G157" s="24"/>
      <c r="H157" s="24"/>
      <c r="I157" s="24"/>
      <c r="J157" s="25"/>
      <c r="K157" s="24"/>
      <c r="L157" s="24"/>
      <c r="M157" s="26" t="str">
        <f aca="false">IF($A157="","",IF($K157&lt;&gt;"",$K157,IF(IFERROR(INDEX(RES_LOTSRC,MATCH($A157,RES_LOTEFF,0)),"")=$A157,"",IFERROR(INDEX(RES_LOTSRC,MATCH($A157,RES_LOTEFF,0)),""))))</f>
        <v/>
      </c>
      <c r="N157" s="26" t="str">
        <f aca="false">IF($A157="","",IF($B157&lt;&gt;"",$B157,IF($M157="","",IFERROR(INDEX($B$5:$B$204,MATCH($M157,$A$5:$A$204,0)),""))))</f>
        <v/>
      </c>
      <c r="O157" s="26" t="str">
        <f aca="false">IF($A157="","",IF($C157&lt;&gt;"",$C157,IF($M157="","",IFERROR(INDEX($C$5:$C$204,MATCH($M157,$A$5:$A$204,0)),""))))</f>
        <v/>
      </c>
      <c r="P157" s="26" t="str">
        <f aca="false">IF($A157="","",IF($D157&lt;&gt;"",$D157,IF($M157="","",IFERROR(INDEX($D$5:$D$204,MATCH($M157,$A$5:$A$204,0)),""))))</f>
        <v/>
      </c>
      <c r="Q157" s="26" t="str">
        <f aca="false">IF($A157="","",IF($G157&lt;&gt;"",$G157,IF($M157="","",IFERROR(INDEX($G$5:$G$204,MATCH($M157,$A$5:$A$204,0)),""))))</f>
        <v/>
      </c>
      <c r="R157" s="27" t="str">
        <f aca="false">IF($A157="","",SUMIFS(MVT_NET,MVT_LOT,$A157))</f>
        <v/>
      </c>
      <c r="S157" s="28" t="str">
        <f aca="false">IF($A157="","",COUNTIFS(MVT_LOT,$A157,MVT_BRUT,"&lt;&gt;0"))</f>
        <v/>
      </c>
      <c r="T157" s="28" t="str">
        <f aca="false">IF($A157="","",COUNTIFS(QC_LOT,$A157))</f>
        <v/>
      </c>
      <c r="U157" s="26" t="str">
        <f aca="false">IF($A157="","",IF(COUNTIF($A$5:$A$204,$A157)&gt;1,IF(SUMPRODUCT(($A$5:$A$204=$A157)*(($B$5:$B$204&lt;&gt;$B157)+($C$5:$C$204&lt;&gt;$C157)))&gt;0,"INCOHERENCE","LOT EN DOUBLE"),"OK"))</f>
        <v/>
      </c>
    </row>
    <row r="158" customFormat="false" ht="15" hidden="false" customHeight="false" outlineLevel="0" collapsed="false">
      <c r="A158" s="24"/>
      <c r="B158" s="24"/>
      <c r="C158" s="24"/>
      <c r="D158" s="24"/>
      <c r="E158" s="24"/>
      <c r="F158" s="24"/>
      <c r="G158" s="24"/>
      <c r="H158" s="24"/>
      <c r="I158" s="24"/>
      <c r="J158" s="25"/>
      <c r="K158" s="24"/>
      <c r="L158" s="24"/>
      <c r="M158" s="26" t="str">
        <f aca="false">IF($A158="","",IF($K158&lt;&gt;"",$K158,IF(IFERROR(INDEX(RES_LOTSRC,MATCH($A158,RES_LOTEFF,0)),"")=$A158,"",IFERROR(INDEX(RES_LOTSRC,MATCH($A158,RES_LOTEFF,0)),""))))</f>
        <v/>
      </c>
      <c r="N158" s="26" t="str">
        <f aca="false">IF($A158="","",IF($B158&lt;&gt;"",$B158,IF($M158="","",IFERROR(INDEX($B$5:$B$204,MATCH($M158,$A$5:$A$204,0)),""))))</f>
        <v/>
      </c>
      <c r="O158" s="26" t="str">
        <f aca="false">IF($A158="","",IF($C158&lt;&gt;"",$C158,IF($M158="","",IFERROR(INDEX($C$5:$C$204,MATCH($M158,$A$5:$A$204,0)),""))))</f>
        <v/>
      </c>
      <c r="P158" s="26" t="str">
        <f aca="false">IF($A158="","",IF($D158&lt;&gt;"",$D158,IF($M158="","",IFERROR(INDEX($D$5:$D$204,MATCH($M158,$A$5:$A$204,0)),""))))</f>
        <v/>
      </c>
      <c r="Q158" s="26" t="str">
        <f aca="false">IF($A158="","",IF($G158&lt;&gt;"",$G158,IF($M158="","",IFERROR(INDEX($G$5:$G$204,MATCH($M158,$A$5:$A$204,0)),""))))</f>
        <v/>
      </c>
      <c r="R158" s="27" t="str">
        <f aca="false">IF($A158="","",SUMIFS(MVT_NET,MVT_LOT,$A158))</f>
        <v/>
      </c>
      <c r="S158" s="28" t="str">
        <f aca="false">IF($A158="","",COUNTIFS(MVT_LOT,$A158,MVT_BRUT,"&lt;&gt;0"))</f>
        <v/>
      </c>
      <c r="T158" s="28" t="str">
        <f aca="false">IF($A158="","",COUNTIFS(QC_LOT,$A158))</f>
        <v/>
      </c>
      <c r="U158" s="26" t="str">
        <f aca="false">IF($A158="","",IF(COUNTIF($A$5:$A$204,$A158)&gt;1,IF(SUMPRODUCT(($A$5:$A$204=$A158)*(($B$5:$B$204&lt;&gt;$B158)+($C$5:$C$204&lt;&gt;$C158)))&gt;0,"INCOHERENCE","LOT EN DOUBLE"),"OK"))</f>
        <v/>
      </c>
    </row>
    <row r="159" customFormat="false" ht="15" hidden="false" customHeight="false" outlineLevel="0" collapsed="false">
      <c r="A159" s="24"/>
      <c r="B159" s="24"/>
      <c r="C159" s="24"/>
      <c r="D159" s="24"/>
      <c r="E159" s="24"/>
      <c r="F159" s="24"/>
      <c r="G159" s="24"/>
      <c r="H159" s="24"/>
      <c r="I159" s="24"/>
      <c r="J159" s="25"/>
      <c r="K159" s="24"/>
      <c r="L159" s="24"/>
      <c r="M159" s="26" t="str">
        <f aca="false">IF($A159="","",IF($K159&lt;&gt;"",$K159,IF(IFERROR(INDEX(RES_LOTSRC,MATCH($A159,RES_LOTEFF,0)),"")=$A159,"",IFERROR(INDEX(RES_LOTSRC,MATCH($A159,RES_LOTEFF,0)),""))))</f>
        <v/>
      </c>
      <c r="N159" s="26" t="str">
        <f aca="false">IF($A159="","",IF($B159&lt;&gt;"",$B159,IF($M159="","",IFERROR(INDEX($B$5:$B$204,MATCH($M159,$A$5:$A$204,0)),""))))</f>
        <v/>
      </c>
      <c r="O159" s="26" t="str">
        <f aca="false">IF($A159="","",IF($C159&lt;&gt;"",$C159,IF($M159="","",IFERROR(INDEX($C$5:$C$204,MATCH($M159,$A$5:$A$204,0)),""))))</f>
        <v/>
      </c>
      <c r="P159" s="26" t="str">
        <f aca="false">IF($A159="","",IF($D159&lt;&gt;"",$D159,IF($M159="","",IFERROR(INDEX($D$5:$D$204,MATCH($M159,$A$5:$A$204,0)),""))))</f>
        <v/>
      </c>
      <c r="Q159" s="26" t="str">
        <f aca="false">IF($A159="","",IF($G159&lt;&gt;"",$G159,IF($M159="","",IFERROR(INDEX($G$5:$G$204,MATCH($M159,$A$5:$A$204,0)),""))))</f>
        <v/>
      </c>
      <c r="R159" s="27" t="str">
        <f aca="false">IF($A159="","",SUMIFS(MVT_NET,MVT_LOT,$A159))</f>
        <v/>
      </c>
      <c r="S159" s="28" t="str">
        <f aca="false">IF($A159="","",COUNTIFS(MVT_LOT,$A159,MVT_BRUT,"&lt;&gt;0"))</f>
        <v/>
      </c>
      <c r="T159" s="28" t="str">
        <f aca="false">IF($A159="","",COUNTIFS(QC_LOT,$A159))</f>
        <v/>
      </c>
      <c r="U159" s="26" t="str">
        <f aca="false">IF($A159="","",IF(COUNTIF($A$5:$A$204,$A159)&gt;1,IF(SUMPRODUCT(($A$5:$A$204=$A159)*(($B$5:$B$204&lt;&gt;$B159)+($C$5:$C$204&lt;&gt;$C159)))&gt;0,"INCOHERENCE","LOT EN DOUBLE"),"OK"))</f>
        <v/>
      </c>
    </row>
    <row r="160" customFormat="false" ht="15" hidden="false" customHeight="false" outlineLevel="0" collapsed="false">
      <c r="A160" s="24"/>
      <c r="B160" s="24"/>
      <c r="C160" s="24"/>
      <c r="D160" s="24"/>
      <c r="E160" s="24"/>
      <c r="F160" s="24"/>
      <c r="G160" s="24"/>
      <c r="H160" s="24"/>
      <c r="I160" s="24"/>
      <c r="J160" s="25"/>
      <c r="K160" s="24"/>
      <c r="L160" s="24"/>
      <c r="M160" s="26" t="str">
        <f aca="false">IF($A160="","",IF($K160&lt;&gt;"",$K160,IF(IFERROR(INDEX(RES_LOTSRC,MATCH($A160,RES_LOTEFF,0)),"")=$A160,"",IFERROR(INDEX(RES_LOTSRC,MATCH($A160,RES_LOTEFF,0)),""))))</f>
        <v/>
      </c>
      <c r="N160" s="26" t="str">
        <f aca="false">IF($A160="","",IF($B160&lt;&gt;"",$B160,IF($M160="","",IFERROR(INDEX($B$5:$B$204,MATCH($M160,$A$5:$A$204,0)),""))))</f>
        <v/>
      </c>
      <c r="O160" s="26" t="str">
        <f aca="false">IF($A160="","",IF($C160&lt;&gt;"",$C160,IF($M160="","",IFERROR(INDEX($C$5:$C$204,MATCH($M160,$A$5:$A$204,0)),""))))</f>
        <v/>
      </c>
      <c r="P160" s="26" t="str">
        <f aca="false">IF($A160="","",IF($D160&lt;&gt;"",$D160,IF($M160="","",IFERROR(INDEX($D$5:$D$204,MATCH($M160,$A$5:$A$204,0)),""))))</f>
        <v/>
      </c>
      <c r="Q160" s="26" t="str">
        <f aca="false">IF($A160="","",IF($G160&lt;&gt;"",$G160,IF($M160="","",IFERROR(INDEX($G$5:$G$204,MATCH($M160,$A$5:$A$204,0)),""))))</f>
        <v/>
      </c>
      <c r="R160" s="27" t="str">
        <f aca="false">IF($A160="","",SUMIFS(MVT_NET,MVT_LOT,$A160))</f>
        <v/>
      </c>
      <c r="S160" s="28" t="str">
        <f aca="false">IF($A160="","",COUNTIFS(MVT_LOT,$A160,MVT_BRUT,"&lt;&gt;0"))</f>
        <v/>
      </c>
      <c r="T160" s="28" t="str">
        <f aca="false">IF($A160="","",COUNTIFS(QC_LOT,$A160))</f>
        <v/>
      </c>
      <c r="U160" s="26" t="str">
        <f aca="false">IF($A160="","",IF(COUNTIF($A$5:$A$204,$A160)&gt;1,IF(SUMPRODUCT(($A$5:$A$204=$A160)*(($B$5:$B$204&lt;&gt;$B160)+($C$5:$C$204&lt;&gt;$C160)))&gt;0,"INCOHERENCE","LOT EN DOUBLE"),"OK"))</f>
        <v/>
      </c>
    </row>
    <row r="161" customFormat="false" ht="15" hidden="false" customHeight="false" outlineLevel="0" collapsed="false">
      <c r="A161" s="24"/>
      <c r="B161" s="24"/>
      <c r="C161" s="24"/>
      <c r="D161" s="24"/>
      <c r="E161" s="24"/>
      <c r="F161" s="24"/>
      <c r="G161" s="24"/>
      <c r="H161" s="24"/>
      <c r="I161" s="24"/>
      <c r="J161" s="25"/>
      <c r="K161" s="24"/>
      <c r="L161" s="24"/>
      <c r="M161" s="26" t="str">
        <f aca="false">IF($A161="","",IF($K161&lt;&gt;"",$K161,IF(IFERROR(INDEX(RES_LOTSRC,MATCH($A161,RES_LOTEFF,0)),"")=$A161,"",IFERROR(INDEX(RES_LOTSRC,MATCH($A161,RES_LOTEFF,0)),""))))</f>
        <v/>
      </c>
      <c r="N161" s="26" t="str">
        <f aca="false">IF($A161="","",IF($B161&lt;&gt;"",$B161,IF($M161="","",IFERROR(INDEX($B$5:$B$204,MATCH($M161,$A$5:$A$204,0)),""))))</f>
        <v/>
      </c>
      <c r="O161" s="26" t="str">
        <f aca="false">IF($A161="","",IF($C161&lt;&gt;"",$C161,IF($M161="","",IFERROR(INDEX($C$5:$C$204,MATCH($M161,$A$5:$A$204,0)),""))))</f>
        <v/>
      </c>
      <c r="P161" s="26" t="str">
        <f aca="false">IF($A161="","",IF($D161&lt;&gt;"",$D161,IF($M161="","",IFERROR(INDEX($D$5:$D$204,MATCH($M161,$A$5:$A$204,0)),""))))</f>
        <v/>
      </c>
      <c r="Q161" s="26" t="str">
        <f aca="false">IF($A161="","",IF($G161&lt;&gt;"",$G161,IF($M161="","",IFERROR(INDEX($G$5:$G$204,MATCH($M161,$A$5:$A$204,0)),""))))</f>
        <v/>
      </c>
      <c r="R161" s="27" t="str">
        <f aca="false">IF($A161="","",SUMIFS(MVT_NET,MVT_LOT,$A161))</f>
        <v/>
      </c>
      <c r="S161" s="28" t="str">
        <f aca="false">IF($A161="","",COUNTIFS(MVT_LOT,$A161,MVT_BRUT,"&lt;&gt;0"))</f>
        <v/>
      </c>
      <c r="T161" s="28" t="str">
        <f aca="false">IF($A161="","",COUNTIFS(QC_LOT,$A161))</f>
        <v/>
      </c>
      <c r="U161" s="26" t="str">
        <f aca="false">IF($A161="","",IF(COUNTIF($A$5:$A$204,$A161)&gt;1,IF(SUMPRODUCT(($A$5:$A$204=$A161)*(($B$5:$B$204&lt;&gt;$B161)+($C$5:$C$204&lt;&gt;$C161)))&gt;0,"INCOHERENCE","LOT EN DOUBLE"),"OK"))</f>
        <v/>
      </c>
    </row>
    <row r="162" customFormat="false" ht="15" hidden="false" customHeight="false" outlineLevel="0" collapsed="false">
      <c r="A162" s="24"/>
      <c r="B162" s="24"/>
      <c r="C162" s="24"/>
      <c r="D162" s="24"/>
      <c r="E162" s="24"/>
      <c r="F162" s="24"/>
      <c r="G162" s="24"/>
      <c r="H162" s="24"/>
      <c r="I162" s="24"/>
      <c r="J162" s="25"/>
      <c r="K162" s="24"/>
      <c r="L162" s="24"/>
      <c r="M162" s="26" t="str">
        <f aca="false">IF($A162="","",IF($K162&lt;&gt;"",$K162,IF(IFERROR(INDEX(RES_LOTSRC,MATCH($A162,RES_LOTEFF,0)),"")=$A162,"",IFERROR(INDEX(RES_LOTSRC,MATCH($A162,RES_LOTEFF,0)),""))))</f>
        <v/>
      </c>
      <c r="N162" s="26" t="str">
        <f aca="false">IF($A162="","",IF($B162&lt;&gt;"",$B162,IF($M162="","",IFERROR(INDEX($B$5:$B$204,MATCH($M162,$A$5:$A$204,0)),""))))</f>
        <v/>
      </c>
      <c r="O162" s="26" t="str">
        <f aca="false">IF($A162="","",IF($C162&lt;&gt;"",$C162,IF($M162="","",IFERROR(INDEX($C$5:$C$204,MATCH($M162,$A$5:$A$204,0)),""))))</f>
        <v/>
      </c>
      <c r="P162" s="26" t="str">
        <f aca="false">IF($A162="","",IF($D162&lt;&gt;"",$D162,IF($M162="","",IFERROR(INDEX($D$5:$D$204,MATCH($M162,$A$5:$A$204,0)),""))))</f>
        <v/>
      </c>
      <c r="Q162" s="26" t="str">
        <f aca="false">IF($A162="","",IF($G162&lt;&gt;"",$G162,IF($M162="","",IFERROR(INDEX($G$5:$G$204,MATCH($M162,$A$5:$A$204,0)),""))))</f>
        <v/>
      </c>
      <c r="R162" s="27" t="str">
        <f aca="false">IF($A162="","",SUMIFS(MVT_NET,MVT_LOT,$A162))</f>
        <v/>
      </c>
      <c r="S162" s="28" t="str">
        <f aca="false">IF($A162="","",COUNTIFS(MVT_LOT,$A162,MVT_BRUT,"&lt;&gt;0"))</f>
        <v/>
      </c>
      <c r="T162" s="28" t="str">
        <f aca="false">IF($A162="","",COUNTIFS(QC_LOT,$A162))</f>
        <v/>
      </c>
      <c r="U162" s="26" t="str">
        <f aca="false">IF($A162="","",IF(COUNTIF($A$5:$A$204,$A162)&gt;1,IF(SUMPRODUCT(($A$5:$A$204=$A162)*(($B$5:$B$204&lt;&gt;$B162)+($C$5:$C$204&lt;&gt;$C162)))&gt;0,"INCOHERENCE","LOT EN DOUBLE"),"OK"))</f>
        <v/>
      </c>
    </row>
    <row r="163" customFormat="false" ht="15" hidden="false" customHeight="false" outlineLevel="0" collapsed="false">
      <c r="A163" s="24"/>
      <c r="B163" s="24"/>
      <c r="C163" s="24"/>
      <c r="D163" s="24"/>
      <c r="E163" s="24"/>
      <c r="F163" s="24"/>
      <c r="G163" s="24"/>
      <c r="H163" s="24"/>
      <c r="I163" s="24"/>
      <c r="J163" s="25"/>
      <c r="K163" s="24"/>
      <c r="L163" s="24"/>
      <c r="M163" s="26" t="str">
        <f aca="false">IF($A163="","",IF($K163&lt;&gt;"",$K163,IF(IFERROR(INDEX(RES_LOTSRC,MATCH($A163,RES_LOTEFF,0)),"")=$A163,"",IFERROR(INDEX(RES_LOTSRC,MATCH($A163,RES_LOTEFF,0)),""))))</f>
        <v/>
      </c>
      <c r="N163" s="26" t="str">
        <f aca="false">IF($A163="","",IF($B163&lt;&gt;"",$B163,IF($M163="","",IFERROR(INDEX($B$5:$B$204,MATCH($M163,$A$5:$A$204,0)),""))))</f>
        <v/>
      </c>
      <c r="O163" s="26" t="str">
        <f aca="false">IF($A163="","",IF($C163&lt;&gt;"",$C163,IF($M163="","",IFERROR(INDEX($C$5:$C$204,MATCH($M163,$A$5:$A$204,0)),""))))</f>
        <v/>
      </c>
      <c r="P163" s="26" t="str">
        <f aca="false">IF($A163="","",IF($D163&lt;&gt;"",$D163,IF($M163="","",IFERROR(INDEX($D$5:$D$204,MATCH($M163,$A$5:$A$204,0)),""))))</f>
        <v/>
      </c>
      <c r="Q163" s="26" t="str">
        <f aca="false">IF($A163="","",IF($G163&lt;&gt;"",$G163,IF($M163="","",IFERROR(INDEX($G$5:$G$204,MATCH($M163,$A$5:$A$204,0)),""))))</f>
        <v/>
      </c>
      <c r="R163" s="27" t="str">
        <f aca="false">IF($A163="","",SUMIFS(MVT_NET,MVT_LOT,$A163))</f>
        <v/>
      </c>
      <c r="S163" s="28" t="str">
        <f aca="false">IF($A163="","",COUNTIFS(MVT_LOT,$A163,MVT_BRUT,"&lt;&gt;0"))</f>
        <v/>
      </c>
      <c r="T163" s="28" t="str">
        <f aca="false">IF($A163="","",COUNTIFS(QC_LOT,$A163))</f>
        <v/>
      </c>
      <c r="U163" s="26" t="str">
        <f aca="false">IF($A163="","",IF(COUNTIF($A$5:$A$204,$A163)&gt;1,IF(SUMPRODUCT(($A$5:$A$204=$A163)*(($B$5:$B$204&lt;&gt;$B163)+($C$5:$C$204&lt;&gt;$C163)))&gt;0,"INCOHERENCE","LOT EN DOUBLE"),"OK"))</f>
        <v/>
      </c>
    </row>
    <row r="164" customFormat="false" ht="15" hidden="false" customHeight="false" outlineLevel="0" collapsed="false">
      <c r="A164" s="24"/>
      <c r="B164" s="24"/>
      <c r="C164" s="24"/>
      <c r="D164" s="24"/>
      <c r="E164" s="24"/>
      <c r="F164" s="24"/>
      <c r="G164" s="24"/>
      <c r="H164" s="24"/>
      <c r="I164" s="24"/>
      <c r="J164" s="25"/>
      <c r="K164" s="24"/>
      <c r="L164" s="24"/>
      <c r="M164" s="26" t="str">
        <f aca="false">IF($A164="","",IF($K164&lt;&gt;"",$K164,IF(IFERROR(INDEX(RES_LOTSRC,MATCH($A164,RES_LOTEFF,0)),"")=$A164,"",IFERROR(INDEX(RES_LOTSRC,MATCH($A164,RES_LOTEFF,0)),""))))</f>
        <v/>
      </c>
      <c r="N164" s="26" t="str">
        <f aca="false">IF($A164="","",IF($B164&lt;&gt;"",$B164,IF($M164="","",IFERROR(INDEX($B$5:$B$204,MATCH($M164,$A$5:$A$204,0)),""))))</f>
        <v/>
      </c>
      <c r="O164" s="26" t="str">
        <f aca="false">IF($A164="","",IF($C164&lt;&gt;"",$C164,IF($M164="","",IFERROR(INDEX($C$5:$C$204,MATCH($M164,$A$5:$A$204,0)),""))))</f>
        <v/>
      </c>
      <c r="P164" s="26" t="str">
        <f aca="false">IF($A164="","",IF($D164&lt;&gt;"",$D164,IF($M164="","",IFERROR(INDEX($D$5:$D$204,MATCH($M164,$A$5:$A$204,0)),""))))</f>
        <v/>
      </c>
      <c r="Q164" s="26" t="str">
        <f aca="false">IF($A164="","",IF($G164&lt;&gt;"",$G164,IF($M164="","",IFERROR(INDEX($G$5:$G$204,MATCH($M164,$A$5:$A$204,0)),""))))</f>
        <v/>
      </c>
      <c r="R164" s="27" t="str">
        <f aca="false">IF($A164="","",SUMIFS(MVT_NET,MVT_LOT,$A164))</f>
        <v/>
      </c>
      <c r="S164" s="28" t="str">
        <f aca="false">IF($A164="","",COUNTIFS(MVT_LOT,$A164,MVT_BRUT,"&lt;&gt;0"))</f>
        <v/>
      </c>
      <c r="T164" s="28" t="str">
        <f aca="false">IF($A164="","",COUNTIFS(QC_LOT,$A164))</f>
        <v/>
      </c>
      <c r="U164" s="26" t="str">
        <f aca="false">IF($A164="","",IF(COUNTIF($A$5:$A$204,$A164)&gt;1,IF(SUMPRODUCT(($A$5:$A$204=$A164)*(($B$5:$B$204&lt;&gt;$B164)+($C$5:$C$204&lt;&gt;$C164)))&gt;0,"INCOHERENCE","LOT EN DOUBLE"),"OK"))</f>
        <v/>
      </c>
    </row>
    <row r="165" customFormat="false" ht="15" hidden="false" customHeight="false" outlineLevel="0" collapsed="false">
      <c r="A165" s="24"/>
      <c r="B165" s="24"/>
      <c r="C165" s="24"/>
      <c r="D165" s="24"/>
      <c r="E165" s="24"/>
      <c r="F165" s="24"/>
      <c r="G165" s="24"/>
      <c r="H165" s="24"/>
      <c r="I165" s="24"/>
      <c r="J165" s="25"/>
      <c r="K165" s="24"/>
      <c r="L165" s="24"/>
      <c r="M165" s="26" t="str">
        <f aca="false">IF($A165="","",IF($K165&lt;&gt;"",$K165,IF(IFERROR(INDEX(RES_LOTSRC,MATCH($A165,RES_LOTEFF,0)),"")=$A165,"",IFERROR(INDEX(RES_LOTSRC,MATCH($A165,RES_LOTEFF,0)),""))))</f>
        <v/>
      </c>
      <c r="N165" s="26" t="str">
        <f aca="false">IF($A165="","",IF($B165&lt;&gt;"",$B165,IF($M165="","",IFERROR(INDEX($B$5:$B$204,MATCH($M165,$A$5:$A$204,0)),""))))</f>
        <v/>
      </c>
      <c r="O165" s="26" t="str">
        <f aca="false">IF($A165="","",IF($C165&lt;&gt;"",$C165,IF($M165="","",IFERROR(INDEX($C$5:$C$204,MATCH($M165,$A$5:$A$204,0)),""))))</f>
        <v/>
      </c>
      <c r="P165" s="26" t="str">
        <f aca="false">IF($A165="","",IF($D165&lt;&gt;"",$D165,IF($M165="","",IFERROR(INDEX($D$5:$D$204,MATCH($M165,$A$5:$A$204,0)),""))))</f>
        <v/>
      </c>
      <c r="Q165" s="26" t="str">
        <f aca="false">IF($A165="","",IF($G165&lt;&gt;"",$G165,IF($M165="","",IFERROR(INDEX($G$5:$G$204,MATCH($M165,$A$5:$A$204,0)),""))))</f>
        <v/>
      </c>
      <c r="R165" s="27" t="str">
        <f aca="false">IF($A165="","",SUMIFS(MVT_NET,MVT_LOT,$A165))</f>
        <v/>
      </c>
      <c r="S165" s="28" t="str">
        <f aca="false">IF($A165="","",COUNTIFS(MVT_LOT,$A165,MVT_BRUT,"&lt;&gt;0"))</f>
        <v/>
      </c>
      <c r="T165" s="28" t="str">
        <f aca="false">IF($A165="","",COUNTIFS(QC_LOT,$A165))</f>
        <v/>
      </c>
      <c r="U165" s="26" t="str">
        <f aca="false">IF($A165="","",IF(COUNTIF($A$5:$A$204,$A165)&gt;1,IF(SUMPRODUCT(($A$5:$A$204=$A165)*(($B$5:$B$204&lt;&gt;$B165)+($C$5:$C$204&lt;&gt;$C165)))&gt;0,"INCOHERENCE","LOT EN DOUBLE"),"OK"))</f>
        <v/>
      </c>
    </row>
    <row r="166" customFormat="false" ht="15" hidden="false" customHeight="false" outlineLevel="0" collapsed="false">
      <c r="A166" s="24"/>
      <c r="B166" s="24"/>
      <c r="C166" s="24"/>
      <c r="D166" s="24"/>
      <c r="E166" s="24"/>
      <c r="F166" s="24"/>
      <c r="G166" s="24"/>
      <c r="H166" s="24"/>
      <c r="I166" s="24"/>
      <c r="J166" s="25"/>
      <c r="K166" s="24"/>
      <c r="L166" s="24"/>
      <c r="M166" s="26" t="str">
        <f aca="false">IF($A166="","",IF($K166&lt;&gt;"",$K166,IF(IFERROR(INDEX(RES_LOTSRC,MATCH($A166,RES_LOTEFF,0)),"")=$A166,"",IFERROR(INDEX(RES_LOTSRC,MATCH($A166,RES_LOTEFF,0)),""))))</f>
        <v/>
      </c>
      <c r="N166" s="26" t="str">
        <f aca="false">IF($A166="","",IF($B166&lt;&gt;"",$B166,IF($M166="","",IFERROR(INDEX($B$5:$B$204,MATCH($M166,$A$5:$A$204,0)),""))))</f>
        <v/>
      </c>
      <c r="O166" s="26" t="str">
        <f aca="false">IF($A166="","",IF($C166&lt;&gt;"",$C166,IF($M166="","",IFERROR(INDEX($C$5:$C$204,MATCH($M166,$A$5:$A$204,0)),""))))</f>
        <v/>
      </c>
      <c r="P166" s="26" t="str">
        <f aca="false">IF($A166="","",IF($D166&lt;&gt;"",$D166,IF($M166="","",IFERROR(INDEX($D$5:$D$204,MATCH($M166,$A$5:$A$204,0)),""))))</f>
        <v/>
      </c>
      <c r="Q166" s="26" t="str">
        <f aca="false">IF($A166="","",IF($G166&lt;&gt;"",$G166,IF($M166="","",IFERROR(INDEX($G$5:$G$204,MATCH($M166,$A$5:$A$204,0)),""))))</f>
        <v/>
      </c>
      <c r="R166" s="27" t="str">
        <f aca="false">IF($A166="","",SUMIFS(MVT_NET,MVT_LOT,$A166))</f>
        <v/>
      </c>
      <c r="S166" s="28" t="str">
        <f aca="false">IF($A166="","",COUNTIFS(MVT_LOT,$A166,MVT_BRUT,"&lt;&gt;0"))</f>
        <v/>
      </c>
      <c r="T166" s="28" t="str">
        <f aca="false">IF($A166="","",COUNTIFS(QC_LOT,$A166))</f>
        <v/>
      </c>
      <c r="U166" s="26" t="str">
        <f aca="false">IF($A166="","",IF(COUNTIF($A$5:$A$204,$A166)&gt;1,IF(SUMPRODUCT(($A$5:$A$204=$A166)*(($B$5:$B$204&lt;&gt;$B166)+($C$5:$C$204&lt;&gt;$C166)))&gt;0,"INCOHERENCE","LOT EN DOUBLE"),"OK"))</f>
        <v/>
      </c>
    </row>
    <row r="167" customFormat="false" ht="15" hidden="false" customHeight="false" outlineLevel="0" collapsed="false">
      <c r="A167" s="24"/>
      <c r="B167" s="24"/>
      <c r="C167" s="24"/>
      <c r="D167" s="24"/>
      <c r="E167" s="24"/>
      <c r="F167" s="24"/>
      <c r="G167" s="24"/>
      <c r="H167" s="24"/>
      <c r="I167" s="24"/>
      <c r="J167" s="25"/>
      <c r="K167" s="24"/>
      <c r="L167" s="24"/>
      <c r="M167" s="26" t="str">
        <f aca="false">IF($A167="","",IF($K167&lt;&gt;"",$K167,IF(IFERROR(INDEX(RES_LOTSRC,MATCH($A167,RES_LOTEFF,0)),"")=$A167,"",IFERROR(INDEX(RES_LOTSRC,MATCH($A167,RES_LOTEFF,0)),""))))</f>
        <v/>
      </c>
      <c r="N167" s="26" t="str">
        <f aca="false">IF($A167="","",IF($B167&lt;&gt;"",$B167,IF($M167="","",IFERROR(INDEX($B$5:$B$204,MATCH($M167,$A$5:$A$204,0)),""))))</f>
        <v/>
      </c>
      <c r="O167" s="26" t="str">
        <f aca="false">IF($A167="","",IF($C167&lt;&gt;"",$C167,IF($M167="","",IFERROR(INDEX($C$5:$C$204,MATCH($M167,$A$5:$A$204,0)),""))))</f>
        <v/>
      </c>
      <c r="P167" s="26" t="str">
        <f aca="false">IF($A167="","",IF($D167&lt;&gt;"",$D167,IF($M167="","",IFERROR(INDEX($D$5:$D$204,MATCH($M167,$A$5:$A$204,0)),""))))</f>
        <v/>
      </c>
      <c r="Q167" s="26" t="str">
        <f aca="false">IF($A167="","",IF($G167&lt;&gt;"",$G167,IF($M167="","",IFERROR(INDEX($G$5:$G$204,MATCH($M167,$A$5:$A$204,0)),""))))</f>
        <v/>
      </c>
      <c r="R167" s="27" t="str">
        <f aca="false">IF($A167="","",SUMIFS(MVT_NET,MVT_LOT,$A167))</f>
        <v/>
      </c>
      <c r="S167" s="28" t="str">
        <f aca="false">IF($A167="","",COUNTIFS(MVT_LOT,$A167,MVT_BRUT,"&lt;&gt;0"))</f>
        <v/>
      </c>
      <c r="T167" s="28" t="str">
        <f aca="false">IF($A167="","",COUNTIFS(QC_LOT,$A167))</f>
        <v/>
      </c>
      <c r="U167" s="26" t="str">
        <f aca="false">IF($A167="","",IF(COUNTIF($A$5:$A$204,$A167)&gt;1,IF(SUMPRODUCT(($A$5:$A$204=$A167)*(($B$5:$B$204&lt;&gt;$B167)+($C$5:$C$204&lt;&gt;$C167)))&gt;0,"INCOHERENCE","LOT EN DOUBLE"),"OK"))</f>
        <v/>
      </c>
    </row>
    <row r="168" customFormat="false" ht="15" hidden="false" customHeight="false" outlineLevel="0" collapsed="false">
      <c r="A168" s="24"/>
      <c r="B168" s="24"/>
      <c r="C168" s="24"/>
      <c r="D168" s="24"/>
      <c r="E168" s="24"/>
      <c r="F168" s="24"/>
      <c r="G168" s="24"/>
      <c r="H168" s="24"/>
      <c r="I168" s="24"/>
      <c r="J168" s="25"/>
      <c r="K168" s="24"/>
      <c r="L168" s="24"/>
      <c r="M168" s="26" t="str">
        <f aca="false">IF($A168="","",IF($K168&lt;&gt;"",$K168,IF(IFERROR(INDEX(RES_LOTSRC,MATCH($A168,RES_LOTEFF,0)),"")=$A168,"",IFERROR(INDEX(RES_LOTSRC,MATCH($A168,RES_LOTEFF,0)),""))))</f>
        <v/>
      </c>
      <c r="N168" s="26" t="str">
        <f aca="false">IF($A168="","",IF($B168&lt;&gt;"",$B168,IF($M168="","",IFERROR(INDEX($B$5:$B$204,MATCH($M168,$A$5:$A$204,0)),""))))</f>
        <v/>
      </c>
      <c r="O168" s="26" t="str">
        <f aca="false">IF($A168="","",IF($C168&lt;&gt;"",$C168,IF($M168="","",IFERROR(INDEX($C$5:$C$204,MATCH($M168,$A$5:$A$204,0)),""))))</f>
        <v/>
      </c>
      <c r="P168" s="26" t="str">
        <f aca="false">IF($A168="","",IF($D168&lt;&gt;"",$D168,IF($M168="","",IFERROR(INDEX($D$5:$D$204,MATCH($M168,$A$5:$A$204,0)),""))))</f>
        <v/>
      </c>
      <c r="Q168" s="26" t="str">
        <f aca="false">IF($A168="","",IF($G168&lt;&gt;"",$G168,IF($M168="","",IFERROR(INDEX($G$5:$G$204,MATCH($M168,$A$5:$A$204,0)),""))))</f>
        <v/>
      </c>
      <c r="R168" s="27" t="str">
        <f aca="false">IF($A168="","",SUMIFS(MVT_NET,MVT_LOT,$A168))</f>
        <v/>
      </c>
      <c r="S168" s="28" t="str">
        <f aca="false">IF($A168="","",COUNTIFS(MVT_LOT,$A168,MVT_BRUT,"&lt;&gt;0"))</f>
        <v/>
      </c>
      <c r="T168" s="28" t="str">
        <f aca="false">IF($A168="","",COUNTIFS(QC_LOT,$A168))</f>
        <v/>
      </c>
      <c r="U168" s="26" t="str">
        <f aca="false">IF($A168="","",IF(COUNTIF($A$5:$A$204,$A168)&gt;1,IF(SUMPRODUCT(($A$5:$A$204=$A168)*(($B$5:$B$204&lt;&gt;$B168)+($C$5:$C$204&lt;&gt;$C168)))&gt;0,"INCOHERENCE","LOT EN DOUBLE"),"OK"))</f>
        <v/>
      </c>
    </row>
    <row r="169" customFormat="false" ht="15" hidden="false" customHeight="false" outlineLevel="0" collapsed="false">
      <c r="A169" s="24"/>
      <c r="B169" s="24"/>
      <c r="C169" s="24"/>
      <c r="D169" s="24"/>
      <c r="E169" s="24"/>
      <c r="F169" s="24"/>
      <c r="G169" s="24"/>
      <c r="H169" s="24"/>
      <c r="I169" s="24"/>
      <c r="J169" s="25"/>
      <c r="K169" s="24"/>
      <c r="L169" s="24"/>
      <c r="M169" s="26" t="str">
        <f aca="false">IF($A169="","",IF($K169&lt;&gt;"",$K169,IF(IFERROR(INDEX(RES_LOTSRC,MATCH($A169,RES_LOTEFF,0)),"")=$A169,"",IFERROR(INDEX(RES_LOTSRC,MATCH($A169,RES_LOTEFF,0)),""))))</f>
        <v/>
      </c>
      <c r="N169" s="26" t="str">
        <f aca="false">IF($A169="","",IF($B169&lt;&gt;"",$B169,IF($M169="","",IFERROR(INDEX($B$5:$B$204,MATCH($M169,$A$5:$A$204,0)),""))))</f>
        <v/>
      </c>
      <c r="O169" s="26" t="str">
        <f aca="false">IF($A169="","",IF($C169&lt;&gt;"",$C169,IF($M169="","",IFERROR(INDEX($C$5:$C$204,MATCH($M169,$A$5:$A$204,0)),""))))</f>
        <v/>
      </c>
      <c r="P169" s="26" t="str">
        <f aca="false">IF($A169="","",IF($D169&lt;&gt;"",$D169,IF($M169="","",IFERROR(INDEX($D$5:$D$204,MATCH($M169,$A$5:$A$204,0)),""))))</f>
        <v/>
      </c>
      <c r="Q169" s="26" t="str">
        <f aca="false">IF($A169="","",IF($G169&lt;&gt;"",$G169,IF($M169="","",IFERROR(INDEX($G$5:$G$204,MATCH($M169,$A$5:$A$204,0)),""))))</f>
        <v/>
      </c>
      <c r="R169" s="27" t="str">
        <f aca="false">IF($A169="","",SUMIFS(MVT_NET,MVT_LOT,$A169))</f>
        <v/>
      </c>
      <c r="S169" s="28" t="str">
        <f aca="false">IF($A169="","",COUNTIFS(MVT_LOT,$A169,MVT_BRUT,"&lt;&gt;0"))</f>
        <v/>
      </c>
      <c r="T169" s="28" t="str">
        <f aca="false">IF($A169="","",COUNTIFS(QC_LOT,$A169))</f>
        <v/>
      </c>
      <c r="U169" s="26" t="str">
        <f aca="false">IF($A169="","",IF(COUNTIF($A$5:$A$204,$A169)&gt;1,IF(SUMPRODUCT(($A$5:$A$204=$A169)*(($B$5:$B$204&lt;&gt;$B169)+($C$5:$C$204&lt;&gt;$C169)))&gt;0,"INCOHERENCE","LOT EN DOUBLE"),"OK"))</f>
        <v/>
      </c>
    </row>
    <row r="170" customFormat="false" ht="15" hidden="false" customHeight="false" outlineLevel="0" collapsed="false">
      <c r="A170" s="24"/>
      <c r="B170" s="24"/>
      <c r="C170" s="24"/>
      <c r="D170" s="24"/>
      <c r="E170" s="24"/>
      <c r="F170" s="24"/>
      <c r="G170" s="24"/>
      <c r="H170" s="24"/>
      <c r="I170" s="24"/>
      <c r="J170" s="25"/>
      <c r="K170" s="24"/>
      <c r="L170" s="24"/>
      <c r="M170" s="26" t="str">
        <f aca="false">IF($A170="","",IF($K170&lt;&gt;"",$K170,IF(IFERROR(INDEX(RES_LOTSRC,MATCH($A170,RES_LOTEFF,0)),"")=$A170,"",IFERROR(INDEX(RES_LOTSRC,MATCH($A170,RES_LOTEFF,0)),""))))</f>
        <v/>
      </c>
      <c r="N170" s="26" t="str">
        <f aca="false">IF($A170="","",IF($B170&lt;&gt;"",$B170,IF($M170="","",IFERROR(INDEX($B$5:$B$204,MATCH($M170,$A$5:$A$204,0)),""))))</f>
        <v/>
      </c>
      <c r="O170" s="26" t="str">
        <f aca="false">IF($A170="","",IF($C170&lt;&gt;"",$C170,IF($M170="","",IFERROR(INDEX($C$5:$C$204,MATCH($M170,$A$5:$A$204,0)),""))))</f>
        <v/>
      </c>
      <c r="P170" s="26" t="str">
        <f aca="false">IF($A170="","",IF($D170&lt;&gt;"",$D170,IF($M170="","",IFERROR(INDEX($D$5:$D$204,MATCH($M170,$A$5:$A$204,0)),""))))</f>
        <v/>
      </c>
      <c r="Q170" s="26" t="str">
        <f aca="false">IF($A170="","",IF($G170&lt;&gt;"",$G170,IF($M170="","",IFERROR(INDEX($G$5:$G$204,MATCH($M170,$A$5:$A$204,0)),""))))</f>
        <v/>
      </c>
      <c r="R170" s="27" t="str">
        <f aca="false">IF($A170="","",SUMIFS(MVT_NET,MVT_LOT,$A170))</f>
        <v/>
      </c>
      <c r="S170" s="28" t="str">
        <f aca="false">IF($A170="","",COUNTIFS(MVT_LOT,$A170,MVT_BRUT,"&lt;&gt;0"))</f>
        <v/>
      </c>
      <c r="T170" s="28" t="str">
        <f aca="false">IF($A170="","",COUNTIFS(QC_LOT,$A170))</f>
        <v/>
      </c>
      <c r="U170" s="26" t="str">
        <f aca="false">IF($A170="","",IF(COUNTIF($A$5:$A$204,$A170)&gt;1,IF(SUMPRODUCT(($A$5:$A$204=$A170)*(($B$5:$B$204&lt;&gt;$B170)+($C$5:$C$204&lt;&gt;$C170)))&gt;0,"INCOHERENCE","LOT EN DOUBLE"),"OK"))</f>
        <v/>
      </c>
    </row>
    <row r="171" customFormat="false" ht="15" hidden="false" customHeight="false" outlineLevel="0" collapsed="false">
      <c r="A171" s="24"/>
      <c r="B171" s="24"/>
      <c r="C171" s="24"/>
      <c r="D171" s="24"/>
      <c r="E171" s="24"/>
      <c r="F171" s="24"/>
      <c r="G171" s="24"/>
      <c r="H171" s="24"/>
      <c r="I171" s="24"/>
      <c r="J171" s="25"/>
      <c r="K171" s="24"/>
      <c r="L171" s="24"/>
      <c r="M171" s="26" t="str">
        <f aca="false">IF($A171="","",IF($K171&lt;&gt;"",$K171,IF(IFERROR(INDEX(RES_LOTSRC,MATCH($A171,RES_LOTEFF,0)),"")=$A171,"",IFERROR(INDEX(RES_LOTSRC,MATCH($A171,RES_LOTEFF,0)),""))))</f>
        <v/>
      </c>
      <c r="N171" s="26" t="str">
        <f aca="false">IF($A171="","",IF($B171&lt;&gt;"",$B171,IF($M171="","",IFERROR(INDEX($B$5:$B$204,MATCH($M171,$A$5:$A$204,0)),""))))</f>
        <v/>
      </c>
      <c r="O171" s="26" t="str">
        <f aca="false">IF($A171="","",IF($C171&lt;&gt;"",$C171,IF($M171="","",IFERROR(INDEX($C$5:$C$204,MATCH($M171,$A$5:$A$204,0)),""))))</f>
        <v/>
      </c>
      <c r="P171" s="26" t="str">
        <f aca="false">IF($A171="","",IF($D171&lt;&gt;"",$D171,IF($M171="","",IFERROR(INDEX($D$5:$D$204,MATCH($M171,$A$5:$A$204,0)),""))))</f>
        <v/>
      </c>
      <c r="Q171" s="26" t="str">
        <f aca="false">IF($A171="","",IF($G171&lt;&gt;"",$G171,IF($M171="","",IFERROR(INDEX($G$5:$G$204,MATCH($M171,$A$5:$A$204,0)),""))))</f>
        <v/>
      </c>
      <c r="R171" s="27" t="str">
        <f aca="false">IF($A171="","",SUMIFS(MVT_NET,MVT_LOT,$A171))</f>
        <v/>
      </c>
      <c r="S171" s="28" t="str">
        <f aca="false">IF($A171="","",COUNTIFS(MVT_LOT,$A171,MVT_BRUT,"&lt;&gt;0"))</f>
        <v/>
      </c>
      <c r="T171" s="28" t="str">
        <f aca="false">IF($A171="","",COUNTIFS(QC_LOT,$A171))</f>
        <v/>
      </c>
      <c r="U171" s="26" t="str">
        <f aca="false">IF($A171="","",IF(COUNTIF($A$5:$A$204,$A171)&gt;1,IF(SUMPRODUCT(($A$5:$A$204=$A171)*(($B$5:$B$204&lt;&gt;$B171)+($C$5:$C$204&lt;&gt;$C171)))&gt;0,"INCOHERENCE","LOT EN DOUBLE"),"OK"))</f>
        <v/>
      </c>
    </row>
    <row r="172" customFormat="false" ht="15" hidden="false" customHeight="false" outlineLevel="0" collapsed="false">
      <c r="A172" s="24"/>
      <c r="B172" s="24"/>
      <c r="C172" s="24"/>
      <c r="D172" s="24"/>
      <c r="E172" s="24"/>
      <c r="F172" s="24"/>
      <c r="G172" s="24"/>
      <c r="H172" s="24"/>
      <c r="I172" s="24"/>
      <c r="J172" s="25"/>
      <c r="K172" s="24"/>
      <c r="L172" s="24"/>
      <c r="M172" s="26" t="str">
        <f aca="false">IF($A172="","",IF($K172&lt;&gt;"",$K172,IF(IFERROR(INDEX(RES_LOTSRC,MATCH($A172,RES_LOTEFF,0)),"")=$A172,"",IFERROR(INDEX(RES_LOTSRC,MATCH($A172,RES_LOTEFF,0)),""))))</f>
        <v/>
      </c>
      <c r="N172" s="26" t="str">
        <f aca="false">IF($A172="","",IF($B172&lt;&gt;"",$B172,IF($M172="","",IFERROR(INDEX($B$5:$B$204,MATCH($M172,$A$5:$A$204,0)),""))))</f>
        <v/>
      </c>
      <c r="O172" s="26" t="str">
        <f aca="false">IF($A172="","",IF($C172&lt;&gt;"",$C172,IF($M172="","",IFERROR(INDEX($C$5:$C$204,MATCH($M172,$A$5:$A$204,0)),""))))</f>
        <v/>
      </c>
      <c r="P172" s="26" t="str">
        <f aca="false">IF($A172="","",IF($D172&lt;&gt;"",$D172,IF($M172="","",IFERROR(INDEX($D$5:$D$204,MATCH($M172,$A$5:$A$204,0)),""))))</f>
        <v/>
      </c>
      <c r="Q172" s="26" t="str">
        <f aca="false">IF($A172="","",IF($G172&lt;&gt;"",$G172,IF($M172="","",IFERROR(INDEX($G$5:$G$204,MATCH($M172,$A$5:$A$204,0)),""))))</f>
        <v/>
      </c>
      <c r="R172" s="27" t="str">
        <f aca="false">IF($A172="","",SUMIFS(MVT_NET,MVT_LOT,$A172))</f>
        <v/>
      </c>
      <c r="S172" s="28" t="str">
        <f aca="false">IF($A172="","",COUNTIFS(MVT_LOT,$A172,MVT_BRUT,"&lt;&gt;0"))</f>
        <v/>
      </c>
      <c r="T172" s="28" t="str">
        <f aca="false">IF($A172="","",COUNTIFS(QC_LOT,$A172))</f>
        <v/>
      </c>
      <c r="U172" s="26" t="str">
        <f aca="false">IF($A172="","",IF(COUNTIF($A$5:$A$204,$A172)&gt;1,IF(SUMPRODUCT(($A$5:$A$204=$A172)*(($B$5:$B$204&lt;&gt;$B172)+($C$5:$C$204&lt;&gt;$C172)))&gt;0,"INCOHERENCE","LOT EN DOUBLE"),"OK"))</f>
        <v/>
      </c>
    </row>
    <row r="173" customFormat="false" ht="15" hidden="false" customHeight="false" outlineLevel="0" collapsed="false">
      <c r="A173" s="24"/>
      <c r="B173" s="24"/>
      <c r="C173" s="24"/>
      <c r="D173" s="24"/>
      <c r="E173" s="24"/>
      <c r="F173" s="24"/>
      <c r="G173" s="24"/>
      <c r="H173" s="24"/>
      <c r="I173" s="24"/>
      <c r="J173" s="25"/>
      <c r="K173" s="24"/>
      <c r="L173" s="24"/>
      <c r="M173" s="26" t="str">
        <f aca="false">IF($A173="","",IF($K173&lt;&gt;"",$K173,IF(IFERROR(INDEX(RES_LOTSRC,MATCH($A173,RES_LOTEFF,0)),"")=$A173,"",IFERROR(INDEX(RES_LOTSRC,MATCH($A173,RES_LOTEFF,0)),""))))</f>
        <v/>
      </c>
      <c r="N173" s="26" t="str">
        <f aca="false">IF($A173="","",IF($B173&lt;&gt;"",$B173,IF($M173="","",IFERROR(INDEX($B$5:$B$204,MATCH($M173,$A$5:$A$204,0)),""))))</f>
        <v/>
      </c>
      <c r="O173" s="26" t="str">
        <f aca="false">IF($A173="","",IF($C173&lt;&gt;"",$C173,IF($M173="","",IFERROR(INDEX($C$5:$C$204,MATCH($M173,$A$5:$A$204,0)),""))))</f>
        <v/>
      </c>
      <c r="P173" s="26" t="str">
        <f aca="false">IF($A173="","",IF($D173&lt;&gt;"",$D173,IF($M173="","",IFERROR(INDEX($D$5:$D$204,MATCH($M173,$A$5:$A$204,0)),""))))</f>
        <v/>
      </c>
      <c r="Q173" s="26" t="str">
        <f aca="false">IF($A173="","",IF($G173&lt;&gt;"",$G173,IF($M173="","",IFERROR(INDEX($G$5:$G$204,MATCH($M173,$A$5:$A$204,0)),""))))</f>
        <v/>
      </c>
      <c r="R173" s="27" t="str">
        <f aca="false">IF($A173="","",SUMIFS(MVT_NET,MVT_LOT,$A173))</f>
        <v/>
      </c>
      <c r="S173" s="28" t="str">
        <f aca="false">IF($A173="","",COUNTIFS(MVT_LOT,$A173,MVT_BRUT,"&lt;&gt;0"))</f>
        <v/>
      </c>
      <c r="T173" s="28" t="str">
        <f aca="false">IF($A173="","",COUNTIFS(QC_LOT,$A173))</f>
        <v/>
      </c>
      <c r="U173" s="26" t="str">
        <f aca="false">IF($A173="","",IF(COUNTIF($A$5:$A$204,$A173)&gt;1,IF(SUMPRODUCT(($A$5:$A$204=$A173)*(($B$5:$B$204&lt;&gt;$B173)+($C$5:$C$204&lt;&gt;$C173)))&gt;0,"INCOHERENCE","LOT EN DOUBLE"),"OK"))</f>
        <v/>
      </c>
    </row>
    <row r="174" customFormat="false" ht="15" hidden="false" customHeight="false" outlineLevel="0" collapsed="false">
      <c r="A174" s="24"/>
      <c r="B174" s="24"/>
      <c r="C174" s="24"/>
      <c r="D174" s="24"/>
      <c r="E174" s="24"/>
      <c r="F174" s="24"/>
      <c r="G174" s="24"/>
      <c r="H174" s="24"/>
      <c r="I174" s="24"/>
      <c r="J174" s="25"/>
      <c r="K174" s="24"/>
      <c r="L174" s="24"/>
      <c r="M174" s="26" t="str">
        <f aca="false">IF($A174="","",IF($K174&lt;&gt;"",$K174,IF(IFERROR(INDEX(RES_LOTSRC,MATCH($A174,RES_LOTEFF,0)),"")=$A174,"",IFERROR(INDEX(RES_LOTSRC,MATCH($A174,RES_LOTEFF,0)),""))))</f>
        <v/>
      </c>
      <c r="N174" s="26" t="str">
        <f aca="false">IF($A174="","",IF($B174&lt;&gt;"",$B174,IF($M174="","",IFERROR(INDEX($B$5:$B$204,MATCH($M174,$A$5:$A$204,0)),""))))</f>
        <v/>
      </c>
      <c r="O174" s="26" t="str">
        <f aca="false">IF($A174="","",IF($C174&lt;&gt;"",$C174,IF($M174="","",IFERROR(INDEX($C$5:$C$204,MATCH($M174,$A$5:$A$204,0)),""))))</f>
        <v/>
      </c>
      <c r="P174" s="26" t="str">
        <f aca="false">IF($A174="","",IF($D174&lt;&gt;"",$D174,IF($M174="","",IFERROR(INDEX($D$5:$D$204,MATCH($M174,$A$5:$A$204,0)),""))))</f>
        <v/>
      </c>
      <c r="Q174" s="26" t="str">
        <f aca="false">IF($A174="","",IF($G174&lt;&gt;"",$G174,IF($M174="","",IFERROR(INDEX($G$5:$G$204,MATCH($M174,$A$5:$A$204,0)),""))))</f>
        <v/>
      </c>
      <c r="R174" s="27" t="str">
        <f aca="false">IF($A174="","",SUMIFS(MVT_NET,MVT_LOT,$A174))</f>
        <v/>
      </c>
      <c r="S174" s="28" t="str">
        <f aca="false">IF($A174="","",COUNTIFS(MVT_LOT,$A174,MVT_BRUT,"&lt;&gt;0"))</f>
        <v/>
      </c>
      <c r="T174" s="28" t="str">
        <f aca="false">IF($A174="","",COUNTIFS(QC_LOT,$A174))</f>
        <v/>
      </c>
      <c r="U174" s="26" t="str">
        <f aca="false">IF($A174="","",IF(COUNTIF($A$5:$A$204,$A174)&gt;1,IF(SUMPRODUCT(($A$5:$A$204=$A174)*(($B$5:$B$204&lt;&gt;$B174)+($C$5:$C$204&lt;&gt;$C174)))&gt;0,"INCOHERENCE","LOT EN DOUBLE"),"OK"))</f>
        <v/>
      </c>
    </row>
    <row r="175" customFormat="false" ht="15" hidden="false" customHeight="false" outlineLevel="0" collapsed="false">
      <c r="A175" s="24"/>
      <c r="B175" s="24"/>
      <c r="C175" s="24"/>
      <c r="D175" s="24"/>
      <c r="E175" s="24"/>
      <c r="F175" s="24"/>
      <c r="G175" s="24"/>
      <c r="H175" s="24"/>
      <c r="I175" s="24"/>
      <c r="J175" s="25"/>
      <c r="K175" s="24"/>
      <c r="L175" s="24"/>
      <c r="M175" s="26" t="str">
        <f aca="false">IF($A175="","",IF($K175&lt;&gt;"",$K175,IF(IFERROR(INDEX(RES_LOTSRC,MATCH($A175,RES_LOTEFF,0)),"")=$A175,"",IFERROR(INDEX(RES_LOTSRC,MATCH($A175,RES_LOTEFF,0)),""))))</f>
        <v/>
      </c>
      <c r="N175" s="26" t="str">
        <f aca="false">IF($A175="","",IF($B175&lt;&gt;"",$B175,IF($M175="","",IFERROR(INDEX($B$5:$B$204,MATCH($M175,$A$5:$A$204,0)),""))))</f>
        <v/>
      </c>
      <c r="O175" s="26" t="str">
        <f aca="false">IF($A175="","",IF($C175&lt;&gt;"",$C175,IF($M175="","",IFERROR(INDEX($C$5:$C$204,MATCH($M175,$A$5:$A$204,0)),""))))</f>
        <v/>
      </c>
      <c r="P175" s="26" t="str">
        <f aca="false">IF($A175="","",IF($D175&lt;&gt;"",$D175,IF($M175="","",IFERROR(INDEX($D$5:$D$204,MATCH($M175,$A$5:$A$204,0)),""))))</f>
        <v/>
      </c>
      <c r="Q175" s="26" t="str">
        <f aca="false">IF($A175="","",IF($G175&lt;&gt;"",$G175,IF($M175="","",IFERROR(INDEX($G$5:$G$204,MATCH($M175,$A$5:$A$204,0)),""))))</f>
        <v/>
      </c>
      <c r="R175" s="27" t="str">
        <f aca="false">IF($A175="","",SUMIFS(MVT_NET,MVT_LOT,$A175))</f>
        <v/>
      </c>
      <c r="S175" s="28" t="str">
        <f aca="false">IF($A175="","",COUNTIFS(MVT_LOT,$A175,MVT_BRUT,"&lt;&gt;0"))</f>
        <v/>
      </c>
      <c r="T175" s="28" t="str">
        <f aca="false">IF($A175="","",COUNTIFS(QC_LOT,$A175))</f>
        <v/>
      </c>
      <c r="U175" s="26" t="str">
        <f aca="false">IF($A175="","",IF(COUNTIF($A$5:$A$204,$A175)&gt;1,IF(SUMPRODUCT(($A$5:$A$204=$A175)*(($B$5:$B$204&lt;&gt;$B175)+($C$5:$C$204&lt;&gt;$C175)))&gt;0,"INCOHERENCE","LOT EN DOUBLE"),"OK"))</f>
        <v/>
      </c>
    </row>
    <row r="176" customFormat="false" ht="15" hidden="false" customHeight="false" outlineLevel="0" collapsed="false">
      <c r="A176" s="24"/>
      <c r="B176" s="24"/>
      <c r="C176" s="24"/>
      <c r="D176" s="24"/>
      <c r="E176" s="24"/>
      <c r="F176" s="24"/>
      <c r="G176" s="24"/>
      <c r="H176" s="24"/>
      <c r="I176" s="24"/>
      <c r="J176" s="25"/>
      <c r="K176" s="24"/>
      <c r="L176" s="24"/>
      <c r="M176" s="26" t="str">
        <f aca="false">IF($A176="","",IF($K176&lt;&gt;"",$K176,IF(IFERROR(INDEX(RES_LOTSRC,MATCH($A176,RES_LOTEFF,0)),"")=$A176,"",IFERROR(INDEX(RES_LOTSRC,MATCH($A176,RES_LOTEFF,0)),""))))</f>
        <v/>
      </c>
      <c r="N176" s="26" t="str">
        <f aca="false">IF($A176="","",IF($B176&lt;&gt;"",$B176,IF($M176="","",IFERROR(INDEX($B$5:$B$204,MATCH($M176,$A$5:$A$204,0)),""))))</f>
        <v/>
      </c>
      <c r="O176" s="26" t="str">
        <f aca="false">IF($A176="","",IF($C176&lt;&gt;"",$C176,IF($M176="","",IFERROR(INDEX($C$5:$C$204,MATCH($M176,$A$5:$A$204,0)),""))))</f>
        <v/>
      </c>
      <c r="P176" s="26" t="str">
        <f aca="false">IF($A176="","",IF($D176&lt;&gt;"",$D176,IF($M176="","",IFERROR(INDEX($D$5:$D$204,MATCH($M176,$A$5:$A$204,0)),""))))</f>
        <v/>
      </c>
      <c r="Q176" s="26" t="str">
        <f aca="false">IF($A176="","",IF($G176&lt;&gt;"",$G176,IF($M176="","",IFERROR(INDEX($G$5:$G$204,MATCH($M176,$A$5:$A$204,0)),""))))</f>
        <v/>
      </c>
      <c r="R176" s="27" t="str">
        <f aca="false">IF($A176="","",SUMIFS(MVT_NET,MVT_LOT,$A176))</f>
        <v/>
      </c>
      <c r="S176" s="28" t="str">
        <f aca="false">IF($A176="","",COUNTIFS(MVT_LOT,$A176,MVT_BRUT,"&lt;&gt;0"))</f>
        <v/>
      </c>
      <c r="T176" s="28" t="str">
        <f aca="false">IF($A176="","",COUNTIFS(QC_LOT,$A176))</f>
        <v/>
      </c>
      <c r="U176" s="26" t="str">
        <f aca="false">IF($A176="","",IF(COUNTIF($A$5:$A$204,$A176)&gt;1,IF(SUMPRODUCT(($A$5:$A$204=$A176)*(($B$5:$B$204&lt;&gt;$B176)+($C$5:$C$204&lt;&gt;$C176)))&gt;0,"INCOHERENCE","LOT EN DOUBLE"),"OK"))</f>
        <v/>
      </c>
    </row>
    <row r="177" customFormat="false" ht="15" hidden="false" customHeight="false" outlineLevel="0" collapsed="false">
      <c r="A177" s="24"/>
      <c r="B177" s="24"/>
      <c r="C177" s="24"/>
      <c r="D177" s="24"/>
      <c r="E177" s="24"/>
      <c r="F177" s="24"/>
      <c r="G177" s="24"/>
      <c r="H177" s="24"/>
      <c r="I177" s="24"/>
      <c r="J177" s="25"/>
      <c r="K177" s="24"/>
      <c r="L177" s="24"/>
      <c r="M177" s="26" t="str">
        <f aca="false">IF($A177="","",IF($K177&lt;&gt;"",$K177,IF(IFERROR(INDEX(RES_LOTSRC,MATCH($A177,RES_LOTEFF,0)),"")=$A177,"",IFERROR(INDEX(RES_LOTSRC,MATCH($A177,RES_LOTEFF,0)),""))))</f>
        <v/>
      </c>
      <c r="N177" s="26" t="str">
        <f aca="false">IF($A177="","",IF($B177&lt;&gt;"",$B177,IF($M177="","",IFERROR(INDEX($B$5:$B$204,MATCH($M177,$A$5:$A$204,0)),""))))</f>
        <v/>
      </c>
      <c r="O177" s="26" t="str">
        <f aca="false">IF($A177="","",IF($C177&lt;&gt;"",$C177,IF($M177="","",IFERROR(INDEX($C$5:$C$204,MATCH($M177,$A$5:$A$204,0)),""))))</f>
        <v/>
      </c>
      <c r="P177" s="26" t="str">
        <f aca="false">IF($A177="","",IF($D177&lt;&gt;"",$D177,IF($M177="","",IFERROR(INDEX($D$5:$D$204,MATCH($M177,$A$5:$A$204,0)),""))))</f>
        <v/>
      </c>
      <c r="Q177" s="26" t="str">
        <f aca="false">IF($A177="","",IF($G177&lt;&gt;"",$G177,IF($M177="","",IFERROR(INDEX($G$5:$G$204,MATCH($M177,$A$5:$A$204,0)),""))))</f>
        <v/>
      </c>
      <c r="R177" s="27" t="str">
        <f aca="false">IF($A177="","",SUMIFS(MVT_NET,MVT_LOT,$A177))</f>
        <v/>
      </c>
      <c r="S177" s="28" t="str">
        <f aca="false">IF($A177="","",COUNTIFS(MVT_LOT,$A177,MVT_BRUT,"&lt;&gt;0"))</f>
        <v/>
      </c>
      <c r="T177" s="28" t="str">
        <f aca="false">IF($A177="","",COUNTIFS(QC_LOT,$A177))</f>
        <v/>
      </c>
      <c r="U177" s="26" t="str">
        <f aca="false">IF($A177="","",IF(COUNTIF($A$5:$A$204,$A177)&gt;1,IF(SUMPRODUCT(($A$5:$A$204=$A177)*(($B$5:$B$204&lt;&gt;$B177)+($C$5:$C$204&lt;&gt;$C177)))&gt;0,"INCOHERENCE","LOT EN DOUBLE"),"OK"))</f>
        <v/>
      </c>
    </row>
    <row r="178" customFormat="false" ht="15" hidden="false" customHeight="false" outlineLevel="0" collapsed="false">
      <c r="A178" s="24"/>
      <c r="B178" s="24"/>
      <c r="C178" s="24"/>
      <c r="D178" s="24"/>
      <c r="E178" s="24"/>
      <c r="F178" s="24"/>
      <c r="G178" s="24"/>
      <c r="H178" s="24"/>
      <c r="I178" s="24"/>
      <c r="J178" s="25"/>
      <c r="K178" s="24"/>
      <c r="L178" s="24"/>
      <c r="M178" s="26" t="str">
        <f aca="false">IF($A178="","",IF($K178&lt;&gt;"",$K178,IF(IFERROR(INDEX(RES_LOTSRC,MATCH($A178,RES_LOTEFF,0)),"")=$A178,"",IFERROR(INDEX(RES_LOTSRC,MATCH($A178,RES_LOTEFF,0)),""))))</f>
        <v/>
      </c>
      <c r="N178" s="26" t="str">
        <f aca="false">IF($A178="","",IF($B178&lt;&gt;"",$B178,IF($M178="","",IFERROR(INDEX($B$5:$B$204,MATCH($M178,$A$5:$A$204,0)),""))))</f>
        <v/>
      </c>
      <c r="O178" s="26" t="str">
        <f aca="false">IF($A178="","",IF($C178&lt;&gt;"",$C178,IF($M178="","",IFERROR(INDEX($C$5:$C$204,MATCH($M178,$A$5:$A$204,0)),""))))</f>
        <v/>
      </c>
      <c r="P178" s="26" t="str">
        <f aca="false">IF($A178="","",IF($D178&lt;&gt;"",$D178,IF($M178="","",IFERROR(INDEX($D$5:$D$204,MATCH($M178,$A$5:$A$204,0)),""))))</f>
        <v/>
      </c>
      <c r="Q178" s="26" t="str">
        <f aca="false">IF($A178="","",IF($G178&lt;&gt;"",$G178,IF($M178="","",IFERROR(INDEX($G$5:$G$204,MATCH($M178,$A$5:$A$204,0)),""))))</f>
        <v/>
      </c>
      <c r="R178" s="27" t="str">
        <f aca="false">IF($A178="","",SUMIFS(MVT_NET,MVT_LOT,$A178))</f>
        <v/>
      </c>
      <c r="S178" s="28" t="str">
        <f aca="false">IF($A178="","",COUNTIFS(MVT_LOT,$A178,MVT_BRUT,"&lt;&gt;0"))</f>
        <v/>
      </c>
      <c r="T178" s="28" t="str">
        <f aca="false">IF($A178="","",COUNTIFS(QC_LOT,$A178))</f>
        <v/>
      </c>
      <c r="U178" s="26" t="str">
        <f aca="false">IF($A178="","",IF(COUNTIF($A$5:$A$204,$A178)&gt;1,IF(SUMPRODUCT(($A$5:$A$204=$A178)*(($B$5:$B$204&lt;&gt;$B178)+($C$5:$C$204&lt;&gt;$C178)))&gt;0,"INCOHERENCE","LOT EN DOUBLE"),"OK"))</f>
        <v/>
      </c>
    </row>
    <row r="179" customFormat="false" ht="15" hidden="false" customHeight="false" outlineLevel="0" collapsed="false">
      <c r="A179" s="24"/>
      <c r="B179" s="24"/>
      <c r="C179" s="24"/>
      <c r="D179" s="24"/>
      <c r="E179" s="24"/>
      <c r="F179" s="24"/>
      <c r="G179" s="24"/>
      <c r="H179" s="24"/>
      <c r="I179" s="24"/>
      <c r="J179" s="25"/>
      <c r="K179" s="24"/>
      <c r="L179" s="24"/>
      <c r="M179" s="26" t="str">
        <f aca="false">IF($A179="","",IF($K179&lt;&gt;"",$K179,IF(IFERROR(INDEX(RES_LOTSRC,MATCH($A179,RES_LOTEFF,0)),"")=$A179,"",IFERROR(INDEX(RES_LOTSRC,MATCH($A179,RES_LOTEFF,0)),""))))</f>
        <v/>
      </c>
      <c r="N179" s="26" t="str">
        <f aca="false">IF($A179="","",IF($B179&lt;&gt;"",$B179,IF($M179="","",IFERROR(INDEX($B$5:$B$204,MATCH($M179,$A$5:$A$204,0)),""))))</f>
        <v/>
      </c>
      <c r="O179" s="26" t="str">
        <f aca="false">IF($A179="","",IF($C179&lt;&gt;"",$C179,IF($M179="","",IFERROR(INDEX($C$5:$C$204,MATCH($M179,$A$5:$A$204,0)),""))))</f>
        <v/>
      </c>
      <c r="P179" s="26" t="str">
        <f aca="false">IF($A179="","",IF($D179&lt;&gt;"",$D179,IF($M179="","",IFERROR(INDEX($D$5:$D$204,MATCH($M179,$A$5:$A$204,0)),""))))</f>
        <v/>
      </c>
      <c r="Q179" s="26" t="str">
        <f aca="false">IF($A179="","",IF($G179&lt;&gt;"",$G179,IF($M179="","",IFERROR(INDEX($G$5:$G$204,MATCH($M179,$A$5:$A$204,0)),""))))</f>
        <v/>
      </c>
      <c r="R179" s="27" t="str">
        <f aca="false">IF($A179="","",SUMIFS(MVT_NET,MVT_LOT,$A179))</f>
        <v/>
      </c>
      <c r="S179" s="28" t="str">
        <f aca="false">IF($A179="","",COUNTIFS(MVT_LOT,$A179,MVT_BRUT,"&lt;&gt;0"))</f>
        <v/>
      </c>
      <c r="T179" s="28" t="str">
        <f aca="false">IF($A179="","",COUNTIFS(QC_LOT,$A179))</f>
        <v/>
      </c>
      <c r="U179" s="26" t="str">
        <f aca="false">IF($A179="","",IF(COUNTIF($A$5:$A$204,$A179)&gt;1,IF(SUMPRODUCT(($A$5:$A$204=$A179)*(($B$5:$B$204&lt;&gt;$B179)+($C$5:$C$204&lt;&gt;$C179)))&gt;0,"INCOHERENCE","LOT EN DOUBLE"),"OK"))</f>
        <v/>
      </c>
    </row>
    <row r="180" customFormat="false" ht="15" hidden="false" customHeight="false" outlineLevel="0" collapsed="false">
      <c r="A180" s="24"/>
      <c r="B180" s="24"/>
      <c r="C180" s="24"/>
      <c r="D180" s="24"/>
      <c r="E180" s="24"/>
      <c r="F180" s="24"/>
      <c r="G180" s="24"/>
      <c r="H180" s="24"/>
      <c r="I180" s="24"/>
      <c r="J180" s="25"/>
      <c r="K180" s="24"/>
      <c r="L180" s="24"/>
      <c r="M180" s="26" t="str">
        <f aca="false">IF($A180="","",IF($K180&lt;&gt;"",$K180,IF(IFERROR(INDEX(RES_LOTSRC,MATCH($A180,RES_LOTEFF,0)),"")=$A180,"",IFERROR(INDEX(RES_LOTSRC,MATCH($A180,RES_LOTEFF,0)),""))))</f>
        <v/>
      </c>
      <c r="N180" s="26" t="str">
        <f aca="false">IF($A180="","",IF($B180&lt;&gt;"",$B180,IF($M180="","",IFERROR(INDEX($B$5:$B$204,MATCH($M180,$A$5:$A$204,0)),""))))</f>
        <v/>
      </c>
      <c r="O180" s="26" t="str">
        <f aca="false">IF($A180="","",IF($C180&lt;&gt;"",$C180,IF($M180="","",IFERROR(INDEX($C$5:$C$204,MATCH($M180,$A$5:$A$204,0)),""))))</f>
        <v/>
      </c>
      <c r="P180" s="26" t="str">
        <f aca="false">IF($A180="","",IF($D180&lt;&gt;"",$D180,IF($M180="","",IFERROR(INDEX($D$5:$D$204,MATCH($M180,$A$5:$A$204,0)),""))))</f>
        <v/>
      </c>
      <c r="Q180" s="26" t="str">
        <f aca="false">IF($A180="","",IF($G180&lt;&gt;"",$G180,IF($M180="","",IFERROR(INDEX($G$5:$G$204,MATCH($M180,$A$5:$A$204,0)),""))))</f>
        <v/>
      </c>
      <c r="R180" s="27" t="str">
        <f aca="false">IF($A180="","",SUMIFS(MVT_NET,MVT_LOT,$A180))</f>
        <v/>
      </c>
      <c r="S180" s="28" t="str">
        <f aca="false">IF($A180="","",COUNTIFS(MVT_LOT,$A180,MVT_BRUT,"&lt;&gt;0"))</f>
        <v/>
      </c>
      <c r="T180" s="28" t="str">
        <f aca="false">IF($A180="","",COUNTIFS(QC_LOT,$A180))</f>
        <v/>
      </c>
      <c r="U180" s="26" t="str">
        <f aca="false">IF($A180="","",IF(COUNTIF($A$5:$A$204,$A180)&gt;1,IF(SUMPRODUCT(($A$5:$A$204=$A180)*(($B$5:$B$204&lt;&gt;$B180)+($C$5:$C$204&lt;&gt;$C180)))&gt;0,"INCOHERENCE","LOT EN DOUBLE"),"OK"))</f>
        <v/>
      </c>
    </row>
    <row r="181" customFormat="false" ht="15" hidden="false" customHeight="false" outlineLevel="0" collapsed="false">
      <c r="A181" s="24"/>
      <c r="B181" s="24"/>
      <c r="C181" s="24"/>
      <c r="D181" s="24"/>
      <c r="E181" s="24"/>
      <c r="F181" s="24"/>
      <c r="G181" s="24"/>
      <c r="H181" s="24"/>
      <c r="I181" s="24"/>
      <c r="J181" s="25"/>
      <c r="K181" s="24"/>
      <c r="L181" s="24"/>
      <c r="M181" s="26" t="str">
        <f aca="false">IF($A181="","",IF($K181&lt;&gt;"",$K181,IF(IFERROR(INDEX(RES_LOTSRC,MATCH($A181,RES_LOTEFF,0)),"")=$A181,"",IFERROR(INDEX(RES_LOTSRC,MATCH($A181,RES_LOTEFF,0)),""))))</f>
        <v/>
      </c>
      <c r="N181" s="26" t="str">
        <f aca="false">IF($A181="","",IF($B181&lt;&gt;"",$B181,IF($M181="","",IFERROR(INDEX($B$5:$B$204,MATCH($M181,$A$5:$A$204,0)),""))))</f>
        <v/>
      </c>
      <c r="O181" s="26" t="str">
        <f aca="false">IF($A181="","",IF($C181&lt;&gt;"",$C181,IF($M181="","",IFERROR(INDEX($C$5:$C$204,MATCH($M181,$A$5:$A$204,0)),""))))</f>
        <v/>
      </c>
      <c r="P181" s="26" t="str">
        <f aca="false">IF($A181="","",IF($D181&lt;&gt;"",$D181,IF($M181="","",IFERROR(INDEX($D$5:$D$204,MATCH($M181,$A$5:$A$204,0)),""))))</f>
        <v/>
      </c>
      <c r="Q181" s="26" t="str">
        <f aca="false">IF($A181="","",IF($G181&lt;&gt;"",$G181,IF($M181="","",IFERROR(INDEX($G$5:$G$204,MATCH($M181,$A$5:$A$204,0)),""))))</f>
        <v/>
      </c>
      <c r="R181" s="27" t="str">
        <f aca="false">IF($A181="","",SUMIFS(MVT_NET,MVT_LOT,$A181))</f>
        <v/>
      </c>
      <c r="S181" s="28" t="str">
        <f aca="false">IF($A181="","",COUNTIFS(MVT_LOT,$A181,MVT_BRUT,"&lt;&gt;0"))</f>
        <v/>
      </c>
      <c r="T181" s="28" t="str">
        <f aca="false">IF($A181="","",COUNTIFS(QC_LOT,$A181))</f>
        <v/>
      </c>
      <c r="U181" s="26" t="str">
        <f aca="false">IF($A181="","",IF(COUNTIF($A$5:$A$204,$A181)&gt;1,IF(SUMPRODUCT(($A$5:$A$204=$A181)*(($B$5:$B$204&lt;&gt;$B181)+($C$5:$C$204&lt;&gt;$C181)))&gt;0,"INCOHERENCE","LOT EN DOUBLE"),"OK"))</f>
        <v/>
      </c>
    </row>
    <row r="182" customFormat="false" ht="15" hidden="false" customHeight="false" outlineLevel="0" collapsed="false">
      <c r="A182" s="24"/>
      <c r="B182" s="24"/>
      <c r="C182" s="24"/>
      <c r="D182" s="24"/>
      <c r="E182" s="24"/>
      <c r="F182" s="24"/>
      <c r="G182" s="24"/>
      <c r="H182" s="24"/>
      <c r="I182" s="24"/>
      <c r="J182" s="25"/>
      <c r="K182" s="24"/>
      <c r="L182" s="24"/>
      <c r="M182" s="26" t="str">
        <f aca="false">IF($A182="","",IF($K182&lt;&gt;"",$K182,IF(IFERROR(INDEX(RES_LOTSRC,MATCH($A182,RES_LOTEFF,0)),"")=$A182,"",IFERROR(INDEX(RES_LOTSRC,MATCH($A182,RES_LOTEFF,0)),""))))</f>
        <v/>
      </c>
      <c r="N182" s="26" t="str">
        <f aca="false">IF($A182="","",IF($B182&lt;&gt;"",$B182,IF($M182="","",IFERROR(INDEX($B$5:$B$204,MATCH($M182,$A$5:$A$204,0)),""))))</f>
        <v/>
      </c>
      <c r="O182" s="26" t="str">
        <f aca="false">IF($A182="","",IF($C182&lt;&gt;"",$C182,IF($M182="","",IFERROR(INDEX($C$5:$C$204,MATCH($M182,$A$5:$A$204,0)),""))))</f>
        <v/>
      </c>
      <c r="P182" s="26" t="str">
        <f aca="false">IF($A182="","",IF($D182&lt;&gt;"",$D182,IF($M182="","",IFERROR(INDEX($D$5:$D$204,MATCH($M182,$A$5:$A$204,0)),""))))</f>
        <v/>
      </c>
      <c r="Q182" s="26" t="str">
        <f aca="false">IF($A182="","",IF($G182&lt;&gt;"",$G182,IF($M182="","",IFERROR(INDEX($G$5:$G$204,MATCH($M182,$A$5:$A$204,0)),""))))</f>
        <v/>
      </c>
      <c r="R182" s="27" t="str">
        <f aca="false">IF($A182="","",SUMIFS(MVT_NET,MVT_LOT,$A182))</f>
        <v/>
      </c>
      <c r="S182" s="28" t="str">
        <f aca="false">IF($A182="","",COUNTIFS(MVT_LOT,$A182,MVT_BRUT,"&lt;&gt;0"))</f>
        <v/>
      </c>
      <c r="T182" s="28" t="str">
        <f aca="false">IF($A182="","",COUNTIFS(QC_LOT,$A182))</f>
        <v/>
      </c>
      <c r="U182" s="26" t="str">
        <f aca="false">IF($A182="","",IF(COUNTIF($A$5:$A$204,$A182)&gt;1,IF(SUMPRODUCT(($A$5:$A$204=$A182)*(($B$5:$B$204&lt;&gt;$B182)+($C$5:$C$204&lt;&gt;$C182)))&gt;0,"INCOHERENCE","LOT EN DOUBLE"),"OK"))</f>
        <v/>
      </c>
    </row>
    <row r="183" customFormat="false" ht="15" hidden="false" customHeight="false" outlineLevel="0" collapsed="false">
      <c r="A183" s="24"/>
      <c r="B183" s="24"/>
      <c r="C183" s="24"/>
      <c r="D183" s="24"/>
      <c r="E183" s="24"/>
      <c r="F183" s="24"/>
      <c r="G183" s="24"/>
      <c r="H183" s="24"/>
      <c r="I183" s="24"/>
      <c r="J183" s="25"/>
      <c r="K183" s="24"/>
      <c r="L183" s="24"/>
      <c r="M183" s="26" t="str">
        <f aca="false">IF($A183="","",IF($K183&lt;&gt;"",$K183,IF(IFERROR(INDEX(RES_LOTSRC,MATCH($A183,RES_LOTEFF,0)),"")=$A183,"",IFERROR(INDEX(RES_LOTSRC,MATCH($A183,RES_LOTEFF,0)),""))))</f>
        <v/>
      </c>
      <c r="N183" s="26" t="str">
        <f aca="false">IF($A183="","",IF($B183&lt;&gt;"",$B183,IF($M183="","",IFERROR(INDEX($B$5:$B$204,MATCH($M183,$A$5:$A$204,0)),""))))</f>
        <v/>
      </c>
      <c r="O183" s="26" t="str">
        <f aca="false">IF($A183="","",IF($C183&lt;&gt;"",$C183,IF($M183="","",IFERROR(INDEX($C$5:$C$204,MATCH($M183,$A$5:$A$204,0)),""))))</f>
        <v/>
      </c>
      <c r="P183" s="26" t="str">
        <f aca="false">IF($A183="","",IF($D183&lt;&gt;"",$D183,IF($M183="","",IFERROR(INDEX($D$5:$D$204,MATCH($M183,$A$5:$A$204,0)),""))))</f>
        <v/>
      </c>
      <c r="Q183" s="26" t="str">
        <f aca="false">IF($A183="","",IF($G183&lt;&gt;"",$G183,IF($M183="","",IFERROR(INDEX($G$5:$G$204,MATCH($M183,$A$5:$A$204,0)),""))))</f>
        <v/>
      </c>
      <c r="R183" s="27" t="str">
        <f aca="false">IF($A183="","",SUMIFS(MVT_NET,MVT_LOT,$A183))</f>
        <v/>
      </c>
      <c r="S183" s="28" t="str">
        <f aca="false">IF($A183="","",COUNTIFS(MVT_LOT,$A183,MVT_BRUT,"&lt;&gt;0"))</f>
        <v/>
      </c>
      <c r="T183" s="28" t="str">
        <f aca="false">IF($A183="","",COUNTIFS(QC_LOT,$A183))</f>
        <v/>
      </c>
      <c r="U183" s="26" t="str">
        <f aca="false">IF($A183="","",IF(COUNTIF($A$5:$A$204,$A183)&gt;1,IF(SUMPRODUCT(($A$5:$A$204=$A183)*(($B$5:$B$204&lt;&gt;$B183)+($C$5:$C$204&lt;&gt;$C183)))&gt;0,"INCOHERENCE","LOT EN DOUBLE"),"OK"))</f>
        <v/>
      </c>
    </row>
    <row r="184" customFormat="false" ht="15" hidden="false" customHeight="false" outlineLevel="0" collapsed="false">
      <c r="A184" s="24"/>
      <c r="B184" s="24"/>
      <c r="C184" s="24"/>
      <c r="D184" s="24"/>
      <c r="E184" s="24"/>
      <c r="F184" s="24"/>
      <c r="G184" s="24"/>
      <c r="H184" s="24"/>
      <c r="I184" s="24"/>
      <c r="J184" s="25"/>
      <c r="K184" s="24"/>
      <c r="L184" s="24"/>
      <c r="M184" s="26" t="str">
        <f aca="false">IF($A184="","",IF($K184&lt;&gt;"",$K184,IF(IFERROR(INDEX(RES_LOTSRC,MATCH($A184,RES_LOTEFF,0)),"")=$A184,"",IFERROR(INDEX(RES_LOTSRC,MATCH($A184,RES_LOTEFF,0)),""))))</f>
        <v/>
      </c>
      <c r="N184" s="26" t="str">
        <f aca="false">IF($A184="","",IF($B184&lt;&gt;"",$B184,IF($M184="","",IFERROR(INDEX($B$5:$B$204,MATCH($M184,$A$5:$A$204,0)),""))))</f>
        <v/>
      </c>
      <c r="O184" s="26" t="str">
        <f aca="false">IF($A184="","",IF($C184&lt;&gt;"",$C184,IF($M184="","",IFERROR(INDEX($C$5:$C$204,MATCH($M184,$A$5:$A$204,0)),""))))</f>
        <v/>
      </c>
      <c r="P184" s="26" t="str">
        <f aca="false">IF($A184="","",IF($D184&lt;&gt;"",$D184,IF($M184="","",IFERROR(INDEX($D$5:$D$204,MATCH($M184,$A$5:$A$204,0)),""))))</f>
        <v/>
      </c>
      <c r="Q184" s="26" t="str">
        <f aca="false">IF($A184="","",IF($G184&lt;&gt;"",$G184,IF($M184="","",IFERROR(INDEX($G$5:$G$204,MATCH($M184,$A$5:$A$204,0)),""))))</f>
        <v/>
      </c>
      <c r="R184" s="27" t="str">
        <f aca="false">IF($A184="","",SUMIFS(MVT_NET,MVT_LOT,$A184))</f>
        <v/>
      </c>
      <c r="S184" s="28" t="str">
        <f aca="false">IF($A184="","",COUNTIFS(MVT_LOT,$A184,MVT_BRUT,"&lt;&gt;0"))</f>
        <v/>
      </c>
      <c r="T184" s="28" t="str">
        <f aca="false">IF($A184="","",COUNTIFS(QC_LOT,$A184))</f>
        <v/>
      </c>
      <c r="U184" s="26" t="str">
        <f aca="false">IF($A184="","",IF(COUNTIF($A$5:$A$204,$A184)&gt;1,IF(SUMPRODUCT(($A$5:$A$204=$A184)*(($B$5:$B$204&lt;&gt;$B184)+($C$5:$C$204&lt;&gt;$C184)))&gt;0,"INCOHERENCE","LOT EN DOUBLE"),"OK"))</f>
        <v/>
      </c>
    </row>
    <row r="185" customFormat="false" ht="15" hidden="false" customHeight="false" outlineLevel="0" collapsed="false">
      <c r="A185" s="24"/>
      <c r="B185" s="24"/>
      <c r="C185" s="24"/>
      <c r="D185" s="24"/>
      <c r="E185" s="24"/>
      <c r="F185" s="24"/>
      <c r="G185" s="24"/>
      <c r="H185" s="24"/>
      <c r="I185" s="24"/>
      <c r="J185" s="25"/>
      <c r="K185" s="24"/>
      <c r="L185" s="24"/>
      <c r="M185" s="26" t="str">
        <f aca="false">IF($A185="","",IF($K185&lt;&gt;"",$K185,IF(IFERROR(INDEX(RES_LOTSRC,MATCH($A185,RES_LOTEFF,0)),"")=$A185,"",IFERROR(INDEX(RES_LOTSRC,MATCH($A185,RES_LOTEFF,0)),""))))</f>
        <v/>
      </c>
      <c r="N185" s="26" t="str">
        <f aca="false">IF($A185="","",IF($B185&lt;&gt;"",$B185,IF($M185="","",IFERROR(INDEX($B$5:$B$204,MATCH($M185,$A$5:$A$204,0)),""))))</f>
        <v/>
      </c>
      <c r="O185" s="26" t="str">
        <f aca="false">IF($A185="","",IF($C185&lt;&gt;"",$C185,IF($M185="","",IFERROR(INDEX($C$5:$C$204,MATCH($M185,$A$5:$A$204,0)),""))))</f>
        <v/>
      </c>
      <c r="P185" s="26" t="str">
        <f aca="false">IF($A185="","",IF($D185&lt;&gt;"",$D185,IF($M185="","",IFERROR(INDEX($D$5:$D$204,MATCH($M185,$A$5:$A$204,0)),""))))</f>
        <v/>
      </c>
      <c r="Q185" s="26" t="str">
        <f aca="false">IF($A185="","",IF($G185&lt;&gt;"",$G185,IF($M185="","",IFERROR(INDEX($G$5:$G$204,MATCH($M185,$A$5:$A$204,0)),""))))</f>
        <v/>
      </c>
      <c r="R185" s="27" t="str">
        <f aca="false">IF($A185="","",SUMIFS(MVT_NET,MVT_LOT,$A185))</f>
        <v/>
      </c>
      <c r="S185" s="28" t="str">
        <f aca="false">IF($A185="","",COUNTIFS(MVT_LOT,$A185,MVT_BRUT,"&lt;&gt;0"))</f>
        <v/>
      </c>
      <c r="T185" s="28" t="str">
        <f aca="false">IF($A185="","",COUNTIFS(QC_LOT,$A185))</f>
        <v/>
      </c>
      <c r="U185" s="26" t="str">
        <f aca="false">IF($A185="","",IF(COUNTIF($A$5:$A$204,$A185)&gt;1,IF(SUMPRODUCT(($A$5:$A$204=$A185)*(($B$5:$B$204&lt;&gt;$B185)+($C$5:$C$204&lt;&gt;$C185)))&gt;0,"INCOHERENCE","LOT EN DOUBLE"),"OK"))</f>
        <v/>
      </c>
    </row>
    <row r="186" customFormat="false" ht="15" hidden="false" customHeight="false" outlineLevel="0" collapsed="false">
      <c r="A186" s="24"/>
      <c r="B186" s="24"/>
      <c r="C186" s="24"/>
      <c r="D186" s="24"/>
      <c r="E186" s="24"/>
      <c r="F186" s="24"/>
      <c r="G186" s="24"/>
      <c r="H186" s="24"/>
      <c r="I186" s="24"/>
      <c r="J186" s="25"/>
      <c r="K186" s="24"/>
      <c r="L186" s="24"/>
      <c r="M186" s="26" t="str">
        <f aca="false">IF($A186="","",IF($K186&lt;&gt;"",$K186,IF(IFERROR(INDEX(RES_LOTSRC,MATCH($A186,RES_LOTEFF,0)),"")=$A186,"",IFERROR(INDEX(RES_LOTSRC,MATCH($A186,RES_LOTEFF,0)),""))))</f>
        <v/>
      </c>
      <c r="N186" s="26" t="str">
        <f aca="false">IF($A186="","",IF($B186&lt;&gt;"",$B186,IF($M186="","",IFERROR(INDEX($B$5:$B$204,MATCH($M186,$A$5:$A$204,0)),""))))</f>
        <v/>
      </c>
      <c r="O186" s="26" t="str">
        <f aca="false">IF($A186="","",IF($C186&lt;&gt;"",$C186,IF($M186="","",IFERROR(INDEX($C$5:$C$204,MATCH($M186,$A$5:$A$204,0)),""))))</f>
        <v/>
      </c>
      <c r="P186" s="26" t="str">
        <f aca="false">IF($A186="","",IF($D186&lt;&gt;"",$D186,IF($M186="","",IFERROR(INDEX($D$5:$D$204,MATCH($M186,$A$5:$A$204,0)),""))))</f>
        <v/>
      </c>
      <c r="Q186" s="26" t="str">
        <f aca="false">IF($A186="","",IF($G186&lt;&gt;"",$G186,IF($M186="","",IFERROR(INDEX($G$5:$G$204,MATCH($M186,$A$5:$A$204,0)),""))))</f>
        <v/>
      </c>
      <c r="R186" s="27" t="str">
        <f aca="false">IF($A186="","",SUMIFS(MVT_NET,MVT_LOT,$A186))</f>
        <v/>
      </c>
      <c r="S186" s="28" t="str">
        <f aca="false">IF($A186="","",COUNTIFS(MVT_LOT,$A186,MVT_BRUT,"&lt;&gt;0"))</f>
        <v/>
      </c>
      <c r="T186" s="28" t="str">
        <f aca="false">IF($A186="","",COUNTIFS(QC_LOT,$A186))</f>
        <v/>
      </c>
      <c r="U186" s="26" t="str">
        <f aca="false">IF($A186="","",IF(COUNTIF($A$5:$A$204,$A186)&gt;1,IF(SUMPRODUCT(($A$5:$A$204=$A186)*(($B$5:$B$204&lt;&gt;$B186)+($C$5:$C$204&lt;&gt;$C186)))&gt;0,"INCOHERENCE","LOT EN DOUBLE"),"OK"))</f>
        <v/>
      </c>
    </row>
    <row r="187" customFormat="false" ht="15" hidden="false" customHeight="false" outlineLevel="0" collapsed="false">
      <c r="A187" s="24"/>
      <c r="B187" s="24"/>
      <c r="C187" s="24"/>
      <c r="D187" s="24"/>
      <c r="E187" s="24"/>
      <c r="F187" s="24"/>
      <c r="G187" s="24"/>
      <c r="H187" s="24"/>
      <c r="I187" s="24"/>
      <c r="J187" s="25"/>
      <c r="K187" s="24"/>
      <c r="L187" s="24"/>
      <c r="M187" s="26" t="str">
        <f aca="false">IF($A187="","",IF($K187&lt;&gt;"",$K187,IF(IFERROR(INDEX(RES_LOTSRC,MATCH($A187,RES_LOTEFF,0)),"")=$A187,"",IFERROR(INDEX(RES_LOTSRC,MATCH($A187,RES_LOTEFF,0)),""))))</f>
        <v/>
      </c>
      <c r="N187" s="26" t="str">
        <f aca="false">IF($A187="","",IF($B187&lt;&gt;"",$B187,IF($M187="","",IFERROR(INDEX($B$5:$B$204,MATCH($M187,$A$5:$A$204,0)),""))))</f>
        <v/>
      </c>
      <c r="O187" s="26" t="str">
        <f aca="false">IF($A187="","",IF($C187&lt;&gt;"",$C187,IF($M187="","",IFERROR(INDEX($C$5:$C$204,MATCH($M187,$A$5:$A$204,0)),""))))</f>
        <v/>
      </c>
      <c r="P187" s="26" t="str">
        <f aca="false">IF($A187="","",IF($D187&lt;&gt;"",$D187,IF($M187="","",IFERROR(INDEX($D$5:$D$204,MATCH($M187,$A$5:$A$204,0)),""))))</f>
        <v/>
      </c>
      <c r="Q187" s="26" t="str">
        <f aca="false">IF($A187="","",IF($G187&lt;&gt;"",$G187,IF($M187="","",IFERROR(INDEX($G$5:$G$204,MATCH($M187,$A$5:$A$204,0)),""))))</f>
        <v/>
      </c>
      <c r="R187" s="27" t="str">
        <f aca="false">IF($A187="","",SUMIFS(MVT_NET,MVT_LOT,$A187))</f>
        <v/>
      </c>
      <c r="S187" s="28" t="str">
        <f aca="false">IF($A187="","",COUNTIFS(MVT_LOT,$A187,MVT_BRUT,"&lt;&gt;0"))</f>
        <v/>
      </c>
      <c r="T187" s="28" t="str">
        <f aca="false">IF($A187="","",COUNTIFS(QC_LOT,$A187))</f>
        <v/>
      </c>
      <c r="U187" s="26" t="str">
        <f aca="false">IF($A187="","",IF(COUNTIF($A$5:$A$204,$A187)&gt;1,IF(SUMPRODUCT(($A$5:$A$204=$A187)*(($B$5:$B$204&lt;&gt;$B187)+($C$5:$C$204&lt;&gt;$C187)))&gt;0,"INCOHERENCE","LOT EN DOUBLE"),"OK"))</f>
        <v/>
      </c>
    </row>
    <row r="188" customFormat="false" ht="15" hidden="false" customHeight="false" outlineLevel="0" collapsed="false">
      <c r="A188" s="24"/>
      <c r="B188" s="24"/>
      <c r="C188" s="24"/>
      <c r="D188" s="24"/>
      <c r="E188" s="24"/>
      <c r="F188" s="24"/>
      <c r="G188" s="24"/>
      <c r="H188" s="24"/>
      <c r="I188" s="24"/>
      <c r="J188" s="25"/>
      <c r="K188" s="24"/>
      <c r="L188" s="24"/>
      <c r="M188" s="26" t="str">
        <f aca="false">IF($A188="","",IF($K188&lt;&gt;"",$K188,IF(IFERROR(INDEX(RES_LOTSRC,MATCH($A188,RES_LOTEFF,0)),"")=$A188,"",IFERROR(INDEX(RES_LOTSRC,MATCH($A188,RES_LOTEFF,0)),""))))</f>
        <v/>
      </c>
      <c r="N188" s="26" t="str">
        <f aca="false">IF($A188="","",IF($B188&lt;&gt;"",$B188,IF($M188="","",IFERROR(INDEX($B$5:$B$204,MATCH($M188,$A$5:$A$204,0)),""))))</f>
        <v/>
      </c>
      <c r="O188" s="26" t="str">
        <f aca="false">IF($A188="","",IF($C188&lt;&gt;"",$C188,IF($M188="","",IFERROR(INDEX($C$5:$C$204,MATCH($M188,$A$5:$A$204,0)),""))))</f>
        <v/>
      </c>
      <c r="P188" s="26" t="str">
        <f aca="false">IF($A188="","",IF($D188&lt;&gt;"",$D188,IF($M188="","",IFERROR(INDEX($D$5:$D$204,MATCH($M188,$A$5:$A$204,0)),""))))</f>
        <v/>
      </c>
      <c r="Q188" s="26" t="str">
        <f aca="false">IF($A188="","",IF($G188&lt;&gt;"",$G188,IF($M188="","",IFERROR(INDEX($G$5:$G$204,MATCH($M188,$A$5:$A$204,0)),""))))</f>
        <v/>
      </c>
      <c r="R188" s="27" t="str">
        <f aca="false">IF($A188="","",SUMIFS(MVT_NET,MVT_LOT,$A188))</f>
        <v/>
      </c>
      <c r="S188" s="28" t="str">
        <f aca="false">IF($A188="","",COUNTIFS(MVT_LOT,$A188,MVT_BRUT,"&lt;&gt;0"))</f>
        <v/>
      </c>
      <c r="T188" s="28" t="str">
        <f aca="false">IF($A188="","",COUNTIFS(QC_LOT,$A188))</f>
        <v/>
      </c>
      <c r="U188" s="26" t="str">
        <f aca="false">IF($A188="","",IF(COUNTIF($A$5:$A$204,$A188)&gt;1,IF(SUMPRODUCT(($A$5:$A$204=$A188)*(($B$5:$B$204&lt;&gt;$B188)+($C$5:$C$204&lt;&gt;$C188)))&gt;0,"INCOHERENCE","LOT EN DOUBLE"),"OK"))</f>
        <v/>
      </c>
    </row>
    <row r="189" customFormat="false" ht="15" hidden="false" customHeight="false" outlineLevel="0" collapsed="false">
      <c r="A189" s="24"/>
      <c r="B189" s="24"/>
      <c r="C189" s="24"/>
      <c r="D189" s="24"/>
      <c r="E189" s="24"/>
      <c r="F189" s="24"/>
      <c r="G189" s="24"/>
      <c r="H189" s="24"/>
      <c r="I189" s="24"/>
      <c r="J189" s="25"/>
      <c r="K189" s="24"/>
      <c r="L189" s="24"/>
      <c r="M189" s="26" t="str">
        <f aca="false">IF($A189="","",IF($K189&lt;&gt;"",$K189,IF(IFERROR(INDEX(RES_LOTSRC,MATCH($A189,RES_LOTEFF,0)),"")=$A189,"",IFERROR(INDEX(RES_LOTSRC,MATCH($A189,RES_LOTEFF,0)),""))))</f>
        <v/>
      </c>
      <c r="N189" s="26" t="str">
        <f aca="false">IF($A189="","",IF($B189&lt;&gt;"",$B189,IF($M189="","",IFERROR(INDEX($B$5:$B$204,MATCH($M189,$A$5:$A$204,0)),""))))</f>
        <v/>
      </c>
      <c r="O189" s="26" t="str">
        <f aca="false">IF($A189="","",IF($C189&lt;&gt;"",$C189,IF($M189="","",IFERROR(INDEX($C$5:$C$204,MATCH($M189,$A$5:$A$204,0)),""))))</f>
        <v/>
      </c>
      <c r="P189" s="26" t="str">
        <f aca="false">IF($A189="","",IF($D189&lt;&gt;"",$D189,IF($M189="","",IFERROR(INDEX($D$5:$D$204,MATCH($M189,$A$5:$A$204,0)),""))))</f>
        <v/>
      </c>
      <c r="Q189" s="26" t="str">
        <f aca="false">IF($A189="","",IF($G189&lt;&gt;"",$G189,IF($M189="","",IFERROR(INDEX($G$5:$G$204,MATCH($M189,$A$5:$A$204,0)),""))))</f>
        <v/>
      </c>
      <c r="R189" s="27" t="str">
        <f aca="false">IF($A189="","",SUMIFS(MVT_NET,MVT_LOT,$A189))</f>
        <v/>
      </c>
      <c r="S189" s="28" t="str">
        <f aca="false">IF($A189="","",COUNTIFS(MVT_LOT,$A189,MVT_BRUT,"&lt;&gt;0"))</f>
        <v/>
      </c>
      <c r="T189" s="28" t="str">
        <f aca="false">IF($A189="","",COUNTIFS(QC_LOT,$A189))</f>
        <v/>
      </c>
      <c r="U189" s="26" t="str">
        <f aca="false">IF($A189="","",IF(COUNTIF($A$5:$A$204,$A189)&gt;1,IF(SUMPRODUCT(($A$5:$A$204=$A189)*(($B$5:$B$204&lt;&gt;$B189)+($C$5:$C$204&lt;&gt;$C189)))&gt;0,"INCOHERENCE","LOT EN DOUBLE"),"OK"))</f>
        <v/>
      </c>
    </row>
    <row r="190" customFormat="false" ht="15" hidden="false" customHeight="false" outlineLevel="0" collapsed="false">
      <c r="A190" s="24"/>
      <c r="B190" s="24"/>
      <c r="C190" s="24"/>
      <c r="D190" s="24"/>
      <c r="E190" s="24"/>
      <c r="F190" s="24"/>
      <c r="G190" s="24"/>
      <c r="H190" s="24"/>
      <c r="I190" s="24"/>
      <c r="J190" s="25"/>
      <c r="K190" s="24"/>
      <c r="L190" s="24"/>
      <c r="M190" s="26" t="str">
        <f aca="false">IF($A190="","",IF($K190&lt;&gt;"",$K190,IF(IFERROR(INDEX(RES_LOTSRC,MATCH($A190,RES_LOTEFF,0)),"")=$A190,"",IFERROR(INDEX(RES_LOTSRC,MATCH($A190,RES_LOTEFF,0)),""))))</f>
        <v/>
      </c>
      <c r="N190" s="26" t="str">
        <f aca="false">IF($A190="","",IF($B190&lt;&gt;"",$B190,IF($M190="","",IFERROR(INDEX($B$5:$B$204,MATCH($M190,$A$5:$A$204,0)),""))))</f>
        <v/>
      </c>
      <c r="O190" s="26" t="str">
        <f aca="false">IF($A190="","",IF($C190&lt;&gt;"",$C190,IF($M190="","",IFERROR(INDEX($C$5:$C$204,MATCH($M190,$A$5:$A$204,0)),""))))</f>
        <v/>
      </c>
      <c r="P190" s="26" t="str">
        <f aca="false">IF($A190="","",IF($D190&lt;&gt;"",$D190,IF($M190="","",IFERROR(INDEX($D$5:$D$204,MATCH($M190,$A$5:$A$204,0)),""))))</f>
        <v/>
      </c>
      <c r="Q190" s="26" t="str">
        <f aca="false">IF($A190="","",IF($G190&lt;&gt;"",$G190,IF($M190="","",IFERROR(INDEX($G$5:$G$204,MATCH($M190,$A$5:$A$204,0)),""))))</f>
        <v/>
      </c>
      <c r="R190" s="27" t="str">
        <f aca="false">IF($A190="","",SUMIFS(MVT_NET,MVT_LOT,$A190))</f>
        <v/>
      </c>
      <c r="S190" s="28" t="str">
        <f aca="false">IF($A190="","",COUNTIFS(MVT_LOT,$A190,MVT_BRUT,"&lt;&gt;0"))</f>
        <v/>
      </c>
      <c r="T190" s="28" t="str">
        <f aca="false">IF($A190="","",COUNTIFS(QC_LOT,$A190))</f>
        <v/>
      </c>
      <c r="U190" s="26" t="str">
        <f aca="false">IF($A190="","",IF(COUNTIF($A$5:$A$204,$A190)&gt;1,IF(SUMPRODUCT(($A$5:$A$204=$A190)*(($B$5:$B$204&lt;&gt;$B190)+($C$5:$C$204&lt;&gt;$C190)))&gt;0,"INCOHERENCE","LOT EN DOUBLE"),"OK"))</f>
        <v/>
      </c>
    </row>
    <row r="191" customFormat="false" ht="15" hidden="false" customHeight="false" outlineLevel="0" collapsed="false">
      <c r="A191" s="24"/>
      <c r="B191" s="24"/>
      <c r="C191" s="24"/>
      <c r="D191" s="24"/>
      <c r="E191" s="24"/>
      <c r="F191" s="24"/>
      <c r="G191" s="24"/>
      <c r="H191" s="24"/>
      <c r="I191" s="24"/>
      <c r="J191" s="25"/>
      <c r="K191" s="24"/>
      <c r="L191" s="24"/>
      <c r="M191" s="26" t="str">
        <f aca="false">IF($A191="","",IF($K191&lt;&gt;"",$K191,IF(IFERROR(INDEX(RES_LOTSRC,MATCH($A191,RES_LOTEFF,0)),"")=$A191,"",IFERROR(INDEX(RES_LOTSRC,MATCH($A191,RES_LOTEFF,0)),""))))</f>
        <v/>
      </c>
      <c r="N191" s="26" t="str">
        <f aca="false">IF($A191="","",IF($B191&lt;&gt;"",$B191,IF($M191="","",IFERROR(INDEX($B$5:$B$204,MATCH($M191,$A$5:$A$204,0)),""))))</f>
        <v/>
      </c>
      <c r="O191" s="26" t="str">
        <f aca="false">IF($A191="","",IF($C191&lt;&gt;"",$C191,IF($M191="","",IFERROR(INDEX($C$5:$C$204,MATCH($M191,$A$5:$A$204,0)),""))))</f>
        <v/>
      </c>
      <c r="P191" s="26" t="str">
        <f aca="false">IF($A191="","",IF($D191&lt;&gt;"",$D191,IF($M191="","",IFERROR(INDEX($D$5:$D$204,MATCH($M191,$A$5:$A$204,0)),""))))</f>
        <v/>
      </c>
      <c r="Q191" s="26" t="str">
        <f aca="false">IF($A191="","",IF($G191&lt;&gt;"",$G191,IF($M191="","",IFERROR(INDEX($G$5:$G$204,MATCH($M191,$A$5:$A$204,0)),""))))</f>
        <v/>
      </c>
      <c r="R191" s="27" t="str">
        <f aca="false">IF($A191="","",SUMIFS(MVT_NET,MVT_LOT,$A191))</f>
        <v/>
      </c>
      <c r="S191" s="28" t="str">
        <f aca="false">IF($A191="","",COUNTIFS(MVT_LOT,$A191,MVT_BRUT,"&lt;&gt;0"))</f>
        <v/>
      </c>
      <c r="T191" s="28" t="str">
        <f aca="false">IF($A191="","",COUNTIFS(QC_LOT,$A191))</f>
        <v/>
      </c>
      <c r="U191" s="26" t="str">
        <f aca="false">IF($A191="","",IF(COUNTIF($A$5:$A$204,$A191)&gt;1,IF(SUMPRODUCT(($A$5:$A$204=$A191)*(($B$5:$B$204&lt;&gt;$B191)+($C$5:$C$204&lt;&gt;$C191)))&gt;0,"INCOHERENCE","LOT EN DOUBLE"),"OK"))</f>
        <v/>
      </c>
    </row>
    <row r="192" customFormat="false" ht="15" hidden="false" customHeight="false" outlineLevel="0" collapsed="false">
      <c r="A192" s="24"/>
      <c r="B192" s="24"/>
      <c r="C192" s="24"/>
      <c r="D192" s="24"/>
      <c r="E192" s="24"/>
      <c r="F192" s="24"/>
      <c r="G192" s="24"/>
      <c r="H192" s="24"/>
      <c r="I192" s="24"/>
      <c r="J192" s="25"/>
      <c r="K192" s="24"/>
      <c r="L192" s="24"/>
      <c r="M192" s="26" t="str">
        <f aca="false">IF($A192="","",IF($K192&lt;&gt;"",$K192,IF(IFERROR(INDEX(RES_LOTSRC,MATCH($A192,RES_LOTEFF,0)),"")=$A192,"",IFERROR(INDEX(RES_LOTSRC,MATCH($A192,RES_LOTEFF,0)),""))))</f>
        <v/>
      </c>
      <c r="N192" s="26" t="str">
        <f aca="false">IF($A192="","",IF($B192&lt;&gt;"",$B192,IF($M192="","",IFERROR(INDEX($B$5:$B$204,MATCH($M192,$A$5:$A$204,0)),""))))</f>
        <v/>
      </c>
      <c r="O192" s="26" t="str">
        <f aca="false">IF($A192="","",IF($C192&lt;&gt;"",$C192,IF($M192="","",IFERROR(INDEX($C$5:$C$204,MATCH($M192,$A$5:$A$204,0)),""))))</f>
        <v/>
      </c>
      <c r="P192" s="26" t="str">
        <f aca="false">IF($A192="","",IF($D192&lt;&gt;"",$D192,IF($M192="","",IFERROR(INDEX($D$5:$D$204,MATCH($M192,$A$5:$A$204,0)),""))))</f>
        <v/>
      </c>
      <c r="Q192" s="26" t="str">
        <f aca="false">IF($A192="","",IF($G192&lt;&gt;"",$G192,IF($M192="","",IFERROR(INDEX($G$5:$G$204,MATCH($M192,$A$5:$A$204,0)),""))))</f>
        <v/>
      </c>
      <c r="R192" s="27" t="str">
        <f aca="false">IF($A192="","",SUMIFS(MVT_NET,MVT_LOT,$A192))</f>
        <v/>
      </c>
      <c r="S192" s="28" t="str">
        <f aca="false">IF($A192="","",COUNTIFS(MVT_LOT,$A192,MVT_BRUT,"&lt;&gt;0"))</f>
        <v/>
      </c>
      <c r="T192" s="28" t="str">
        <f aca="false">IF($A192="","",COUNTIFS(QC_LOT,$A192))</f>
        <v/>
      </c>
      <c r="U192" s="26" t="str">
        <f aca="false">IF($A192="","",IF(COUNTIF($A$5:$A$204,$A192)&gt;1,IF(SUMPRODUCT(($A$5:$A$204=$A192)*(($B$5:$B$204&lt;&gt;$B192)+($C$5:$C$204&lt;&gt;$C192)))&gt;0,"INCOHERENCE","LOT EN DOUBLE"),"OK"))</f>
        <v/>
      </c>
    </row>
    <row r="193" customFormat="false" ht="15" hidden="false" customHeight="false" outlineLevel="0" collapsed="false">
      <c r="A193" s="24"/>
      <c r="B193" s="24"/>
      <c r="C193" s="24"/>
      <c r="D193" s="24"/>
      <c r="E193" s="24"/>
      <c r="F193" s="24"/>
      <c r="G193" s="24"/>
      <c r="H193" s="24"/>
      <c r="I193" s="24"/>
      <c r="J193" s="25"/>
      <c r="K193" s="24"/>
      <c r="L193" s="24"/>
      <c r="M193" s="26" t="str">
        <f aca="false">IF($A193="","",IF($K193&lt;&gt;"",$K193,IF(IFERROR(INDEX(RES_LOTSRC,MATCH($A193,RES_LOTEFF,0)),"")=$A193,"",IFERROR(INDEX(RES_LOTSRC,MATCH($A193,RES_LOTEFF,0)),""))))</f>
        <v/>
      </c>
      <c r="N193" s="26" t="str">
        <f aca="false">IF($A193="","",IF($B193&lt;&gt;"",$B193,IF($M193="","",IFERROR(INDEX($B$5:$B$204,MATCH($M193,$A$5:$A$204,0)),""))))</f>
        <v/>
      </c>
      <c r="O193" s="26" t="str">
        <f aca="false">IF($A193="","",IF($C193&lt;&gt;"",$C193,IF($M193="","",IFERROR(INDEX($C$5:$C$204,MATCH($M193,$A$5:$A$204,0)),""))))</f>
        <v/>
      </c>
      <c r="P193" s="26" t="str">
        <f aca="false">IF($A193="","",IF($D193&lt;&gt;"",$D193,IF($M193="","",IFERROR(INDEX($D$5:$D$204,MATCH($M193,$A$5:$A$204,0)),""))))</f>
        <v/>
      </c>
      <c r="Q193" s="26" t="str">
        <f aca="false">IF($A193="","",IF($G193&lt;&gt;"",$G193,IF($M193="","",IFERROR(INDEX($G$5:$G$204,MATCH($M193,$A$5:$A$204,0)),""))))</f>
        <v/>
      </c>
      <c r="R193" s="27" t="str">
        <f aca="false">IF($A193="","",SUMIFS(MVT_NET,MVT_LOT,$A193))</f>
        <v/>
      </c>
      <c r="S193" s="28" t="str">
        <f aca="false">IF($A193="","",COUNTIFS(MVT_LOT,$A193,MVT_BRUT,"&lt;&gt;0"))</f>
        <v/>
      </c>
      <c r="T193" s="28" t="str">
        <f aca="false">IF($A193="","",COUNTIFS(QC_LOT,$A193))</f>
        <v/>
      </c>
      <c r="U193" s="26" t="str">
        <f aca="false">IF($A193="","",IF(COUNTIF($A$5:$A$204,$A193)&gt;1,IF(SUMPRODUCT(($A$5:$A$204=$A193)*(($B$5:$B$204&lt;&gt;$B193)+($C$5:$C$204&lt;&gt;$C193)))&gt;0,"INCOHERENCE","LOT EN DOUBLE"),"OK"))</f>
        <v/>
      </c>
    </row>
    <row r="194" customFormat="false" ht="15" hidden="false" customHeight="false" outlineLevel="0" collapsed="false">
      <c r="A194" s="24"/>
      <c r="B194" s="24"/>
      <c r="C194" s="24"/>
      <c r="D194" s="24"/>
      <c r="E194" s="24"/>
      <c r="F194" s="24"/>
      <c r="G194" s="24"/>
      <c r="H194" s="24"/>
      <c r="I194" s="24"/>
      <c r="J194" s="25"/>
      <c r="K194" s="24"/>
      <c r="L194" s="24"/>
      <c r="M194" s="26" t="str">
        <f aca="false">IF($A194="","",IF($K194&lt;&gt;"",$K194,IF(IFERROR(INDEX(RES_LOTSRC,MATCH($A194,RES_LOTEFF,0)),"")=$A194,"",IFERROR(INDEX(RES_LOTSRC,MATCH($A194,RES_LOTEFF,0)),""))))</f>
        <v/>
      </c>
      <c r="N194" s="26" t="str">
        <f aca="false">IF($A194="","",IF($B194&lt;&gt;"",$B194,IF($M194="","",IFERROR(INDEX($B$5:$B$204,MATCH($M194,$A$5:$A$204,0)),""))))</f>
        <v/>
      </c>
      <c r="O194" s="26" t="str">
        <f aca="false">IF($A194="","",IF($C194&lt;&gt;"",$C194,IF($M194="","",IFERROR(INDEX($C$5:$C$204,MATCH($M194,$A$5:$A$204,0)),""))))</f>
        <v/>
      </c>
      <c r="P194" s="26" t="str">
        <f aca="false">IF($A194="","",IF($D194&lt;&gt;"",$D194,IF($M194="","",IFERROR(INDEX($D$5:$D$204,MATCH($M194,$A$5:$A$204,0)),""))))</f>
        <v/>
      </c>
      <c r="Q194" s="26" t="str">
        <f aca="false">IF($A194="","",IF($G194&lt;&gt;"",$G194,IF($M194="","",IFERROR(INDEX($G$5:$G$204,MATCH($M194,$A$5:$A$204,0)),""))))</f>
        <v/>
      </c>
      <c r="R194" s="27" t="str">
        <f aca="false">IF($A194="","",SUMIFS(MVT_NET,MVT_LOT,$A194))</f>
        <v/>
      </c>
      <c r="S194" s="28" t="str">
        <f aca="false">IF($A194="","",COUNTIFS(MVT_LOT,$A194,MVT_BRUT,"&lt;&gt;0"))</f>
        <v/>
      </c>
      <c r="T194" s="28" t="str">
        <f aca="false">IF($A194="","",COUNTIFS(QC_LOT,$A194))</f>
        <v/>
      </c>
      <c r="U194" s="26" t="str">
        <f aca="false">IF($A194="","",IF(COUNTIF($A$5:$A$204,$A194)&gt;1,IF(SUMPRODUCT(($A$5:$A$204=$A194)*(($B$5:$B$204&lt;&gt;$B194)+($C$5:$C$204&lt;&gt;$C194)))&gt;0,"INCOHERENCE","LOT EN DOUBLE"),"OK"))</f>
        <v/>
      </c>
    </row>
    <row r="195" customFormat="false" ht="15" hidden="false" customHeight="false" outlineLevel="0" collapsed="false">
      <c r="A195" s="24"/>
      <c r="B195" s="24"/>
      <c r="C195" s="24"/>
      <c r="D195" s="24"/>
      <c r="E195" s="24"/>
      <c r="F195" s="24"/>
      <c r="G195" s="24"/>
      <c r="H195" s="24"/>
      <c r="I195" s="24"/>
      <c r="J195" s="25"/>
      <c r="K195" s="24"/>
      <c r="L195" s="24"/>
      <c r="M195" s="26" t="str">
        <f aca="false">IF($A195="","",IF($K195&lt;&gt;"",$K195,IF(IFERROR(INDEX(RES_LOTSRC,MATCH($A195,RES_LOTEFF,0)),"")=$A195,"",IFERROR(INDEX(RES_LOTSRC,MATCH($A195,RES_LOTEFF,0)),""))))</f>
        <v/>
      </c>
      <c r="N195" s="26" t="str">
        <f aca="false">IF($A195="","",IF($B195&lt;&gt;"",$B195,IF($M195="","",IFERROR(INDEX($B$5:$B$204,MATCH($M195,$A$5:$A$204,0)),""))))</f>
        <v/>
      </c>
      <c r="O195" s="26" t="str">
        <f aca="false">IF($A195="","",IF($C195&lt;&gt;"",$C195,IF($M195="","",IFERROR(INDEX($C$5:$C$204,MATCH($M195,$A$5:$A$204,0)),""))))</f>
        <v/>
      </c>
      <c r="P195" s="26" t="str">
        <f aca="false">IF($A195="","",IF($D195&lt;&gt;"",$D195,IF($M195="","",IFERROR(INDEX($D$5:$D$204,MATCH($M195,$A$5:$A$204,0)),""))))</f>
        <v/>
      </c>
      <c r="Q195" s="26" t="str">
        <f aca="false">IF($A195="","",IF($G195&lt;&gt;"",$G195,IF($M195="","",IFERROR(INDEX($G$5:$G$204,MATCH($M195,$A$5:$A$204,0)),""))))</f>
        <v/>
      </c>
      <c r="R195" s="27" t="str">
        <f aca="false">IF($A195="","",SUMIFS(MVT_NET,MVT_LOT,$A195))</f>
        <v/>
      </c>
      <c r="S195" s="28" t="str">
        <f aca="false">IF($A195="","",COUNTIFS(MVT_LOT,$A195,MVT_BRUT,"&lt;&gt;0"))</f>
        <v/>
      </c>
      <c r="T195" s="28" t="str">
        <f aca="false">IF($A195="","",COUNTIFS(QC_LOT,$A195))</f>
        <v/>
      </c>
      <c r="U195" s="26" t="str">
        <f aca="false">IF($A195="","",IF(COUNTIF($A$5:$A$204,$A195)&gt;1,IF(SUMPRODUCT(($A$5:$A$204=$A195)*(($B$5:$B$204&lt;&gt;$B195)+($C$5:$C$204&lt;&gt;$C195)))&gt;0,"INCOHERENCE","LOT EN DOUBLE"),"OK"))</f>
        <v/>
      </c>
    </row>
    <row r="196" customFormat="false" ht="15" hidden="false" customHeight="false" outlineLevel="0" collapsed="false">
      <c r="A196" s="24"/>
      <c r="B196" s="24"/>
      <c r="C196" s="24"/>
      <c r="D196" s="24"/>
      <c r="E196" s="24"/>
      <c r="F196" s="24"/>
      <c r="G196" s="24"/>
      <c r="H196" s="24"/>
      <c r="I196" s="24"/>
      <c r="J196" s="25"/>
      <c r="K196" s="24"/>
      <c r="L196" s="24"/>
      <c r="M196" s="26" t="str">
        <f aca="false">IF($A196="","",IF($K196&lt;&gt;"",$K196,IF(IFERROR(INDEX(RES_LOTSRC,MATCH($A196,RES_LOTEFF,0)),"")=$A196,"",IFERROR(INDEX(RES_LOTSRC,MATCH($A196,RES_LOTEFF,0)),""))))</f>
        <v/>
      </c>
      <c r="N196" s="26" t="str">
        <f aca="false">IF($A196="","",IF($B196&lt;&gt;"",$B196,IF($M196="","",IFERROR(INDEX($B$5:$B$204,MATCH($M196,$A$5:$A$204,0)),""))))</f>
        <v/>
      </c>
      <c r="O196" s="26" t="str">
        <f aca="false">IF($A196="","",IF($C196&lt;&gt;"",$C196,IF($M196="","",IFERROR(INDEX($C$5:$C$204,MATCH($M196,$A$5:$A$204,0)),""))))</f>
        <v/>
      </c>
      <c r="P196" s="26" t="str">
        <f aca="false">IF($A196="","",IF($D196&lt;&gt;"",$D196,IF($M196="","",IFERROR(INDEX($D$5:$D$204,MATCH($M196,$A$5:$A$204,0)),""))))</f>
        <v/>
      </c>
      <c r="Q196" s="26" t="str">
        <f aca="false">IF($A196="","",IF($G196&lt;&gt;"",$G196,IF($M196="","",IFERROR(INDEX($G$5:$G$204,MATCH($M196,$A$5:$A$204,0)),""))))</f>
        <v/>
      </c>
      <c r="R196" s="27" t="str">
        <f aca="false">IF($A196="","",SUMIFS(MVT_NET,MVT_LOT,$A196))</f>
        <v/>
      </c>
      <c r="S196" s="28" t="str">
        <f aca="false">IF($A196="","",COUNTIFS(MVT_LOT,$A196,MVT_BRUT,"&lt;&gt;0"))</f>
        <v/>
      </c>
      <c r="T196" s="28" t="str">
        <f aca="false">IF($A196="","",COUNTIFS(QC_LOT,$A196))</f>
        <v/>
      </c>
      <c r="U196" s="26" t="str">
        <f aca="false">IF($A196="","",IF(COUNTIF($A$5:$A$204,$A196)&gt;1,IF(SUMPRODUCT(($A$5:$A$204=$A196)*(($B$5:$B$204&lt;&gt;$B196)+($C$5:$C$204&lt;&gt;$C196)))&gt;0,"INCOHERENCE","LOT EN DOUBLE"),"OK"))</f>
        <v/>
      </c>
    </row>
    <row r="197" customFormat="false" ht="15" hidden="false" customHeight="false" outlineLevel="0" collapsed="false">
      <c r="A197" s="24"/>
      <c r="B197" s="24"/>
      <c r="C197" s="24"/>
      <c r="D197" s="24"/>
      <c r="E197" s="24"/>
      <c r="F197" s="24"/>
      <c r="G197" s="24"/>
      <c r="H197" s="24"/>
      <c r="I197" s="24"/>
      <c r="J197" s="25"/>
      <c r="K197" s="24"/>
      <c r="L197" s="24"/>
      <c r="M197" s="26" t="str">
        <f aca="false">IF($A197="","",IF($K197&lt;&gt;"",$K197,IF(IFERROR(INDEX(RES_LOTSRC,MATCH($A197,RES_LOTEFF,0)),"")=$A197,"",IFERROR(INDEX(RES_LOTSRC,MATCH($A197,RES_LOTEFF,0)),""))))</f>
        <v/>
      </c>
      <c r="N197" s="26" t="str">
        <f aca="false">IF($A197="","",IF($B197&lt;&gt;"",$B197,IF($M197="","",IFERROR(INDEX($B$5:$B$204,MATCH($M197,$A$5:$A$204,0)),""))))</f>
        <v/>
      </c>
      <c r="O197" s="26" t="str">
        <f aca="false">IF($A197="","",IF($C197&lt;&gt;"",$C197,IF($M197="","",IFERROR(INDEX($C$5:$C$204,MATCH($M197,$A$5:$A$204,0)),""))))</f>
        <v/>
      </c>
      <c r="P197" s="26" t="str">
        <f aca="false">IF($A197="","",IF($D197&lt;&gt;"",$D197,IF($M197="","",IFERROR(INDEX($D$5:$D$204,MATCH($M197,$A$5:$A$204,0)),""))))</f>
        <v/>
      </c>
      <c r="Q197" s="26" t="str">
        <f aca="false">IF($A197="","",IF($G197&lt;&gt;"",$G197,IF($M197="","",IFERROR(INDEX($G$5:$G$204,MATCH($M197,$A$5:$A$204,0)),""))))</f>
        <v/>
      </c>
      <c r="R197" s="27" t="str">
        <f aca="false">IF($A197="","",SUMIFS(MVT_NET,MVT_LOT,$A197))</f>
        <v/>
      </c>
      <c r="S197" s="28" t="str">
        <f aca="false">IF($A197="","",COUNTIFS(MVT_LOT,$A197,MVT_BRUT,"&lt;&gt;0"))</f>
        <v/>
      </c>
      <c r="T197" s="28" t="str">
        <f aca="false">IF($A197="","",COUNTIFS(QC_LOT,$A197))</f>
        <v/>
      </c>
      <c r="U197" s="26" t="str">
        <f aca="false">IF($A197="","",IF(COUNTIF($A$5:$A$204,$A197)&gt;1,IF(SUMPRODUCT(($A$5:$A$204=$A197)*(($B$5:$B$204&lt;&gt;$B197)+($C$5:$C$204&lt;&gt;$C197)))&gt;0,"INCOHERENCE","LOT EN DOUBLE"),"OK"))</f>
        <v/>
      </c>
    </row>
    <row r="198" customFormat="false" ht="15" hidden="false" customHeight="false" outlineLevel="0" collapsed="false">
      <c r="A198" s="24"/>
      <c r="B198" s="24"/>
      <c r="C198" s="24"/>
      <c r="D198" s="24"/>
      <c r="E198" s="24"/>
      <c r="F198" s="24"/>
      <c r="G198" s="24"/>
      <c r="H198" s="24"/>
      <c r="I198" s="24"/>
      <c r="J198" s="25"/>
      <c r="K198" s="24"/>
      <c r="L198" s="24"/>
      <c r="M198" s="26" t="str">
        <f aca="false">IF($A198="","",IF($K198&lt;&gt;"",$K198,IF(IFERROR(INDEX(RES_LOTSRC,MATCH($A198,RES_LOTEFF,0)),"")=$A198,"",IFERROR(INDEX(RES_LOTSRC,MATCH($A198,RES_LOTEFF,0)),""))))</f>
        <v/>
      </c>
      <c r="N198" s="26" t="str">
        <f aca="false">IF($A198="","",IF($B198&lt;&gt;"",$B198,IF($M198="","",IFERROR(INDEX($B$5:$B$204,MATCH($M198,$A$5:$A$204,0)),""))))</f>
        <v/>
      </c>
      <c r="O198" s="26" t="str">
        <f aca="false">IF($A198="","",IF($C198&lt;&gt;"",$C198,IF($M198="","",IFERROR(INDEX($C$5:$C$204,MATCH($M198,$A$5:$A$204,0)),""))))</f>
        <v/>
      </c>
      <c r="P198" s="26" t="str">
        <f aca="false">IF($A198="","",IF($D198&lt;&gt;"",$D198,IF($M198="","",IFERROR(INDEX($D$5:$D$204,MATCH($M198,$A$5:$A$204,0)),""))))</f>
        <v/>
      </c>
      <c r="Q198" s="26" t="str">
        <f aca="false">IF($A198="","",IF($G198&lt;&gt;"",$G198,IF($M198="","",IFERROR(INDEX($G$5:$G$204,MATCH($M198,$A$5:$A$204,0)),""))))</f>
        <v/>
      </c>
      <c r="R198" s="27" t="str">
        <f aca="false">IF($A198="","",SUMIFS(MVT_NET,MVT_LOT,$A198))</f>
        <v/>
      </c>
      <c r="S198" s="28" t="str">
        <f aca="false">IF($A198="","",COUNTIFS(MVT_LOT,$A198,MVT_BRUT,"&lt;&gt;0"))</f>
        <v/>
      </c>
      <c r="T198" s="28" t="str">
        <f aca="false">IF($A198="","",COUNTIFS(QC_LOT,$A198))</f>
        <v/>
      </c>
      <c r="U198" s="26" t="str">
        <f aca="false">IF($A198="","",IF(COUNTIF($A$5:$A$204,$A198)&gt;1,IF(SUMPRODUCT(($A$5:$A$204=$A198)*(($B$5:$B$204&lt;&gt;$B198)+($C$5:$C$204&lt;&gt;$C198)))&gt;0,"INCOHERENCE","LOT EN DOUBLE"),"OK"))</f>
        <v/>
      </c>
    </row>
    <row r="199" customFormat="false" ht="15" hidden="false" customHeight="false" outlineLevel="0" collapsed="false">
      <c r="A199" s="24"/>
      <c r="B199" s="24"/>
      <c r="C199" s="24"/>
      <c r="D199" s="24"/>
      <c r="E199" s="24"/>
      <c r="F199" s="24"/>
      <c r="G199" s="24"/>
      <c r="H199" s="24"/>
      <c r="I199" s="24"/>
      <c r="J199" s="25"/>
      <c r="K199" s="24"/>
      <c r="L199" s="24"/>
      <c r="M199" s="26" t="str">
        <f aca="false">IF($A199="","",IF($K199&lt;&gt;"",$K199,IF(IFERROR(INDEX(RES_LOTSRC,MATCH($A199,RES_LOTEFF,0)),"")=$A199,"",IFERROR(INDEX(RES_LOTSRC,MATCH($A199,RES_LOTEFF,0)),""))))</f>
        <v/>
      </c>
      <c r="N199" s="26" t="str">
        <f aca="false">IF($A199="","",IF($B199&lt;&gt;"",$B199,IF($M199="","",IFERROR(INDEX($B$5:$B$204,MATCH($M199,$A$5:$A$204,0)),""))))</f>
        <v/>
      </c>
      <c r="O199" s="26" t="str">
        <f aca="false">IF($A199="","",IF($C199&lt;&gt;"",$C199,IF($M199="","",IFERROR(INDEX($C$5:$C$204,MATCH($M199,$A$5:$A$204,0)),""))))</f>
        <v/>
      </c>
      <c r="P199" s="26" t="str">
        <f aca="false">IF($A199="","",IF($D199&lt;&gt;"",$D199,IF($M199="","",IFERROR(INDEX($D$5:$D$204,MATCH($M199,$A$5:$A$204,0)),""))))</f>
        <v/>
      </c>
      <c r="Q199" s="26" t="str">
        <f aca="false">IF($A199="","",IF($G199&lt;&gt;"",$G199,IF($M199="","",IFERROR(INDEX($G$5:$G$204,MATCH($M199,$A$5:$A$204,0)),""))))</f>
        <v/>
      </c>
      <c r="R199" s="27" t="str">
        <f aca="false">IF($A199="","",SUMIFS(MVT_NET,MVT_LOT,$A199))</f>
        <v/>
      </c>
      <c r="S199" s="28" t="str">
        <f aca="false">IF($A199="","",COUNTIFS(MVT_LOT,$A199,MVT_BRUT,"&lt;&gt;0"))</f>
        <v/>
      </c>
      <c r="T199" s="28" t="str">
        <f aca="false">IF($A199="","",COUNTIFS(QC_LOT,$A199))</f>
        <v/>
      </c>
      <c r="U199" s="26" t="str">
        <f aca="false">IF($A199="","",IF(COUNTIF($A$5:$A$204,$A199)&gt;1,IF(SUMPRODUCT(($A$5:$A$204=$A199)*(($B$5:$B$204&lt;&gt;$B199)+($C$5:$C$204&lt;&gt;$C199)))&gt;0,"INCOHERENCE","LOT EN DOUBLE"),"OK"))</f>
        <v/>
      </c>
    </row>
    <row r="200" customFormat="false" ht="15" hidden="false" customHeight="false" outlineLevel="0" collapsed="false">
      <c r="A200" s="24"/>
      <c r="B200" s="24"/>
      <c r="C200" s="24"/>
      <c r="D200" s="24"/>
      <c r="E200" s="24"/>
      <c r="F200" s="24"/>
      <c r="G200" s="24"/>
      <c r="H200" s="24"/>
      <c r="I200" s="24"/>
      <c r="J200" s="25"/>
      <c r="K200" s="24"/>
      <c r="L200" s="24"/>
      <c r="M200" s="26" t="str">
        <f aca="false">IF($A200="","",IF($K200&lt;&gt;"",$K200,IF(IFERROR(INDEX(RES_LOTSRC,MATCH($A200,RES_LOTEFF,0)),"")=$A200,"",IFERROR(INDEX(RES_LOTSRC,MATCH($A200,RES_LOTEFF,0)),""))))</f>
        <v/>
      </c>
      <c r="N200" s="26" t="str">
        <f aca="false">IF($A200="","",IF($B200&lt;&gt;"",$B200,IF($M200="","",IFERROR(INDEX($B$5:$B$204,MATCH($M200,$A$5:$A$204,0)),""))))</f>
        <v/>
      </c>
      <c r="O200" s="26" t="str">
        <f aca="false">IF($A200="","",IF($C200&lt;&gt;"",$C200,IF($M200="","",IFERROR(INDEX($C$5:$C$204,MATCH($M200,$A$5:$A$204,0)),""))))</f>
        <v/>
      </c>
      <c r="P200" s="26" t="str">
        <f aca="false">IF($A200="","",IF($D200&lt;&gt;"",$D200,IF($M200="","",IFERROR(INDEX($D$5:$D$204,MATCH($M200,$A$5:$A$204,0)),""))))</f>
        <v/>
      </c>
      <c r="Q200" s="26" t="str">
        <f aca="false">IF($A200="","",IF($G200&lt;&gt;"",$G200,IF($M200="","",IFERROR(INDEX($G$5:$G$204,MATCH($M200,$A$5:$A$204,0)),""))))</f>
        <v/>
      </c>
      <c r="R200" s="27" t="str">
        <f aca="false">IF($A200="","",SUMIFS(MVT_NET,MVT_LOT,$A200))</f>
        <v/>
      </c>
      <c r="S200" s="28" t="str">
        <f aca="false">IF($A200="","",COUNTIFS(MVT_LOT,$A200,MVT_BRUT,"&lt;&gt;0"))</f>
        <v/>
      </c>
      <c r="T200" s="28" t="str">
        <f aca="false">IF($A200="","",COUNTIFS(QC_LOT,$A200))</f>
        <v/>
      </c>
      <c r="U200" s="26" t="str">
        <f aca="false">IF($A200="","",IF(COUNTIF($A$5:$A$204,$A200)&gt;1,IF(SUMPRODUCT(($A$5:$A$204=$A200)*(($B$5:$B$204&lt;&gt;$B200)+($C$5:$C$204&lt;&gt;$C200)))&gt;0,"INCOHERENCE","LOT EN DOUBLE"),"OK"))</f>
        <v/>
      </c>
    </row>
    <row r="201" customFormat="false" ht="15" hidden="false" customHeight="false" outlineLevel="0" collapsed="false">
      <c r="A201" s="24"/>
      <c r="B201" s="24"/>
      <c r="C201" s="24"/>
      <c r="D201" s="24"/>
      <c r="E201" s="24"/>
      <c r="F201" s="24"/>
      <c r="G201" s="24"/>
      <c r="H201" s="24"/>
      <c r="I201" s="24"/>
      <c r="J201" s="25"/>
      <c r="K201" s="24"/>
      <c r="L201" s="24"/>
      <c r="M201" s="26" t="str">
        <f aca="false">IF($A201="","",IF($K201&lt;&gt;"",$K201,IF(IFERROR(INDEX(RES_LOTSRC,MATCH($A201,RES_LOTEFF,0)),"")=$A201,"",IFERROR(INDEX(RES_LOTSRC,MATCH($A201,RES_LOTEFF,0)),""))))</f>
        <v/>
      </c>
      <c r="N201" s="26" t="str">
        <f aca="false">IF($A201="","",IF($B201&lt;&gt;"",$B201,IF($M201="","",IFERROR(INDEX($B$5:$B$204,MATCH($M201,$A$5:$A$204,0)),""))))</f>
        <v/>
      </c>
      <c r="O201" s="26" t="str">
        <f aca="false">IF($A201="","",IF($C201&lt;&gt;"",$C201,IF($M201="","",IFERROR(INDEX($C$5:$C$204,MATCH($M201,$A$5:$A$204,0)),""))))</f>
        <v/>
      </c>
      <c r="P201" s="26" t="str">
        <f aca="false">IF($A201="","",IF($D201&lt;&gt;"",$D201,IF($M201="","",IFERROR(INDEX($D$5:$D$204,MATCH($M201,$A$5:$A$204,0)),""))))</f>
        <v/>
      </c>
      <c r="Q201" s="26" t="str">
        <f aca="false">IF($A201="","",IF($G201&lt;&gt;"",$G201,IF($M201="","",IFERROR(INDEX($G$5:$G$204,MATCH($M201,$A$5:$A$204,0)),""))))</f>
        <v/>
      </c>
      <c r="R201" s="27" t="str">
        <f aca="false">IF($A201="","",SUMIFS(MVT_NET,MVT_LOT,$A201))</f>
        <v/>
      </c>
      <c r="S201" s="28" t="str">
        <f aca="false">IF($A201="","",COUNTIFS(MVT_LOT,$A201,MVT_BRUT,"&lt;&gt;0"))</f>
        <v/>
      </c>
      <c r="T201" s="28" t="str">
        <f aca="false">IF($A201="","",COUNTIFS(QC_LOT,$A201))</f>
        <v/>
      </c>
      <c r="U201" s="26" t="str">
        <f aca="false">IF($A201="","",IF(COUNTIF($A$5:$A$204,$A201)&gt;1,IF(SUMPRODUCT(($A$5:$A$204=$A201)*(($B$5:$B$204&lt;&gt;$B201)+($C$5:$C$204&lt;&gt;$C201)))&gt;0,"INCOHERENCE","LOT EN DOUBLE"),"OK"))</f>
        <v/>
      </c>
    </row>
    <row r="202" customFormat="false" ht="15" hidden="false" customHeight="false" outlineLevel="0" collapsed="false">
      <c r="A202" s="24"/>
      <c r="B202" s="24"/>
      <c r="C202" s="24"/>
      <c r="D202" s="24"/>
      <c r="E202" s="24"/>
      <c r="F202" s="24"/>
      <c r="G202" s="24"/>
      <c r="H202" s="24"/>
      <c r="I202" s="24"/>
      <c r="J202" s="25"/>
      <c r="K202" s="24"/>
      <c r="L202" s="24"/>
      <c r="M202" s="26" t="str">
        <f aca="false">IF($A202="","",IF($K202&lt;&gt;"",$K202,IF(IFERROR(INDEX(RES_LOTSRC,MATCH($A202,RES_LOTEFF,0)),"")=$A202,"",IFERROR(INDEX(RES_LOTSRC,MATCH($A202,RES_LOTEFF,0)),""))))</f>
        <v/>
      </c>
      <c r="N202" s="26" t="str">
        <f aca="false">IF($A202="","",IF($B202&lt;&gt;"",$B202,IF($M202="","",IFERROR(INDEX($B$5:$B$204,MATCH($M202,$A$5:$A$204,0)),""))))</f>
        <v/>
      </c>
      <c r="O202" s="26" t="str">
        <f aca="false">IF($A202="","",IF($C202&lt;&gt;"",$C202,IF($M202="","",IFERROR(INDEX($C$5:$C$204,MATCH($M202,$A$5:$A$204,0)),""))))</f>
        <v/>
      </c>
      <c r="P202" s="26" t="str">
        <f aca="false">IF($A202="","",IF($D202&lt;&gt;"",$D202,IF($M202="","",IFERROR(INDEX($D$5:$D$204,MATCH($M202,$A$5:$A$204,0)),""))))</f>
        <v/>
      </c>
      <c r="Q202" s="26" t="str">
        <f aca="false">IF($A202="","",IF($G202&lt;&gt;"",$G202,IF($M202="","",IFERROR(INDEX($G$5:$G$204,MATCH($M202,$A$5:$A$204,0)),""))))</f>
        <v/>
      </c>
      <c r="R202" s="27" t="str">
        <f aca="false">IF($A202="","",SUMIFS(MVT_NET,MVT_LOT,$A202))</f>
        <v/>
      </c>
      <c r="S202" s="28" t="str">
        <f aca="false">IF($A202="","",COUNTIFS(MVT_LOT,$A202,MVT_BRUT,"&lt;&gt;0"))</f>
        <v/>
      </c>
      <c r="T202" s="28" t="str">
        <f aca="false">IF($A202="","",COUNTIFS(QC_LOT,$A202))</f>
        <v/>
      </c>
      <c r="U202" s="26" t="str">
        <f aca="false">IF($A202="","",IF(COUNTIF($A$5:$A$204,$A202)&gt;1,IF(SUMPRODUCT(($A$5:$A$204=$A202)*(($B$5:$B$204&lt;&gt;$B202)+($C$5:$C$204&lt;&gt;$C202)))&gt;0,"INCOHERENCE","LOT EN DOUBLE"),"OK"))</f>
        <v/>
      </c>
    </row>
    <row r="203" customFormat="false" ht="15" hidden="false" customHeight="false" outlineLevel="0" collapsed="false">
      <c r="A203" s="24"/>
      <c r="B203" s="24"/>
      <c r="C203" s="24"/>
      <c r="D203" s="24"/>
      <c r="E203" s="24"/>
      <c r="F203" s="24"/>
      <c r="G203" s="24"/>
      <c r="H203" s="24"/>
      <c r="I203" s="24"/>
      <c r="J203" s="25"/>
      <c r="K203" s="24"/>
      <c r="L203" s="24"/>
      <c r="M203" s="26" t="str">
        <f aca="false">IF($A203="","",IF($K203&lt;&gt;"",$K203,IF(IFERROR(INDEX(RES_LOTSRC,MATCH($A203,RES_LOTEFF,0)),"")=$A203,"",IFERROR(INDEX(RES_LOTSRC,MATCH($A203,RES_LOTEFF,0)),""))))</f>
        <v/>
      </c>
      <c r="N203" s="26" t="str">
        <f aca="false">IF($A203="","",IF($B203&lt;&gt;"",$B203,IF($M203="","",IFERROR(INDEX($B$5:$B$204,MATCH($M203,$A$5:$A$204,0)),""))))</f>
        <v/>
      </c>
      <c r="O203" s="26" t="str">
        <f aca="false">IF($A203="","",IF($C203&lt;&gt;"",$C203,IF($M203="","",IFERROR(INDEX($C$5:$C$204,MATCH($M203,$A$5:$A$204,0)),""))))</f>
        <v/>
      </c>
      <c r="P203" s="26" t="str">
        <f aca="false">IF($A203="","",IF($D203&lt;&gt;"",$D203,IF($M203="","",IFERROR(INDEX($D$5:$D$204,MATCH($M203,$A$5:$A$204,0)),""))))</f>
        <v/>
      </c>
      <c r="Q203" s="26" t="str">
        <f aca="false">IF($A203="","",IF($G203&lt;&gt;"",$G203,IF($M203="","",IFERROR(INDEX($G$5:$G$204,MATCH($M203,$A$5:$A$204,0)),""))))</f>
        <v/>
      </c>
      <c r="R203" s="27" t="str">
        <f aca="false">IF($A203="","",SUMIFS(MVT_NET,MVT_LOT,$A203))</f>
        <v/>
      </c>
      <c r="S203" s="28" t="str">
        <f aca="false">IF($A203="","",COUNTIFS(MVT_LOT,$A203,MVT_BRUT,"&lt;&gt;0"))</f>
        <v/>
      </c>
      <c r="T203" s="28" t="str">
        <f aca="false">IF($A203="","",COUNTIFS(QC_LOT,$A203))</f>
        <v/>
      </c>
      <c r="U203" s="26" t="str">
        <f aca="false">IF($A203="","",IF(COUNTIF($A$5:$A$204,$A203)&gt;1,IF(SUMPRODUCT(($A$5:$A$204=$A203)*(($B$5:$B$204&lt;&gt;$B203)+($C$5:$C$204&lt;&gt;$C203)))&gt;0,"INCOHERENCE","LOT EN DOUBLE"),"OK"))</f>
        <v/>
      </c>
    </row>
    <row r="204" customFormat="false" ht="15" hidden="false" customHeight="false" outlineLevel="0" collapsed="false">
      <c r="A204" s="24"/>
      <c r="B204" s="24"/>
      <c r="C204" s="24"/>
      <c r="D204" s="24"/>
      <c r="E204" s="24"/>
      <c r="F204" s="24"/>
      <c r="G204" s="24"/>
      <c r="H204" s="24"/>
      <c r="I204" s="24"/>
      <c r="J204" s="25"/>
      <c r="K204" s="24"/>
      <c r="L204" s="24"/>
      <c r="M204" s="26" t="str">
        <f aca="false">IF($A204="","",IF($K204&lt;&gt;"",$K204,IF(IFERROR(INDEX(RES_LOTSRC,MATCH($A204,RES_LOTEFF,0)),"")=$A204,"",IFERROR(INDEX(RES_LOTSRC,MATCH($A204,RES_LOTEFF,0)),""))))</f>
        <v/>
      </c>
      <c r="N204" s="26" t="str">
        <f aca="false">IF($A204="","",IF($B204&lt;&gt;"",$B204,IF($M204="","",IFERROR(INDEX($B$5:$B$204,MATCH($M204,$A$5:$A$204,0)),""))))</f>
        <v/>
      </c>
      <c r="O204" s="26" t="str">
        <f aca="false">IF($A204="","",IF($C204&lt;&gt;"",$C204,IF($M204="","",IFERROR(INDEX($C$5:$C$204,MATCH($M204,$A$5:$A$204,0)),""))))</f>
        <v/>
      </c>
      <c r="P204" s="26" t="str">
        <f aca="false">IF($A204="","",IF($D204&lt;&gt;"",$D204,IF($M204="","",IFERROR(INDEX($D$5:$D$204,MATCH($M204,$A$5:$A$204,0)),""))))</f>
        <v/>
      </c>
      <c r="Q204" s="26" t="str">
        <f aca="false">IF($A204="","",IF($G204&lt;&gt;"",$G204,IF($M204="","",IFERROR(INDEX($G$5:$G$204,MATCH($M204,$A$5:$A$204,0)),""))))</f>
        <v/>
      </c>
      <c r="R204" s="27" t="str">
        <f aca="false">IF($A204="","",SUMIFS(MVT_NET,MVT_LOT,$A204))</f>
        <v/>
      </c>
      <c r="S204" s="28" t="str">
        <f aca="false">IF($A204="","",COUNTIFS(MVT_LOT,$A204,MVT_BRUT,"&lt;&gt;0"))</f>
        <v/>
      </c>
      <c r="T204" s="28" t="str">
        <f aca="false">IF($A204="","",COUNTIFS(QC_LOT,$A204))</f>
        <v/>
      </c>
      <c r="U204" s="26" t="str">
        <f aca="false">IF($A204="","",IF(COUNTIF($A$5:$A$204,$A204)&gt;1,IF(SUMPRODUCT(($A$5:$A$204=$A204)*(($B$5:$B$204&lt;&gt;$B204)+($C$5:$C$204&lt;&gt;$C204)))&gt;0,"INCOHERENCE","LOT EN DOUBLE"),"OK"))</f>
        <v/>
      </c>
    </row>
  </sheetData>
  <autoFilter ref="A4:U204"/>
  <mergeCells count="3">
    <mergeCell ref="A1:P1"/>
    <mergeCell ref="A2:P2"/>
    <mergeCell ref="A3:P3"/>
  </mergeCells>
  <conditionalFormatting sqref="U5:U204">
    <cfRule type="cellIs" priority="2" operator="equal" aboveAverage="0" equalAverage="0" bottom="0" percent="0" rank="0" text="" dxfId="11">
      <formula>"OK"</formula>
    </cfRule>
    <cfRule type="cellIs" priority="3" operator="equal" aboveAverage="0" equalAverage="0" bottom="0" percent="0" rank="0" text="" dxfId="12">
      <formula>"EN COURS"</formula>
    </cfRule>
    <cfRule type="cellIs" priority="4" operator="equal" aboveAverage="0" equalAverage="0" bottom="0" percent="0" rank="0" text="" dxfId="13">
      <formula>"A JUSTIFIER"</formula>
    </cfRule>
    <cfRule type="cellIs" priority="5" operator="equal" aboveAverage="0" equalAverage="0" bottom="0" percent="0" rank="0" text="" dxfId="14">
      <formula>"DONNEES MANQUANTES"</formula>
    </cfRule>
    <cfRule type="cellIs" priority="6" operator="equal" aboveAverage="0" equalAverage="0" bottom="0" percent="0" rank="0" text="" dxfId="15">
      <formula>"STOCK INSUFFISANT"</formula>
    </cfRule>
    <cfRule type="cellIs" priority="7" operator="equal" aboveAverage="0" equalAverage="0" bottom="0" percent="0" rank="0" text="" dxfId="15">
      <formula>"EMPLACEMENT INCOHERENT"</formula>
    </cfRule>
    <cfRule type="cellIs" priority="8" operator="equal" aboveAverage="0" equalAverage="0" bottom="0" percent="0" rank="0" text="" dxfId="15">
      <formula>"BLOQUE"</formula>
    </cfRule>
    <cfRule type="cellIs" priority="9" operator="equal" aboveAverage="0" equalAverage="0" bottom="0" percent="0" rank="0" text="" dxfId="15">
      <formula>"INCOHERENCE"</formula>
    </cfRule>
    <cfRule type="cellIs" priority="10" operator="equal" aboveAverage="0" equalAverage="0" bottom="0" percent="0" rank="0" text="" dxfId="13">
      <formula>"LOT EN DOUBLE"</formula>
    </cfRule>
  </conditionalFormatting>
  <conditionalFormatting sqref="A5:A204">
    <cfRule type="expression" priority="11" aboveAverage="0" equalAverage="0" bottom="0" percent="0" rank="0" text="" dxfId="16">
      <formula>AND($A5&lt;&gt;"",$U5&lt;&gt;"OK")</formula>
    </cfRule>
  </conditionalFormatting>
  <dataValidations count="8">
    <dataValidation allowBlank="true" errorStyle="stop" operator="between" showDropDown="false" showErrorMessage="false" showInputMessage="false" sqref="B5:B204" type="list">
      <formula1>L_PRODUIT</formula1>
      <formula2>0</formula2>
    </dataValidation>
    <dataValidation allowBlank="true" errorStyle="stop" operator="between" showDropDown="false" showErrorMessage="false" showInputMessage="false" sqref="C5:C204" type="list">
      <formula1>L_FOURN</formula1>
      <formula2>0</formula2>
    </dataValidation>
    <dataValidation allowBlank="true" errorStyle="stop" operator="between" showDropDown="false" showErrorMessage="false" showInputMessage="false" sqref="D5:D204" type="list">
      <formula1>L_ORIGINE</formula1>
      <formula2>0</formula2>
    </dataValidation>
    <dataValidation allowBlank="true" errorStyle="stop" operator="between" showDropDown="false" showErrorMessage="false" showInputMessage="false" sqref="F5:F204" type="list">
      <formula1>L_ETAT</formula1>
      <formula2>0</formula2>
    </dataValidation>
    <dataValidation allowBlank="true" errorStyle="stop" operator="between" showDropDown="false" showErrorMessage="false" showInputMessage="false" sqref="G5:G204" type="list">
      <formula1>L_CONSERV</formula1>
      <formula2>0</formula2>
    </dataValidation>
    <dataValidation allowBlank="true" errorStyle="stop" operator="between" showDropDown="false" showErrorMessage="false" showInputMessage="false" sqref="H5:H204" type="list">
      <formula1>L_QUALITE</formula1>
      <formula2>0</formula2>
    </dataValidation>
    <dataValidation allowBlank="true" errorStyle="stop" operator="between" showDropDown="false" showErrorMessage="false" showInputMessage="false" sqref="I5:I204" type="list">
      <formula1>L_MOULE</formula1>
      <formula2>0</formula2>
    </dataValidation>
    <dataValidation allowBlank="true" errorStyle="stop" operator="between" showDropDown="false" showErrorMessage="false" showInputMessage="false" sqref="K5:K204" type="list">
      <formula1>L_LOTS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7A8C"/>
    <pageSetUpPr fitToPage="fals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3"/>
    <col collapsed="false" customWidth="true" hidden="false" outlineLevel="0" max="2" min="2" style="0" width="11"/>
    <col collapsed="false" customWidth="true" hidden="false" outlineLevel="0" max="3" min="3" style="0" width="15"/>
    <col collapsed="false" customWidth="true" hidden="false" outlineLevel="0" max="4" min="4" style="0" width="14"/>
    <col collapsed="false" customWidth="true" hidden="false" outlineLevel="0" max="5" min="5" style="0" width="16"/>
    <col collapsed="false" customWidth="true" hidden="false" outlineLevel="0" max="6" min="6" style="0" width="17"/>
    <col collapsed="false" customWidth="true" hidden="false" outlineLevel="0" max="7" min="7" style="0" width="13"/>
    <col collapsed="false" customWidth="true" hidden="false" outlineLevel="0" max="8" min="8" style="0" width="22"/>
    <col collapsed="false" customWidth="true" hidden="false" outlineLevel="0" max="9" min="9" style="0" width="24"/>
    <col collapsed="false" customWidth="true" hidden="false" outlineLevel="0" max="10" min="10" style="0" width="14"/>
    <col collapsed="false" customWidth="true" hidden="false" outlineLevel="0" max="11" min="11" style="0" width="20"/>
    <col collapsed="false" customWidth="true" hidden="false" outlineLevel="0" max="13" min="12" style="0" width="12"/>
    <col collapsed="false" customWidth="true" hidden="false" outlineLevel="0" max="14" min="14" style="0" width="8"/>
    <col collapsed="false" customWidth="true" hidden="false" outlineLevel="0" max="15" min="15" style="0" width="15"/>
    <col collapsed="false" customWidth="true" hidden="false" outlineLevel="0" max="16" min="16" style="0" width="21"/>
    <col collapsed="false" customWidth="true" hidden="false" outlineLevel="0" max="17" min="17" style="0" width="10"/>
    <col collapsed="false" customWidth="true" hidden="false" outlineLevel="0" max="18" min="18" style="0" width="44"/>
  </cols>
  <sheetData>
    <row r="1" customFormat="false" ht="30" hidden="false" customHeight="true" outlineLevel="0" collapsed="false">
      <c r="A1" s="1" t="s">
        <v>114</v>
      </c>
      <c r="B1" s="1"/>
      <c r="C1" s="1"/>
      <c r="D1" s="1"/>
      <c r="E1" s="1"/>
      <c r="F1" s="1"/>
      <c r="G1" s="1"/>
      <c r="H1" s="1"/>
      <c r="I1" s="1"/>
      <c r="J1" s="1"/>
      <c r="K1" s="1"/>
      <c r="L1" s="1"/>
      <c r="M1" s="1"/>
      <c r="N1" s="1"/>
      <c r="O1" s="1"/>
      <c r="P1" s="1"/>
      <c r="Q1" s="1"/>
      <c r="R1" s="1"/>
    </row>
    <row r="2" customFormat="false" ht="18" hidden="false" customHeight="true" outlineLevel="0" collapsed="false">
      <c r="A2" s="2" t="s">
        <v>115</v>
      </c>
      <c r="B2" s="2"/>
      <c r="C2" s="2"/>
      <c r="D2" s="2"/>
      <c r="E2" s="2"/>
      <c r="F2" s="2"/>
      <c r="G2" s="2"/>
      <c r="H2" s="2"/>
      <c r="I2" s="2"/>
      <c r="J2" s="2"/>
      <c r="K2" s="2"/>
      <c r="L2" s="2"/>
      <c r="M2" s="2"/>
      <c r="N2" s="2"/>
      <c r="O2" s="2"/>
      <c r="P2" s="2"/>
      <c r="Q2" s="2"/>
      <c r="R2" s="2"/>
    </row>
    <row r="3" customFormat="false" ht="19.5" hidden="false" customHeight="true" outlineLevel="0" collapsed="false">
      <c r="A3" s="3" t="s">
        <v>116</v>
      </c>
      <c r="B3" s="3"/>
      <c r="C3" s="3"/>
      <c r="D3" s="3"/>
      <c r="E3" s="3"/>
      <c r="F3" s="3"/>
      <c r="G3" s="3"/>
      <c r="H3" s="3"/>
      <c r="I3" s="3"/>
      <c r="J3" s="3"/>
      <c r="K3" s="3"/>
      <c r="L3" s="3"/>
      <c r="M3" s="3"/>
      <c r="N3" s="3"/>
      <c r="O3" s="3"/>
      <c r="P3" s="3"/>
      <c r="Q3" s="3"/>
      <c r="R3" s="3"/>
    </row>
    <row r="4" customFormat="false" ht="30" hidden="false" customHeight="true" outlineLevel="0" collapsed="false">
      <c r="A4" s="23" t="s">
        <v>117</v>
      </c>
      <c r="B4" s="22" t="s">
        <v>118</v>
      </c>
      <c r="C4" s="22" t="s">
        <v>119</v>
      </c>
      <c r="D4" s="22" t="s">
        <v>48</v>
      </c>
      <c r="E4" s="22" t="s">
        <v>120</v>
      </c>
      <c r="F4" s="22" t="s">
        <v>121</v>
      </c>
      <c r="G4" s="22" t="s">
        <v>122</v>
      </c>
      <c r="H4" s="22" t="s">
        <v>123</v>
      </c>
      <c r="I4" s="22" t="s">
        <v>59</v>
      </c>
      <c r="J4" s="23" t="s">
        <v>124</v>
      </c>
      <c r="K4" s="23" t="s">
        <v>125</v>
      </c>
      <c r="L4" s="23" t="s">
        <v>126</v>
      </c>
      <c r="M4" s="23" t="s">
        <v>127</v>
      </c>
      <c r="N4" s="23" t="s">
        <v>128</v>
      </c>
      <c r="O4" s="23" t="s">
        <v>129</v>
      </c>
      <c r="P4" s="23" t="s">
        <v>130</v>
      </c>
      <c r="Q4" s="23" t="s">
        <v>131</v>
      </c>
      <c r="R4" s="23" t="s">
        <v>132</v>
      </c>
    </row>
    <row r="5" customFormat="false" ht="15" hidden="false" customHeight="false" outlineLevel="0" collapsed="false">
      <c r="A5" s="26" t="str">
        <f aca="false">IF($C5="","","OP-"&amp;TEXT(ROW()-4,"000"))</f>
        <v>OP-001</v>
      </c>
      <c r="B5" s="25" t="n">
        <v>46237</v>
      </c>
      <c r="C5" s="24" t="s">
        <v>133</v>
      </c>
      <c r="D5" s="24" t="s">
        <v>69</v>
      </c>
      <c r="E5" s="24"/>
      <c r="F5" s="24" t="s">
        <v>134</v>
      </c>
      <c r="G5" s="29" t="n">
        <v>1000</v>
      </c>
      <c r="H5" s="24" t="s">
        <v>135</v>
      </c>
      <c r="I5" s="24" t="s">
        <v>136</v>
      </c>
      <c r="J5" s="26" t="str">
        <f aca="false">IF($D5="","",IFERROR(INDEX(LOT_PRODE,MATCH($D5,LOT_KEY,0)),"LOT NON REFERENCE"))</f>
        <v>SARDINE</v>
      </c>
      <c r="K5" s="26" t="str">
        <f aca="false">IF($D5="","",IFERROR(INDEX(LOT_FOURNE,MATCH($D5,LOT_KEY,0)),""))</f>
        <v>ATLAS PECHE SARL</v>
      </c>
      <c r="L5" s="26" t="str">
        <f aca="false">IF($E5="","",IFERROR(INDEX(EMPL_CLASSE,MATCH($E5,EMPL_KEY,0)),"?"))</f>
        <v/>
      </c>
      <c r="M5" s="26" t="str">
        <f aca="false">IF($F5="","",IFERROR(INDEX(EMPL_CLASSE,MATCH($F5,EMPL_KEY,0)),"?"))</f>
        <v>INTERNE</v>
      </c>
      <c r="N5" s="28" t="n">
        <f aca="false">IF($C5="",0,IF(OR($B5="",$D5="",NOT(ISNUMBER($G5)),$G5&lt;=0),0,IF($C5="RECEPTION",IF($F5="",0,1),IF($C5="CONSOMMATION",IF($E5="",0,1),IF(OR($E5="",$F5="",$E5=$F5),0,1)))))</f>
        <v>1</v>
      </c>
      <c r="O5" s="27" t="str">
        <f aca="false">IF(OR($N5=0,$C5="RECEPTION"),"",SUMIFS(MVT_BRUT,MVT_LOT,$D5,MVT_EMPL,$E5)+$G5)</f>
        <v/>
      </c>
      <c r="P5" s="26" t="str">
        <f aca="false">IF($C5="","",IF($N5=0,"DONNEES MANQUANTES",IF($C5="RECEPTION","OK",IF($O5&lt;=0,"EMPLACEMENT INCOHERENT",IF($G5&gt;$O5+0.001,"STOCK INSUFFISANT","OK")))))</f>
        <v>OK</v>
      </c>
      <c r="Q5" s="28" t="n">
        <f aca="false">IF($P5="OK",1,0)</f>
        <v>1</v>
      </c>
      <c r="R5" s="26" t="str">
        <f aca="false">IF($C5="","",IF($N5=0,"A COMPLETER : "&amp;IF($B5="","DATE; ","")&amp;IF($D5="","LOT; ","")&amp;IF(OR(NOT(ISNUMBER($G5)),$G5&lt;=0),"QUANTITE &gt; 0; ","")&amp;IF(AND($C5&lt;&gt;"RECEPTION",$E5=""),"EMPL. SOURCE; ","")&amp;IF(AND($C5&lt;&gt;"CONSOMMATION",$F5=""),"EMPL. DESTINATION; ","")&amp;IF(AND($C5="TRANSFERT",$E5&lt;&gt;"",$E5=$F5),"SOURCE = DESTINATION; ",""),IF($P5="EMPLACEMENT INCOHERENT","Le lot "&amp;$D5&amp;" n'existe pas sur "&amp;$E5&amp;" (stock 0). Verifier l'emplacement source.",IF($P5="STOCK INSUFFISANT","Disponible avant operation : "&amp;TEXT($O5,"#,##0.00")&amp;" kg. Ligne NON comptee en stock.",IF(COUNTIFS($B$5:$B$304,$B5,$C$5:$C$304,$C5,$D$5:$D$304,$D5,$G$5:$G$304,$G5)&gt;1,"Doublon possible (meme date, type, lot et quantite).",IF($J5="LOT NON REFERENCE","Creer d'abord la fiche du lot dans l'onglet LOTS.",""))))))</f>
        <v/>
      </c>
    </row>
    <row r="6" customFormat="false" ht="15" hidden="false" customHeight="false" outlineLevel="0" collapsed="false">
      <c r="A6" s="26" t="str">
        <f aca="false">IF($C6="","","OP-"&amp;TEXT(ROW()-4,"000"))</f>
        <v>OP-002</v>
      </c>
      <c r="B6" s="25" t="n">
        <v>46238</v>
      </c>
      <c r="C6" s="24" t="s">
        <v>133</v>
      </c>
      <c r="D6" s="24" t="s">
        <v>79</v>
      </c>
      <c r="E6" s="24"/>
      <c r="F6" s="24" t="s">
        <v>137</v>
      </c>
      <c r="G6" s="29" t="n">
        <v>2000</v>
      </c>
      <c r="H6" s="24" t="s">
        <v>138</v>
      </c>
      <c r="I6" s="24" t="s">
        <v>139</v>
      </c>
      <c r="J6" s="26" t="str">
        <f aca="false">IF($D6="","",IFERROR(INDEX(LOT_PRODE,MATCH($D6,LOT_KEY,0)),"LOT NON REFERENCE"))</f>
        <v>MAQUEREAU</v>
      </c>
      <c r="K6" s="26" t="str">
        <f aca="false">IF($D6="","",IFERROR(INDEX(LOT_FOURNE,MATCH($D6,LOT_KEY,0)),""))</f>
        <v>SOCIETE MARSA</v>
      </c>
      <c r="L6" s="26" t="str">
        <f aca="false">IF($E6="","",IFERROR(INDEX(EMPL_CLASSE,MATCH($E6,EMPL_KEY,0)),"?"))</f>
        <v/>
      </c>
      <c r="M6" s="26" t="str">
        <f aca="false">IF($F6="","",IFERROR(INDEX(EMPL_CLASSE,MATCH($F6,EMPL_KEY,0)),"?"))</f>
        <v>EXTERNE</v>
      </c>
      <c r="N6" s="28" t="n">
        <f aca="false">IF($C6="",0,IF(OR($B6="",$D6="",NOT(ISNUMBER($G6)),$G6&lt;=0),0,IF($C6="RECEPTION",IF($F6="",0,1),IF($C6="CONSOMMATION",IF($E6="",0,1),IF(OR($E6="",$F6="",$E6=$F6),0,1)))))</f>
        <v>1</v>
      </c>
      <c r="O6" s="27" t="str">
        <f aca="false">IF(OR($N6=0,$C6="RECEPTION"),"",SUMIFS(MVT_BRUT,MVT_LOT,$D6,MVT_EMPL,$E6)+$G6)</f>
        <v/>
      </c>
      <c r="P6" s="26" t="str">
        <f aca="false">IF($C6="","",IF($N6=0,"DONNEES MANQUANTES",IF($C6="RECEPTION","OK",IF($O6&lt;=0,"EMPLACEMENT INCOHERENT",IF($G6&gt;$O6+0.001,"STOCK INSUFFISANT","OK")))))</f>
        <v>OK</v>
      </c>
      <c r="Q6" s="28" t="n">
        <f aca="false">IF($P6="OK",1,0)</f>
        <v>1</v>
      </c>
      <c r="R6" s="26" t="str">
        <f aca="false">IF($C6="","",IF($N6=0,"A COMPLETER : "&amp;IF($B6="","DATE; ","")&amp;IF($D6="","LOT; ","")&amp;IF(OR(NOT(ISNUMBER($G6)),$G6&lt;=0),"QUANTITE &gt; 0; ","")&amp;IF(AND($C6&lt;&gt;"RECEPTION",$E6=""),"EMPL. SOURCE; ","")&amp;IF(AND($C6&lt;&gt;"CONSOMMATION",$F6=""),"EMPL. DESTINATION; ","")&amp;IF(AND($C6="TRANSFERT",$E6&lt;&gt;"",$E6=$F6),"SOURCE = DESTINATION; ",""),IF($P6="EMPLACEMENT INCOHERENT","Le lot "&amp;$D6&amp;" n'existe pas sur "&amp;$E6&amp;" (stock 0). Verifier l'emplacement source.",IF($P6="STOCK INSUFFISANT","Disponible avant operation : "&amp;TEXT($O6,"#,##0.00")&amp;" kg. Ligne NON comptee en stock.",IF(COUNTIFS($B$5:$B$304,$B6,$C$5:$C$304,$C6,$D$5:$D$304,$D6,$G$5:$G$304,$G6)&gt;1,"Doublon possible (meme date, type, lot et quantite).",IF($J6="LOT NON REFERENCE","Creer d'abord la fiche du lot dans l'onglet LOTS.",""))))))</f>
        <v/>
      </c>
    </row>
    <row r="7" customFormat="false" ht="15" hidden="false" customHeight="false" outlineLevel="0" collapsed="false">
      <c r="A7" s="26" t="str">
        <f aca="false">IF($C7="","","OP-"&amp;TEXT(ROW()-4,"000"))</f>
        <v>OP-003</v>
      </c>
      <c r="B7" s="25" t="n">
        <v>46239</v>
      </c>
      <c r="C7" s="24" t="s">
        <v>133</v>
      </c>
      <c r="D7" s="24" t="s">
        <v>87</v>
      </c>
      <c r="E7" s="24"/>
      <c r="F7" s="24" t="s">
        <v>134</v>
      </c>
      <c r="G7" s="29" t="n">
        <v>800</v>
      </c>
      <c r="H7" s="24" t="s">
        <v>135</v>
      </c>
      <c r="I7" s="24"/>
      <c r="J7" s="26" t="str">
        <f aca="false">IF($D7="","",IFERROR(INDEX(LOT_PRODE,MATCH($D7,LOT_KEY,0)),"LOT NON REFERENCE"))</f>
        <v>SARDINE</v>
      </c>
      <c r="K7" s="26" t="str">
        <f aca="false">IF($D7="","",IFERROR(INDEX(LOT_FOURNE,MATCH($D7,LOT_KEY,0)),""))</f>
        <v>ATLAS PECHE SARL</v>
      </c>
      <c r="L7" s="26" t="str">
        <f aca="false">IF($E7="","",IFERROR(INDEX(EMPL_CLASSE,MATCH($E7,EMPL_KEY,0)),"?"))</f>
        <v/>
      </c>
      <c r="M7" s="26" t="str">
        <f aca="false">IF($F7="","",IFERROR(INDEX(EMPL_CLASSE,MATCH($F7,EMPL_KEY,0)),"?"))</f>
        <v>INTERNE</v>
      </c>
      <c r="N7" s="28" t="n">
        <f aca="false">IF($C7="",0,IF(OR($B7="",$D7="",NOT(ISNUMBER($G7)),$G7&lt;=0),0,IF($C7="RECEPTION",IF($F7="",0,1),IF($C7="CONSOMMATION",IF($E7="",0,1),IF(OR($E7="",$F7="",$E7=$F7),0,1)))))</f>
        <v>1</v>
      </c>
      <c r="O7" s="27" t="str">
        <f aca="false">IF(OR($N7=0,$C7="RECEPTION"),"",SUMIFS(MVT_BRUT,MVT_LOT,$D7,MVT_EMPL,$E7)+$G7)</f>
        <v/>
      </c>
      <c r="P7" s="26" t="str">
        <f aca="false">IF($C7="","",IF($N7=0,"DONNEES MANQUANTES",IF($C7="RECEPTION","OK",IF($O7&lt;=0,"EMPLACEMENT INCOHERENT",IF($G7&gt;$O7+0.001,"STOCK INSUFFISANT","OK")))))</f>
        <v>OK</v>
      </c>
      <c r="Q7" s="28" t="n">
        <f aca="false">IF($P7="OK",1,0)</f>
        <v>1</v>
      </c>
      <c r="R7" s="26" t="str">
        <f aca="false">IF($C7="","",IF($N7=0,"A COMPLETER : "&amp;IF($B7="","DATE; ","")&amp;IF($D7="","LOT; ","")&amp;IF(OR(NOT(ISNUMBER($G7)),$G7&lt;=0),"QUANTITE &gt; 0; ","")&amp;IF(AND($C7&lt;&gt;"RECEPTION",$E7=""),"EMPL. SOURCE; ","")&amp;IF(AND($C7&lt;&gt;"CONSOMMATION",$F7=""),"EMPL. DESTINATION; ","")&amp;IF(AND($C7="TRANSFERT",$E7&lt;&gt;"",$E7=$F7),"SOURCE = DESTINATION; ",""),IF($P7="EMPLACEMENT INCOHERENT","Le lot "&amp;$D7&amp;" n'existe pas sur "&amp;$E7&amp;" (stock 0). Verifier l'emplacement source.",IF($P7="STOCK INSUFFISANT","Disponible avant operation : "&amp;TEXT($O7,"#,##0.00")&amp;" kg. Ligne NON comptee en stock.",IF(COUNTIFS($B$5:$B$304,$B7,$C$5:$C$304,$C7,$D$5:$D$304,$D7,$G$5:$G$304,$G7)&gt;1,"Doublon possible (meme date, type, lot et quantite).",IF($J7="LOT NON REFERENCE","Creer d'abord la fiche du lot dans l'onglet LOTS.",""))))))</f>
        <v/>
      </c>
    </row>
    <row r="8" customFormat="false" ht="15" hidden="false" customHeight="false" outlineLevel="0" collapsed="false">
      <c r="A8" s="26" t="str">
        <f aca="false">IF($C8="","","OP-"&amp;TEXT(ROW()-4,"000"))</f>
        <v>OP-004</v>
      </c>
      <c r="B8" s="25" t="n">
        <v>46240</v>
      </c>
      <c r="C8" s="24" t="s">
        <v>133</v>
      </c>
      <c r="D8" s="24" t="s">
        <v>92</v>
      </c>
      <c r="E8" s="24"/>
      <c r="F8" s="24" t="s">
        <v>134</v>
      </c>
      <c r="G8" s="29" t="n">
        <v>200</v>
      </c>
      <c r="H8" s="24" t="s">
        <v>135</v>
      </c>
      <c r="I8" s="24"/>
      <c r="J8" s="26" t="str">
        <f aca="false">IF($D8="","",IFERROR(INDEX(LOT_PRODE,MATCH($D8,LOT_KEY,0)),"LOT NON REFERENCE"))</f>
        <v>SARDINE</v>
      </c>
      <c r="K8" s="26" t="str">
        <f aca="false">IF($D8="","",IFERROR(INDEX(LOT_FOURNE,MATCH($D8,LOT_KEY,0)),""))</f>
        <v>ATLAS PECHE SARL</v>
      </c>
      <c r="L8" s="26" t="str">
        <f aca="false">IF($E8="","",IFERROR(INDEX(EMPL_CLASSE,MATCH($E8,EMPL_KEY,0)),"?"))</f>
        <v/>
      </c>
      <c r="M8" s="26" t="str">
        <f aca="false">IF($F8="","",IFERROR(INDEX(EMPL_CLASSE,MATCH($F8,EMPL_KEY,0)),"?"))</f>
        <v>INTERNE</v>
      </c>
      <c r="N8" s="28" t="n">
        <f aca="false">IF($C8="",0,IF(OR($B8="",$D8="",NOT(ISNUMBER($G8)),$G8&lt;=0),0,IF($C8="RECEPTION",IF($F8="",0,1),IF($C8="CONSOMMATION",IF($E8="",0,1),IF(OR($E8="",$F8="",$E8=$F8),0,1)))))</f>
        <v>1</v>
      </c>
      <c r="O8" s="27" t="str">
        <f aca="false">IF(OR($N8=0,$C8="RECEPTION"),"",SUMIFS(MVT_BRUT,MVT_LOT,$D8,MVT_EMPL,$E8)+$G8)</f>
        <v/>
      </c>
      <c r="P8" s="26" t="str">
        <f aca="false">IF($C8="","",IF($N8=0,"DONNEES MANQUANTES",IF($C8="RECEPTION","OK",IF($O8&lt;=0,"EMPLACEMENT INCOHERENT",IF($G8&gt;$O8+0.001,"STOCK INSUFFISANT","OK")))))</f>
        <v>OK</v>
      </c>
      <c r="Q8" s="28" t="n">
        <f aca="false">IF($P8="OK",1,0)</f>
        <v>1</v>
      </c>
      <c r="R8" s="26" t="str">
        <f aca="false">IF($C8="","",IF($N8=0,"A COMPLETER : "&amp;IF($B8="","DATE; ","")&amp;IF($D8="","LOT; ","")&amp;IF(OR(NOT(ISNUMBER($G8)),$G8&lt;=0),"QUANTITE &gt; 0; ","")&amp;IF(AND($C8&lt;&gt;"RECEPTION",$E8=""),"EMPL. SOURCE; ","")&amp;IF(AND($C8&lt;&gt;"CONSOMMATION",$F8=""),"EMPL. DESTINATION; ","")&amp;IF(AND($C8="TRANSFERT",$E8&lt;&gt;"",$E8=$F8),"SOURCE = DESTINATION; ",""),IF($P8="EMPLACEMENT INCOHERENT","Le lot "&amp;$D8&amp;" n'existe pas sur "&amp;$E8&amp;" (stock 0). Verifier l'emplacement source.",IF($P8="STOCK INSUFFISANT","Disponible avant operation : "&amp;TEXT($O8,"#,##0.00")&amp;" kg. Ligne NON comptee en stock.",IF(COUNTIFS($B$5:$B$304,$B8,$C$5:$C$304,$C8,$D$5:$D$304,$D8,$G$5:$G$304,$G8)&gt;1,"Doublon possible (meme date, type, lot et quantite).",IF($J8="LOT NON REFERENCE","Creer d'abord la fiche du lot dans l'onglet LOTS.",""))))))</f>
        <v/>
      </c>
    </row>
    <row r="9" customFormat="false" ht="15" hidden="false" customHeight="false" outlineLevel="0" collapsed="false">
      <c r="A9" s="26" t="str">
        <f aca="false">IF($C9="","","OP-"&amp;TEXT(ROW()-4,"000"))</f>
        <v>OP-005</v>
      </c>
      <c r="B9" s="25" t="n">
        <v>46242</v>
      </c>
      <c r="C9" s="24" t="s">
        <v>140</v>
      </c>
      <c r="D9" s="24" t="s">
        <v>87</v>
      </c>
      <c r="E9" s="24" t="s">
        <v>134</v>
      </c>
      <c r="F9" s="24"/>
      <c r="G9" s="29" t="n">
        <v>300</v>
      </c>
      <c r="H9" s="24" t="s">
        <v>141</v>
      </c>
      <c r="I9" s="24" t="s">
        <v>142</v>
      </c>
      <c r="J9" s="26" t="str">
        <f aca="false">IF($D9="","",IFERROR(INDEX(LOT_PRODE,MATCH($D9,LOT_KEY,0)),"LOT NON REFERENCE"))</f>
        <v>SARDINE</v>
      </c>
      <c r="K9" s="26" t="str">
        <f aca="false">IF($D9="","",IFERROR(INDEX(LOT_FOURNE,MATCH($D9,LOT_KEY,0)),""))</f>
        <v>ATLAS PECHE SARL</v>
      </c>
      <c r="L9" s="26" t="str">
        <f aca="false">IF($E9="","",IFERROR(INDEX(EMPL_CLASSE,MATCH($E9,EMPL_KEY,0)),"?"))</f>
        <v>INTERNE</v>
      </c>
      <c r="M9" s="26" t="str">
        <f aca="false">IF($F9="","",IFERROR(INDEX(EMPL_CLASSE,MATCH($F9,EMPL_KEY,0)),"?"))</f>
        <v/>
      </c>
      <c r="N9" s="28" t="n">
        <f aca="false">IF($C9="",0,IF(OR($B9="",$D9="",NOT(ISNUMBER($G9)),$G9&lt;=0),0,IF($C9="RECEPTION",IF($F9="",0,1),IF($C9="CONSOMMATION",IF($E9="",0,1),IF(OR($E9="",$F9="",$E9=$F9),0,1)))))</f>
        <v>1</v>
      </c>
      <c r="O9" s="27" t="n">
        <f aca="false">IF(OR($N9=0,$C9="RECEPTION"),"",SUMIFS(MVT_BRUT,MVT_LOT,$D9,MVT_EMPL,$E9)+$G9)</f>
        <v>800</v>
      </c>
      <c r="P9" s="26" t="str">
        <f aca="false">IF($C9="","",IF($N9=0,"DONNEES MANQUANTES",IF($C9="RECEPTION","OK",IF($O9&lt;=0,"EMPLACEMENT INCOHERENT",IF($G9&gt;$O9+0.001,"STOCK INSUFFISANT","OK")))))</f>
        <v>OK</v>
      </c>
      <c r="Q9" s="28" t="n">
        <f aca="false">IF($P9="OK",1,0)</f>
        <v>1</v>
      </c>
      <c r="R9" s="26" t="str">
        <f aca="false">IF($C9="","",IF($N9=0,"A COMPLETER : "&amp;IF($B9="","DATE; ","")&amp;IF($D9="","LOT; ","")&amp;IF(OR(NOT(ISNUMBER($G9)),$G9&lt;=0),"QUANTITE &gt; 0; ","")&amp;IF(AND($C9&lt;&gt;"RECEPTION",$E9=""),"EMPL. SOURCE; ","")&amp;IF(AND($C9&lt;&gt;"CONSOMMATION",$F9=""),"EMPL. DESTINATION; ","")&amp;IF(AND($C9="TRANSFERT",$E9&lt;&gt;"",$E9=$F9),"SOURCE = DESTINATION; ",""),IF($P9="EMPLACEMENT INCOHERENT","Le lot "&amp;$D9&amp;" n'existe pas sur "&amp;$E9&amp;" (stock 0). Verifier l'emplacement source.",IF($P9="STOCK INSUFFISANT","Disponible avant operation : "&amp;TEXT($O9,"#,##0.00")&amp;" kg. Ligne NON comptee en stock.",IF(COUNTIFS($B$5:$B$304,$B9,$C$5:$C$304,$C9,$D$5:$D$304,$D9,$G$5:$G$304,$G9)&gt;1,"Doublon possible (meme date, type, lot et quantite).",IF($J9="LOT NON REFERENCE","Creer d'abord la fiche du lot dans l'onglet LOTS.",""))))))</f>
        <v/>
      </c>
    </row>
    <row r="10" customFormat="false" ht="15" hidden="false" customHeight="false" outlineLevel="0" collapsed="false">
      <c r="A10" s="26" t="str">
        <f aca="false">IF($C10="","","OP-"&amp;TEXT(ROW()-4,"000"))</f>
        <v>OP-006</v>
      </c>
      <c r="B10" s="25" t="n">
        <v>46243</v>
      </c>
      <c r="C10" s="24" t="s">
        <v>143</v>
      </c>
      <c r="D10" s="24" t="s">
        <v>79</v>
      </c>
      <c r="E10" s="24" t="s">
        <v>137</v>
      </c>
      <c r="F10" s="24" t="s">
        <v>134</v>
      </c>
      <c r="G10" s="29" t="n">
        <v>800</v>
      </c>
      <c r="H10" s="24" t="s">
        <v>144</v>
      </c>
      <c r="I10" s="24" t="s">
        <v>145</v>
      </c>
      <c r="J10" s="26" t="str">
        <f aca="false">IF($D10="","",IFERROR(INDEX(LOT_PRODE,MATCH($D10,LOT_KEY,0)),"LOT NON REFERENCE"))</f>
        <v>MAQUEREAU</v>
      </c>
      <c r="K10" s="26" t="str">
        <f aca="false">IF($D10="","",IFERROR(INDEX(LOT_FOURNE,MATCH($D10,LOT_KEY,0)),""))</f>
        <v>SOCIETE MARSA</v>
      </c>
      <c r="L10" s="26" t="str">
        <f aca="false">IF($E10="","",IFERROR(INDEX(EMPL_CLASSE,MATCH($E10,EMPL_KEY,0)),"?"))</f>
        <v>EXTERNE</v>
      </c>
      <c r="M10" s="26" t="str">
        <f aca="false">IF($F10="","",IFERROR(INDEX(EMPL_CLASSE,MATCH($F10,EMPL_KEY,0)),"?"))</f>
        <v>INTERNE</v>
      </c>
      <c r="N10" s="28" t="n">
        <f aca="false">IF($C10="",0,IF(OR($B10="",$D10="",NOT(ISNUMBER($G10)),$G10&lt;=0),0,IF($C10="RECEPTION",IF($F10="",0,1),IF($C10="CONSOMMATION",IF($E10="",0,1),IF(OR($E10="",$F10="",$E10=$F10),0,1)))))</f>
        <v>1</v>
      </c>
      <c r="O10" s="27" t="n">
        <f aca="false">IF(OR($N10=0,$C10="RECEPTION"),"",SUMIFS(MVT_BRUT,MVT_LOT,$D10,MVT_EMPL,$E10)+$G10)</f>
        <v>2000</v>
      </c>
      <c r="P10" s="26" t="str">
        <f aca="false">IF($C10="","",IF($N10=0,"DONNEES MANQUANTES",IF($C10="RECEPTION","OK",IF($O10&lt;=0,"EMPLACEMENT INCOHERENT",IF($G10&gt;$O10+0.001,"STOCK INSUFFISANT","OK")))))</f>
        <v>OK</v>
      </c>
      <c r="Q10" s="28" t="n">
        <f aca="false">IF($P10="OK",1,0)</f>
        <v>1</v>
      </c>
      <c r="R10" s="26" t="str">
        <f aca="false">IF($C10="","",IF($N10=0,"A COMPLETER : "&amp;IF($B10="","DATE; ","")&amp;IF($D10="","LOT; ","")&amp;IF(OR(NOT(ISNUMBER($G10)),$G10&lt;=0),"QUANTITE &gt; 0; ","")&amp;IF(AND($C10&lt;&gt;"RECEPTION",$E10=""),"EMPL. SOURCE; ","")&amp;IF(AND($C10&lt;&gt;"CONSOMMATION",$F10=""),"EMPL. DESTINATION; ","")&amp;IF(AND($C10="TRANSFERT",$E10&lt;&gt;"",$E10=$F10),"SOURCE = DESTINATION; ",""),IF($P10="EMPLACEMENT INCOHERENT","Le lot "&amp;$D10&amp;" n'existe pas sur "&amp;$E10&amp;" (stock 0). Verifier l'emplacement source.",IF($P10="STOCK INSUFFISANT","Disponible avant operation : "&amp;TEXT($O10,"#,##0.00")&amp;" kg. Ligne NON comptee en stock.",IF(COUNTIFS($B$5:$B$304,$B10,$C$5:$C$304,$C10,$D$5:$D$304,$D10,$G$5:$G$304,$G10)&gt;1,"Doublon possible (meme date, type, lot et quantite).",IF($J10="LOT NON REFERENCE","Creer d'abord la fiche du lot dans l'onglet LOTS.",""))))))</f>
        <v/>
      </c>
    </row>
    <row r="11" customFormat="false" ht="15" hidden="false" customHeight="false" outlineLevel="0" collapsed="false">
      <c r="A11" s="26" t="str">
        <f aca="false">IF($C11="","","OP-"&amp;TEXT(ROW()-4,"000"))</f>
        <v>OP-007</v>
      </c>
      <c r="B11" s="25" t="n">
        <v>46244</v>
      </c>
      <c r="C11" s="24" t="s">
        <v>133</v>
      </c>
      <c r="D11" s="24" t="s">
        <v>102</v>
      </c>
      <c r="E11" s="24"/>
      <c r="F11" s="24" t="s">
        <v>134</v>
      </c>
      <c r="G11" s="29" t="n">
        <v>400</v>
      </c>
      <c r="H11" s="24" t="s">
        <v>135</v>
      </c>
      <c r="I11" s="24"/>
      <c r="J11" s="26" t="str">
        <f aca="false">IF($D11="","",IFERROR(INDEX(LOT_PRODE,MATCH($D11,LOT_KEY,0)),"LOT NON REFERENCE"))</f>
        <v>MAQUEREAU</v>
      </c>
      <c r="K11" s="26" t="str">
        <f aca="false">IF($D11="","",IFERROR(INDEX(LOT_FOURNE,MATCH($D11,LOT_KEY,0)),""))</f>
        <v>SOCIETE MARSA</v>
      </c>
      <c r="L11" s="26" t="str">
        <f aca="false">IF($E11="","",IFERROR(INDEX(EMPL_CLASSE,MATCH($E11,EMPL_KEY,0)),"?"))</f>
        <v/>
      </c>
      <c r="M11" s="26" t="str">
        <f aca="false">IF($F11="","",IFERROR(INDEX(EMPL_CLASSE,MATCH($F11,EMPL_KEY,0)),"?"))</f>
        <v>INTERNE</v>
      </c>
      <c r="N11" s="28" t="n">
        <f aca="false">IF($C11="",0,IF(OR($B11="",$D11="",NOT(ISNUMBER($G11)),$G11&lt;=0),0,IF($C11="RECEPTION",IF($F11="",0,1),IF($C11="CONSOMMATION",IF($E11="",0,1),IF(OR($E11="",$F11="",$E11=$F11),0,1)))))</f>
        <v>1</v>
      </c>
      <c r="O11" s="27" t="str">
        <f aca="false">IF(OR($N11=0,$C11="RECEPTION"),"",SUMIFS(MVT_BRUT,MVT_LOT,$D11,MVT_EMPL,$E11)+$G11)</f>
        <v/>
      </c>
      <c r="P11" s="26" t="str">
        <f aca="false">IF($C11="","",IF($N11=0,"DONNEES MANQUANTES",IF($C11="RECEPTION","OK",IF($O11&lt;=0,"EMPLACEMENT INCOHERENT",IF($G11&gt;$O11+0.001,"STOCK INSUFFISANT","OK")))))</f>
        <v>OK</v>
      </c>
      <c r="Q11" s="28" t="n">
        <f aca="false">IF($P11="OK",1,0)</f>
        <v>1</v>
      </c>
      <c r="R11" s="26" t="str">
        <f aca="false">IF($C11="","",IF($N11=0,"A COMPLETER : "&amp;IF($B11="","DATE; ","")&amp;IF($D11="","LOT; ","")&amp;IF(OR(NOT(ISNUMBER($G11)),$G11&lt;=0),"QUANTITE &gt; 0; ","")&amp;IF(AND($C11&lt;&gt;"RECEPTION",$E11=""),"EMPL. SOURCE; ","")&amp;IF(AND($C11&lt;&gt;"CONSOMMATION",$F11=""),"EMPL. DESTINATION; ","")&amp;IF(AND($C11="TRANSFERT",$E11&lt;&gt;"",$E11=$F11),"SOURCE = DESTINATION; ",""),IF($P11="EMPLACEMENT INCOHERENT","Le lot "&amp;$D11&amp;" n'existe pas sur "&amp;$E11&amp;" (stock 0). Verifier l'emplacement source.",IF($P11="STOCK INSUFFISANT","Disponible avant operation : "&amp;TEXT($O11,"#,##0.00")&amp;" kg. Ligne NON comptee en stock.",IF(COUNTIFS($B$5:$B$304,$B11,$C$5:$C$304,$C11,$D$5:$D$304,$D11,$G$5:$G$304,$G11)&gt;1,"Doublon possible (meme date, type, lot et quantite).",IF($J11="LOT NON REFERENCE","Creer d'abord la fiche du lot dans l'onglet LOTS.",""))))))</f>
        <v/>
      </c>
    </row>
    <row r="12" customFormat="false" ht="15" hidden="false" customHeight="false" outlineLevel="0" collapsed="false">
      <c r="A12" s="26" t="str">
        <f aca="false">IF($C12="","","OP-"&amp;TEXT(ROW()-4,"000"))</f>
        <v>OP-008</v>
      </c>
      <c r="B12" s="25" t="n">
        <v>46245</v>
      </c>
      <c r="C12" s="24" t="s">
        <v>140</v>
      </c>
      <c r="D12" s="24" t="s">
        <v>92</v>
      </c>
      <c r="E12" s="24" t="s">
        <v>134</v>
      </c>
      <c r="F12" s="24"/>
      <c r="G12" s="29" t="n">
        <v>500</v>
      </c>
      <c r="H12" s="24" t="s">
        <v>141</v>
      </c>
      <c r="I12" s="24" t="s">
        <v>146</v>
      </c>
      <c r="J12" s="26" t="str">
        <f aca="false">IF($D12="","",IFERROR(INDEX(LOT_PRODE,MATCH($D12,LOT_KEY,0)),"LOT NON REFERENCE"))</f>
        <v>SARDINE</v>
      </c>
      <c r="K12" s="26" t="str">
        <f aca="false">IF($D12="","",IFERROR(INDEX(LOT_FOURNE,MATCH($D12,LOT_KEY,0)),""))</f>
        <v>ATLAS PECHE SARL</v>
      </c>
      <c r="L12" s="26" t="str">
        <f aca="false">IF($E12="","",IFERROR(INDEX(EMPL_CLASSE,MATCH($E12,EMPL_KEY,0)),"?"))</f>
        <v>INTERNE</v>
      </c>
      <c r="M12" s="26" t="str">
        <f aca="false">IF($F12="","",IFERROR(INDEX(EMPL_CLASSE,MATCH($F12,EMPL_KEY,0)),"?"))</f>
        <v/>
      </c>
      <c r="N12" s="28" t="n">
        <f aca="false">IF($C12="",0,IF(OR($B12="",$D12="",NOT(ISNUMBER($G12)),$G12&lt;=0),0,IF($C12="RECEPTION",IF($F12="",0,1),IF($C12="CONSOMMATION",IF($E12="",0,1),IF(OR($E12="",$F12="",$E12=$F12),0,1)))))</f>
        <v>1</v>
      </c>
      <c r="O12" s="27" t="n">
        <f aca="false">IF(OR($N12=0,$C12="RECEPTION"),"",SUMIFS(MVT_BRUT,MVT_LOT,$D12,MVT_EMPL,$E12)+$G12)</f>
        <v>200</v>
      </c>
      <c r="P12" s="26" t="str">
        <f aca="false">IF($C12="","",IF($N12=0,"DONNEES MANQUANTES",IF($C12="RECEPTION","OK",IF($O12&lt;=0,"EMPLACEMENT INCOHERENT",IF($G12&gt;$O12+0.001,"STOCK INSUFFISANT","OK")))))</f>
        <v>STOCK INSUFFISANT</v>
      </c>
      <c r="Q12" s="28" t="n">
        <f aca="false">IF($P12="OK",1,0)</f>
        <v>0</v>
      </c>
      <c r="R12" s="26" t="str">
        <f aca="false">IF($C12="","",IF($N12=0,"A COMPLETER : "&amp;IF($B12="","DATE; ","")&amp;IF($D12="","LOT; ","")&amp;IF(OR(NOT(ISNUMBER($G12)),$G12&lt;=0),"QUANTITE &gt; 0; ","")&amp;IF(AND($C12&lt;&gt;"RECEPTION",$E12=""),"EMPL. SOURCE; ","")&amp;IF(AND($C12&lt;&gt;"CONSOMMATION",$F12=""),"EMPL. DESTINATION; ","")&amp;IF(AND($C12="TRANSFERT",$E12&lt;&gt;"",$E12=$F12),"SOURCE = DESTINATION; ",""),IF($P12="EMPLACEMENT INCOHERENT","Le lot "&amp;$D12&amp;" n'existe pas sur "&amp;$E12&amp;" (stock 0). Verifier l'emplacement source.",IF($P12="STOCK INSUFFISANT","Disponible avant operation : "&amp;TEXT($O12,"#,##0.00")&amp;" kg. Ligne NON comptee en stock.",IF(COUNTIFS($B$5:$B$304,$B12,$C$5:$C$304,$C12,$D$5:$D$304,$D12,$G$5:$G$304,$G12)&gt;1,"Doublon possible (meme date, type, lot et quantite).",IF($J12="LOT NON REFERENCE","Creer d'abord la fiche du lot dans l'onglet LOTS.",""))))))</f>
        <v>Disponible avant operation : 200.00 kg. Ligne NON comptee en stock.</v>
      </c>
    </row>
    <row r="13" customFormat="false" ht="15" hidden="false" customHeight="false" outlineLevel="0" collapsed="false">
      <c r="A13" s="26" t="str">
        <f aca="false">IF($C13="","","OP-"&amp;TEXT(ROW()-4,"000"))</f>
        <v/>
      </c>
      <c r="B13" s="25"/>
      <c r="C13" s="24"/>
      <c r="D13" s="24"/>
      <c r="E13" s="24"/>
      <c r="F13" s="24"/>
      <c r="G13" s="29"/>
      <c r="H13" s="24"/>
      <c r="I13" s="24"/>
      <c r="J13" s="26" t="str">
        <f aca="false">IF($D13="","",IFERROR(INDEX(LOT_PRODE,MATCH($D13,LOT_KEY,0)),"LOT NON REFERENCE"))</f>
        <v/>
      </c>
      <c r="K13" s="26" t="str">
        <f aca="false">IF($D13="","",IFERROR(INDEX(LOT_FOURNE,MATCH($D13,LOT_KEY,0)),""))</f>
        <v/>
      </c>
      <c r="L13" s="26" t="str">
        <f aca="false">IF($E13="","",IFERROR(INDEX(EMPL_CLASSE,MATCH($E13,EMPL_KEY,0)),"?"))</f>
        <v/>
      </c>
      <c r="M13" s="26" t="str">
        <f aca="false">IF($F13="","",IFERROR(INDEX(EMPL_CLASSE,MATCH($F13,EMPL_KEY,0)),"?"))</f>
        <v/>
      </c>
      <c r="N13" s="28" t="n">
        <f aca="false">IF($C13="",0,IF(OR($B13="",$D13="",NOT(ISNUMBER($G13)),$G13&lt;=0),0,IF($C13="RECEPTION",IF($F13="",0,1),IF($C13="CONSOMMATION",IF($E13="",0,1),IF(OR($E13="",$F13="",$E13=$F13),0,1)))))</f>
        <v>0</v>
      </c>
      <c r="O13" s="27" t="str">
        <f aca="false">IF(OR($N13=0,$C13="RECEPTION"),"",SUMIFS(MVT_BRUT,MVT_LOT,$D13,MVT_EMPL,$E13)+$G13)</f>
        <v/>
      </c>
      <c r="P13" s="26" t="str">
        <f aca="false">IF($C13="","",IF($N13=0,"DONNEES MANQUANTES",IF($C13="RECEPTION","OK",IF($O13&lt;=0,"EMPLACEMENT INCOHERENT",IF($G13&gt;$O13+0.001,"STOCK INSUFFISANT","OK")))))</f>
        <v/>
      </c>
      <c r="Q13" s="28" t="n">
        <f aca="false">IF($P13="OK",1,0)</f>
        <v>0</v>
      </c>
      <c r="R13" s="26" t="str">
        <f aca="false">IF($C13="","",IF($N13=0,"A COMPLETER : "&amp;IF($B13="","DATE; ","")&amp;IF($D13="","LOT; ","")&amp;IF(OR(NOT(ISNUMBER($G13)),$G13&lt;=0),"QUANTITE &gt; 0; ","")&amp;IF(AND($C13&lt;&gt;"RECEPTION",$E13=""),"EMPL. SOURCE; ","")&amp;IF(AND($C13&lt;&gt;"CONSOMMATION",$F13=""),"EMPL. DESTINATION; ","")&amp;IF(AND($C13="TRANSFERT",$E13&lt;&gt;"",$E13=$F13),"SOURCE = DESTINATION; ",""),IF($P13="EMPLACEMENT INCOHERENT","Le lot "&amp;$D13&amp;" n'existe pas sur "&amp;$E13&amp;" (stock 0). Verifier l'emplacement source.",IF($P13="STOCK INSUFFISANT","Disponible avant operation : "&amp;TEXT($O13,"#,##0.00")&amp;" kg. Ligne NON comptee en stock.",IF(COUNTIFS($B$5:$B$304,$B13,$C$5:$C$304,$C13,$D$5:$D$304,$D13,$G$5:$G$304,$G13)&gt;1,"Doublon possible (meme date, type, lot et quantite).",IF($J13="LOT NON REFERENCE","Creer d'abord la fiche du lot dans l'onglet LOTS.",""))))))</f>
        <v/>
      </c>
    </row>
    <row r="14" customFormat="false" ht="15" hidden="false" customHeight="false" outlineLevel="0" collapsed="false">
      <c r="A14" s="26" t="str">
        <f aca="false">IF($C14="","","OP-"&amp;TEXT(ROW()-4,"000"))</f>
        <v/>
      </c>
      <c r="B14" s="25"/>
      <c r="C14" s="24"/>
      <c r="D14" s="24"/>
      <c r="E14" s="24"/>
      <c r="F14" s="24"/>
      <c r="G14" s="29"/>
      <c r="H14" s="24"/>
      <c r="I14" s="24"/>
      <c r="J14" s="26" t="str">
        <f aca="false">IF($D14="","",IFERROR(INDEX(LOT_PRODE,MATCH($D14,LOT_KEY,0)),"LOT NON REFERENCE"))</f>
        <v/>
      </c>
      <c r="K14" s="26" t="str">
        <f aca="false">IF($D14="","",IFERROR(INDEX(LOT_FOURNE,MATCH($D14,LOT_KEY,0)),""))</f>
        <v/>
      </c>
      <c r="L14" s="26" t="str">
        <f aca="false">IF($E14="","",IFERROR(INDEX(EMPL_CLASSE,MATCH($E14,EMPL_KEY,0)),"?"))</f>
        <v/>
      </c>
      <c r="M14" s="26" t="str">
        <f aca="false">IF($F14="","",IFERROR(INDEX(EMPL_CLASSE,MATCH($F14,EMPL_KEY,0)),"?"))</f>
        <v/>
      </c>
      <c r="N14" s="28" t="n">
        <f aca="false">IF($C14="",0,IF(OR($B14="",$D14="",NOT(ISNUMBER($G14)),$G14&lt;=0),0,IF($C14="RECEPTION",IF($F14="",0,1),IF($C14="CONSOMMATION",IF($E14="",0,1),IF(OR($E14="",$F14="",$E14=$F14),0,1)))))</f>
        <v>0</v>
      </c>
      <c r="O14" s="27" t="str">
        <f aca="false">IF(OR($N14=0,$C14="RECEPTION"),"",SUMIFS(MVT_BRUT,MVT_LOT,$D14,MVT_EMPL,$E14)+$G14)</f>
        <v/>
      </c>
      <c r="P14" s="26" t="str">
        <f aca="false">IF($C14="","",IF($N14=0,"DONNEES MANQUANTES",IF($C14="RECEPTION","OK",IF($O14&lt;=0,"EMPLACEMENT INCOHERENT",IF($G14&gt;$O14+0.001,"STOCK INSUFFISANT","OK")))))</f>
        <v/>
      </c>
      <c r="Q14" s="28" t="n">
        <f aca="false">IF($P14="OK",1,0)</f>
        <v>0</v>
      </c>
      <c r="R14" s="26" t="str">
        <f aca="false">IF($C14="","",IF($N14=0,"A COMPLETER : "&amp;IF($B14="","DATE; ","")&amp;IF($D14="","LOT; ","")&amp;IF(OR(NOT(ISNUMBER($G14)),$G14&lt;=0),"QUANTITE &gt; 0; ","")&amp;IF(AND($C14&lt;&gt;"RECEPTION",$E14=""),"EMPL. SOURCE; ","")&amp;IF(AND($C14&lt;&gt;"CONSOMMATION",$F14=""),"EMPL. DESTINATION; ","")&amp;IF(AND($C14="TRANSFERT",$E14&lt;&gt;"",$E14=$F14),"SOURCE = DESTINATION; ",""),IF($P14="EMPLACEMENT INCOHERENT","Le lot "&amp;$D14&amp;" n'existe pas sur "&amp;$E14&amp;" (stock 0). Verifier l'emplacement source.",IF($P14="STOCK INSUFFISANT","Disponible avant operation : "&amp;TEXT($O14,"#,##0.00")&amp;" kg. Ligne NON comptee en stock.",IF(COUNTIFS($B$5:$B$304,$B14,$C$5:$C$304,$C14,$D$5:$D$304,$D14,$G$5:$G$304,$G14)&gt;1,"Doublon possible (meme date, type, lot et quantite).",IF($J14="LOT NON REFERENCE","Creer d'abord la fiche du lot dans l'onglet LOTS.",""))))))</f>
        <v/>
      </c>
    </row>
    <row r="15" customFormat="false" ht="15" hidden="false" customHeight="false" outlineLevel="0" collapsed="false">
      <c r="A15" s="26" t="str">
        <f aca="false">IF($C15="","","OP-"&amp;TEXT(ROW()-4,"000"))</f>
        <v/>
      </c>
      <c r="B15" s="25"/>
      <c r="C15" s="24"/>
      <c r="D15" s="24"/>
      <c r="E15" s="24"/>
      <c r="F15" s="24"/>
      <c r="G15" s="29"/>
      <c r="H15" s="24"/>
      <c r="I15" s="24"/>
      <c r="J15" s="26" t="str">
        <f aca="false">IF($D15="","",IFERROR(INDEX(LOT_PRODE,MATCH($D15,LOT_KEY,0)),"LOT NON REFERENCE"))</f>
        <v/>
      </c>
      <c r="K15" s="26" t="str">
        <f aca="false">IF($D15="","",IFERROR(INDEX(LOT_FOURNE,MATCH($D15,LOT_KEY,0)),""))</f>
        <v/>
      </c>
      <c r="L15" s="26" t="str">
        <f aca="false">IF($E15="","",IFERROR(INDEX(EMPL_CLASSE,MATCH($E15,EMPL_KEY,0)),"?"))</f>
        <v/>
      </c>
      <c r="M15" s="26" t="str">
        <f aca="false">IF($F15="","",IFERROR(INDEX(EMPL_CLASSE,MATCH($F15,EMPL_KEY,0)),"?"))</f>
        <v/>
      </c>
      <c r="N15" s="28" t="n">
        <f aca="false">IF($C15="",0,IF(OR($B15="",$D15="",NOT(ISNUMBER($G15)),$G15&lt;=0),0,IF($C15="RECEPTION",IF($F15="",0,1),IF($C15="CONSOMMATION",IF($E15="",0,1),IF(OR($E15="",$F15="",$E15=$F15),0,1)))))</f>
        <v>0</v>
      </c>
      <c r="O15" s="27" t="str">
        <f aca="false">IF(OR($N15=0,$C15="RECEPTION"),"",SUMIFS(MVT_BRUT,MVT_LOT,$D15,MVT_EMPL,$E15)+$G15)</f>
        <v/>
      </c>
      <c r="P15" s="26" t="str">
        <f aca="false">IF($C15="","",IF($N15=0,"DONNEES MANQUANTES",IF($C15="RECEPTION","OK",IF($O15&lt;=0,"EMPLACEMENT INCOHERENT",IF($G15&gt;$O15+0.001,"STOCK INSUFFISANT","OK")))))</f>
        <v/>
      </c>
      <c r="Q15" s="28" t="n">
        <f aca="false">IF($P15="OK",1,0)</f>
        <v>0</v>
      </c>
      <c r="R15" s="26" t="str">
        <f aca="false">IF($C15="","",IF($N15=0,"A COMPLETER : "&amp;IF($B15="","DATE; ","")&amp;IF($D15="","LOT; ","")&amp;IF(OR(NOT(ISNUMBER($G15)),$G15&lt;=0),"QUANTITE &gt; 0; ","")&amp;IF(AND($C15&lt;&gt;"RECEPTION",$E15=""),"EMPL. SOURCE; ","")&amp;IF(AND($C15&lt;&gt;"CONSOMMATION",$F15=""),"EMPL. DESTINATION; ","")&amp;IF(AND($C15="TRANSFERT",$E15&lt;&gt;"",$E15=$F15),"SOURCE = DESTINATION; ",""),IF($P15="EMPLACEMENT INCOHERENT","Le lot "&amp;$D15&amp;" n'existe pas sur "&amp;$E15&amp;" (stock 0). Verifier l'emplacement source.",IF($P15="STOCK INSUFFISANT","Disponible avant operation : "&amp;TEXT($O15,"#,##0.00")&amp;" kg. Ligne NON comptee en stock.",IF(COUNTIFS($B$5:$B$304,$B15,$C$5:$C$304,$C15,$D$5:$D$304,$D15,$G$5:$G$304,$G15)&gt;1,"Doublon possible (meme date, type, lot et quantite).",IF($J15="LOT NON REFERENCE","Creer d'abord la fiche du lot dans l'onglet LOTS.",""))))))</f>
        <v/>
      </c>
    </row>
    <row r="16" customFormat="false" ht="15" hidden="false" customHeight="false" outlineLevel="0" collapsed="false">
      <c r="A16" s="26" t="str">
        <f aca="false">IF($C16="","","OP-"&amp;TEXT(ROW()-4,"000"))</f>
        <v/>
      </c>
      <c r="B16" s="25"/>
      <c r="C16" s="24"/>
      <c r="D16" s="24"/>
      <c r="E16" s="24"/>
      <c r="F16" s="24"/>
      <c r="G16" s="29"/>
      <c r="H16" s="24"/>
      <c r="I16" s="24"/>
      <c r="J16" s="26" t="str">
        <f aca="false">IF($D16="","",IFERROR(INDEX(LOT_PRODE,MATCH($D16,LOT_KEY,0)),"LOT NON REFERENCE"))</f>
        <v/>
      </c>
      <c r="K16" s="26" t="str">
        <f aca="false">IF($D16="","",IFERROR(INDEX(LOT_FOURNE,MATCH($D16,LOT_KEY,0)),""))</f>
        <v/>
      </c>
      <c r="L16" s="26" t="str">
        <f aca="false">IF($E16="","",IFERROR(INDEX(EMPL_CLASSE,MATCH($E16,EMPL_KEY,0)),"?"))</f>
        <v/>
      </c>
      <c r="M16" s="26" t="str">
        <f aca="false">IF($F16="","",IFERROR(INDEX(EMPL_CLASSE,MATCH($F16,EMPL_KEY,0)),"?"))</f>
        <v/>
      </c>
      <c r="N16" s="28" t="n">
        <f aca="false">IF($C16="",0,IF(OR($B16="",$D16="",NOT(ISNUMBER($G16)),$G16&lt;=0),0,IF($C16="RECEPTION",IF($F16="",0,1),IF($C16="CONSOMMATION",IF($E16="",0,1),IF(OR($E16="",$F16="",$E16=$F16),0,1)))))</f>
        <v>0</v>
      </c>
      <c r="O16" s="27" t="str">
        <f aca="false">IF(OR($N16=0,$C16="RECEPTION"),"",SUMIFS(MVT_BRUT,MVT_LOT,$D16,MVT_EMPL,$E16)+$G16)</f>
        <v/>
      </c>
      <c r="P16" s="26" t="str">
        <f aca="false">IF($C16="","",IF($N16=0,"DONNEES MANQUANTES",IF($C16="RECEPTION","OK",IF($O16&lt;=0,"EMPLACEMENT INCOHERENT",IF($G16&gt;$O16+0.001,"STOCK INSUFFISANT","OK")))))</f>
        <v/>
      </c>
      <c r="Q16" s="28" t="n">
        <f aca="false">IF($P16="OK",1,0)</f>
        <v>0</v>
      </c>
      <c r="R16" s="26" t="str">
        <f aca="false">IF($C16="","",IF($N16=0,"A COMPLETER : "&amp;IF($B16="","DATE; ","")&amp;IF($D16="","LOT; ","")&amp;IF(OR(NOT(ISNUMBER($G16)),$G16&lt;=0),"QUANTITE &gt; 0; ","")&amp;IF(AND($C16&lt;&gt;"RECEPTION",$E16=""),"EMPL. SOURCE; ","")&amp;IF(AND($C16&lt;&gt;"CONSOMMATION",$F16=""),"EMPL. DESTINATION; ","")&amp;IF(AND($C16="TRANSFERT",$E16&lt;&gt;"",$E16=$F16),"SOURCE = DESTINATION; ",""),IF($P16="EMPLACEMENT INCOHERENT","Le lot "&amp;$D16&amp;" n'existe pas sur "&amp;$E16&amp;" (stock 0). Verifier l'emplacement source.",IF($P16="STOCK INSUFFISANT","Disponible avant operation : "&amp;TEXT($O16,"#,##0.00")&amp;" kg. Ligne NON comptee en stock.",IF(COUNTIFS($B$5:$B$304,$B16,$C$5:$C$304,$C16,$D$5:$D$304,$D16,$G$5:$G$304,$G16)&gt;1,"Doublon possible (meme date, type, lot et quantite).",IF($J16="LOT NON REFERENCE","Creer d'abord la fiche du lot dans l'onglet LOTS.",""))))))</f>
        <v/>
      </c>
    </row>
    <row r="17" customFormat="false" ht="15" hidden="false" customHeight="false" outlineLevel="0" collapsed="false">
      <c r="A17" s="26" t="str">
        <f aca="false">IF($C17="","","OP-"&amp;TEXT(ROW()-4,"000"))</f>
        <v/>
      </c>
      <c r="B17" s="25"/>
      <c r="C17" s="24"/>
      <c r="D17" s="24"/>
      <c r="E17" s="24"/>
      <c r="F17" s="24"/>
      <c r="G17" s="29"/>
      <c r="H17" s="24"/>
      <c r="I17" s="24"/>
      <c r="J17" s="26" t="str">
        <f aca="false">IF($D17="","",IFERROR(INDEX(LOT_PRODE,MATCH($D17,LOT_KEY,0)),"LOT NON REFERENCE"))</f>
        <v/>
      </c>
      <c r="K17" s="26" t="str">
        <f aca="false">IF($D17="","",IFERROR(INDEX(LOT_FOURNE,MATCH($D17,LOT_KEY,0)),""))</f>
        <v/>
      </c>
      <c r="L17" s="26" t="str">
        <f aca="false">IF($E17="","",IFERROR(INDEX(EMPL_CLASSE,MATCH($E17,EMPL_KEY,0)),"?"))</f>
        <v/>
      </c>
      <c r="M17" s="26" t="str">
        <f aca="false">IF($F17="","",IFERROR(INDEX(EMPL_CLASSE,MATCH($F17,EMPL_KEY,0)),"?"))</f>
        <v/>
      </c>
      <c r="N17" s="28" t="n">
        <f aca="false">IF($C17="",0,IF(OR($B17="",$D17="",NOT(ISNUMBER($G17)),$G17&lt;=0),0,IF($C17="RECEPTION",IF($F17="",0,1),IF($C17="CONSOMMATION",IF($E17="",0,1),IF(OR($E17="",$F17="",$E17=$F17),0,1)))))</f>
        <v>0</v>
      </c>
      <c r="O17" s="27" t="str">
        <f aca="false">IF(OR($N17=0,$C17="RECEPTION"),"",SUMIFS(MVT_BRUT,MVT_LOT,$D17,MVT_EMPL,$E17)+$G17)</f>
        <v/>
      </c>
      <c r="P17" s="26" t="str">
        <f aca="false">IF($C17="","",IF($N17=0,"DONNEES MANQUANTES",IF($C17="RECEPTION","OK",IF($O17&lt;=0,"EMPLACEMENT INCOHERENT",IF($G17&gt;$O17+0.001,"STOCK INSUFFISANT","OK")))))</f>
        <v/>
      </c>
      <c r="Q17" s="28" t="n">
        <f aca="false">IF($P17="OK",1,0)</f>
        <v>0</v>
      </c>
      <c r="R17" s="26" t="str">
        <f aca="false">IF($C17="","",IF($N17=0,"A COMPLETER : "&amp;IF($B17="","DATE; ","")&amp;IF($D17="","LOT; ","")&amp;IF(OR(NOT(ISNUMBER($G17)),$G17&lt;=0),"QUANTITE &gt; 0; ","")&amp;IF(AND($C17&lt;&gt;"RECEPTION",$E17=""),"EMPL. SOURCE; ","")&amp;IF(AND($C17&lt;&gt;"CONSOMMATION",$F17=""),"EMPL. DESTINATION; ","")&amp;IF(AND($C17="TRANSFERT",$E17&lt;&gt;"",$E17=$F17),"SOURCE = DESTINATION; ",""),IF($P17="EMPLACEMENT INCOHERENT","Le lot "&amp;$D17&amp;" n'existe pas sur "&amp;$E17&amp;" (stock 0). Verifier l'emplacement source.",IF($P17="STOCK INSUFFISANT","Disponible avant operation : "&amp;TEXT($O17,"#,##0.00")&amp;" kg. Ligne NON comptee en stock.",IF(COUNTIFS($B$5:$B$304,$B17,$C$5:$C$304,$C17,$D$5:$D$304,$D17,$G$5:$G$304,$G17)&gt;1,"Doublon possible (meme date, type, lot et quantite).",IF($J17="LOT NON REFERENCE","Creer d'abord la fiche du lot dans l'onglet LOTS.",""))))))</f>
        <v/>
      </c>
    </row>
    <row r="18" customFormat="false" ht="15" hidden="false" customHeight="false" outlineLevel="0" collapsed="false">
      <c r="A18" s="26" t="str">
        <f aca="false">IF($C18="","","OP-"&amp;TEXT(ROW()-4,"000"))</f>
        <v/>
      </c>
      <c r="B18" s="25"/>
      <c r="C18" s="24"/>
      <c r="D18" s="24"/>
      <c r="E18" s="24"/>
      <c r="F18" s="24"/>
      <c r="G18" s="29"/>
      <c r="H18" s="24"/>
      <c r="I18" s="24"/>
      <c r="J18" s="26" t="str">
        <f aca="false">IF($D18="","",IFERROR(INDEX(LOT_PRODE,MATCH($D18,LOT_KEY,0)),"LOT NON REFERENCE"))</f>
        <v/>
      </c>
      <c r="K18" s="26" t="str">
        <f aca="false">IF($D18="","",IFERROR(INDEX(LOT_FOURNE,MATCH($D18,LOT_KEY,0)),""))</f>
        <v/>
      </c>
      <c r="L18" s="26" t="str">
        <f aca="false">IF($E18="","",IFERROR(INDEX(EMPL_CLASSE,MATCH($E18,EMPL_KEY,0)),"?"))</f>
        <v/>
      </c>
      <c r="M18" s="26" t="str">
        <f aca="false">IF($F18="","",IFERROR(INDEX(EMPL_CLASSE,MATCH($F18,EMPL_KEY,0)),"?"))</f>
        <v/>
      </c>
      <c r="N18" s="28" t="n">
        <f aca="false">IF($C18="",0,IF(OR($B18="",$D18="",NOT(ISNUMBER($G18)),$G18&lt;=0),0,IF($C18="RECEPTION",IF($F18="",0,1),IF($C18="CONSOMMATION",IF($E18="",0,1),IF(OR($E18="",$F18="",$E18=$F18),0,1)))))</f>
        <v>0</v>
      </c>
      <c r="O18" s="27" t="str">
        <f aca="false">IF(OR($N18=0,$C18="RECEPTION"),"",SUMIFS(MVT_BRUT,MVT_LOT,$D18,MVT_EMPL,$E18)+$G18)</f>
        <v/>
      </c>
      <c r="P18" s="26" t="str">
        <f aca="false">IF($C18="","",IF($N18=0,"DONNEES MANQUANTES",IF($C18="RECEPTION","OK",IF($O18&lt;=0,"EMPLACEMENT INCOHERENT",IF($G18&gt;$O18+0.001,"STOCK INSUFFISANT","OK")))))</f>
        <v/>
      </c>
      <c r="Q18" s="28" t="n">
        <f aca="false">IF($P18="OK",1,0)</f>
        <v>0</v>
      </c>
      <c r="R18" s="26" t="str">
        <f aca="false">IF($C18="","",IF($N18=0,"A COMPLETER : "&amp;IF($B18="","DATE; ","")&amp;IF($D18="","LOT; ","")&amp;IF(OR(NOT(ISNUMBER($G18)),$G18&lt;=0),"QUANTITE &gt; 0; ","")&amp;IF(AND($C18&lt;&gt;"RECEPTION",$E18=""),"EMPL. SOURCE; ","")&amp;IF(AND($C18&lt;&gt;"CONSOMMATION",$F18=""),"EMPL. DESTINATION; ","")&amp;IF(AND($C18="TRANSFERT",$E18&lt;&gt;"",$E18=$F18),"SOURCE = DESTINATION; ",""),IF($P18="EMPLACEMENT INCOHERENT","Le lot "&amp;$D18&amp;" n'existe pas sur "&amp;$E18&amp;" (stock 0). Verifier l'emplacement source.",IF($P18="STOCK INSUFFISANT","Disponible avant operation : "&amp;TEXT($O18,"#,##0.00")&amp;" kg. Ligne NON comptee en stock.",IF(COUNTIFS($B$5:$B$304,$B18,$C$5:$C$304,$C18,$D$5:$D$304,$D18,$G$5:$G$304,$G18)&gt;1,"Doublon possible (meme date, type, lot et quantite).",IF($J18="LOT NON REFERENCE","Creer d'abord la fiche du lot dans l'onglet LOTS.",""))))))</f>
        <v/>
      </c>
    </row>
    <row r="19" customFormat="false" ht="15" hidden="false" customHeight="false" outlineLevel="0" collapsed="false">
      <c r="A19" s="26" t="str">
        <f aca="false">IF($C19="","","OP-"&amp;TEXT(ROW()-4,"000"))</f>
        <v/>
      </c>
      <c r="B19" s="25"/>
      <c r="C19" s="24"/>
      <c r="D19" s="24"/>
      <c r="E19" s="24"/>
      <c r="F19" s="24"/>
      <c r="G19" s="29"/>
      <c r="H19" s="24"/>
      <c r="I19" s="24"/>
      <c r="J19" s="26" t="str">
        <f aca="false">IF($D19="","",IFERROR(INDEX(LOT_PRODE,MATCH($D19,LOT_KEY,0)),"LOT NON REFERENCE"))</f>
        <v/>
      </c>
      <c r="K19" s="26" t="str">
        <f aca="false">IF($D19="","",IFERROR(INDEX(LOT_FOURNE,MATCH($D19,LOT_KEY,0)),""))</f>
        <v/>
      </c>
      <c r="L19" s="26" t="str">
        <f aca="false">IF($E19="","",IFERROR(INDEX(EMPL_CLASSE,MATCH($E19,EMPL_KEY,0)),"?"))</f>
        <v/>
      </c>
      <c r="M19" s="26" t="str">
        <f aca="false">IF($F19="","",IFERROR(INDEX(EMPL_CLASSE,MATCH($F19,EMPL_KEY,0)),"?"))</f>
        <v/>
      </c>
      <c r="N19" s="28" t="n">
        <f aca="false">IF($C19="",0,IF(OR($B19="",$D19="",NOT(ISNUMBER($G19)),$G19&lt;=0),0,IF($C19="RECEPTION",IF($F19="",0,1),IF($C19="CONSOMMATION",IF($E19="",0,1),IF(OR($E19="",$F19="",$E19=$F19),0,1)))))</f>
        <v>0</v>
      </c>
      <c r="O19" s="27" t="str">
        <f aca="false">IF(OR($N19=0,$C19="RECEPTION"),"",SUMIFS(MVT_BRUT,MVT_LOT,$D19,MVT_EMPL,$E19)+$G19)</f>
        <v/>
      </c>
      <c r="P19" s="26" t="str">
        <f aca="false">IF($C19="","",IF($N19=0,"DONNEES MANQUANTES",IF($C19="RECEPTION","OK",IF($O19&lt;=0,"EMPLACEMENT INCOHERENT",IF($G19&gt;$O19+0.001,"STOCK INSUFFISANT","OK")))))</f>
        <v/>
      </c>
      <c r="Q19" s="28" t="n">
        <f aca="false">IF($P19="OK",1,0)</f>
        <v>0</v>
      </c>
      <c r="R19" s="26" t="str">
        <f aca="false">IF($C19="","",IF($N19=0,"A COMPLETER : "&amp;IF($B19="","DATE; ","")&amp;IF($D19="","LOT; ","")&amp;IF(OR(NOT(ISNUMBER($G19)),$G19&lt;=0),"QUANTITE &gt; 0; ","")&amp;IF(AND($C19&lt;&gt;"RECEPTION",$E19=""),"EMPL. SOURCE; ","")&amp;IF(AND($C19&lt;&gt;"CONSOMMATION",$F19=""),"EMPL. DESTINATION; ","")&amp;IF(AND($C19="TRANSFERT",$E19&lt;&gt;"",$E19=$F19),"SOURCE = DESTINATION; ",""),IF($P19="EMPLACEMENT INCOHERENT","Le lot "&amp;$D19&amp;" n'existe pas sur "&amp;$E19&amp;" (stock 0). Verifier l'emplacement source.",IF($P19="STOCK INSUFFISANT","Disponible avant operation : "&amp;TEXT($O19,"#,##0.00")&amp;" kg. Ligne NON comptee en stock.",IF(COUNTIFS($B$5:$B$304,$B19,$C$5:$C$304,$C19,$D$5:$D$304,$D19,$G$5:$G$304,$G19)&gt;1,"Doublon possible (meme date, type, lot et quantite).",IF($J19="LOT NON REFERENCE","Creer d'abord la fiche du lot dans l'onglet LOTS.",""))))))</f>
        <v/>
      </c>
    </row>
    <row r="20" customFormat="false" ht="15" hidden="false" customHeight="false" outlineLevel="0" collapsed="false">
      <c r="A20" s="26" t="str">
        <f aca="false">IF($C20="","","OP-"&amp;TEXT(ROW()-4,"000"))</f>
        <v/>
      </c>
      <c r="B20" s="25"/>
      <c r="C20" s="24"/>
      <c r="D20" s="24"/>
      <c r="E20" s="24"/>
      <c r="F20" s="24"/>
      <c r="G20" s="29"/>
      <c r="H20" s="24"/>
      <c r="I20" s="24"/>
      <c r="J20" s="26" t="str">
        <f aca="false">IF($D20="","",IFERROR(INDEX(LOT_PRODE,MATCH($D20,LOT_KEY,0)),"LOT NON REFERENCE"))</f>
        <v/>
      </c>
      <c r="K20" s="26" t="str">
        <f aca="false">IF($D20="","",IFERROR(INDEX(LOT_FOURNE,MATCH($D20,LOT_KEY,0)),""))</f>
        <v/>
      </c>
      <c r="L20" s="26" t="str">
        <f aca="false">IF($E20="","",IFERROR(INDEX(EMPL_CLASSE,MATCH($E20,EMPL_KEY,0)),"?"))</f>
        <v/>
      </c>
      <c r="M20" s="26" t="str">
        <f aca="false">IF($F20="","",IFERROR(INDEX(EMPL_CLASSE,MATCH($F20,EMPL_KEY,0)),"?"))</f>
        <v/>
      </c>
      <c r="N20" s="28" t="n">
        <f aca="false">IF($C20="",0,IF(OR($B20="",$D20="",NOT(ISNUMBER($G20)),$G20&lt;=0),0,IF($C20="RECEPTION",IF($F20="",0,1),IF($C20="CONSOMMATION",IF($E20="",0,1),IF(OR($E20="",$F20="",$E20=$F20),0,1)))))</f>
        <v>0</v>
      </c>
      <c r="O20" s="27" t="str">
        <f aca="false">IF(OR($N20=0,$C20="RECEPTION"),"",SUMIFS(MVT_BRUT,MVT_LOT,$D20,MVT_EMPL,$E20)+$G20)</f>
        <v/>
      </c>
      <c r="P20" s="26" t="str">
        <f aca="false">IF($C20="","",IF($N20=0,"DONNEES MANQUANTES",IF($C20="RECEPTION","OK",IF($O20&lt;=0,"EMPLACEMENT INCOHERENT",IF($G20&gt;$O20+0.001,"STOCK INSUFFISANT","OK")))))</f>
        <v/>
      </c>
      <c r="Q20" s="28" t="n">
        <f aca="false">IF($P20="OK",1,0)</f>
        <v>0</v>
      </c>
      <c r="R20" s="26" t="str">
        <f aca="false">IF($C20="","",IF($N20=0,"A COMPLETER : "&amp;IF($B20="","DATE; ","")&amp;IF($D20="","LOT; ","")&amp;IF(OR(NOT(ISNUMBER($G20)),$G20&lt;=0),"QUANTITE &gt; 0; ","")&amp;IF(AND($C20&lt;&gt;"RECEPTION",$E20=""),"EMPL. SOURCE; ","")&amp;IF(AND($C20&lt;&gt;"CONSOMMATION",$F20=""),"EMPL. DESTINATION; ","")&amp;IF(AND($C20="TRANSFERT",$E20&lt;&gt;"",$E20=$F20),"SOURCE = DESTINATION; ",""),IF($P20="EMPLACEMENT INCOHERENT","Le lot "&amp;$D20&amp;" n'existe pas sur "&amp;$E20&amp;" (stock 0). Verifier l'emplacement source.",IF($P20="STOCK INSUFFISANT","Disponible avant operation : "&amp;TEXT($O20,"#,##0.00")&amp;" kg. Ligne NON comptee en stock.",IF(COUNTIFS($B$5:$B$304,$B20,$C$5:$C$304,$C20,$D$5:$D$304,$D20,$G$5:$G$304,$G20)&gt;1,"Doublon possible (meme date, type, lot et quantite).",IF($J20="LOT NON REFERENCE","Creer d'abord la fiche du lot dans l'onglet LOTS.",""))))))</f>
        <v/>
      </c>
    </row>
    <row r="21" customFormat="false" ht="15" hidden="false" customHeight="false" outlineLevel="0" collapsed="false">
      <c r="A21" s="26" t="str">
        <f aca="false">IF($C21="","","OP-"&amp;TEXT(ROW()-4,"000"))</f>
        <v/>
      </c>
      <c r="B21" s="25"/>
      <c r="C21" s="24"/>
      <c r="D21" s="24"/>
      <c r="E21" s="24"/>
      <c r="F21" s="24"/>
      <c r="G21" s="29"/>
      <c r="H21" s="24"/>
      <c r="I21" s="24"/>
      <c r="J21" s="26" t="str">
        <f aca="false">IF($D21="","",IFERROR(INDEX(LOT_PRODE,MATCH($D21,LOT_KEY,0)),"LOT NON REFERENCE"))</f>
        <v/>
      </c>
      <c r="K21" s="26" t="str">
        <f aca="false">IF($D21="","",IFERROR(INDEX(LOT_FOURNE,MATCH($D21,LOT_KEY,0)),""))</f>
        <v/>
      </c>
      <c r="L21" s="26" t="str">
        <f aca="false">IF($E21="","",IFERROR(INDEX(EMPL_CLASSE,MATCH($E21,EMPL_KEY,0)),"?"))</f>
        <v/>
      </c>
      <c r="M21" s="26" t="str">
        <f aca="false">IF($F21="","",IFERROR(INDEX(EMPL_CLASSE,MATCH($F21,EMPL_KEY,0)),"?"))</f>
        <v/>
      </c>
      <c r="N21" s="28" t="n">
        <f aca="false">IF($C21="",0,IF(OR($B21="",$D21="",NOT(ISNUMBER($G21)),$G21&lt;=0),0,IF($C21="RECEPTION",IF($F21="",0,1),IF($C21="CONSOMMATION",IF($E21="",0,1),IF(OR($E21="",$F21="",$E21=$F21),0,1)))))</f>
        <v>0</v>
      </c>
      <c r="O21" s="27" t="str">
        <f aca="false">IF(OR($N21=0,$C21="RECEPTION"),"",SUMIFS(MVT_BRUT,MVT_LOT,$D21,MVT_EMPL,$E21)+$G21)</f>
        <v/>
      </c>
      <c r="P21" s="26" t="str">
        <f aca="false">IF($C21="","",IF($N21=0,"DONNEES MANQUANTES",IF($C21="RECEPTION","OK",IF($O21&lt;=0,"EMPLACEMENT INCOHERENT",IF($G21&gt;$O21+0.001,"STOCK INSUFFISANT","OK")))))</f>
        <v/>
      </c>
      <c r="Q21" s="28" t="n">
        <f aca="false">IF($P21="OK",1,0)</f>
        <v>0</v>
      </c>
      <c r="R21" s="26" t="str">
        <f aca="false">IF($C21="","",IF($N21=0,"A COMPLETER : "&amp;IF($B21="","DATE; ","")&amp;IF($D21="","LOT; ","")&amp;IF(OR(NOT(ISNUMBER($G21)),$G21&lt;=0),"QUANTITE &gt; 0; ","")&amp;IF(AND($C21&lt;&gt;"RECEPTION",$E21=""),"EMPL. SOURCE; ","")&amp;IF(AND($C21&lt;&gt;"CONSOMMATION",$F21=""),"EMPL. DESTINATION; ","")&amp;IF(AND($C21="TRANSFERT",$E21&lt;&gt;"",$E21=$F21),"SOURCE = DESTINATION; ",""),IF($P21="EMPLACEMENT INCOHERENT","Le lot "&amp;$D21&amp;" n'existe pas sur "&amp;$E21&amp;" (stock 0). Verifier l'emplacement source.",IF($P21="STOCK INSUFFISANT","Disponible avant operation : "&amp;TEXT($O21,"#,##0.00")&amp;" kg. Ligne NON comptee en stock.",IF(COUNTIFS($B$5:$B$304,$B21,$C$5:$C$304,$C21,$D$5:$D$304,$D21,$G$5:$G$304,$G21)&gt;1,"Doublon possible (meme date, type, lot et quantite).",IF($J21="LOT NON REFERENCE","Creer d'abord la fiche du lot dans l'onglet LOTS.",""))))))</f>
        <v/>
      </c>
    </row>
    <row r="22" customFormat="false" ht="15" hidden="false" customHeight="false" outlineLevel="0" collapsed="false">
      <c r="A22" s="26" t="str">
        <f aca="false">IF($C22="","","OP-"&amp;TEXT(ROW()-4,"000"))</f>
        <v/>
      </c>
      <c r="B22" s="25"/>
      <c r="C22" s="24"/>
      <c r="D22" s="24"/>
      <c r="E22" s="24"/>
      <c r="F22" s="24"/>
      <c r="G22" s="29"/>
      <c r="H22" s="24"/>
      <c r="I22" s="24"/>
      <c r="J22" s="26" t="str">
        <f aca="false">IF($D22="","",IFERROR(INDEX(LOT_PRODE,MATCH($D22,LOT_KEY,0)),"LOT NON REFERENCE"))</f>
        <v/>
      </c>
      <c r="K22" s="26" t="str">
        <f aca="false">IF($D22="","",IFERROR(INDEX(LOT_FOURNE,MATCH($D22,LOT_KEY,0)),""))</f>
        <v/>
      </c>
      <c r="L22" s="26" t="str">
        <f aca="false">IF($E22="","",IFERROR(INDEX(EMPL_CLASSE,MATCH($E22,EMPL_KEY,0)),"?"))</f>
        <v/>
      </c>
      <c r="M22" s="26" t="str">
        <f aca="false">IF($F22="","",IFERROR(INDEX(EMPL_CLASSE,MATCH($F22,EMPL_KEY,0)),"?"))</f>
        <v/>
      </c>
      <c r="N22" s="28" t="n">
        <f aca="false">IF($C22="",0,IF(OR($B22="",$D22="",NOT(ISNUMBER($G22)),$G22&lt;=0),0,IF($C22="RECEPTION",IF($F22="",0,1),IF($C22="CONSOMMATION",IF($E22="",0,1),IF(OR($E22="",$F22="",$E22=$F22),0,1)))))</f>
        <v>0</v>
      </c>
      <c r="O22" s="27" t="str">
        <f aca="false">IF(OR($N22=0,$C22="RECEPTION"),"",SUMIFS(MVT_BRUT,MVT_LOT,$D22,MVT_EMPL,$E22)+$G22)</f>
        <v/>
      </c>
      <c r="P22" s="26" t="str">
        <f aca="false">IF($C22="","",IF($N22=0,"DONNEES MANQUANTES",IF($C22="RECEPTION","OK",IF($O22&lt;=0,"EMPLACEMENT INCOHERENT",IF($G22&gt;$O22+0.001,"STOCK INSUFFISANT","OK")))))</f>
        <v/>
      </c>
      <c r="Q22" s="28" t="n">
        <f aca="false">IF($P22="OK",1,0)</f>
        <v>0</v>
      </c>
      <c r="R22" s="26" t="str">
        <f aca="false">IF($C22="","",IF($N22=0,"A COMPLETER : "&amp;IF($B22="","DATE; ","")&amp;IF($D22="","LOT; ","")&amp;IF(OR(NOT(ISNUMBER($G22)),$G22&lt;=0),"QUANTITE &gt; 0; ","")&amp;IF(AND($C22&lt;&gt;"RECEPTION",$E22=""),"EMPL. SOURCE; ","")&amp;IF(AND($C22&lt;&gt;"CONSOMMATION",$F22=""),"EMPL. DESTINATION; ","")&amp;IF(AND($C22="TRANSFERT",$E22&lt;&gt;"",$E22=$F22),"SOURCE = DESTINATION; ",""),IF($P22="EMPLACEMENT INCOHERENT","Le lot "&amp;$D22&amp;" n'existe pas sur "&amp;$E22&amp;" (stock 0). Verifier l'emplacement source.",IF($P22="STOCK INSUFFISANT","Disponible avant operation : "&amp;TEXT($O22,"#,##0.00")&amp;" kg. Ligne NON comptee en stock.",IF(COUNTIFS($B$5:$B$304,$B22,$C$5:$C$304,$C22,$D$5:$D$304,$D22,$G$5:$G$304,$G22)&gt;1,"Doublon possible (meme date, type, lot et quantite).",IF($J22="LOT NON REFERENCE","Creer d'abord la fiche du lot dans l'onglet LOTS.",""))))))</f>
        <v/>
      </c>
    </row>
    <row r="23" customFormat="false" ht="15" hidden="false" customHeight="false" outlineLevel="0" collapsed="false">
      <c r="A23" s="26" t="str">
        <f aca="false">IF($C23="","","OP-"&amp;TEXT(ROW()-4,"000"))</f>
        <v/>
      </c>
      <c r="B23" s="25"/>
      <c r="C23" s="24"/>
      <c r="D23" s="24"/>
      <c r="E23" s="24"/>
      <c r="F23" s="24"/>
      <c r="G23" s="29"/>
      <c r="H23" s="24"/>
      <c r="I23" s="24"/>
      <c r="J23" s="26" t="str">
        <f aca="false">IF($D23="","",IFERROR(INDEX(LOT_PRODE,MATCH($D23,LOT_KEY,0)),"LOT NON REFERENCE"))</f>
        <v/>
      </c>
      <c r="K23" s="26" t="str">
        <f aca="false">IF($D23="","",IFERROR(INDEX(LOT_FOURNE,MATCH($D23,LOT_KEY,0)),""))</f>
        <v/>
      </c>
      <c r="L23" s="26" t="str">
        <f aca="false">IF($E23="","",IFERROR(INDEX(EMPL_CLASSE,MATCH($E23,EMPL_KEY,0)),"?"))</f>
        <v/>
      </c>
      <c r="M23" s="26" t="str">
        <f aca="false">IF($F23="","",IFERROR(INDEX(EMPL_CLASSE,MATCH($F23,EMPL_KEY,0)),"?"))</f>
        <v/>
      </c>
      <c r="N23" s="28" t="n">
        <f aca="false">IF($C23="",0,IF(OR($B23="",$D23="",NOT(ISNUMBER($G23)),$G23&lt;=0),0,IF($C23="RECEPTION",IF($F23="",0,1),IF($C23="CONSOMMATION",IF($E23="",0,1),IF(OR($E23="",$F23="",$E23=$F23),0,1)))))</f>
        <v>0</v>
      </c>
      <c r="O23" s="27" t="str">
        <f aca="false">IF(OR($N23=0,$C23="RECEPTION"),"",SUMIFS(MVT_BRUT,MVT_LOT,$D23,MVT_EMPL,$E23)+$G23)</f>
        <v/>
      </c>
      <c r="P23" s="26" t="str">
        <f aca="false">IF($C23="","",IF($N23=0,"DONNEES MANQUANTES",IF($C23="RECEPTION","OK",IF($O23&lt;=0,"EMPLACEMENT INCOHERENT",IF($G23&gt;$O23+0.001,"STOCK INSUFFISANT","OK")))))</f>
        <v/>
      </c>
      <c r="Q23" s="28" t="n">
        <f aca="false">IF($P23="OK",1,0)</f>
        <v>0</v>
      </c>
      <c r="R23" s="26" t="str">
        <f aca="false">IF($C23="","",IF($N23=0,"A COMPLETER : "&amp;IF($B23="","DATE; ","")&amp;IF($D23="","LOT; ","")&amp;IF(OR(NOT(ISNUMBER($G23)),$G23&lt;=0),"QUANTITE &gt; 0; ","")&amp;IF(AND($C23&lt;&gt;"RECEPTION",$E23=""),"EMPL. SOURCE; ","")&amp;IF(AND($C23&lt;&gt;"CONSOMMATION",$F23=""),"EMPL. DESTINATION; ","")&amp;IF(AND($C23="TRANSFERT",$E23&lt;&gt;"",$E23=$F23),"SOURCE = DESTINATION; ",""),IF($P23="EMPLACEMENT INCOHERENT","Le lot "&amp;$D23&amp;" n'existe pas sur "&amp;$E23&amp;" (stock 0). Verifier l'emplacement source.",IF($P23="STOCK INSUFFISANT","Disponible avant operation : "&amp;TEXT($O23,"#,##0.00")&amp;" kg. Ligne NON comptee en stock.",IF(COUNTIFS($B$5:$B$304,$B23,$C$5:$C$304,$C23,$D$5:$D$304,$D23,$G$5:$G$304,$G23)&gt;1,"Doublon possible (meme date, type, lot et quantite).",IF($J23="LOT NON REFERENCE","Creer d'abord la fiche du lot dans l'onglet LOTS.",""))))))</f>
        <v/>
      </c>
    </row>
    <row r="24" customFormat="false" ht="15" hidden="false" customHeight="false" outlineLevel="0" collapsed="false">
      <c r="A24" s="26" t="str">
        <f aca="false">IF($C24="","","OP-"&amp;TEXT(ROW()-4,"000"))</f>
        <v/>
      </c>
      <c r="B24" s="25"/>
      <c r="C24" s="24"/>
      <c r="D24" s="24"/>
      <c r="E24" s="24"/>
      <c r="F24" s="24"/>
      <c r="G24" s="29"/>
      <c r="H24" s="24"/>
      <c r="I24" s="24"/>
      <c r="J24" s="26" t="str">
        <f aca="false">IF($D24="","",IFERROR(INDEX(LOT_PRODE,MATCH($D24,LOT_KEY,0)),"LOT NON REFERENCE"))</f>
        <v/>
      </c>
      <c r="K24" s="26" t="str">
        <f aca="false">IF($D24="","",IFERROR(INDEX(LOT_FOURNE,MATCH($D24,LOT_KEY,0)),""))</f>
        <v/>
      </c>
      <c r="L24" s="26" t="str">
        <f aca="false">IF($E24="","",IFERROR(INDEX(EMPL_CLASSE,MATCH($E24,EMPL_KEY,0)),"?"))</f>
        <v/>
      </c>
      <c r="M24" s="26" t="str">
        <f aca="false">IF($F24="","",IFERROR(INDEX(EMPL_CLASSE,MATCH($F24,EMPL_KEY,0)),"?"))</f>
        <v/>
      </c>
      <c r="N24" s="28" t="n">
        <f aca="false">IF($C24="",0,IF(OR($B24="",$D24="",NOT(ISNUMBER($G24)),$G24&lt;=0),0,IF($C24="RECEPTION",IF($F24="",0,1),IF($C24="CONSOMMATION",IF($E24="",0,1),IF(OR($E24="",$F24="",$E24=$F24),0,1)))))</f>
        <v>0</v>
      </c>
      <c r="O24" s="27" t="str">
        <f aca="false">IF(OR($N24=0,$C24="RECEPTION"),"",SUMIFS(MVT_BRUT,MVT_LOT,$D24,MVT_EMPL,$E24)+$G24)</f>
        <v/>
      </c>
      <c r="P24" s="26" t="str">
        <f aca="false">IF($C24="","",IF($N24=0,"DONNEES MANQUANTES",IF($C24="RECEPTION","OK",IF($O24&lt;=0,"EMPLACEMENT INCOHERENT",IF($G24&gt;$O24+0.001,"STOCK INSUFFISANT","OK")))))</f>
        <v/>
      </c>
      <c r="Q24" s="28" t="n">
        <f aca="false">IF($P24="OK",1,0)</f>
        <v>0</v>
      </c>
      <c r="R24" s="26" t="str">
        <f aca="false">IF($C24="","",IF($N24=0,"A COMPLETER : "&amp;IF($B24="","DATE; ","")&amp;IF($D24="","LOT; ","")&amp;IF(OR(NOT(ISNUMBER($G24)),$G24&lt;=0),"QUANTITE &gt; 0; ","")&amp;IF(AND($C24&lt;&gt;"RECEPTION",$E24=""),"EMPL. SOURCE; ","")&amp;IF(AND($C24&lt;&gt;"CONSOMMATION",$F24=""),"EMPL. DESTINATION; ","")&amp;IF(AND($C24="TRANSFERT",$E24&lt;&gt;"",$E24=$F24),"SOURCE = DESTINATION; ",""),IF($P24="EMPLACEMENT INCOHERENT","Le lot "&amp;$D24&amp;" n'existe pas sur "&amp;$E24&amp;" (stock 0). Verifier l'emplacement source.",IF($P24="STOCK INSUFFISANT","Disponible avant operation : "&amp;TEXT($O24,"#,##0.00")&amp;" kg. Ligne NON comptee en stock.",IF(COUNTIFS($B$5:$B$304,$B24,$C$5:$C$304,$C24,$D$5:$D$304,$D24,$G$5:$G$304,$G24)&gt;1,"Doublon possible (meme date, type, lot et quantite).",IF($J24="LOT NON REFERENCE","Creer d'abord la fiche du lot dans l'onglet LOTS.",""))))))</f>
        <v/>
      </c>
    </row>
    <row r="25" customFormat="false" ht="15" hidden="false" customHeight="false" outlineLevel="0" collapsed="false">
      <c r="A25" s="26" t="str">
        <f aca="false">IF($C25="","","OP-"&amp;TEXT(ROW()-4,"000"))</f>
        <v/>
      </c>
      <c r="B25" s="25"/>
      <c r="C25" s="24"/>
      <c r="D25" s="24"/>
      <c r="E25" s="24"/>
      <c r="F25" s="24"/>
      <c r="G25" s="29"/>
      <c r="H25" s="24"/>
      <c r="I25" s="24"/>
      <c r="J25" s="26" t="str">
        <f aca="false">IF($D25="","",IFERROR(INDEX(LOT_PRODE,MATCH($D25,LOT_KEY,0)),"LOT NON REFERENCE"))</f>
        <v/>
      </c>
      <c r="K25" s="26" t="str">
        <f aca="false">IF($D25="","",IFERROR(INDEX(LOT_FOURNE,MATCH($D25,LOT_KEY,0)),""))</f>
        <v/>
      </c>
      <c r="L25" s="26" t="str">
        <f aca="false">IF($E25="","",IFERROR(INDEX(EMPL_CLASSE,MATCH($E25,EMPL_KEY,0)),"?"))</f>
        <v/>
      </c>
      <c r="M25" s="26" t="str">
        <f aca="false">IF($F25="","",IFERROR(INDEX(EMPL_CLASSE,MATCH($F25,EMPL_KEY,0)),"?"))</f>
        <v/>
      </c>
      <c r="N25" s="28" t="n">
        <f aca="false">IF($C25="",0,IF(OR($B25="",$D25="",NOT(ISNUMBER($G25)),$G25&lt;=0),0,IF($C25="RECEPTION",IF($F25="",0,1),IF($C25="CONSOMMATION",IF($E25="",0,1),IF(OR($E25="",$F25="",$E25=$F25),0,1)))))</f>
        <v>0</v>
      </c>
      <c r="O25" s="27" t="str">
        <f aca="false">IF(OR($N25=0,$C25="RECEPTION"),"",SUMIFS(MVT_BRUT,MVT_LOT,$D25,MVT_EMPL,$E25)+$G25)</f>
        <v/>
      </c>
      <c r="P25" s="26" t="str">
        <f aca="false">IF($C25="","",IF($N25=0,"DONNEES MANQUANTES",IF($C25="RECEPTION","OK",IF($O25&lt;=0,"EMPLACEMENT INCOHERENT",IF($G25&gt;$O25+0.001,"STOCK INSUFFISANT","OK")))))</f>
        <v/>
      </c>
      <c r="Q25" s="28" t="n">
        <f aca="false">IF($P25="OK",1,0)</f>
        <v>0</v>
      </c>
      <c r="R25" s="26" t="str">
        <f aca="false">IF($C25="","",IF($N25=0,"A COMPLETER : "&amp;IF($B25="","DATE; ","")&amp;IF($D25="","LOT; ","")&amp;IF(OR(NOT(ISNUMBER($G25)),$G25&lt;=0),"QUANTITE &gt; 0; ","")&amp;IF(AND($C25&lt;&gt;"RECEPTION",$E25=""),"EMPL. SOURCE; ","")&amp;IF(AND($C25&lt;&gt;"CONSOMMATION",$F25=""),"EMPL. DESTINATION; ","")&amp;IF(AND($C25="TRANSFERT",$E25&lt;&gt;"",$E25=$F25),"SOURCE = DESTINATION; ",""),IF($P25="EMPLACEMENT INCOHERENT","Le lot "&amp;$D25&amp;" n'existe pas sur "&amp;$E25&amp;" (stock 0). Verifier l'emplacement source.",IF($P25="STOCK INSUFFISANT","Disponible avant operation : "&amp;TEXT($O25,"#,##0.00")&amp;" kg. Ligne NON comptee en stock.",IF(COUNTIFS($B$5:$B$304,$B25,$C$5:$C$304,$C25,$D$5:$D$304,$D25,$G$5:$G$304,$G25)&gt;1,"Doublon possible (meme date, type, lot et quantite).",IF($J25="LOT NON REFERENCE","Creer d'abord la fiche du lot dans l'onglet LOTS.",""))))))</f>
        <v/>
      </c>
    </row>
    <row r="26" customFormat="false" ht="15" hidden="false" customHeight="false" outlineLevel="0" collapsed="false">
      <c r="A26" s="26" t="str">
        <f aca="false">IF($C26="","","OP-"&amp;TEXT(ROW()-4,"000"))</f>
        <v/>
      </c>
      <c r="B26" s="25"/>
      <c r="C26" s="24"/>
      <c r="D26" s="24"/>
      <c r="E26" s="24"/>
      <c r="F26" s="24"/>
      <c r="G26" s="29"/>
      <c r="H26" s="24"/>
      <c r="I26" s="24"/>
      <c r="J26" s="26" t="str">
        <f aca="false">IF($D26="","",IFERROR(INDEX(LOT_PRODE,MATCH($D26,LOT_KEY,0)),"LOT NON REFERENCE"))</f>
        <v/>
      </c>
      <c r="K26" s="26" t="str">
        <f aca="false">IF($D26="","",IFERROR(INDEX(LOT_FOURNE,MATCH($D26,LOT_KEY,0)),""))</f>
        <v/>
      </c>
      <c r="L26" s="26" t="str">
        <f aca="false">IF($E26="","",IFERROR(INDEX(EMPL_CLASSE,MATCH($E26,EMPL_KEY,0)),"?"))</f>
        <v/>
      </c>
      <c r="M26" s="26" t="str">
        <f aca="false">IF($F26="","",IFERROR(INDEX(EMPL_CLASSE,MATCH($F26,EMPL_KEY,0)),"?"))</f>
        <v/>
      </c>
      <c r="N26" s="28" t="n">
        <f aca="false">IF($C26="",0,IF(OR($B26="",$D26="",NOT(ISNUMBER($G26)),$G26&lt;=0),0,IF($C26="RECEPTION",IF($F26="",0,1),IF($C26="CONSOMMATION",IF($E26="",0,1),IF(OR($E26="",$F26="",$E26=$F26),0,1)))))</f>
        <v>0</v>
      </c>
      <c r="O26" s="27" t="str">
        <f aca="false">IF(OR($N26=0,$C26="RECEPTION"),"",SUMIFS(MVT_BRUT,MVT_LOT,$D26,MVT_EMPL,$E26)+$G26)</f>
        <v/>
      </c>
      <c r="P26" s="26" t="str">
        <f aca="false">IF($C26="","",IF($N26=0,"DONNEES MANQUANTES",IF($C26="RECEPTION","OK",IF($O26&lt;=0,"EMPLACEMENT INCOHERENT",IF($G26&gt;$O26+0.001,"STOCK INSUFFISANT","OK")))))</f>
        <v/>
      </c>
      <c r="Q26" s="28" t="n">
        <f aca="false">IF($P26="OK",1,0)</f>
        <v>0</v>
      </c>
      <c r="R26" s="26" t="str">
        <f aca="false">IF($C26="","",IF($N26=0,"A COMPLETER : "&amp;IF($B26="","DATE; ","")&amp;IF($D26="","LOT; ","")&amp;IF(OR(NOT(ISNUMBER($G26)),$G26&lt;=0),"QUANTITE &gt; 0; ","")&amp;IF(AND($C26&lt;&gt;"RECEPTION",$E26=""),"EMPL. SOURCE; ","")&amp;IF(AND($C26&lt;&gt;"CONSOMMATION",$F26=""),"EMPL. DESTINATION; ","")&amp;IF(AND($C26="TRANSFERT",$E26&lt;&gt;"",$E26=$F26),"SOURCE = DESTINATION; ",""),IF($P26="EMPLACEMENT INCOHERENT","Le lot "&amp;$D26&amp;" n'existe pas sur "&amp;$E26&amp;" (stock 0). Verifier l'emplacement source.",IF($P26="STOCK INSUFFISANT","Disponible avant operation : "&amp;TEXT($O26,"#,##0.00")&amp;" kg. Ligne NON comptee en stock.",IF(COUNTIFS($B$5:$B$304,$B26,$C$5:$C$304,$C26,$D$5:$D$304,$D26,$G$5:$G$304,$G26)&gt;1,"Doublon possible (meme date, type, lot et quantite).",IF($J26="LOT NON REFERENCE","Creer d'abord la fiche du lot dans l'onglet LOTS.",""))))))</f>
        <v/>
      </c>
    </row>
    <row r="27" customFormat="false" ht="15" hidden="false" customHeight="false" outlineLevel="0" collapsed="false">
      <c r="A27" s="26" t="str">
        <f aca="false">IF($C27="","","OP-"&amp;TEXT(ROW()-4,"000"))</f>
        <v/>
      </c>
      <c r="B27" s="25"/>
      <c r="C27" s="24"/>
      <c r="D27" s="24"/>
      <c r="E27" s="24"/>
      <c r="F27" s="24"/>
      <c r="G27" s="29"/>
      <c r="H27" s="24"/>
      <c r="I27" s="24"/>
      <c r="J27" s="26" t="str">
        <f aca="false">IF($D27="","",IFERROR(INDEX(LOT_PRODE,MATCH($D27,LOT_KEY,0)),"LOT NON REFERENCE"))</f>
        <v/>
      </c>
      <c r="K27" s="26" t="str">
        <f aca="false">IF($D27="","",IFERROR(INDEX(LOT_FOURNE,MATCH($D27,LOT_KEY,0)),""))</f>
        <v/>
      </c>
      <c r="L27" s="26" t="str">
        <f aca="false">IF($E27="","",IFERROR(INDEX(EMPL_CLASSE,MATCH($E27,EMPL_KEY,0)),"?"))</f>
        <v/>
      </c>
      <c r="M27" s="26" t="str">
        <f aca="false">IF($F27="","",IFERROR(INDEX(EMPL_CLASSE,MATCH($F27,EMPL_KEY,0)),"?"))</f>
        <v/>
      </c>
      <c r="N27" s="28" t="n">
        <f aca="false">IF($C27="",0,IF(OR($B27="",$D27="",NOT(ISNUMBER($G27)),$G27&lt;=0),0,IF($C27="RECEPTION",IF($F27="",0,1),IF($C27="CONSOMMATION",IF($E27="",0,1),IF(OR($E27="",$F27="",$E27=$F27),0,1)))))</f>
        <v>0</v>
      </c>
      <c r="O27" s="27" t="str">
        <f aca="false">IF(OR($N27=0,$C27="RECEPTION"),"",SUMIFS(MVT_BRUT,MVT_LOT,$D27,MVT_EMPL,$E27)+$G27)</f>
        <v/>
      </c>
      <c r="P27" s="26" t="str">
        <f aca="false">IF($C27="","",IF($N27=0,"DONNEES MANQUANTES",IF($C27="RECEPTION","OK",IF($O27&lt;=0,"EMPLACEMENT INCOHERENT",IF($G27&gt;$O27+0.001,"STOCK INSUFFISANT","OK")))))</f>
        <v/>
      </c>
      <c r="Q27" s="28" t="n">
        <f aca="false">IF($P27="OK",1,0)</f>
        <v>0</v>
      </c>
      <c r="R27" s="26" t="str">
        <f aca="false">IF($C27="","",IF($N27=0,"A COMPLETER : "&amp;IF($B27="","DATE; ","")&amp;IF($D27="","LOT; ","")&amp;IF(OR(NOT(ISNUMBER($G27)),$G27&lt;=0),"QUANTITE &gt; 0; ","")&amp;IF(AND($C27&lt;&gt;"RECEPTION",$E27=""),"EMPL. SOURCE; ","")&amp;IF(AND($C27&lt;&gt;"CONSOMMATION",$F27=""),"EMPL. DESTINATION; ","")&amp;IF(AND($C27="TRANSFERT",$E27&lt;&gt;"",$E27=$F27),"SOURCE = DESTINATION; ",""),IF($P27="EMPLACEMENT INCOHERENT","Le lot "&amp;$D27&amp;" n'existe pas sur "&amp;$E27&amp;" (stock 0). Verifier l'emplacement source.",IF($P27="STOCK INSUFFISANT","Disponible avant operation : "&amp;TEXT($O27,"#,##0.00")&amp;" kg. Ligne NON comptee en stock.",IF(COUNTIFS($B$5:$B$304,$B27,$C$5:$C$304,$C27,$D$5:$D$304,$D27,$G$5:$G$304,$G27)&gt;1,"Doublon possible (meme date, type, lot et quantite).",IF($J27="LOT NON REFERENCE","Creer d'abord la fiche du lot dans l'onglet LOTS.",""))))))</f>
        <v/>
      </c>
    </row>
    <row r="28" customFormat="false" ht="15" hidden="false" customHeight="false" outlineLevel="0" collapsed="false">
      <c r="A28" s="26" t="str">
        <f aca="false">IF($C28="","","OP-"&amp;TEXT(ROW()-4,"000"))</f>
        <v/>
      </c>
      <c r="B28" s="25"/>
      <c r="C28" s="24"/>
      <c r="D28" s="24"/>
      <c r="E28" s="24"/>
      <c r="F28" s="24"/>
      <c r="G28" s="29"/>
      <c r="H28" s="24"/>
      <c r="I28" s="24"/>
      <c r="J28" s="26" t="str">
        <f aca="false">IF($D28="","",IFERROR(INDEX(LOT_PRODE,MATCH($D28,LOT_KEY,0)),"LOT NON REFERENCE"))</f>
        <v/>
      </c>
      <c r="K28" s="26" t="str">
        <f aca="false">IF($D28="","",IFERROR(INDEX(LOT_FOURNE,MATCH($D28,LOT_KEY,0)),""))</f>
        <v/>
      </c>
      <c r="L28" s="26" t="str">
        <f aca="false">IF($E28="","",IFERROR(INDEX(EMPL_CLASSE,MATCH($E28,EMPL_KEY,0)),"?"))</f>
        <v/>
      </c>
      <c r="M28" s="26" t="str">
        <f aca="false">IF($F28="","",IFERROR(INDEX(EMPL_CLASSE,MATCH($F28,EMPL_KEY,0)),"?"))</f>
        <v/>
      </c>
      <c r="N28" s="28" t="n">
        <f aca="false">IF($C28="",0,IF(OR($B28="",$D28="",NOT(ISNUMBER($G28)),$G28&lt;=0),0,IF($C28="RECEPTION",IF($F28="",0,1),IF($C28="CONSOMMATION",IF($E28="",0,1),IF(OR($E28="",$F28="",$E28=$F28),0,1)))))</f>
        <v>0</v>
      </c>
      <c r="O28" s="27" t="str">
        <f aca="false">IF(OR($N28=0,$C28="RECEPTION"),"",SUMIFS(MVT_BRUT,MVT_LOT,$D28,MVT_EMPL,$E28)+$G28)</f>
        <v/>
      </c>
      <c r="P28" s="26" t="str">
        <f aca="false">IF($C28="","",IF($N28=0,"DONNEES MANQUANTES",IF($C28="RECEPTION","OK",IF($O28&lt;=0,"EMPLACEMENT INCOHERENT",IF($G28&gt;$O28+0.001,"STOCK INSUFFISANT","OK")))))</f>
        <v/>
      </c>
      <c r="Q28" s="28" t="n">
        <f aca="false">IF($P28="OK",1,0)</f>
        <v>0</v>
      </c>
      <c r="R28" s="26" t="str">
        <f aca="false">IF($C28="","",IF($N28=0,"A COMPLETER : "&amp;IF($B28="","DATE; ","")&amp;IF($D28="","LOT; ","")&amp;IF(OR(NOT(ISNUMBER($G28)),$G28&lt;=0),"QUANTITE &gt; 0; ","")&amp;IF(AND($C28&lt;&gt;"RECEPTION",$E28=""),"EMPL. SOURCE; ","")&amp;IF(AND($C28&lt;&gt;"CONSOMMATION",$F28=""),"EMPL. DESTINATION; ","")&amp;IF(AND($C28="TRANSFERT",$E28&lt;&gt;"",$E28=$F28),"SOURCE = DESTINATION; ",""),IF($P28="EMPLACEMENT INCOHERENT","Le lot "&amp;$D28&amp;" n'existe pas sur "&amp;$E28&amp;" (stock 0). Verifier l'emplacement source.",IF($P28="STOCK INSUFFISANT","Disponible avant operation : "&amp;TEXT($O28,"#,##0.00")&amp;" kg. Ligne NON comptee en stock.",IF(COUNTIFS($B$5:$B$304,$B28,$C$5:$C$304,$C28,$D$5:$D$304,$D28,$G$5:$G$304,$G28)&gt;1,"Doublon possible (meme date, type, lot et quantite).",IF($J28="LOT NON REFERENCE","Creer d'abord la fiche du lot dans l'onglet LOTS.",""))))))</f>
        <v/>
      </c>
    </row>
    <row r="29" customFormat="false" ht="15" hidden="false" customHeight="false" outlineLevel="0" collapsed="false">
      <c r="A29" s="26" t="str">
        <f aca="false">IF($C29="","","OP-"&amp;TEXT(ROW()-4,"000"))</f>
        <v/>
      </c>
      <c r="B29" s="25"/>
      <c r="C29" s="24"/>
      <c r="D29" s="24"/>
      <c r="E29" s="24"/>
      <c r="F29" s="24"/>
      <c r="G29" s="29"/>
      <c r="H29" s="24"/>
      <c r="I29" s="24"/>
      <c r="J29" s="26" t="str">
        <f aca="false">IF($D29="","",IFERROR(INDEX(LOT_PRODE,MATCH($D29,LOT_KEY,0)),"LOT NON REFERENCE"))</f>
        <v/>
      </c>
      <c r="K29" s="26" t="str">
        <f aca="false">IF($D29="","",IFERROR(INDEX(LOT_FOURNE,MATCH($D29,LOT_KEY,0)),""))</f>
        <v/>
      </c>
      <c r="L29" s="26" t="str">
        <f aca="false">IF($E29="","",IFERROR(INDEX(EMPL_CLASSE,MATCH($E29,EMPL_KEY,0)),"?"))</f>
        <v/>
      </c>
      <c r="M29" s="26" t="str">
        <f aca="false">IF($F29="","",IFERROR(INDEX(EMPL_CLASSE,MATCH($F29,EMPL_KEY,0)),"?"))</f>
        <v/>
      </c>
      <c r="N29" s="28" t="n">
        <f aca="false">IF($C29="",0,IF(OR($B29="",$D29="",NOT(ISNUMBER($G29)),$G29&lt;=0),0,IF($C29="RECEPTION",IF($F29="",0,1),IF($C29="CONSOMMATION",IF($E29="",0,1),IF(OR($E29="",$F29="",$E29=$F29),0,1)))))</f>
        <v>0</v>
      </c>
      <c r="O29" s="27" t="str">
        <f aca="false">IF(OR($N29=0,$C29="RECEPTION"),"",SUMIFS(MVT_BRUT,MVT_LOT,$D29,MVT_EMPL,$E29)+$G29)</f>
        <v/>
      </c>
      <c r="P29" s="26" t="str">
        <f aca="false">IF($C29="","",IF($N29=0,"DONNEES MANQUANTES",IF($C29="RECEPTION","OK",IF($O29&lt;=0,"EMPLACEMENT INCOHERENT",IF($G29&gt;$O29+0.001,"STOCK INSUFFISANT","OK")))))</f>
        <v/>
      </c>
      <c r="Q29" s="28" t="n">
        <f aca="false">IF($P29="OK",1,0)</f>
        <v>0</v>
      </c>
      <c r="R29" s="26" t="str">
        <f aca="false">IF($C29="","",IF($N29=0,"A COMPLETER : "&amp;IF($B29="","DATE; ","")&amp;IF($D29="","LOT; ","")&amp;IF(OR(NOT(ISNUMBER($G29)),$G29&lt;=0),"QUANTITE &gt; 0; ","")&amp;IF(AND($C29&lt;&gt;"RECEPTION",$E29=""),"EMPL. SOURCE; ","")&amp;IF(AND($C29&lt;&gt;"CONSOMMATION",$F29=""),"EMPL. DESTINATION; ","")&amp;IF(AND($C29="TRANSFERT",$E29&lt;&gt;"",$E29=$F29),"SOURCE = DESTINATION; ",""),IF($P29="EMPLACEMENT INCOHERENT","Le lot "&amp;$D29&amp;" n'existe pas sur "&amp;$E29&amp;" (stock 0). Verifier l'emplacement source.",IF($P29="STOCK INSUFFISANT","Disponible avant operation : "&amp;TEXT($O29,"#,##0.00")&amp;" kg. Ligne NON comptee en stock.",IF(COUNTIFS($B$5:$B$304,$B29,$C$5:$C$304,$C29,$D$5:$D$304,$D29,$G$5:$G$304,$G29)&gt;1,"Doublon possible (meme date, type, lot et quantite).",IF($J29="LOT NON REFERENCE","Creer d'abord la fiche du lot dans l'onglet LOTS.",""))))))</f>
        <v/>
      </c>
    </row>
    <row r="30" customFormat="false" ht="15" hidden="false" customHeight="false" outlineLevel="0" collapsed="false">
      <c r="A30" s="26" t="str">
        <f aca="false">IF($C30="","","OP-"&amp;TEXT(ROW()-4,"000"))</f>
        <v/>
      </c>
      <c r="B30" s="25"/>
      <c r="C30" s="24"/>
      <c r="D30" s="24"/>
      <c r="E30" s="24"/>
      <c r="F30" s="24"/>
      <c r="G30" s="29"/>
      <c r="H30" s="24"/>
      <c r="I30" s="24"/>
      <c r="J30" s="26" t="str">
        <f aca="false">IF($D30="","",IFERROR(INDEX(LOT_PRODE,MATCH($D30,LOT_KEY,0)),"LOT NON REFERENCE"))</f>
        <v/>
      </c>
      <c r="K30" s="26" t="str">
        <f aca="false">IF($D30="","",IFERROR(INDEX(LOT_FOURNE,MATCH($D30,LOT_KEY,0)),""))</f>
        <v/>
      </c>
      <c r="L30" s="26" t="str">
        <f aca="false">IF($E30="","",IFERROR(INDEX(EMPL_CLASSE,MATCH($E30,EMPL_KEY,0)),"?"))</f>
        <v/>
      </c>
      <c r="M30" s="26" t="str">
        <f aca="false">IF($F30="","",IFERROR(INDEX(EMPL_CLASSE,MATCH($F30,EMPL_KEY,0)),"?"))</f>
        <v/>
      </c>
      <c r="N30" s="28" t="n">
        <f aca="false">IF($C30="",0,IF(OR($B30="",$D30="",NOT(ISNUMBER($G30)),$G30&lt;=0),0,IF($C30="RECEPTION",IF($F30="",0,1),IF($C30="CONSOMMATION",IF($E30="",0,1),IF(OR($E30="",$F30="",$E30=$F30),0,1)))))</f>
        <v>0</v>
      </c>
      <c r="O30" s="27" t="str">
        <f aca="false">IF(OR($N30=0,$C30="RECEPTION"),"",SUMIFS(MVT_BRUT,MVT_LOT,$D30,MVT_EMPL,$E30)+$G30)</f>
        <v/>
      </c>
      <c r="P30" s="26" t="str">
        <f aca="false">IF($C30="","",IF($N30=0,"DONNEES MANQUANTES",IF($C30="RECEPTION","OK",IF($O30&lt;=0,"EMPLACEMENT INCOHERENT",IF($G30&gt;$O30+0.001,"STOCK INSUFFISANT","OK")))))</f>
        <v/>
      </c>
      <c r="Q30" s="28" t="n">
        <f aca="false">IF($P30="OK",1,0)</f>
        <v>0</v>
      </c>
      <c r="R30" s="26" t="str">
        <f aca="false">IF($C30="","",IF($N30=0,"A COMPLETER : "&amp;IF($B30="","DATE; ","")&amp;IF($D30="","LOT; ","")&amp;IF(OR(NOT(ISNUMBER($G30)),$G30&lt;=0),"QUANTITE &gt; 0; ","")&amp;IF(AND($C30&lt;&gt;"RECEPTION",$E30=""),"EMPL. SOURCE; ","")&amp;IF(AND($C30&lt;&gt;"CONSOMMATION",$F30=""),"EMPL. DESTINATION; ","")&amp;IF(AND($C30="TRANSFERT",$E30&lt;&gt;"",$E30=$F30),"SOURCE = DESTINATION; ",""),IF($P30="EMPLACEMENT INCOHERENT","Le lot "&amp;$D30&amp;" n'existe pas sur "&amp;$E30&amp;" (stock 0). Verifier l'emplacement source.",IF($P30="STOCK INSUFFISANT","Disponible avant operation : "&amp;TEXT($O30,"#,##0.00")&amp;" kg. Ligne NON comptee en stock.",IF(COUNTIFS($B$5:$B$304,$B30,$C$5:$C$304,$C30,$D$5:$D$304,$D30,$G$5:$G$304,$G30)&gt;1,"Doublon possible (meme date, type, lot et quantite).",IF($J30="LOT NON REFERENCE","Creer d'abord la fiche du lot dans l'onglet LOTS.",""))))))</f>
        <v/>
      </c>
    </row>
    <row r="31" customFormat="false" ht="15" hidden="false" customHeight="false" outlineLevel="0" collapsed="false">
      <c r="A31" s="26" t="str">
        <f aca="false">IF($C31="","","OP-"&amp;TEXT(ROW()-4,"000"))</f>
        <v/>
      </c>
      <c r="B31" s="25"/>
      <c r="C31" s="24"/>
      <c r="D31" s="24"/>
      <c r="E31" s="24"/>
      <c r="F31" s="24"/>
      <c r="G31" s="29"/>
      <c r="H31" s="24"/>
      <c r="I31" s="24"/>
      <c r="J31" s="26" t="str">
        <f aca="false">IF($D31="","",IFERROR(INDEX(LOT_PRODE,MATCH($D31,LOT_KEY,0)),"LOT NON REFERENCE"))</f>
        <v/>
      </c>
      <c r="K31" s="26" t="str">
        <f aca="false">IF($D31="","",IFERROR(INDEX(LOT_FOURNE,MATCH($D31,LOT_KEY,0)),""))</f>
        <v/>
      </c>
      <c r="L31" s="26" t="str">
        <f aca="false">IF($E31="","",IFERROR(INDEX(EMPL_CLASSE,MATCH($E31,EMPL_KEY,0)),"?"))</f>
        <v/>
      </c>
      <c r="M31" s="26" t="str">
        <f aca="false">IF($F31="","",IFERROR(INDEX(EMPL_CLASSE,MATCH($F31,EMPL_KEY,0)),"?"))</f>
        <v/>
      </c>
      <c r="N31" s="28" t="n">
        <f aca="false">IF($C31="",0,IF(OR($B31="",$D31="",NOT(ISNUMBER($G31)),$G31&lt;=0),0,IF($C31="RECEPTION",IF($F31="",0,1),IF($C31="CONSOMMATION",IF($E31="",0,1),IF(OR($E31="",$F31="",$E31=$F31),0,1)))))</f>
        <v>0</v>
      </c>
      <c r="O31" s="27" t="str">
        <f aca="false">IF(OR($N31=0,$C31="RECEPTION"),"",SUMIFS(MVT_BRUT,MVT_LOT,$D31,MVT_EMPL,$E31)+$G31)</f>
        <v/>
      </c>
      <c r="P31" s="26" t="str">
        <f aca="false">IF($C31="","",IF($N31=0,"DONNEES MANQUANTES",IF($C31="RECEPTION","OK",IF($O31&lt;=0,"EMPLACEMENT INCOHERENT",IF($G31&gt;$O31+0.001,"STOCK INSUFFISANT","OK")))))</f>
        <v/>
      </c>
      <c r="Q31" s="28" t="n">
        <f aca="false">IF($P31="OK",1,0)</f>
        <v>0</v>
      </c>
      <c r="R31" s="26" t="str">
        <f aca="false">IF($C31="","",IF($N31=0,"A COMPLETER : "&amp;IF($B31="","DATE; ","")&amp;IF($D31="","LOT; ","")&amp;IF(OR(NOT(ISNUMBER($G31)),$G31&lt;=0),"QUANTITE &gt; 0; ","")&amp;IF(AND($C31&lt;&gt;"RECEPTION",$E31=""),"EMPL. SOURCE; ","")&amp;IF(AND($C31&lt;&gt;"CONSOMMATION",$F31=""),"EMPL. DESTINATION; ","")&amp;IF(AND($C31="TRANSFERT",$E31&lt;&gt;"",$E31=$F31),"SOURCE = DESTINATION; ",""),IF($P31="EMPLACEMENT INCOHERENT","Le lot "&amp;$D31&amp;" n'existe pas sur "&amp;$E31&amp;" (stock 0). Verifier l'emplacement source.",IF($P31="STOCK INSUFFISANT","Disponible avant operation : "&amp;TEXT($O31,"#,##0.00")&amp;" kg. Ligne NON comptee en stock.",IF(COUNTIFS($B$5:$B$304,$B31,$C$5:$C$304,$C31,$D$5:$D$304,$D31,$G$5:$G$304,$G31)&gt;1,"Doublon possible (meme date, type, lot et quantite).",IF($J31="LOT NON REFERENCE","Creer d'abord la fiche du lot dans l'onglet LOTS.",""))))))</f>
        <v/>
      </c>
    </row>
    <row r="32" customFormat="false" ht="15" hidden="false" customHeight="false" outlineLevel="0" collapsed="false">
      <c r="A32" s="26" t="str">
        <f aca="false">IF($C32="","","OP-"&amp;TEXT(ROW()-4,"000"))</f>
        <v/>
      </c>
      <c r="B32" s="25"/>
      <c r="C32" s="24"/>
      <c r="D32" s="24"/>
      <c r="E32" s="24"/>
      <c r="F32" s="24"/>
      <c r="G32" s="29"/>
      <c r="H32" s="24"/>
      <c r="I32" s="24"/>
      <c r="J32" s="26" t="str">
        <f aca="false">IF($D32="","",IFERROR(INDEX(LOT_PRODE,MATCH($D32,LOT_KEY,0)),"LOT NON REFERENCE"))</f>
        <v/>
      </c>
      <c r="K32" s="26" t="str">
        <f aca="false">IF($D32="","",IFERROR(INDEX(LOT_FOURNE,MATCH($D32,LOT_KEY,0)),""))</f>
        <v/>
      </c>
      <c r="L32" s="26" t="str">
        <f aca="false">IF($E32="","",IFERROR(INDEX(EMPL_CLASSE,MATCH($E32,EMPL_KEY,0)),"?"))</f>
        <v/>
      </c>
      <c r="M32" s="26" t="str">
        <f aca="false">IF($F32="","",IFERROR(INDEX(EMPL_CLASSE,MATCH($F32,EMPL_KEY,0)),"?"))</f>
        <v/>
      </c>
      <c r="N32" s="28" t="n">
        <f aca="false">IF($C32="",0,IF(OR($B32="",$D32="",NOT(ISNUMBER($G32)),$G32&lt;=0),0,IF($C32="RECEPTION",IF($F32="",0,1),IF($C32="CONSOMMATION",IF($E32="",0,1),IF(OR($E32="",$F32="",$E32=$F32),0,1)))))</f>
        <v>0</v>
      </c>
      <c r="O32" s="27" t="str">
        <f aca="false">IF(OR($N32=0,$C32="RECEPTION"),"",SUMIFS(MVT_BRUT,MVT_LOT,$D32,MVT_EMPL,$E32)+$G32)</f>
        <v/>
      </c>
      <c r="P32" s="26" t="str">
        <f aca="false">IF($C32="","",IF($N32=0,"DONNEES MANQUANTES",IF($C32="RECEPTION","OK",IF($O32&lt;=0,"EMPLACEMENT INCOHERENT",IF($G32&gt;$O32+0.001,"STOCK INSUFFISANT","OK")))))</f>
        <v/>
      </c>
      <c r="Q32" s="28" t="n">
        <f aca="false">IF($P32="OK",1,0)</f>
        <v>0</v>
      </c>
      <c r="R32" s="26" t="str">
        <f aca="false">IF($C32="","",IF($N32=0,"A COMPLETER : "&amp;IF($B32="","DATE; ","")&amp;IF($D32="","LOT; ","")&amp;IF(OR(NOT(ISNUMBER($G32)),$G32&lt;=0),"QUANTITE &gt; 0; ","")&amp;IF(AND($C32&lt;&gt;"RECEPTION",$E32=""),"EMPL. SOURCE; ","")&amp;IF(AND($C32&lt;&gt;"CONSOMMATION",$F32=""),"EMPL. DESTINATION; ","")&amp;IF(AND($C32="TRANSFERT",$E32&lt;&gt;"",$E32=$F32),"SOURCE = DESTINATION; ",""),IF($P32="EMPLACEMENT INCOHERENT","Le lot "&amp;$D32&amp;" n'existe pas sur "&amp;$E32&amp;" (stock 0). Verifier l'emplacement source.",IF($P32="STOCK INSUFFISANT","Disponible avant operation : "&amp;TEXT($O32,"#,##0.00")&amp;" kg. Ligne NON comptee en stock.",IF(COUNTIFS($B$5:$B$304,$B32,$C$5:$C$304,$C32,$D$5:$D$304,$D32,$G$5:$G$304,$G32)&gt;1,"Doublon possible (meme date, type, lot et quantite).",IF($J32="LOT NON REFERENCE","Creer d'abord la fiche du lot dans l'onglet LOTS.",""))))))</f>
        <v/>
      </c>
    </row>
    <row r="33" customFormat="false" ht="15" hidden="false" customHeight="false" outlineLevel="0" collapsed="false">
      <c r="A33" s="26" t="str">
        <f aca="false">IF($C33="","","OP-"&amp;TEXT(ROW()-4,"000"))</f>
        <v/>
      </c>
      <c r="B33" s="25"/>
      <c r="C33" s="24"/>
      <c r="D33" s="24"/>
      <c r="E33" s="24"/>
      <c r="F33" s="24"/>
      <c r="G33" s="29"/>
      <c r="H33" s="24"/>
      <c r="I33" s="24"/>
      <c r="J33" s="26" t="str">
        <f aca="false">IF($D33="","",IFERROR(INDEX(LOT_PRODE,MATCH($D33,LOT_KEY,0)),"LOT NON REFERENCE"))</f>
        <v/>
      </c>
      <c r="K33" s="26" t="str">
        <f aca="false">IF($D33="","",IFERROR(INDEX(LOT_FOURNE,MATCH($D33,LOT_KEY,0)),""))</f>
        <v/>
      </c>
      <c r="L33" s="26" t="str">
        <f aca="false">IF($E33="","",IFERROR(INDEX(EMPL_CLASSE,MATCH($E33,EMPL_KEY,0)),"?"))</f>
        <v/>
      </c>
      <c r="M33" s="26" t="str">
        <f aca="false">IF($F33="","",IFERROR(INDEX(EMPL_CLASSE,MATCH($F33,EMPL_KEY,0)),"?"))</f>
        <v/>
      </c>
      <c r="N33" s="28" t="n">
        <f aca="false">IF($C33="",0,IF(OR($B33="",$D33="",NOT(ISNUMBER($G33)),$G33&lt;=0),0,IF($C33="RECEPTION",IF($F33="",0,1),IF($C33="CONSOMMATION",IF($E33="",0,1),IF(OR($E33="",$F33="",$E33=$F33),0,1)))))</f>
        <v>0</v>
      </c>
      <c r="O33" s="27" t="str">
        <f aca="false">IF(OR($N33=0,$C33="RECEPTION"),"",SUMIFS(MVT_BRUT,MVT_LOT,$D33,MVT_EMPL,$E33)+$G33)</f>
        <v/>
      </c>
      <c r="P33" s="26" t="str">
        <f aca="false">IF($C33="","",IF($N33=0,"DONNEES MANQUANTES",IF($C33="RECEPTION","OK",IF($O33&lt;=0,"EMPLACEMENT INCOHERENT",IF($G33&gt;$O33+0.001,"STOCK INSUFFISANT","OK")))))</f>
        <v/>
      </c>
      <c r="Q33" s="28" t="n">
        <f aca="false">IF($P33="OK",1,0)</f>
        <v>0</v>
      </c>
      <c r="R33" s="26" t="str">
        <f aca="false">IF($C33="","",IF($N33=0,"A COMPLETER : "&amp;IF($B33="","DATE; ","")&amp;IF($D33="","LOT; ","")&amp;IF(OR(NOT(ISNUMBER($G33)),$G33&lt;=0),"QUANTITE &gt; 0; ","")&amp;IF(AND($C33&lt;&gt;"RECEPTION",$E33=""),"EMPL. SOURCE; ","")&amp;IF(AND($C33&lt;&gt;"CONSOMMATION",$F33=""),"EMPL. DESTINATION; ","")&amp;IF(AND($C33="TRANSFERT",$E33&lt;&gt;"",$E33=$F33),"SOURCE = DESTINATION; ",""),IF($P33="EMPLACEMENT INCOHERENT","Le lot "&amp;$D33&amp;" n'existe pas sur "&amp;$E33&amp;" (stock 0). Verifier l'emplacement source.",IF($P33="STOCK INSUFFISANT","Disponible avant operation : "&amp;TEXT($O33,"#,##0.00")&amp;" kg. Ligne NON comptee en stock.",IF(COUNTIFS($B$5:$B$304,$B33,$C$5:$C$304,$C33,$D$5:$D$304,$D33,$G$5:$G$304,$G33)&gt;1,"Doublon possible (meme date, type, lot et quantite).",IF($J33="LOT NON REFERENCE","Creer d'abord la fiche du lot dans l'onglet LOTS.",""))))))</f>
        <v/>
      </c>
    </row>
    <row r="34" customFormat="false" ht="15" hidden="false" customHeight="false" outlineLevel="0" collapsed="false">
      <c r="A34" s="26" t="str">
        <f aca="false">IF($C34="","","OP-"&amp;TEXT(ROW()-4,"000"))</f>
        <v/>
      </c>
      <c r="B34" s="25"/>
      <c r="C34" s="24"/>
      <c r="D34" s="24"/>
      <c r="E34" s="24"/>
      <c r="F34" s="24"/>
      <c r="G34" s="29"/>
      <c r="H34" s="24"/>
      <c r="I34" s="24"/>
      <c r="J34" s="26" t="str">
        <f aca="false">IF($D34="","",IFERROR(INDEX(LOT_PRODE,MATCH($D34,LOT_KEY,0)),"LOT NON REFERENCE"))</f>
        <v/>
      </c>
      <c r="K34" s="26" t="str">
        <f aca="false">IF($D34="","",IFERROR(INDEX(LOT_FOURNE,MATCH($D34,LOT_KEY,0)),""))</f>
        <v/>
      </c>
      <c r="L34" s="26" t="str">
        <f aca="false">IF($E34="","",IFERROR(INDEX(EMPL_CLASSE,MATCH($E34,EMPL_KEY,0)),"?"))</f>
        <v/>
      </c>
      <c r="M34" s="26" t="str">
        <f aca="false">IF($F34="","",IFERROR(INDEX(EMPL_CLASSE,MATCH($F34,EMPL_KEY,0)),"?"))</f>
        <v/>
      </c>
      <c r="N34" s="28" t="n">
        <f aca="false">IF($C34="",0,IF(OR($B34="",$D34="",NOT(ISNUMBER($G34)),$G34&lt;=0),0,IF($C34="RECEPTION",IF($F34="",0,1),IF($C34="CONSOMMATION",IF($E34="",0,1),IF(OR($E34="",$F34="",$E34=$F34),0,1)))))</f>
        <v>0</v>
      </c>
      <c r="O34" s="27" t="str">
        <f aca="false">IF(OR($N34=0,$C34="RECEPTION"),"",SUMIFS(MVT_BRUT,MVT_LOT,$D34,MVT_EMPL,$E34)+$G34)</f>
        <v/>
      </c>
      <c r="P34" s="26" t="str">
        <f aca="false">IF($C34="","",IF($N34=0,"DONNEES MANQUANTES",IF($C34="RECEPTION","OK",IF($O34&lt;=0,"EMPLACEMENT INCOHERENT",IF($G34&gt;$O34+0.001,"STOCK INSUFFISANT","OK")))))</f>
        <v/>
      </c>
      <c r="Q34" s="28" t="n">
        <f aca="false">IF($P34="OK",1,0)</f>
        <v>0</v>
      </c>
      <c r="R34" s="26" t="str">
        <f aca="false">IF($C34="","",IF($N34=0,"A COMPLETER : "&amp;IF($B34="","DATE; ","")&amp;IF($D34="","LOT; ","")&amp;IF(OR(NOT(ISNUMBER($G34)),$G34&lt;=0),"QUANTITE &gt; 0; ","")&amp;IF(AND($C34&lt;&gt;"RECEPTION",$E34=""),"EMPL. SOURCE; ","")&amp;IF(AND($C34&lt;&gt;"CONSOMMATION",$F34=""),"EMPL. DESTINATION; ","")&amp;IF(AND($C34="TRANSFERT",$E34&lt;&gt;"",$E34=$F34),"SOURCE = DESTINATION; ",""),IF($P34="EMPLACEMENT INCOHERENT","Le lot "&amp;$D34&amp;" n'existe pas sur "&amp;$E34&amp;" (stock 0). Verifier l'emplacement source.",IF($P34="STOCK INSUFFISANT","Disponible avant operation : "&amp;TEXT($O34,"#,##0.00")&amp;" kg. Ligne NON comptee en stock.",IF(COUNTIFS($B$5:$B$304,$B34,$C$5:$C$304,$C34,$D$5:$D$304,$D34,$G$5:$G$304,$G34)&gt;1,"Doublon possible (meme date, type, lot et quantite).",IF($J34="LOT NON REFERENCE","Creer d'abord la fiche du lot dans l'onglet LOTS.",""))))))</f>
        <v/>
      </c>
    </row>
    <row r="35" customFormat="false" ht="15" hidden="false" customHeight="false" outlineLevel="0" collapsed="false">
      <c r="A35" s="26" t="str">
        <f aca="false">IF($C35="","","OP-"&amp;TEXT(ROW()-4,"000"))</f>
        <v/>
      </c>
      <c r="B35" s="25"/>
      <c r="C35" s="24"/>
      <c r="D35" s="24"/>
      <c r="E35" s="24"/>
      <c r="F35" s="24"/>
      <c r="G35" s="29"/>
      <c r="H35" s="24"/>
      <c r="I35" s="24"/>
      <c r="J35" s="26" t="str">
        <f aca="false">IF($D35="","",IFERROR(INDEX(LOT_PRODE,MATCH($D35,LOT_KEY,0)),"LOT NON REFERENCE"))</f>
        <v/>
      </c>
      <c r="K35" s="26" t="str">
        <f aca="false">IF($D35="","",IFERROR(INDEX(LOT_FOURNE,MATCH($D35,LOT_KEY,0)),""))</f>
        <v/>
      </c>
      <c r="L35" s="26" t="str">
        <f aca="false">IF($E35="","",IFERROR(INDEX(EMPL_CLASSE,MATCH($E35,EMPL_KEY,0)),"?"))</f>
        <v/>
      </c>
      <c r="M35" s="26" t="str">
        <f aca="false">IF($F35="","",IFERROR(INDEX(EMPL_CLASSE,MATCH($F35,EMPL_KEY,0)),"?"))</f>
        <v/>
      </c>
      <c r="N35" s="28" t="n">
        <f aca="false">IF($C35="",0,IF(OR($B35="",$D35="",NOT(ISNUMBER($G35)),$G35&lt;=0),0,IF($C35="RECEPTION",IF($F35="",0,1),IF($C35="CONSOMMATION",IF($E35="",0,1),IF(OR($E35="",$F35="",$E35=$F35),0,1)))))</f>
        <v>0</v>
      </c>
      <c r="O35" s="27" t="str">
        <f aca="false">IF(OR($N35=0,$C35="RECEPTION"),"",SUMIFS(MVT_BRUT,MVT_LOT,$D35,MVT_EMPL,$E35)+$G35)</f>
        <v/>
      </c>
      <c r="P35" s="26" t="str">
        <f aca="false">IF($C35="","",IF($N35=0,"DONNEES MANQUANTES",IF($C35="RECEPTION","OK",IF($O35&lt;=0,"EMPLACEMENT INCOHERENT",IF($G35&gt;$O35+0.001,"STOCK INSUFFISANT","OK")))))</f>
        <v/>
      </c>
      <c r="Q35" s="28" t="n">
        <f aca="false">IF($P35="OK",1,0)</f>
        <v>0</v>
      </c>
      <c r="R35" s="26" t="str">
        <f aca="false">IF($C35="","",IF($N35=0,"A COMPLETER : "&amp;IF($B35="","DATE; ","")&amp;IF($D35="","LOT; ","")&amp;IF(OR(NOT(ISNUMBER($G35)),$G35&lt;=0),"QUANTITE &gt; 0; ","")&amp;IF(AND($C35&lt;&gt;"RECEPTION",$E35=""),"EMPL. SOURCE; ","")&amp;IF(AND($C35&lt;&gt;"CONSOMMATION",$F35=""),"EMPL. DESTINATION; ","")&amp;IF(AND($C35="TRANSFERT",$E35&lt;&gt;"",$E35=$F35),"SOURCE = DESTINATION; ",""),IF($P35="EMPLACEMENT INCOHERENT","Le lot "&amp;$D35&amp;" n'existe pas sur "&amp;$E35&amp;" (stock 0). Verifier l'emplacement source.",IF($P35="STOCK INSUFFISANT","Disponible avant operation : "&amp;TEXT($O35,"#,##0.00")&amp;" kg. Ligne NON comptee en stock.",IF(COUNTIFS($B$5:$B$304,$B35,$C$5:$C$304,$C35,$D$5:$D$304,$D35,$G$5:$G$304,$G35)&gt;1,"Doublon possible (meme date, type, lot et quantite).",IF($J35="LOT NON REFERENCE","Creer d'abord la fiche du lot dans l'onglet LOTS.",""))))))</f>
        <v/>
      </c>
    </row>
    <row r="36" customFormat="false" ht="15" hidden="false" customHeight="false" outlineLevel="0" collapsed="false">
      <c r="A36" s="26" t="str">
        <f aca="false">IF($C36="","","OP-"&amp;TEXT(ROW()-4,"000"))</f>
        <v/>
      </c>
      <c r="B36" s="25"/>
      <c r="C36" s="24"/>
      <c r="D36" s="24"/>
      <c r="E36" s="24"/>
      <c r="F36" s="24"/>
      <c r="G36" s="29"/>
      <c r="H36" s="24"/>
      <c r="I36" s="24"/>
      <c r="J36" s="26" t="str">
        <f aca="false">IF($D36="","",IFERROR(INDEX(LOT_PRODE,MATCH($D36,LOT_KEY,0)),"LOT NON REFERENCE"))</f>
        <v/>
      </c>
      <c r="K36" s="26" t="str">
        <f aca="false">IF($D36="","",IFERROR(INDEX(LOT_FOURNE,MATCH($D36,LOT_KEY,0)),""))</f>
        <v/>
      </c>
      <c r="L36" s="26" t="str">
        <f aca="false">IF($E36="","",IFERROR(INDEX(EMPL_CLASSE,MATCH($E36,EMPL_KEY,0)),"?"))</f>
        <v/>
      </c>
      <c r="M36" s="26" t="str">
        <f aca="false">IF($F36="","",IFERROR(INDEX(EMPL_CLASSE,MATCH($F36,EMPL_KEY,0)),"?"))</f>
        <v/>
      </c>
      <c r="N36" s="28" t="n">
        <f aca="false">IF($C36="",0,IF(OR($B36="",$D36="",NOT(ISNUMBER($G36)),$G36&lt;=0),0,IF($C36="RECEPTION",IF($F36="",0,1),IF($C36="CONSOMMATION",IF($E36="",0,1),IF(OR($E36="",$F36="",$E36=$F36),0,1)))))</f>
        <v>0</v>
      </c>
      <c r="O36" s="27" t="str">
        <f aca="false">IF(OR($N36=0,$C36="RECEPTION"),"",SUMIFS(MVT_BRUT,MVT_LOT,$D36,MVT_EMPL,$E36)+$G36)</f>
        <v/>
      </c>
      <c r="P36" s="26" t="str">
        <f aca="false">IF($C36="","",IF($N36=0,"DONNEES MANQUANTES",IF($C36="RECEPTION","OK",IF($O36&lt;=0,"EMPLACEMENT INCOHERENT",IF($G36&gt;$O36+0.001,"STOCK INSUFFISANT","OK")))))</f>
        <v/>
      </c>
      <c r="Q36" s="28" t="n">
        <f aca="false">IF($P36="OK",1,0)</f>
        <v>0</v>
      </c>
      <c r="R36" s="26" t="str">
        <f aca="false">IF($C36="","",IF($N36=0,"A COMPLETER : "&amp;IF($B36="","DATE; ","")&amp;IF($D36="","LOT; ","")&amp;IF(OR(NOT(ISNUMBER($G36)),$G36&lt;=0),"QUANTITE &gt; 0; ","")&amp;IF(AND($C36&lt;&gt;"RECEPTION",$E36=""),"EMPL. SOURCE; ","")&amp;IF(AND($C36&lt;&gt;"CONSOMMATION",$F36=""),"EMPL. DESTINATION; ","")&amp;IF(AND($C36="TRANSFERT",$E36&lt;&gt;"",$E36=$F36),"SOURCE = DESTINATION; ",""),IF($P36="EMPLACEMENT INCOHERENT","Le lot "&amp;$D36&amp;" n'existe pas sur "&amp;$E36&amp;" (stock 0). Verifier l'emplacement source.",IF($P36="STOCK INSUFFISANT","Disponible avant operation : "&amp;TEXT($O36,"#,##0.00")&amp;" kg. Ligne NON comptee en stock.",IF(COUNTIFS($B$5:$B$304,$B36,$C$5:$C$304,$C36,$D$5:$D$304,$D36,$G$5:$G$304,$G36)&gt;1,"Doublon possible (meme date, type, lot et quantite).",IF($J36="LOT NON REFERENCE","Creer d'abord la fiche du lot dans l'onglet LOTS.",""))))))</f>
        <v/>
      </c>
    </row>
    <row r="37" customFormat="false" ht="15" hidden="false" customHeight="false" outlineLevel="0" collapsed="false">
      <c r="A37" s="26" t="str">
        <f aca="false">IF($C37="","","OP-"&amp;TEXT(ROW()-4,"000"))</f>
        <v/>
      </c>
      <c r="B37" s="25"/>
      <c r="C37" s="24"/>
      <c r="D37" s="24"/>
      <c r="E37" s="24"/>
      <c r="F37" s="24"/>
      <c r="G37" s="29"/>
      <c r="H37" s="24"/>
      <c r="I37" s="24"/>
      <c r="J37" s="26" t="str">
        <f aca="false">IF($D37="","",IFERROR(INDEX(LOT_PRODE,MATCH($D37,LOT_KEY,0)),"LOT NON REFERENCE"))</f>
        <v/>
      </c>
      <c r="K37" s="26" t="str">
        <f aca="false">IF($D37="","",IFERROR(INDEX(LOT_FOURNE,MATCH($D37,LOT_KEY,0)),""))</f>
        <v/>
      </c>
      <c r="L37" s="26" t="str">
        <f aca="false">IF($E37="","",IFERROR(INDEX(EMPL_CLASSE,MATCH($E37,EMPL_KEY,0)),"?"))</f>
        <v/>
      </c>
      <c r="M37" s="26" t="str">
        <f aca="false">IF($F37="","",IFERROR(INDEX(EMPL_CLASSE,MATCH($F37,EMPL_KEY,0)),"?"))</f>
        <v/>
      </c>
      <c r="N37" s="28" t="n">
        <f aca="false">IF($C37="",0,IF(OR($B37="",$D37="",NOT(ISNUMBER($G37)),$G37&lt;=0),0,IF($C37="RECEPTION",IF($F37="",0,1),IF($C37="CONSOMMATION",IF($E37="",0,1),IF(OR($E37="",$F37="",$E37=$F37),0,1)))))</f>
        <v>0</v>
      </c>
      <c r="O37" s="27" t="str">
        <f aca="false">IF(OR($N37=0,$C37="RECEPTION"),"",SUMIFS(MVT_BRUT,MVT_LOT,$D37,MVT_EMPL,$E37)+$G37)</f>
        <v/>
      </c>
      <c r="P37" s="26" t="str">
        <f aca="false">IF($C37="","",IF($N37=0,"DONNEES MANQUANTES",IF($C37="RECEPTION","OK",IF($O37&lt;=0,"EMPLACEMENT INCOHERENT",IF($G37&gt;$O37+0.001,"STOCK INSUFFISANT","OK")))))</f>
        <v/>
      </c>
      <c r="Q37" s="28" t="n">
        <f aca="false">IF($P37="OK",1,0)</f>
        <v>0</v>
      </c>
      <c r="R37" s="26" t="str">
        <f aca="false">IF($C37="","",IF($N37=0,"A COMPLETER : "&amp;IF($B37="","DATE; ","")&amp;IF($D37="","LOT; ","")&amp;IF(OR(NOT(ISNUMBER($G37)),$G37&lt;=0),"QUANTITE &gt; 0; ","")&amp;IF(AND($C37&lt;&gt;"RECEPTION",$E37=""),"EMPL. SOURCE; ","")&amp;IF(AND($C37&lt;&gt;"CONSOMMATION",$F37=""),"EMPL. DESTINATION; ","")&amp;IF(AND($C37="TRANSFERT",$E37&lt;&gt;"",$E37=$F37),"SOURCE = DESTINATION; ",""),IF($P37="EMPLACEMENT INCOHERENT","Le lot "&amp;$D37&amp;" n'existe pas sur "&amp;$E37&amp;" (stock 0). Verifier l'emplacement source.",IF($P37="STOCK INSUFFISANT","Disponible avant operation : "&amp;TEXT($O37,"#,##0.00")&amp;" kg. Ligne NON comptee en stock.",IF(COUNTIFS($B$5:$B$304,$B37,$C$5:$C$304,$C37,$D$5:$D$304,$D37,$G$5:$G$304,$G37)&gt;1,"Doublon possible (meme date, type, lot et quantite).",IF($J37="LOT NON REFERENCE","Creer d'abord la fiche du lot dans l'onglet LOTS.",""))))))</f>
        <v/>
      </c>
    </row>
    <row r="38" customFormat="false" ht="15" hidden="false" customHeight="false" outlineLevel="0" collapsed="false">
      <c r="A38" s="26" t="str">
        <f aca="false">IF($C38="","","OP-"&amp;TEXT(ROW()-4,"000"))</f>
        <v/>
      </c>
      <c r="B38" s="25"/>
      <c r="C38" s="24"/>
      <c r="D38" s="24"/>
      <c r="E38" s="24"/>
      <c r="F38" s="24"/>
      <c r="G38" s="29"/>
      <c r="H38" s="24"/>
      <c r="I38" s="24"/>
      <c r="J38" s="26" t="str">
        <f aca="false">IF($D38="","",IFERROR(INDEX(LOT_PRODE,MATCH($D38,LOT_KEY,0)),"LOT NON REFERENCE"))</f>
        <v/>
      </c>
      <c r="K38" s="26" t="str">
        <f aca="false">IF($D38="","",IFERROR(INDEX(LOT_FOURNE,MATCH($D38,LOT_KEY,0)),""))</f>
        <v/>
      </c>
      <c r="L38" s="26" t="str">
        <f aca="false">IF($E38="","",IFERROR(INDEX(EMPL_CLASSE,MATCH($E38,EMPL_KEY,0)),"?"))</f>
        <v/>
      </c>
      <c r="M38" s="26" t="str">
        <f aca="false">IF($F38="","",IFERROR(INDEX(EMPL_CLASSE,MATCH($F38,EMPL_KEY,0)),"?"))</f>
        <v/>
      </c>
      <c r="N38" s="28" t="n">
        <f aca="false">IF($C38="",0,IF(OR($B38="",$D38="",NOT(ISNUMBER($G38)),$G38&lt;=0),0,IF($C38="RECEPTION",IF($F38="",0,1),IF($C38="CONSOMMATION",IF($E38="",0,1),IF(OR($E38="",$F38="",$E38=$F38),0,1)))))</f>
        <v>0</v>
      </c>
      <c r="O38" s="27" t="str">
        <f aca="false">IF(OR($N38=0,$C38="RECEPTION"),"",SUMIFS(MVT_BRUT,MVT_LOT,$D38,MVT_EMPL,$E38)+$G38)</f>
        <v/>
      </c>
      <c r="P38" s="26" t="str">
        <f aca="false">IF($C38="","",IF($N38=0,"DONNEES MANQUANTES",IF($C38="RECEPTION","OK",IF($O38&lt;=0,"EMPLACEMENT INCOHERENT",IF($G38&gt;$O38+0.001,"STOCK INSUFFISANT","OK")))))</f>
        <v/>
      </c>
      <c r="Q38" s="28" t="n">
        <f aca="false">IF($P38="OK",1,0)</f>
        <v>0</v>
      </c>
      <c r="R38" s="26" t="str">
        <f aca="false">IF($C38="","",IF($N38=0,"A COMPLETER : "&amp;IF($B38="","DATE; ","")&amp;IF($D38="","LOT; ","")&amp;IF(OR(NOT(ISNUMBER($G38)),$G38&lt;=0),"QUANTITE &gt; 0; ","")&amp;IF(AND($C38&lt;&gt;"RECEPTION",$E38=""),"EMPL. SOURCE; ","")&amp;IF(AND($C38&lt;&gt;"CONSOMMATION",$F38=""),"EMPL. DESTINATION; ","")&amp;IF(AND($C38="TRANSFERT",$E38&lt;&gt;"",$E38=$F38),"SOURCE = DESTINATION; ",""),IF($P38="EMPLACEMENT INCOHERENT","Le lot "&amp;$D38&amp;" n'existe pas sur "&amp;$E38&amp;" (stock 0). Verifier l'emplacement source.",IF($P38="STOCK INSUFFISANT","Disponible avant operation : "&amp;TEXT($O38,"#,##0.00")&amp;" kg. Ligne NON comptee en stock.",IF(COUNTIFS($B$5:$B$304,$B38,$C$5:$C$304,$C38,$D$5:$D$304,$D38,$G$5:$G$304,$G38)&gt;1,"Doublon possible (meme date, type, lot et quantite).",IF($J38="LOT NON REFERENCE","Creer d'abord la fiche du lot dans l'onglet LOTS.",""))))))</f>
        <v/>
      </c>
    </row>
    <row r="39" customFormat="false" ht="15" hidden="false" customHeight="false" outlineLevel="0" collapsed="false">
      <c r="A39" s="26" t="str">
        <f aca="false">IF($C39="","","OP-"&amp;TEXT(ROW()-4,"000"))</f>
        <v/>
      </c>
      <c r="B39" s="25"/>
      <c r="C39" s="24"/>
      <c r="D39" s="24"/>
      <c r="E39" s="24"/>
      <c r="F39" s="24"/>
      <c r="G39" s="29"/>
      <c r="H39" s="24"/>
      <c r="I39" s="24"/>
      <c r="J39" s="26" t="str">
        <f aca="false">IF($D39="","",IFERROR(INDEX(LOT_PRODE,MATCH($D39,LOT_KEY,0)),"LOT NON REFERENCE"))</f>
        <v/>
      </c>
      <c r="K39" s="26" t="str">
        <f aca="false">IF($D39="","",IFERROR(INDEX(LOT_FOURNE,MATCH($D39,LOT_KEY,0)),""))</f>
        <v/>
      </c>
      <c r="L39" s="26" t="str">
        <f aca="false">IF($E39="","",IFERROR(INDEX(EMPL_CLASSE,MATCH($E39,EMPL_KEY,0)),"?"))</f>
        <v/>
      </c>
      <c r="M39" s="26" t="str">
        <f aca="false">IF($F39="","",IFERROR(INDEX(EMPL_CLASSE,MATCH($F39,EMPL_KEY,0)),"?"))</f>
        <v/>
      </c>
      <c r="N39" s="28" t="n">
        <f aca="false">IF($C39="",0,IF(OR($B39="",$D39="",NOT(ISNUMBER($G39)),$G39&lt;=0),0,IF($C39="RECEPTION",IF($F39="",0,1),IF($C39="CONSOMMATION",IF($E39="",0,1),IF(OR($E39="",$F39="",$E39=$F39),0,1)))))</f>
        <v>0</v>
      </c>
      <c r="O39" s="27" t="str">
        <f aca="false">IF(OR($N39=0,$C39="RECEPTION"),"",SUMIFS(MVT_BRUT,MVT_LOT,$D39,MVT_EMPL,$E39)+$G39)</f>
        <v/>
      </c>
      <c r="P39" s="26" t="str">
        <f aca="false">IF($C39="","",IF($N39=0,"DONNEES MANQUANTES",IF($C39="RECEPTION","OK",IF($O39&lt;=0,"EMPLACEMENT INCOHERENT",IF($G39&gt;$O39+0.001,"STOCK INSUFFISANT","OK")))))</f>
        <v/>
      </c>
      <c r="Q39" s="28" t="n">
        <f aca="false">IF($P39="OK",1,0)</f>
        <v>0</v>
      </c>
      <c r="R39" s="26" t="str">
        <f aca="false">IF($C39="","",IF($N39=0,"A COMPLETER : "&amp;IF($B39="","DATE; ","")&amp;IF($D39="","LOT; ","")&amp;IF(OR(NOT(ISNUMBER($G39)),$G39&lt;=0),"QUANTITE &gt; 0; ","")&amp;IF(AND($C39&lt;&gt;"RECEPTION",$E39=""),"EMPL. SOURCE; ","")&amp;IF(AND($C39&lt;&gt;"CONSOMMATION",$F39=""),"EMPL. DESTINATION; ","")&amp;IF(AND($C39="TRANSFERT",$E39&lt;&gt;"",$E39=$F39),"SOURCE = DESTINATION; ",""),IF($P39="EMPLACEMENT INCOHERENT","Le lot "&amp;$D39&amp;" n'existe pas sur "&amp;$E39&amp;" (stock 0). Verifier l'emplacement source.",IF($P39="STOCK INSUFFISANT","Disponible avant operation : "&amp;TEXT($O39,"#,##0.00")&amp;" kg. Ligne NON comptee en stock.",IF(COUNTIFS($B$5:$B$304,$B39,$C$5:$C$304,$C39,$D$5:$D$304,$D39,$G$5:$G$304,$G39)&gt;1,"Doublon possible (meme date, type, lot et quantite).",IF($J39="LOT NON REFERENCE","Creer d'abord la fiche du lot dans l'onglet LOTS.",""))))))</f>
        <v/>
      </c>
    </row>
    <row r="40" customFormat="false" ht="15" hidden="false" customHeight="false" outlineLevel="0" collapsed="false">
      <c r="A40" s="26" t="str">
        <f aca="false">IF($C40="","","OP-"&amp;TEXT(ROW()-4,"000"))</f>
        <v/>
      </c>
      <c r="B40" s="25"/>
      <c r="C40" s="24"/>
      <c r="D40" s="24"/>
      <c r="E40" s="24"/>
      <c r="F40" s="24"/>
      <c r="G40" s="29"/>
      <c r="H40" s="24"/>
      <c r="I40" s="24"/>
      <c r="J40" s="26" t="str">
        <f aca="false">IF($D40="","",IFERROR(INDEX(LOT_PRODE,MATCH($D40,LOT_KEY,0)),"LOT NON REFERENCE"))</f>
        <v/>
      </c>
      <c r="K40" s="26" t="str">
        <f aca="false">IF($D40="","",IFERROR(INDEX(LOT_FOURNE,MATCH($D40,LOT_KEY,0)),""))</f>
        <v/>
      </c>
      <c r="L40" s="26" t="str">
        <f aca="false">IF($E40="","",IFERROR(INDEX(EMPL_CLASSE,MATCH($E40,EMPL_KEY,0)),"?"))</f>
        <v/>
      </c>
      <c r="M40" s="26" t="str">
        <f aca="false">IF($F40="","",IFERROR(INDEX(EMPL_CLASSE,MATCH($F40,EMPL_KEY,0)),"?"))</f>
        <v/>
      </c>
      <c r="N40" s="28" t="n">
        <f aca="false">IF($C40="",0,IF(OR($B40="",$D40="",NOT(ISNUMBER($G40)),$G40&lt;=0),0,IF($C40="RECEPTION",IF($F40="",0,1),IF($C40="CONSOMMATION",IF($E40="",0,1),IF(OR($E40="",$F40="",$E40=$F40),0,1)))))</f>
        <v>0</v>
      </c>
      <c r="O40" s="27" t="str">
        <f aca="false">IF(OR($N40=0,$C40="RECEPTION"),"",SUMIFS(MVT_BRUT,MVT_LOT,$D40,MVT_EMPL,$E40)+$G40)</f>
        <v/>
      </c>
      <c r="P40" s="26" t="str">
        <f aca="false">IF($C40="","",IF($N40=0,"DONNEES MANQUANTES",IF($C40="RECEPTION","OK",IF($O40&lt;=0,"EMPLACEMENT INCOHERENT",IF($G40&gt;$O40+0.001,"STOCK INSUFFISANT","OK")))))</f>
        <v/>
      </c>
      <c r="Q40" s="28" t="n">
        <f aca="false">IF($P40="OK",1,0)</f>
        <v>0</v>
      </c>
      <c r="R40" s="26" t="str">
        <f aca="false">IF($C40="","",IF($N40=0,"A COMPLETER : "&amp;IF($B40="","DATE; ","")&amp;IF($D40="","LOT; ","")&amp;IF(OR(NOT(ISNUMBER($G40)),$G40&lt;=0),"QUANTITE &gt; 0; ","")&amp;IF(AND($C40&lt;&gt;"RECEPTION",$E40=""),"EMPL. SOURCE; ","")&amp;IF(AND($C40&lt;&gt;"CONSOMMATION",$F40=""),"EMPL. DESTINATION; ","")&amp;IF(AND($C40="TRANSFERT",$E40&lt;&gt;"",$E40=$F40),"SOURCE = DESTINATION; ",""),IF($P40="EMPLACEMENT INCOHERENT","Le lot "&amp;$D40&amp;" n'existe pas sur "&amp;$E40&amp;" (stock 0). Verifier l'emplacement source.",IF($P40="STOCK INSUFFISANT","Disponible avant operation : "&amp;TEXT($O40,"#,##0.00")&amp;" kg. Ligne NON comptee en stock.",IF(COUNTIFS($B$5:$B$304,$B40,$C$5:$C$304,$C40,$D$5:$D$304,$D40,$G$5:$G$304,$G40)&gt;1,"Doublon possible (meme date, type, lot et quantite).",IF($J40="LOT NON REFERENCE","Creer d'abord la fiche du lot dans l'onglet LOTS.",""))))))</f>
        <v/>
      </c>
    </row>
    <row r="41" customFormat="false" ht="15" hidden="false" customHeight="false" outlineLevel="0" collapsed="false">
      <c r="A41" s="26" t="str">
        <f aca="false">IF($C41="","","OP-"&amp;TEXT(ROW()-4,"000"))</f>
        <v/>
      </c>
      <c r="B41" s="25"/>
      <c r="C41" s="24"/>
      <c r="D41" s="24"/>
      <c r="E41" s="24"/>
      <c r="F41" s="24"/>
      <c r="G41" s="29"/>
      <c r="H41" s="24"/>
      <c r="I41" s="24"/>
      <c r="J41" s="26" t="str">
        <f aca="false">IF($D41="","",IFERROR(INDEX(LOT_PRODE,MATCH($D41,LOT_KEY,0)),"LOT NON REFERENCE"))</f>
        <v/>
      </c>
      <c r="K41" s="26" t="str">
        <f aca="false">IF($D41="","",IFERROR(INDEX(LOT_FOURNE,MATCH($D41,LOT_KEY,0)),""))</f>
        <v/>
      </c>
      <c r="L41" s="26" t="str">
        <f aca="false">IF($E41="","",IFERROR(INDEX(EMPL_CLASSE,MATCH($E41,EMPL_KEY,0)),"?"))</f>
        <v/>
      </c>
      <c r="M41" s="26" t="str">
        <f aca="false">IF($F41="","",IFERROR(INDEX(EMPL_CLASSE,MATCH($F41,EMPL_KEY,0)),"?"))</f>
        <v/>
      </c>
      <c r="N41" s="28" t="n">
        <f aca="false">IF($C41="",0,IF(OR($B41="",$D41="",NOT(ISNUMBER($G41)),$G41&lt;=0),0,IF($C41="RECEPTION",IF($F41="",0,1),IF($C41="CONSOMMATION",IF($E41="",0,1),IF(OR($E41="",$F41="",$E41=$F41),0,1)))))</f>
        <v>0</v>
      </c>
      <c r="O41" s="27" t="str">
        <f aca="false">IF(OR($N41=0,$C41="RECEPTION"),"",SUMIFS(MVT_BRUT,MVT_LOT,$D41,MVT_EMPL,$E41)+$G41)</f>
        <v/>
      </c>
      <c r="P41" s="26" t="str">
        <f aca="false">IF($C41="","",IF($N41=0,"DONNEES MANQUANTES",IF($C41="RECEPTION","OK",IF($O41&lt;=0,"EMPLACEMENT INCOHERENT",IF($G41&gt;$O41+0.001,"STOCK INSUFFISANT","OK")))))</f>
        <v/>
      </c>
      <c r="Q41" s="28" t="n">
        <f aca="false">IF($P41="OK",1,0)</f>
        <v>0</v>
      </c>
      <c r="R41" s="26" t="str">
        <f aca="false">IF($C41="","",IF($N41=0,"A COMPLETER : "&amp;IF($B41="","DATE; ","")&amp;IF($D41="","LOT; ","")&amp;IF(OR(NOT(ISNUMBER($G41)),$G41&lt;=0),"QUANTITE &gt; 0; ","")&amp;IF(AND($C41&lt;&gt;"RECEPTION",$E41=""),"EMPL. SOURCE; ","")&amp;IF(AND($C41&lt;&gt;"CONSOMMATION",$F41=""),"EMPL. DESTINATION; ","")&amp;IF(AND($C41="TRANSFERT",$E41&lt;&gt;"",$E41=$F41),"SOURCE = DESTINATION; ",""),IF($P41="EMPLACEMENT INCOHERENT","Le lot "&amp;$D41&amp;" n'existe pas sur "&amp;$E41&amp;" (stock 0). Verifier l'emplacement source.",IF($P41="STOCK INSUFFISANT","Disponible avant operation : "&amp;TEXT($O41,"#,##0.00")&amp;" kg. Ligne NON comptee en stock.",IF(COUNTIFS($B$5:$B$304,$B41,$C$5:$C$304,$C41,$D$5:$D$304,$D41,$G$5:$G$304,$G41)&gt;1,"Doublon possible (meme date, type, lot et quantite).",IF($J41="LOT NON REFERENCE","Creer d'abord la fiche du lot dans l'onglet LOTS.",""))))))</f>
        <v/>
      </c>
    </row>
    <row r="42" customFormat="false" ht="15" hidden="false" customHeight="false" outlineLevel="0" collapsed="false">
      <c r="A42" s="26" t="str">
        <f aca="false">IF($C42="","","OP-"&amp;TEXT(ROW()-4,"000"))</f>
        <v/>
      </c>
      <c r="B42" s="25"/>
      <c r="C42" s="24"/>
      <c r="D42" s="24"/>
      <c r="E42" s="24"/>
      <c r="F42" s="24"/>
      <c r="G42" s="29"/>
      <c r="H42" s="24"/>
      <c r="I42" s="24"/>
      <c r="J42" s="26" t="str">
        <f aca="false">IF($D42="","",IFERROR(INDEX(LOT_PRODE,MATCH($D42,LOT_KEY,0)),"LOT NON REFERENCE"))</f>
        <v/>
      </c>
      <c r="K42" s="26" t="str">
        <f aca="false">IF($D42="","",IFERROR(INDEX(LOT_FOURNE,MATCH($D42,LOT_KEY,0)),""))</f>
        <v/>
      </c>
      <c r="L42" s="26" t="str">
        <f aca="false">IF($E42="","",IFERROR(INDEX(EMPL_CLASSE,MATCH($E42,EMPL_KEY,0)),"?"))</f>
        <v/>
      </c>
      <c r="M42" s="26" t="str">
        <f aca="false">IF($F42="","",IFERROR(INDEX(EMPL_CLASSE,MATCH($F42,EMPL_KEY,0)),"?"))</f>
        <v/>
      </c>
      <c r="N42" s="28" t="n">
        <f aca="false">IF($C42="",0,IF(OR($B42="",$D42="",NOT(ISNUMBER($G42)),$G42&lt;=0),0,IF($C42="RECEPTION",IF($F42="",0,1),IF($C42="CONSOMMATION",IF($E42="",0,1),IF(OR($E42="",$F42="",$E42=$F42),0,1)))))</f>
        <v>0</v>
      </c>
      <c r="O42" s="27" t="str">
        <f aca="false">IF(OR($N42=0,$C42="RECEPTION"),"",SUMIFS(MVT_BRUT,MVT_LOT,$D42,MVT_EMPL,$E42)+$G42)</f>
        <v/>
      </c>
      <c r="P42" s="26" t="str">
        <f aca="false">IF($C42="","",IF($N42=0,"DONNEES MANQUANTES",IF($C42="RECEPTION","OK",IF($O42&lt;=0,"EMPLACEMENT INCOHERENT",IF($G42&gt;$O42+0.001,"STOCK INSUFFISANT","OK")))))</f>
        <v/>
      </c>
      <c r="Q42" s="28" t="n">
        <f aca="false">IF($P42="OK",1,0)</f>
        <v>0</v>
      </c>
      <c r="R42" s="26" t="str">
        <f aca="false">IF($C42="","",IF($N42=0,"A COMPLETER : "&amp;IF($B42="","DATE; ","")&amp;IF($D42="","LOT; ","")&amp;IF(OR(NOT(ISNUMBER($G42)),$G42&lt;=0),"QUANTITE &gt; 0; ","")&amp;IF(AND($C42&lt;&gt;"RECEPTION",$E42=""),"EMPL. SOURCE; ","")&amp;IF(AND($C42&lt;&gt;"CONSOMMATION",$F42=""),"EMPL. DESTINATION; ","")&amp;IF(AND($C42="TRANSFERT",$E42&lt;&gt;"",$E42=$F42),"SOURCE = DESTINATION; ",""),IF($P42="EMPLACEMENT INCOHERENT","Le lot "&amp;$D42&amp;" n'existe pas sur "&amp;$E42&amp;" (stock 0). Verifier l'emplacement source.",IF($P42="STOCK INSUFFISANT","Disponible avant operation : "&amp;TEXT($O42,"#,##0.00")&amp;" kg. Ligne NON comptee en stock.",IF(COUNTIFS($B$5:$B$304,$B42,$C$5:$C$304,$C42,$D$5:$D$304,$D42,$G$5:$G$304,$G42)&gt;1,"Doublon possible (meme date, type, lot et quantite).",IF($J42="LOT NON REFERENCE","Creer d'abord la fiche du lot dans l'onglet LOTS.",""))))))</f>
        <v/>
      </c>
    </row>
    <row r="43" customFormat="false" ht="15" hidden="false" customHeight="false" outlineLevel="0" collapsed="false">
      <c r="A43" s="26" t="str">
        <f aca="false">IF($C43="","","OP-"&amp;TEXT(ROW()-4,"000"))</f>
        <v/>
      </c>
      <c r="B43" s="25"/>
      <c r="C43" s="24"/>
      <c r="D43" s="24"/>
      <c r="E43" s="24"/>
      <c r="F43" s="24"/>
      <c r="G43" s="29"/>
      <c r="H43" s="24"/>
      <c r="I43" s="24"/>
      <c r="J43" s="26" t="str">
        <f aca="false">IF($D43="","",IFERROR(INDEX(LOT_PRODE,MATCH($D43,LOT_KEY,0)),"LOT NON REFERENCE"))</f>
        <v/>
      </c>
      <c r="K43" s="26" t="str">
        <f aca="false">IF($D43="","",IFERROR(INDEX(LOT_FOURNE,MATCH($D43,LOT_KEY,0)),""))</f>
        <v/>
      </c>
      <c r="L43" s="26" t="str">
        <f aca="false">IF($E43="","",IFERROR(INDEX(EMPL_CLASSE,MATCH($E43,EMPL_KEY,0)),"?"))</f>
        <v/>
      </c>
      <c r="M43" s="26" t="str">
        <f aca="false">IF($F43="","",IFERROR(INDEX(EMPL_CLASSE,MATCH($F43,EMPL_KEY,0)),"?"))</f>
        <v/>
      </c>
      <c r="N43" s="28" t="n">
        <f aca="false">IF($C43="",0,IF(OR($B43="",$D43="",NOT(ISNUMBER($G43)),$G43&lt;=0),0,IF($C43="RECEPTION",IF($F43="",0,1),IF($C43="CONSOMMATION",IF($E43="",0,1),IF(OR($E43="",$F43="",$E43=$F43),0,1)))))</f>
        <v>0</v>
      </c>
      <c r="O43" s="27" t="str">
        <f aca="false">IF(OR($N43=0,$C43="RECEPTION"),"",SUMIFS(MVT_BRUT,MVT_LOT,$D43,MVT_EMPL,$E43)+$G43)</f>
        <v/>
      </c>
      <c r="P43" s="26" t="str">
        <f aca="false">IF($C43="","",IF($N43=0,"DONNEES MANQUANTES",IF($C43="RECEPTION","OK",IF($O43&lt;=0,"EMPLACEMENT INCOHERENT",IF($G43&gt;$O43+0.001,"STOCK INSUFFISANT","OK")))))</f>
        <v/>
      </c>
      <c r="Q43" s="28" t="n">
        <f aca="false">IF($P43="OK",1,0)</f>
        <v>0</v>
      </c>
      <c r="R43" s="26" t="str">
        <f aca="false">IF($C43="","",IF($N43=0,"A COMPLETER : "&amp;IF($B43="","DATE; ","")&amp;IF($D43="","LOT; ","")&amp;IF(OR(NOT(ISNUMBER($G43)),$G43&lt;=0),"QUANTITE &gt; 0; ","")&amp;IF(AND($C43&lt;&gt;"RECEPTION",$E43=""),"EMPL. SOURCE; ","")&amp;IF(AND($C43&lt;&gt;"CONSOMMATION",$F43=""),"EMPL. DESTINATION; ","")&amp;IF(AND($C43="TRANSFERT",$E43&lt;&gt;"",$E43=$F43),"SOURCE = DESTINATION; ",""),IF($P43="EMPLACEMENT INCOHERENT","Le lot "&amp;$D43&amp;" n'existe pas sur "&amp;$E43&amp;" (stock 0). Verifier l'emplacement source.",IF($P43="STOCK INSUFFISANT","Disponible avant operation : "&amp;TEXT($O43,"#,##0.00")&amp;" kg. Ligne NON comptee en stock.",IF(COUNTIFS($B$5:$B$304,$B43,$C$5:$C$304,$C43,$D$5:$D$304,$D43,$G$5:$G$304,$G43)&gt;1,"Doublon possible (meme date, type, lot et quantite).",IF($J43="LOT NON REFERENCE","Creer d'abord la fiche du lot dans l'onglet LOTS.",""))))))</f>
        <v/>
      </c>
    </row>
    <row r="44" customFormat="false" ht="15" hidden="false" customHeight="false" outlineLevel="0" collapsed="false">
      <c r="A44" s="26" t="str">
        <f aca="false">IF($C44="","","OP-"&amp;TEXT(ROW()-4,"000"))</f>
        <v/>
      </c>
      <c r="B44" s="25"/>
      <c r="C44" s="24"/>
      <c r="D44" s="24"/>
      <c r="E44" s="24"/>
      <c r="F44" s="24"/>
      <c r="G44" s="29"/>
      <c r="H44" s="24"/>
      <c r="I44" s="24"/>
      <c r="J44" s="26" t="str">
        <f aca="false">IF($D44="","",IFERROR(INDEX(LOT_PRODE,MATCH($D44,LOT_KEY,0)),"LOT NON REFERENCE"))</f>
        <v/>
      </c>
      <c r="K44" s="26" t="str">
        <f aca="false">IF($D44="","",IFERROR(INDEX(LOT_FOURNE,MATCH($D44,LOT_KEY,0)),""))</f>
        <v/>
      </c>
      <c r="L44" s="26" t="str">
        <f aca="false">IF($E44="","",IFERROR(INDEX(EMPL_CLASSE,MATCH($E44,EMPL_KEY,0)),"?"))</f>
        <v/>
      </c>
      <c r="M44" s="26" t="str">
        <f aca="false">IF($F44="","",IFERROR(INDEX(EMPL_CLASSE,MATCH($F44,EMPL_KEY,0)),"?"))</f>
        <v/>
      </c>
      <c r="N44" s="28" t="n">
        <f aca="false">IF($C44="",0,IF(OR($B44="",$D44="",NOT(ISNUMBER($G44)),$G44&lt;=0),0,IF($C44="RECEPTION",IF($F44="",0,1),IF($C44="CONSOMMATION",IF($E44="",0,1),IF(OR($E44="",$F44="",$E44=$F44),0,1)))))</f>
        <v>0</v>
      </c>
      <c r="O44" s="27" t="str">
        <f aca="false">IF(OR($N44=0,$C44="RECEPTION"),"",SUMIFS(MVT_BRUT,MVT_LOT,$D44,MVT_EMPL,$E44)+$G44)</f>
        <v/>
      </c>
      <c r="P44" s="26" t="str">
        <f aca="false">IF($C44="","",IF($N44=0,"DONNEES MANQUANTES",IF($C44="RECEPTION","OK",IF($O44&lt;=0,"EMPLACEMENT INCOHERENT",IF($G44&gt;$O44+0.001,"STOCK INSUFFISANT","OK")))))</f>
        <v/>
      </c>
      <c r="Q44" s="28" t="n">
        <f aca="false">IF($P44="OK",1,0)</f>
        <v>0</v>
      </c>
      <c r="R44" s="26" t="str">
        <f aca="false">IF($C44="","",IF($N44=0,"A COMPLETER : "&amp;IF($B44="","DATE; ","")&amp;IF($D44="","LOT; ","")&amp;IF(OR(NOT(ISNUMBER($G44)),$G44&lt;=0),"QUANTITE &gt; 0; ","")&amp;IF(AND($C44&lt;&gt;"RECEPTION",$E44=""),"EMPL. SOURCE; ","")&amp;IF(AND($C44&lt;&gt;"CONSOMMATION",$F44=""),"EMPL. DESTINATION; ","")&amp;IF(AND($C44="TRANSFERT",$E44&lt;&gt;"",$E44=$F44),"SOURCE = DESTINATION; ",""),IF($P44="EMPLACEMENT INCOHERENT","Le lot "&amp;$D44&amp;" n'existe pas sur "&amp;$E44&amp;" (stock 0). Verifier l'emplacement source.",IF($P44="STOCK INSUFFISANT","Disponible avant operation : "&amp;TEXT($O44,"#,##0.00")&amp;" kg. Ligne NON comptee en stock.",IF(COUNTIFS($B$5:$B$304,$B44,$C$5:$C$304,$C44,$D$5:$D$304,$D44,$G$5:$G$304,$G44)&gt;1,"Doublon possible (meme date, type, lot et quantite).",IF($J44="LOT NON REFERENCE","Creer d'abord la fiche du lot dans l'onglet LOTS.",""))))))</f>
        <v/>
      </c>
    </row>
    <row r="45" customFormat="false" ht="15" hidden="false" customHeight="false" outlineLevel="0" collapsed="false">
      <c r="A45" s="26" t="str">
        <f aca="false">IF($C45="","","OP-"&amp;TEXT(ROW()-4,"000"))</f>
        <v/>
      </c>
      <c r="B45" s="25"/>
      <c r="C45" s="24"/>
      <c r="D45" s="24"/>
      <c r="E45" s="24"/>
      <c r="F45" s="24"/>
      <c r="G45" s="29"/>
      <c r="H45" s="24"/>
      <c r="I45" s="24"/>
      <c r="J45" s="26" t="str">
        <f aca="false">IF($D45="","",IFERROR(INDEX(LOT_PRODE,MATCH($D45,LOT_KEY,0)),"LOT NON REFERENCE"))</f>
        <v/>
      </c>
      <c r="K45" s="26" t="str">
        <f aca="false">IF($D45="","",IFERROR(INDEX(LOT_FOURNE,MATCH($D45,LOT_KEY,0)),""))</f>
        <v/>
      </c>
      <c r="L45" s="26" t="str">
        <f aca="false">IF($E45="","",IFERROR(INDEX(EMPL_CLASSE,MATCH($E45,EMPL_KEY,0)),"?"))</f>
        <v/>
      </c>
      <c r="M45" s="26" t="str">
        <f aca="false">IF($F45="","",IFERROR(INDEX(EMPL_CLASSE,MATCH($F45,EMPL_KEY,0)),"?"))</f>
        <v/>
      </c>
      <c r="N45" s="28" t="n">
        <f aca="false">IF($C45="",0,IF(OR($B45="",$D45="",NOT(ISNUMBER($G45)),$G45&lt;=0),0,IF($C45="RECEPTION",IF($F45="",0,1),IF($C45="CONSOMMATION",IF($E45="",0,1),IF(OR($E45="",$F45="",$E45=$F45),0,1)))))</f>
        <v>0</v>
      </c>
      <c r="O45" s="27" t="str">
        <f aca="false">IF(OR($N45=0,$C45="RECEPTION"),"",SUMIFS(MVT_BRUT,MVT_LOT,$D45,MVT_EMPL,$E45)+$G45)</f>
        <v/>
      </c>
      <c r="P45" s="26" t="str">
        <f aca="false">IF($C45="","",IF($N45=0,"DONNEES MANQUANTES",IF($C45="RECEPTION","OK",IF($O45&lt;=0,"EMPLACEMENT INCOHERENT",IF($G45&gt;$O45+0.001,"STOCK INSUFFISANT","OK")))))</f>
        <v/>
      </c>
      <c r="Q45" s="28" t="n">
        <f aca="false">IF($P45="OK",1,0)</f>
        <v>0</v>
      </c>
      <c r="R45" s="26" t="str">
        <f aca="false">IF($C45="","",IF($N45=0,"A COMPLETER : "&amp;IF($B45="","DATE; ","")&amp;IF($D45="","LOT; ","")&amp;IF(OR(NOT(ISNUMBER($G45)),$G45&lt;=0),"QUANTITE &gt; 0; ","")&amp;IF(AND($C45&lt;&gt;"RECEPTION",$E45=""),"EMPL. SOURCE; ","")&amp;IF(AND($C45&lt;&gt;"CONSOMMATION",$F45=""),"EMPL. DESTINATION; ","")&amp;IF(AND($C45="TRANSFERT",$E45&lt;&gt;"",$E45=$F45),"SOURCE = DESTINATION; ",""),IF($P45="EMPLACEMENT INCOHERENT","Le lot "&amp;$D45&amp;" n'existe pas sur "&amp;$E45&amp;" (stock 0). Verifier l'emplacement source.",IF($P45="STOCK INSUFFISANT","Disponible avant operation : "&amp;TEXT($O45,"#,##0.00")&amp;" kg. Ligne NON comptee en stock.",IF(COUNTIFS($B$5:$B$304,$B45,$C$5:$C$304,$C45,$D$5:$D$304,$D45,$G$5:$G$304,$G45)&gt;1,"Doublon possible (meme date, type, lot et quantite).",IF($J45="LOT NON REFERENCE","Creer d'abord la fiche du lot dans l'onglet LOTS.",""))))))</f>
        <v/>
      </c>
    </row>
    <row r="46" customFormat="false" ht="15" hidden="false" customHeight="false" outlineLevel="0" collapsed="false">
      <c r="A46" s="26" t="str">
        <f aca="false">IF($C46="","","OP-"&amp;TEXT(ROW()-4,"000"))</f>
        <v/>
      </c>
      <c r="B46" s="25"/>
      <c r="C46" s="24"/>
      <c r="D46" s="24"/>
      <c r="E46" s="24"/>
      <c r="F46" s="24"/>
      <c r="G46" s="29"/>
      <c r="H46" s="24"/>
      <c r="I46" s="24"/>
      <c r="J46" s="26" t="str">
        <f aca="false">IF($D46="","",IFERROR(INDEX(LOT_PRODE,MATCH($D46,LOT_KEY,0)),"LOT NON REFERENCE"))</f>
        <v/>
      </c>
      <c r="K46" s="26" t="str">
        <f aca="false">IF($D46="","",IFERROR(INDEX(LOT_FOURNE,MATCH($D46,LOT_KEY,0)),""))</f>
        <v/>
      </c>
      <c r="L46" s="26" t="str">
        <f aca="false">IF($E46="","",IFERROR(INDEX(EMPL_CLASSE,MATCH($E46,EMPL_KEY,0)),"?"))</f>
        <v/>
      </c>
      <c r="M46" s="26" t="str">
        <f aca="false">IF($F46="","",IFERROR(INDEX(EMPL_CLASSE,MATCH($F46,EMPL_KEY,0)),"?"))</f>
        <v/>
      </c>
      <c r="N46" s="28" t="n">
        <f aca="false">IF($C46="",0,IF(OR($B46="",$D46="",NOT(ISNUMBER($G46)),$G46&lt;=0),0,IF($C46="RECEPTION",IF($F46="",0,1),IF($C46="CONSOMMATION",IF($E46="",0,1),IF(OR($E46="",$F46="",$E46=$F46),0,1)))))</f>
        <v>0</v>
      </c>
      <c r="O46" s="27" t="str">
        <f aca="false">IF(OR($N46=0,$C46="RECEPTION"),"",SUMIFS(MVT_BRUT,MVT_LOT,$D46,MVT_EMPL,$E46)+$G46)</f>
        <v/>
      </c>
      <c r="P46" s="26" t="str">
        <f aca="false">IF($C46="","",IF($N46=0,"DONNEES MANQUANTES",IF($C46="RECEPTION","OK",IF($O46&lt;=0,"EMPLACEMENT INCOHERENT",IF($G46&gt;$O46+0.001,"STOCK INSUFFISANT","OK")))))</f>
        <v/>
      </c>
      <c r="Q46" s="28" t="n">
        <f aca="false">IF($P46="OK",1,0)</f>
        <v>0</v>
      </c>
      <c r="R46" s="26" t="str">
        <f aca="false">IF($C46="","",IF($N46=0,"A COMPLETER : "&amp;IF($B46="","DATE; ","")&amp;IF($D46="","LOT; ","")&amp;IF(OR(NOT(ISNUMBER($G46)),$G46&lt;=0),"QUANTITE &gt; 0; ","")&amp;IF(AND($C46&lt;&gt;"RECEPTION",$E46=""),"EMPL. SOURCE; ","")&amp;IF(AND($C46&lt;&gt;"CONSOMMATION",$F46=""),"EMPL. DESTINATION; ","")&amp;IF(AND($C46="TRANSFERT",$E46&lt;&gt;"",$E46=$F46),"SOURCE = DESTINATION; ",""),IF($P46="EMPLACEMENT INCOHERENT","Le lot "&amp;$D46&amp;" n'existe pas sur "&amp;$E46&amp;" (stock 0). Verifier l'emplacement source.",IF($P46="STOCK INSUFFISANT","Disponible avant operation : "&amp;TEXT($O46,"#,##0.00")&amp;" kg. Ligne NON comptee en stock.",IF(COUNTIFS($B$5:$B$304,$B46,$C$5:$C$304,$C46,$D$5:$D$304,$D46,$G$5:$G$304,$G46)&gt;1,"Doublon possible (meme date, type, lot et quantite).",IF($J46="LOT NON REFERENCE","Creer d'abord la fiche du lot dans l'onglet LOTS.",""))))))</f>
        <v/>
      </c>
    </row>
    <row r="47" customFormat="false" ht="15" hidden="false" customHeight="false" outlineLevel="0" collapsed="false">
      <c r="A47" s="26" t="str">
        <f aca="false">IF($C47="","","OP-"&amp;TEXT(ROW()-4,"000"))</f>
        <v/>
      </c>
      <c r="B47" s="25"/>
      <c r="C47" s="24"/>
      <c r="D47" s="24"/>
      <c r="E47" s="24"/>
      <c r="F47" s="24"/>
      <c r="G47" s="29"/>
      <c r="H47" s="24"/>
      <c r="I47" s="24"/>
      <c r="J47" s="26" t="str">
        <f aca="false">IF($D47="","",IFERROR(INDEX(LOT_PRODE,MATCH($D47,LOT_KEY,0)),"LOT NON REFERENCE"))</f>
        <v/>
      </c>
      <c r="K47" s="26" t="str">
        <f aca="false">IF($D47="","",IFERROR(INDEX(LOT_FOURNE,MATCH($D47,LOT_KEY,0)),""))</f>
        <v/>
      </c>
      <c r="L47" s="26" t="str">
        <f aca="false">IF($E47="","",IFERROR(INDEX(EMPL_CLASSE,MATCH($E47,EMPL_KEY,0)),"?"))</f>
        <v/>
      </c>
      <c r="M47" s="26" t="str">
        <f aca="false">IF($F47="","",IFERROR(INDEX(EMPL_CLASSE,MATCH($F47,EMPL_KEY,0)),"?"))</f>
        <v/>
      </c>
      <c r="N47" s="28" t="n">
        <f aca="false">IF($C47="",0,IF(OR($B47="",$D47="",NOT(ISNUMBER($G47)),$G47&lt;=0),0,IF($C47="RECEPTION",IF($F47="",0,1),IF($C47="CONSOMMATION",IF($E47="",0,1),IF(OR($E47="",$F47="",$E47=$F47),0,1)))))</f>
        <v>0</v>
      </c>
      <c r="O47" s="27" t="str">
        <f aca="false">IF(OR($N47=0,$C47="RECEPTION"),"",SUMIFS(MVT_BRUT,MVT_LOT,$D47,MVT_EMPL,$E47)+$G47)</f>
        <v/>
      </c>
      <c r="P47" s="26" t="str">
        <f aca="false">IF($C47="","",IF($N47=0,"DONNEES MANQUANTES",IF($C47="RECEPTION","OK",IF($O47&lt;=0,"EMPLACEMENT INCOHERENT",IF($G47&gt;$O47+0.001,"STOCK INSUFFISANT","OK")))))</f>
        <v/>
      </c>
      <c r="Q47" s="28" t="n">
        <f aca="false">IF($P47="OK",1,0)</f>
        <v>0</v>
      </c>
      <c r="R47" s="26" t="str">
        <f aca="false">IF($C47="","",IF($N47=0,"A COMPLETER : "&amp;IF($B47="","DATE; ","")&amp;IF($D47="","LOT; ","")&amp;IF(OR(NOT(ISNUMBER($G47)),$G47&lt;=0),"QUANTITE &gt; 0; ","")&amp;IF(AND($C47&lt;&gt;"RECEPTION",$E47=""),"EMPL. SOURCE; ","")&amp;IF(AND($C47&lt;&gt;"CONSOMMATION",$F47=""),"EMPL. DESTINATION; ","")&amp;IF(AND($C47="TRANSFERT",$E47&lt;&gt;"",$E47=$F47),"SOURCE = DESTINATION; ",""),IF($P47="EMPLACEMENT INCOHERENT","Le lot "&amp;$D47&amp;" n'existe pas sur "&amp;$E47&amp;" (stock 0). Verifier l'emplacement source.",IF($P47="STOCK INSUFFISANT","Disponible avant operation : "&amp;TEXT($O47,"#,##0.00")&amp;" kg. Ligne NON comptee en stock.",IF(COUNTIFS($B$5:$B$304,$B47,$C$5:$C$304,$C47,$D$5:$D$304,$D47,$G$5:$G$304,$G47)&gt;1,"Doublon possible (meme date, type, lot et quantite).",IF($J47="LOT NON REFERENCE","Creer d'abord la fiche du lot dans l'onglet LOTS.",""))))))</f>
        <v/>
      </c>
    </row>
    <row r="48" customFormat="false" ht="15" hidden="false" customHeight="false" outlineLevel="0" collapsed="false">
      <c r="A48" s="26" t="str">
        <f aca="false">IF($C48="","","OP-"&amp;TEXT(ROW()-4,"000"))</f>
        <v/>
      </c>
      <c r="B48" s="25"/>
      <c r="C48" s="24"/>
      <c r="D48" s="24"/>
      <c r="E48" s="24"/>
      <c r="F48" s="24"/>
      <c r="G48" s="29"/>
      <c r="H48" s="24"/>
      <c r="I48" s="24"/>
      <c r="J48" s="26" t="str">
        <f aca="false">IF($D48="","",IFERROR(INDEX(LOT_PRODE,MATCH($D48,LOT_KEY,0)),"LOT NON REFERENCE"))</f>
        <v/>
      </c>
      <c r="K48" s="26" t="str">
        <f aca="false">IF($D48="","",IFERROR(INDEX(LOT_FOURNE,MATCH($D48,LOT_KEY,0)),""))</f>
        <v/>
      </c>
      <c r="L48" s="26" t="str">
        <f aca="false">IF($E48="","",IFERROR(INDEX(EMPL_CLASSE,MATCH($E48,EMPL_KEY,0)),"?"))</f>
        <v/>
      </c>
      <c r="M48" s="26" t="str">
        <f aca="false">IF($F48="","",IFERROR(INDEX(EMPL_CLASSE,MATCH($F48,EMPL_KEY,0)),"?"))</f>
        <v/>
      </c>
      <c r="N48" s="28" t="n">
        <f aca="false">IF($C48="",0,IF(OR($B48="",$D48="",NOT(ISNUMBER($G48)),$G48&lt;=0),0,IF($C48="RECEPTION",IF($F48="",0,1),IF($C48="CONSOMMATION",IF($E48="",0,1),IF(OR($E48="",$F48="",$E48=$F48),0,1)))))</f>
        <v>0</v>
      </c>
      <c r="O48" s="27" t="str">
        <f aca="false">IF(OR($N48=0,$C48="RECEPTION"),"",SUMIFS(MVT_BRUT,MVT_LOT,$D48,MVT_EMPL,$E48)+$G48)</f>
        <v/>
      </c>
      <c r="P48" s="26" t="str">
        <f aca="false">IF($C48="","",IF($N48=0,"DONNEES MANQUANTES",IF($C48="RECEPTION","OK",IF($O48&lt;=0,"EMPLACEMENT INCOHERENT",IF($G48&gt;$O48+0.001,"STOCK INSUFFISANT","OK")))))</f>
        <v/>
      </c>
      <c r="Q48" s="28" t="n">
        <f aca="false">IF($P48="OK",1,0)</f>
        <v>0</v>
      </c>
      <c r="R48" s="26" t="str">
        <f aca="false">IF($C48="","",IF($N48=0,"A COMPLETER : "&amp;IF($B48="","DATE; ","")&amp;IF($D48="","LOT; ","")&amp;IF(OR(NOT(ISNUMBER($G48)),$G48&lt;=0),"QUANTITE &gt; 0; ","")&amp;IF(AND($C48&lt;&gt;"RECEPTION",$E48=""),"EMPL. SOURCE; ","")&amp;IF(AND($C48&lt;&gt;"CONSOMMATION",$F48=""),"EMPL. DESTINATION; ","")&amp;IF(AND($C48="TRANSFERT",$E48&lt;&gt;"",$E48=$F48),"SOURCE = DESTINATION; ",""),IF($P48="EMPLACEMENT INCOHERENT","Le lot "&amp;$D48&amp;" n'existe pas sur "&amp;$E48&amp;" (stock 0). Verifier l'emplacement source.",IF($P48="STOCK INSUFFISANT","Disponible avant operation : "&amp;TEXT($O48,"#,##0.00")&amp;" kg. Ligne NON comptee en stock.",IF(COUNTIFS($B$5:$B$304,$B48,$C$5:$C$304,$C48,$D$5:$D$304,$D48,$G$5:$G$304,$G48)&gt;1,"Doublon possible (meme date, type, lot et quantite).",IF($J48="LOT NON REFERENCE","Creer d'abord la fiche du lot dans l'onglet LOTS.",""))))))</f>
        <v/>
      </c>
    </row>
    <row r="49" customFormat="false" ht="15" hidden="false" customHeight="false" outlineLevel="0" collapsed="false">
      <c r="A49" s="26" t="str">
        <f aca="false">IF($C49="","","OP-"&amp;TEXT(ROW()-4,"000"))</f>
        <v/>
      </c>
      <c r="B49" s="25"/>
      <c r="C49" s="24"/>
      <c r="D49" s="24"/>
      <c r="E49" s="24"/>
      <c r="F49" s="24"/>
      <c r="G49" s="29"/>
      <c r="H49" s="24"/>
      <c r="I49" s="24"/>
      <c r="J49" s="26" t="str">
        <f aca="false">IF($D49="","",IFERROR(INDEX(LOT_PRODE,MATCH($D49,LOT_KEY,0)),"LOT NON REFERENCE"))</f>
        <v/>
      </c>
      <c r="K49" s="26" t="str">
        <f aca="false">IF($D49="","",IFERROR(INDEX(LOT_FOURNE,MATCH($D49,LOT_KEY,0)),""))</f>
        <v/>
      </c>
      <c r="L49" s="26" t="str">
        <f aca="false">IF($E49="","",IFERROR(INDEX(EMPL_CLASSE,MATCH($E49,EMPL_KEY,0)),"?"))</f>
        <v/>
      </c>
      <c r="M49" s="26" t="str">
        <f aca="false">IF($F49="","",IFERROR(INDEX(EMPL_CLASSE,MATCH($F49,EMPL_KEY,0)),"?"))</f>
        <v/>
      </c>
      <c r="N49" s="28" t="n">
        <f aca="false">IF($C49="",0,IF(OR($B49="",$D49="",NOT(ISNUMBER($G49)),$G49&lt;=0),0,IF($C49="RECEPTION",IF($F49="",0,1),IF($C49="CONSOMMATION",IF($E49="",0,1),IF(OR($E49="",$F49="",$E49=$F49),0,1)))))</f>
        <v>0</v>
      </c>
      <c r="O49" s="27" t="str">
        <f aca="false">IF(OR($N49=0,$C49="RECEPTION"),"",SUMIFS(MVT_BRUT,MVT_LOT,$D49,MVT_EMPL,$E49)+$G49)</f>
        <v/>
      </c>
      <c r="P49" s="26" t="str">
        <f aca="false">IF($C49="","",IF($N49=0,"DONNEES MANQUANTES",IF($C49="RECEPTION","OK",IF($O49&lt;=0,"EMPLACEMENT INCOHERENT",IF($G49&gt;$O49+0.001,"STOCK INSUFFISANT","OK")))))</f>
        <v/>
      </c>
      <c r="Q49" s="28" t="n">
        <f aca="false">IF($P49="OK",1,0)</f>
        <v>0</v>
      </c>
      <c r="R49" s="26" t="str">
        <f aca="false">IF($C49="","",IF($N49=0,"A COMPLETER : "&amp;IF($B49="","DATE; ","")&amp;IF($D49="","LOT; ","")&amp;IF(OR(NOT(ISNUMBER($G49)),$G49&lt;=0),"QUANTITE &gt; 0; ","")&amp;IF(AND($C49&lt;&gt;"RECEPTION",$E49=""),"EMPL. SOURCE; ","")&amp;IF(AND($C49&lt;&gt;"CONSOMMATION",$F49=""),"EMPL. DESTINATION; ","")&amp;IF(AND($C49="TRANSFERT",$E49&lt;&gt;"",$E49=$F49),"SOURCE = DESTINATION; ",""),IF($P49="EMPLACEMENT INCOHERENT","Le lot "&amp;$D49&amp;" n'existe pas sur "&amp;$E49&amp;" (stock 0). Verifier l'emplacement source.",IF($P49="STOCK INSUFFISANT","Disponible avant operation : "&amp;TEXT($O49,"#,##0.00")&amp;" kg. Ligne NON comptee en stock.",IF(COUNTIFS($B$5:$B$304,$B49,$C$5:$C$304,$C49,$D$5:$D$304,$D49,$G$5:$G$304,$G49)&gt;1,"Doublon possible (meme date, type, lot et quantite).",IF($J49="LOT NON REFERENCE","Creer d'abord la fiche du lot dans l'onglet LOTS.",""))))))</f>
        <v/>
      </c>
    </row>
    <row r="50" customFormat="false" ht="15" hidden="false" customHeight="false" outlineLevel="0" collapsed="false">
      <c r="A50" s="26" t="str">
        <f aca="false">IF($C50="","","OP-"&amp;TEXT(ROW()-4,"000"))</f>
        <v/>
      </c>
      <c r="B50" s="25"/>
      <c r="C50" s="24"/>
      <c r="D50" s="24"/>
      <c r="E50" s="24"/>
      <c r="F50" s="24"/>
      <c r="G50" s="29"/>
      <c r="H50" s="24"/>
      <c r="I50" s="24"/>
      <c r="J50" s="26" t="str">
        <f aca="false">IF($D50="","",IFERROR(INDEX(LOT_PRODE,MATCH($D50,LOT_KEY,0)),"LOT NON REFERENCE"))</f>
        <v/>
      </c>
      <c r="K50" s="26" t="str">
        <f aca="false">IF($D50="","",IFERROR(INDEX(LOT_FOURNE,MATCH($D50,LOT_KEY,0)),""))</f>
        <v/>
      </c>
      <c r="L50" s="26" t="str">
        <f aca="false">IF($E50="","",IFERROR(INDEX(EMPL_CLASSE,MATCH($E50,EMPL_KEY,0)),"?"))</f>
        <v/>
      </c>
      <c r="M50" s="26" t="str">
        <f aca="false">IF($F50="","",IFERROR(INDEX(EMPL_CLASSE,MATCH($F50,EMPL_KEY,0)),"?"))</f>
        <v/>
      </c>
      <c r="N50" s="28" t="n">
        <f aca="false">IF($C50="",0,IF(OR($B50="",$D50="",NOT(ISNUMBER($G50)),$G50&lt;=0),0,IF($C50="RECEPTION",IF($F50="",0,1),IF($C50="CONSOMMATION",IF($E50="",0,1),IF(OR($E50="",$F50="",$E50=$F50),0,1)))))</f>
        <v>0</v>
      </c>
      <c r="O50" s="27" t="str">
        <f aca="false">IF(OR($N50=0,$C50="RECEPTION"),"",SUMIFS(MVT_BRUT,MVT_LOT,$D50,MVT_EMPL,$E50)+$G50)</f>
        <v/>
      </c>
      <c r="P50" s="26" t="str">
        <f aca="false">IF($C50="","",IF($N50=0,"DONNEES MANQUANTES",IF($C50="RECEPTION","OK",IF($O50&lt;=0,"EMPLACEMENT INCOHERENT",IF($G50&gt;$O50+0.001,"STOCK INSUFFISANT","OK")))))</f>
        <v/>
      </c>
      <c r="Q50" s="28" t="n">
        <f aca="false">IF($P50="OK",1,0)</f>
        <v>0</v>
      </c>
      <c r="R50" s="26" t="str">
        <f aca="false">IF($C50="","",IF($N50=0,"A COMPLETER : "&amp;IF($B50="","DATE; ","")&amp;IF($D50="","LOT; ","")&amp;IF(OR(NOT(ISNUMBER($G50)),$G50&lt;=0),"QUANTITE &gt; 0; ","")&amp;IF(AND($C50&lt;&gt;"RECEPTION",$E50=""),"EMPL. SOURCE; ","")&amp;IF(AND($C50&lt;&gt;"CONSOMMATION",$F50=""),"EMPL. DESTINATION; ","")&amp;IF(AND($C50="TRANSFERT",$E50&lt;&gt;"",$E50=$F50),"SOURCE = DESTINATION; ",""),IF($P50="EMPLACEMENT INCOHERENT","Le lot "&amp;$D50&amp;" n'existe pas sur "&amp;$E50&amp;" (stock 0). Verifier l'emplacement source.",IF($P50="STOCK INSUFFISANT","Disponible avant operation : "&amp;TEXT($O50,"#,##0.00")&amp;" kg. Ligne NON comptee en stock.",IF(COUNTIFS($B$5:$B$304,$B50,$C$5:$C$304,$C50,$D$5:$D$304,$D50,$G$5:$G$304,$G50)&gt;1,"Doublon possible (meme date, type, lot et quantite).",IF($J50="LOT NON REFERENCE","Creer d'abord la fiche du lot dans l'onglet LOTS.",""))))))</f>
        <v/>
      </c>
    </row>
    <row r="51" customFormat="false" ht="15" hidden="false" customHeight="false" outlineLevel="0" collapsed="false">
      <c r="A51" s="26" t="str">
        <f aca="false">IF($C51="","","OP-"&amp;TEXT(ROW()-4,"000"))</f>
        <v/>
      </c>
      <c r="B51" s="25"/>
      <c r="C51" s="24"/>
      <c r="D51" s="24"/>
      <c r="E51" s="24"/>
      <c r="F51" s="24"/>
      <c r="G51" s="29"/>
      <c r="H51" s="24"/>
      <c r="I51" s="24"/>
      <c r="J51" s="26" t="str">
        <f aca="false">IF($D51="","",IFERROR(INDEX(LOT_PRODE,MATCH($D51,LOT_KEY,0)),"LOT NON REFERENCE"))</f>
        <v/>
      </c>
      <c r="K51" s="26" t="str">
        <f aca="false">IF($D51="","",IFERROR(INDEX(LOT_FOURNE,MATCH($D51,LOT_KEY,0)),""))</f>
        <v/>
      </c>
      <c r="L51" s="26" t="str">
        <f aca="false">IF($E51="","",IFERROR(INDEX(EMPL_CLASSE,MATCH($E51,EMPL_KEY,0)),"?"))</f>
        <v/>
      </c>
      <c r="M51" s="26" t="str">
        <f aca="false">IF($F51="","",IFERROR(INDEX(EMPL_CLASSE,MATCH($F51,EMPL_KEY,0)),"?"))</f>
        <v/>
      </c>
      <c r="N51" s="28" t="n">
        <f aca="false">IF($C51="",0,IF(OR($B51="",$D51="",NOT(ISNUMBER($G51)),$G51&lt;=0),0,IF($C51="RECEPTION",IF($F51="",0,1),IF($C51="CONSOMMATION",IF($E51="",0,1),IF(OR($E51="",$F51="",$E51=$F51),0,1)))))</f>
        <v>0</v>
      </c>
      <c r="O51" s="27" t="str">
        <f aca="false">IF(OR($N51=0,$C51="RECEPTION"),"",SUMIFS(MVT_BRUT,MVT_LOT,$D51,MVT_EMPL,$E51)+$G51)</f>
        <v/>
      </c>
      <c r="P51" s="26" t="str">
        <f aca="false">IF($C51="","",IF($N51=0,"DONNEES MANQUANTES",IF($C51="RECEPTION","OK",IF($O51&lt;=0,"EMPLACEMENT INCOHERENT",IF($G51&gt;$O51+0.001,"STOCK INSUFFISANT","OK")))))</f>
        <v/>
      </c>
      <c r="Q51" s="28" t="n">
        <f aca="false">IF($P51="OK",1,0)</f>
        <v>0</v>
      </c>
      <c r="R51" s="26" t="str">
        <f aca="false">IF($C51="","",IF($N51=0,"A COMPLETER : "&amp;IF($B51="","DATE; ","")&amp;IF($D51="","LOT; ","")&amp;IF(OR(NOT(ISNUMBER($G51)),$G51&lt;=0),"QUANTITE &gt; 0; ","")&amp;IF(AND($C51&lt;&gt;"RECEPTION",$E51=""),"EMPL. SOURCE; ","")&amp;IF(AND($C51&lt;&gt;"CONSOMMATION",$F51=""),"EMPL. DESTINATION; ","")&amp;IF(AND($C51="TRANSFERT",$E51&lt;&gt;"",$E51=$F51),"SOURCE = DESTINATION; ",""),IF($P51="EMPLACEMENT INCOHERENT","Le lot "&amp;$D51&amp;" n'existe pas sur "&amp;$E51&amp;" (stock 0). Verifier l'emplacement source.",IF($P51="STOCK INSUFFISANT","Disponible avant operation : "&amp;TEXT($O51,"#,##0.00")&amp;" kg. Ligne NON comptee en stock.",IF(COUNTIFS($B$5:$B$304,$B51,$C$5:$C$304,$C51,$D$5:$D$304,$D51,$G$5:$G$304,$G51)&gt;1,"Doublon possible (meme date, type, lot et quantite).",IF($J51="LOT NON REFERENCE","Creer d'abord la fiche du lot dans l'onglet LOTS.",""))))))</f>
        <v/>
      </c>
    </row>
    <row r="52" customFormat="false" ht="15" hidden="false" customHeight="false" outlineLevel="0" collapsed="false">
      <c r="A52" s="26" t="str">
        <f aca="false">IF($C52="","","OP-"&amp;TEXT(ROW()-4,"000"))</f>
        <v/>
      </c>
      <c r="B52" s="25"/>
      <c r="C52" s="24"/>
      <c r="D52" s="24"/>
      <c r="E52" s="24"/>
      <c r="F52" s="24"/>
      <c r="G52" s="29"/>
      <c r="H52" s="24"/>
      <c r="I52" s="24"/>
      <c r="J52" s="26" t="str">
        <f aca="false">IF($D52="","",IFERROR(INDEX(LOT_PRODE,MATCH($D52,LOT_KEY,0)),"LOT NON REFERENCE"))</f>
        <v/>
      </c>
      <c r="K52" s="26" t="str">
        <f aca="false">IF($D52="","",IFERROR(INDEX(LOT_FOURNE,MATCH($D52,LOT_KEY,0)),""))</f>
        <v/>
      </c>
      <c r="L52" s="26" t="str">
        <f aca="false">IF($E52="","",IFERROR(INDEX(EMPL_CLASSE,MATCH($E52,EMPL_KEY,0)),"?"))</f>
        <v/>
      </c>
      <c r="M52" s="26" t="str">
        <f aca="false">IF($F52="","",IFERROR(INDEX(EMPL_CLASSE,MATCH($F52,EMPL_KEY,0)),"?"))</f>
        <v/>
      </c>
      <c r="N52" s="28" t="n">
        <f aca="false">IF($C52="",0,IF(OR($B52="",$D52="",NOT(ISNUMBER($G52)),$G52&lt;=0),0,IF($C52="RECEPTION",IF($F52="",0,1),IF($C52="CONSOMMATION",IF($E52="",0,1),IF(OR($E52="",$F52="",$E52=$F52),0,1)))))</f>
        <v>0</v>
      </c>
      <c r="O52" s="27" t="str">
        <f aca="false">IF(OR($N52=0,$C52="RECEPTION"),"",SUMIFS(MVT_BRUT,MVT_LOT,$D52,MVT_EMPL,$E52)+$G52)</f>
        <v/>
      </c>
      <c r="P52" s="26" t="str">
        <f aca="false">IF($C52="","",IF($N52=0,"DONNEES MANQUANTES",IF($C52="RECEPTION","OK",IF($O52&lt;=0,"EMPLACEMENT INCOHERENT",IF($G52&gt;$O52+0.001,"STOCK INSUFFISANT","OK")))))</f>
        <v/>
      </c>
      <c r="Q52" s="28" t="n">
        <f aca="false">IF($P52="OK",1,0)</f>
        <v>0</v>
      </c>
      <c r="R52" s="26" t="str">
        <f aca="false">IF($C52="","",IF($N52=0,"A COMPLETER : "&amp;IF($B52="","DATE; ","")&amp;IF($D52="","LOT; ","")&amp;IF(OR(NOT(ISNUMBER($G52)),$G52&lt;=0),"QUANTITE &gt; 0; ","")&amp;IF(AND($C52&lt;&gt;"RECEPTION",$E52=""),"EMPL. SOURCE; ","")&amp;IF(AND($C52&lt;&gt;"CONSOMMATION",$F52=""),"EMPL. DESTINATION; ","")&amp;IF(AND($C52="TRANSFERT",$E52&lt;&gt;"",$E52=$F52),"SOURCE = DESTINATION; ",""),IF($P52="EMPLACEMENT INCOHERENT","Le lot "&amp;$D52&amp;" n'existe pas sur "&amp;$E52&amp;" (stock 0). Verifier l'emplacement source.",IF($P52="STOCK INSUFFISANT","Disponible avant operation : "&amp;TEXT($O52,"#,##0.00")&amp;" kg. Ligne NON comptee en stock.",IF(COUNTIFS($B$5:$B$304,$B52,$C$5:$C$304,$C52,$D$5:$D$304,$D52,$G$5:$G$304,$G52)&gt;1,"Doublon possible (meme date, type, lot et quantite).",IF($J52="LOT NON REFERENCE","Creer d'abord la fiche du lot dans l'onglet LOTS.",""))))))</f>
        <v/>
      </c>
    </row>
    <row r="53" customFormat="false" ht="15" hidden="false" customHeight="false" outlineLevel="0" collapsed="false">
      <c r="A53" s="26" t="str">
        <f aca="false">IF($C53="","","OP-"&amp;TEXT(ROW()-4,"000"))</f>
        <v/>
      </c>
      <c r="B53" s="25"/>
      <c r="C53" s="24"/>
      <c r="D53" s="24"/>
      <c r="E53" s="24"/>
      <c r="F53" s="24"/>
      <c r="G53" s="29"/>
      <c r="H53" s="24"/>
      <c r="I53" s="24"/>
      <c r="J53" s="26" t="str">
        <f aca="false">IF($D53="","",IFERROR(INDEX(LOT_PRODE,MATCH($D53,LOT_KEY,0)),"LOT NON REFERENCE"))</f>
        <v/>
      </c>
      <c r="K53" s="26" t="str">
        <f aca="false">IF($D53="","",IFERROR(INDEX(LOT_FOURNE,MATCH($D53,LOT_KEY,0)),""))</f>
        <v/>
      </c>
      <c r="L53" s="26" t="str">
        <f aca="false">IF($E53="","",IFERROR(INDEX(EMPL_CLASSE,MATCH($E53,EMPL_KEY,0)),"?"))</f>
        <v/>
      </c>
      <c r="M53" s="26" t="str">
        <f aca="false">IF($F53="","",IFERROR(INDEX(EMPL_CLASSE,MATCH($F53,EMPL_KEY,0)),"?"))</f>
        <v/>
      </c>
      <c r="N53" s="28" t="n">
        <f aca="false">IF($C53="",0,IF(OR($B53="",$D53="",NOT(ISNUMBER($G53)),$G53&lt;=0),0,IF($C53="RECEPTION",IF($F53="",0,1),IF($C53="CONSOMMATION",IF($E53="",0,1),IF(OR($E53="",$F53="",$E53=$F53),0,1)))))</f>
        <v>0</v>
      </c>
      <c r="O53" s="27" t="str">
        <f aca="false">IF(OR($N53=0,$C53="RECEPTION"),"",SUMIFS(MVT_BRUT,MVT_LOT,$D53,MVT_EMPL,$E53)+$G53)</f>
        <v/>
      </c>
      <c r="P53" s="26" t="str">
        <f aca="false">IF($C53="","",IF($N53=0,"DONNEES MANQUANTES",IF($C53="RECEPTION","OK",IF($O53&lt;=0,"EMPLACEMENT INCOHERENT",IF($G53&gt;$O53+0.001,"STOCK INSUFFISANT","OK")))))</f>
        <v/>
      </c>
      <c r="Q53" s="28" t="n">
        <f aca="false">IF($P53="OK",1,0)</f>
        <v>0</v>
      </c>
      <c r="R53" s="26" t="str">
        <f aca="false">IF($C53="","",IF($N53=0,"A COMPLETER : "&amp;IF($B53="","DATE; ","")&amp;IF($D53="","LOT; ","")&amp;IF(OR(NOT(ISNUMBER($G53)),$G53&lt;=0),"QUANTITE &gt; 0; ","")&amp;IF(AND($C53&lt;&gt;"RECEPTION",$E53=""),"EMPL. SOURCE; ","")&amp;IF(AND($C53&lt;&gt;"CONSOMMATION",$F53=""),"EMPL. DESTINATION; ","")&amp;IF(AND($C53="TRANSFERT",$E53&lt;&gt;"",$E53=$F53),"SOURCE = DESTINATION; ",""),IF($P53="EMPLACEMENT INCOHERENT","Le lot "&amp;$D53&amp;" n'existe pas sur "&amp;$E53&amp;" (stock 0). Verifier l'emplacement source.",IF($P53="STOCK INSUFFISANT","Disponible avant operation : "&amp;TEXT($O53,"#,##0.00")&amp;" kg. Ligne NON comptee en stock.",IF(COUNTIFS($B$5:$B$304,$B53,$C$5:$C$304,$C53,$D$5:$D$304,$D53,$G$5:$G$304,$G53)&gt;1,"Doublon possible (meme date, type, lot et quantite).",IF($J53="LOT NON REFERENCE","Creer d'abord la fiche du lot dans l'onglet LOTS.",""))))))</f>
        <v/>
      </c>
    </row>
    <row r="54" customFormat="false" ht="15" hidden="false" customHeight="false" outlineLevel="0" collapsed="false">
      <c r="A54" s="26" t="str">
        <f aca="false">IF($C54="","","OP-"&amp;TEXT(ROW()-4,"000"))</f>
        <v/>
      </c>
      <c r="B54" s="25"/>
      <c r="C54" s="24"/>
      <c r="D54" s="24"/>
      <c r="E54" s="24"/>
      <c r="F54" s="24"/>
      <c r="G54" s="29"/>
      <c r="H54" s="24"/>
      <c r="I54" s="24"/>
      <c r="J54" s="26" t="str">
        <f aca="false">IF($D54="","",IFERROR(INDEX(LOT_PRODE,MATCH($D54,LOT_KEY,0)),"LOT NON REFERENCE"))</f>
        <v/>
      </c>
      <c r="K54" s="26" t="str">
        <f aca="false">IF($D54="","",IFERROR(INDEX(LOT_FOURNE,MATCH($D54,LOT_KEY,0)),""))</f>
        <v/>
      </c>
      <c r="L54" s="26" t="str">
        <f aca="false">IF($E54="","",IFERROR(INDEX(EMPL_CLASSE,MATCH($E54,EMPL_KEY,0)),"?"))</f>
        <v/>
      </c>
      <c r="M54" s="26" t="str">
        <f aca="false">IF($F54="","",IFERROR(INDEX(EMPL_CLASSE,MATCH($F54,EMPL_KEY,0)),"?"))</f>
        <v/>
      </c>
      <c r="N54" s="28" t="n">
        <f aca="false">IF($C54="",0,IF(OR($B54="",$D54="",NOT(ISNUMBER($G54)),$G54&lt;=0),0,IF($C54="RECEPTION",IF($F54="",0,1),IF($C54="CONSOMMATION",IF($E54="",0,1),IF(OR($E54="",$F54="",$E54=$F54),0,1)))))</f>
        <v>0</v>
      </c>
      <c r="O54" s="27" t="str">
        <f aca="false">IF(OR($N54=0,$C54="RECEPTION"),"",SUMIFS(MVT_BRUT,MVT_LOT,$D54,MVT_EMPL,$E54)+$G54)</f>
        <v/>
      </c>
      <c r="P54" s="26" t="str">
        <f aca="false">IF($C54="","",IF($N54=0,"DONNEES MANQUANTES",IF($C54="RECEPTION","OK",IF($O54&lt;=0,"EMPLACEMENT INCOHERENT",IF($G54&gt;$O54+0.001,"STOCK INSUFFISANT","OK")))))</f>
        <v/>
      </c>
      <c r="Q54" s="28" t="n">
        <f aca="false">IF($P54="OK",1,0)</f>
        <v>0</v>
      </c>
      <c r="R54" s="26" t="str">
        <f aca="false">IF($C54="","",IF($N54=0,"A COMPLETER : "&amp;IF($B54="","DATE; ","")&amp;IF($D54="","LOT; ","")&amp;IF(OR(NOT(ISNUMBER($G54)),$G54&lt;=0),"QUANTITE &gt; 0; ","")&amp;IF(AND($C54&lt;&gt;"RECEPTION",$E54=""),"EMPL. SOURCE; ","")&amp;IF(AND($C54&lt;&gt;"CONSOMMATION",$F54=""),"EMPL. DESTINATION; ","")&amp;IF(AND($C54="TRANSFERT",$E54&lt;&gt;"",$E54=$F54),"SOURCE = DESTINATION; ",""),IF($P54="EMPLACEMENT INCOHERENT","Le lot "&amp;$D54&amp;" n'existe pas sur "&amp;$E54&amp;" (stock 0). Verifier l'emplacement source.",IF($P54="STOCK INSUFFISANT","Disponible avant operation : "&amp;TEXT($O54,"#,##0.00")&amp;" kg. Ligne NON comptee en stock.",IF(COUNTIFS($B$5:$B$304,$B54,$C$5:$C$304,$C54,$D$5:$D$304,$D54,$G$5:$G$304,$G54)&gt;1,"Doublon possible (meme date, type, lot et quantite).",IF($J54="LOT NON REFERENCE","Creer d'abord la fiche du lot dans l'onglet LOTS.",""))))))</f>
        <v/>
      </c>
    </row>
    <row r="55" customFormat="false" ht="15" hidden="false" customHeight="false" outlineLevel="0" collapsed="false">
      <c r="A55" s="26" t="str">
        <f aca="false">IF($C55="","","OP-"&amp;TEXT(ROW()-4,"000"))</f>
        <v/>
      </c>
      <c r="B55" s="25"/>
      <c r="C55" s="24"/>
      <c r="D55" s="24"/>
      <c r="E55" s="24"/>
      <c r="F55" s="24"/>
      <c r="G55" s="29"/>
      <c r="H55" s="24"/>
      <c r="I55" s="24"/>
      <c r="J55" s="26" t="str">
        <f aca="false">IF($D55="","",IFERROR(INDEX(LOT_PRODE,MATCH($D55,LOT_KEY,0)),"LOT NON REFERENCE"))</f>
        <v/>
      </c>
      <c r="K55" s="26" t="str">
        <f aca="false">IF($D55="","",IFERROR(INDEX(LOT_FOURNE,MATCH($D55,LOT_KEY,0)),""))</f>
        <v/>
      </c>
      <c r="L55" s="26" t="str">
        <f aca="false">IF($E55="","",IFERROR(INDEX(EMPL_CLASSE,MATCH($E55,EMPL_KEY,0)),"?"))</f>
        <v/>
      </c>
      <c r="M55" s="26" t="str">
        <f aca="false">IF($F55="","",IFERROR(INDEX(EMPL_CLASSE,MATCH($F55,EMPL_KEY,0)),"?"))</f>
        <v/>
      </c>
      <c r="N55" s="28" t="n">
        <f aca="false">IF($C55="",0,IF(OR($B55="",$D55="",NOT(ISNUMBER($G55)),$G55&lt;=0),0,IF($C55="RECEPTION",IF($F55="",0,1),IF($C55="CONSOMMATION",IF($E55="",0,1),IF(OR($E55="",$F55="",$E55=$F55),0,1)))))</f>
        <v>0</v>
      </c>
      <c r="O55" s="27" t="str">
        <f aca="false">IF(OR($N55=0,$C55="RECEPTION"),"",SUMIFS(MVT_BRUT,MVT_LOT,$D55,MVT_EMPL,$E55)+$G55)</f>
        <v/>
      </c>
      <c r="P55" s="26" t="str">
        <f aca="false">IF($C55="","",IF($N55=0,"DONNEES MANQUANTES",IF($C55="RECEPTION","OK",IF($O55&lt;=0,"EMPLACEMENT INCOHERENT",IF($G55&gt;$O55+0.001,"STOCK INSUFFISANT","OK")))))</f>
        <v/>
      </c>
      <c r="Q55" s="28" t="n">
        <f aca="false">IF($P55="OK",1,0)</f>
        <v>0</v>
      </c>
      <c r="R55" s="26" t="str">
        <f aca="false">IF($C55="","",IF($N55=0,"A COMPLETER : "&amp;IF($B55="","DATE; ","")&amp;IF($D55="","LOT; ","")&amp;IF(OR(NOT(ISNUMBER($G55)),$G55&lt;=0),"QUANTITE &gt; 0; ","")&amp;IF(AND($C55&lt;&gt;"RECEPTION",$E55=""),"EMPL. SOURCE; ","")&amp;IF(AND($C55&lt;&gt;"CONSOMMATION",$F55=""),"EMPL. DESTINATION; ","")&amp;IF(AND($C55="TRANSFERT",$E55&lt;&gt;"",$E55=$F55),"SOURCE = DESTINATION; ",""),IF($P55="EMPLACEMENT INCOHERENT","Le lot "&amp;$D55&amp;" n'existe pas sur "&amp;$E55&amp;" (stock 0). Verifier l'emplacement source.",IF($P55="STOCK INSUFFISANT","Disponible avant operation : "&amp;TEXT($O55,"#,##0.00")&amp;" kg. Ligne NON comptee en stock.",IF(COUNTIFS($B$5:$B$304,$B55,$C$5:$C$304,$C55,$D$5:$D$304,$D55,$G$5:$G$304,$G55)&gt;1,"Doublon possible (meme date, type, lot et quantite).",IF($J55="LOT NON REFERENCE","Creer d'abord la fiche du lot dans l'onglet LOTS.",""))))))</f>
        <v/>
      </c>
    </row>
    <row r="56" customFormat="false" ht="15" hidden="false" customHeight="false" outlineLevel="0" collapsed="false">
      <c r="A56" s="26" t="str">
        <f aca="false">IF($C56="","","OP-"&amp;TEXT(ROW()-4,"000"))</f>
        <v/>
      </c>
      <c r="B56" s="25"/>
      <c r="C56" s="24"/>
      <c r="D56" s="24"/>
      <c r="E56" s="24"/>
      <c r="F56" s="24"/>
      <c r="G56" s="29"/>
      <c r="H56" s="24"/>
      <c r="I56" s="24"/>
      <c r="J56" s="26" t="str">
        <f aca="false">IF($D56="","",IFERROR(INDEX(LOT_PRODE,MATCH($D56,LOT_KEY,0)),"LOT NON REFERENCE"))</f>
        <v/>
      </c>
      <c r="K56" s="26" t="str">
        <f aca="false">IF($D56="","",IFERROR(INDEX(LOT_FOURNE,MATCH($D56,LOT_KEY,0)),""))</f>
        <v/>
      </c>
      <c r="L56" s="26" t="str">
        <f aca="false">IF($E56="","",IFERROR(INDEX(EMPL_CLASSE,MATCH($E56,EMPL_KEY,0)),"?"))</f>
        <v/>
      </c>
      <c r="M56" s="26" t="str">
        <f aca="false">IF($F56="","",IFERROR(INDEX(EMPL_CLASSE,MATCH($F56,EMPL_KEY,0)),"?"))</f>
        <v/>
      </c>
      <c r="N56" s="28" t="n">
        <f aca="false">IF($C56="",0,IF(OR($B56="",$D56="",NOT(ISNUMBER($G56)),$G56&lt;=0),0,IF($C56="RECEPTION",IF($F56="",0,1),IF($C56="CONSOMMATION",IF($E56="",0,1),IF(OR($E56="",$F56="",$E56=$F56),0,1)))))</f>
        <v>0</v>
      </c>
      <c r="O56" s="27" t="str">
        <f aca="false">IF(OR($N56=0,$C56="RECEPTION"),"",SUMIFS(MVT_BRUT,MVT_LOT,$D56,MVT_EMPL,$E56)+$G56)</f>
        <v/>
      </c>
      <c r="P56" s="26" t="str">
        <f aca="false">IF($C56="","",IF($N56=0,"DONNEES MANQUANTES",IF($C56="RECEPTION","OK",IF($O56&lt;=0,"EMPLACEMENT INCOHERENT",IF($G56&gt;$O56+0.001,"STOCK INSUFFISANT","OK")))))</f>
        <v/>
      </c>
      <c r="Q56" s="28" t="n">
        <f aca="false">IF($P56="OK",1,0)</f>
        <v>0</v>
      </c>
      <c r="R56" s="26" t="str">
        <f aca="false">IF($C56="","",IF($N56=0,"A COMPLETER : "&amp;IF($B56="","DATE; ","")&amp;IF($D56="","LOT; ","")&amp;IF(OR(NOT(ISNUMBER($G56)),$G56&lt;=0),"QUANTITE &gt; 0; ","")&amp;IF(AND($C56&lt;&gt;"RECEPTION",$E56=""),"EMPL. SOURCE; ","")&amp;IF(AND($C56&lt;&gt;"CONSOMMATION",$F56=""),"EMPL. DESTINATION; ","")&amp;IF(AND($C56="TRANSFERT",$E56&lt;&gt;"",$E56=$F56),"SOURCE = DESTINATION; ",""),IF($P56="EMPLACEMENT INCOHERENT","Le lot "&amp;$D56&amp;" n'existe pas sur "&amp;$E56&amp;" (stock 0). Verifier l'emplacement source.",IF($P56="STOCK INSUFFISANT","Disponible avant operation : "&amp;TEXT($O56,"#,##0.00")&amp;" kg. Ligne NON comptee en stock.",IF(COUNTIFS($B$5:$B$304,$B56,$C$5:$C$304,$C56,$D$5:$D$304,$D56,$G$5:$G$304,$G56)&gt;1,"Doublon possible (meme date, type, lot et quantite).",IF($J56="LOT NON REFERENCE","Creer d'abord la fiche du lot dans l'onglet LOTS.",""))))))</f>
        <v/>
      </c>
    </row>
    <row r="57" customFormat="false" ht="15" hidden="false" customHeight="false" outlineLevel="0" collapsed="false">
      <c r="A57" s="26" t="str">
        <f aca="false">IF($C57="","","OP-"&amp;TEXT(ROW()-4,"000"))</f>
        <v/>
      </c>
      <c r="B57" s="25"/>
      <c r="C57" s="24"/>
      <c r="D57" s="24"/>
      <c r="E57" s="24"/>
      <c r="F57" s="24"/>
      <c r="G57" s="29"/>
      <c r="H57" s="24"/>
      <c r="I57" s="24"/>
      <c r="J57" s="26" t="str">
        <f aca="false">IF($D57="","",IFERROR(INDEX(LOT_PRODE,MATCH($D57,LOT_KEY,0)),"LOT NON REFERENCE"))</f>
        <v/>
      </c>
      <c r="K57" s="26" t="str">
        <f aca="false">IF($D57="","",IFERROR(INDEX(LOT_FOURNE,MATCH($D57,LOT_KEY,0)),""))</f>
        <v/>
      </c>
      <c r="L57" s="26" t="str">
        <f aca="false">IF($E57="","",IFERROR(INDEX(EMPL_CLASSE,MATCH($E57,EMPL_KEY,0)),"?"))</f>
        <v/>
      </c>
      <c r="M57" s="26" t="str">
        <f aca="false">IF($F57="","",IFERROR(INDEX(EMPL_CLASSE,MATCH($F57,EMPL_KEY,0)),"?"))</f>
        <v/>
      </c>
      <c r="N57" s="28" t="n">
        <f aca="false">IF($C57="",0,IF(OR($B57="",$D57="",NOT(ISNUMBER($G57)),$G57&lt;=0),0,IF($C57="RECEPTION",IF($F57="",0,1),IF($C57="CONSOMMATION",IF($E57="",0,1),IF(OR($E57="",$F57="",$E57=$F57),0,1)))))</f>
        <v>0</v>
      </c>
      <c r="O57" s="27" t="str">
        <f aca="false">IF(OR($N57=0,$C57="RECEPTION"),"",SUMIFS(MVT_BRUT,MVT_LOT,$D57,MVT_EMPL,$E57)+$G57)</f>
        <v/>
      </c>
      <c r="P57" s="26" t="str">
        <f aca="false">IF($C57="","",IF($N57=0,"DONNEES MANQUANTES",IF($C57="RECEPTION","OK",IF($O57&lt;=0,"EMPLACEMENT INCOHERENT",IF($G57&gt;$O57+0.001,"STOCK INSUFFISANT","OK")))))</f>
        <v/>
      </c>
      <c r="Q57" s="28" t="n">
        <f aca="false">IF($P57="OK",1,0)</f>
        <v>0</v>
      </c>
      <c r="R57" s="26" t="str">
        <f aca="false">IF($C57="","",IF($N57=0,"A COMPLETER : "&amp;IF($B57="","DATE; ","")&amp;IF($D57="","LOT; ","")&amp;IF(OR(NOT(ISNUMBER($G57)),$G57&lt;=0),"QUANTITE &gt; 0; ","")&amp;IF(AND($C57&lt;&gt;"RECEPTION",$E57=""),"EMPL. SOURCE; ","")&amp;IF(AND($C57&lt;&gt;"CONSOMMATION",$F57=""),"EMPL. DESTINATION; ","")&amp;IF(AND($C57="TRANSFERT",$E57&lt;&gt;"",$E57=$F57),"SOURCE = DESTINATION; ",""),IF($P57="EMPLACEMENT INCOHERENT","Le lot "&amp;$D57&amp;" n'existe pas sur "&amp;$E57&amp;" (stock 0). Verifier l'emplacement source.",IF($P57="STOCK INSUFFISANT","Disponible avant operation : "&amp;TEXT($O57,"#,##0.00")&amp;" kg. Ligne NON comptee en stock.",IF(COUNTIFS($B$5:$B$304,$B57,$C$5:$C$304,$C57,$D$5:$D$304,$D57,$G$5:$G$304,$G57)&gt;1,"Doublon possible (meme date, type, lot et quantite).",IF($J57="LOT NON REFERENCE","Creer d'abord la fiche du lot dans l'onglet LOTS.",""))))))</f>
        <v/>
      </c>
    </row>
    <row r="58" customFormat="false" ht="15" hidden="false" customHeight="false" outlineLevel="0" collapsed="false">
      <c r="A58" s="26" t="str">
        <f aca="false">IF($C58="","","OP-"&amp;TEXT(ROW()-4,"000"))</f>
        <v/>
      </c>
      <c r="B58" s="25"/>
      <c r="C58" s="24"/>
      <c r="D58" s="24"/>
      <c r="E58" s="24"/>
      <c r="F58" s="24"/>
      <c r="G58" s="29"/>
      <c r="H58" s="24"/>
      <c r="I58" s="24"/>
      <c r="J58" s="26" t="str">
        <f aca="false">IF($D58="","",IFERROR(INDEX(LOT_PRODE,MATCH($D58,LOT_KEY,0)),"LOT NON REFERENCE"))</f>
        <v/>
      </c>
      <c r="K58" s="26" t="str">
        <f aca="false">IF($D58="","",IFERROR(INDEX(LOT_FOURNE,MATCH($D58,LOT_KEY,0)),""))</f>
        <v/>
      </c>
      <c r="L58" s="26" t="str">
        <f aca="false">IF($E58="","",IFERROR(INDEX(EMPL_CLASSE,MATCH($E58,EMPL_KEY,0)),"?"))</f>
        <v/>
      </c>
      <c r="M58" s="26" t="str">
        <f aca="false">IF($F58="","",IFERROR(INDEX(EMPL_CLASSE,MATCH($F58,EMPL_KEY,0)),"?"))</f>
        <v/>
      </c>
      <c r="N58" s="28" t="n">
        <f aca="false">IF($C58="",0,IF(OR($B58="",$D58="",NOT(ISNUMBER($G58)),$G58&lt;=0),0,IF($C58="RECEPTION",IF($F58="",0,1),IF($C58="CONSOMMATION",IF($E58="",0,1),IF(OR($E58="",$F58="",$E58=$F58),0,1)))))</f>
        <v>0</v>
      </c>
      <c r="O58" s="27" t="str">
        <f aca="false">IF(OR($N58=0,$C58="RECEPTION"),"",SUMIFS(MVT_BRUT,MVT_LOT,$D58,MVT_EMPL,$E58)+$G58)</f>
        <v/>
      </c>
      <c r="P58" s="26" t="str">
        <f aca="false">IF($C58="","",IF($N58=0,"DONNEES MANQUANTES",IF($C58="RECEPTION","OK",IF($O58&lt;=0,"EMPLACEMENT INCOHERENT",IF($G58&gt;$O58+0.001,"STOCK INSUFFISANT","OK")))))</f>
        <v/>
      </c>
      <c r="Q58" s="28" t="n">
        <f aca="false">IF($P58="OK",1,0)</f>
        <v>0</v>
      </c>
      <c r="R58" s="26" t="str">
        <f aca="false">IF($C58="","",IF($N58=0,"A COMPLETER : "&amp;IF($B58="","DATE; ","")&amp;IF($D58="","LOT; ","")&amp;IF(OR(NOT(ISNUMBER($G58)),$G58&lt;=0),"QUANTITE &gt; 0; ","")&amp;IF(AND($C58&lt;&gt;"RECEPTION",$E58=""),"EMPL. SOURCE; ","")&amp;IF(AND($C58&lt;&gt;"CONSOMMATION",$F58=""),"EMPL. DESTINATION; ","")&amp;IF(AND($C58="TRANSFERT",$E58&lt;&gt;"",$E58=$F58),"SOURCE = DESTINATION; ",""),IF($P58="EMPLACEMENT INCOHERENT","Le lot "&amp;$D58&amp;" n'existe pas sur "&amp;$E58&amp;" (stock 0). Verifier l'emplacement source.",IF($P58="STOCK INSUFFISANT","Disponible avant operation : "&amp;TEXT($O58,"#,##0.00")&amp;" kg. Ligne NON comptee en stock.",IF(COUNTIFS($B$5:$B$304,$B58,$C$5:$C$304,$C58,$D$5:$D$304,$D58,$G$5:$G$304,$G58)&gt;1,"Doublon possible (meme date, type, lot et quantite).",IF($J58="LOT NON REFERENCE","Creer d'abord la fiche du lot dans l'onglet LOTS.",""))))))</f>
        <v/>
      </c>
    </row>
    <row r="59" customFormat="false" ht="15" hidden="false" customHeight="false" outlineLevel="0" collapsed="false">
      <c r="A59" s="26" t="str">
        <f aca="false">IF($C59="","","OP-"&amp;TEXT(ROW()-4,"000"))</f>
        <v/>
      </c>
      <c r="B59" s="25"/>
      <c r="C59" s="24"/>
      <c r="D59" s="24"/>
      <c r="E59" s="24"/>
      <c r="F59" s="24"/>
      <c r="G59" s="29"/>
      <c r="H59" s="24"/>
      <c r="I59" s="24"/>
      <c r="J59" s="26" t="str">
        <f aca="false">IF($D59="","",IFERROR(INDEX(LOT_PRODE,MATCH($D59,LOT_KEY,0)),"LOT NON REFERENCE"))</f>
        <v/>
      </c>
      <c r="K59" s="26" t="str">
        <f aca="false">IF($D59="","",IFERROR(INDEX(LOT_FOURNE,MATCH($D59,LOT_KEY,0)),""))</f>
        <v/>
      </c>
      <c r="L59" s="26" t="str">
        <f aca="false">IF($E59="","",IFERROR(INDEX(EMPL_CLASSE,MATCH($E59,EMPL_KEY,0)),"?"))</f>
        <v/>
      </c>
      <c r="M59" s="26" t="str">
        <f aca="false">IF($F59="","",IFERROR(INDEX(EMPL_CLASSE,MATCH($F59,EMPL_KEY,0)),"?"))</f>
        <v/>
      </c>
      <c r="N59" s="28" t="n">
        <f aca="false">IF($C59="",0,IF(OR($B59="",$D59="",NOT(ISNUMBER($G59)),$G59&lt;=0),0,IF($C59="RECEPTION",IF($F59="",0,1),IF($C59="CONSOMMATION",IF($E59="",0,1),IF(OR($E59="",$F59="",$E59=$F59),0,1)))))</f>
        <v>0</v>
      </c>
      <c r="O59" s="27" t="str">
        <f aca="false">IF(OR($N59=0,$C59="RECEPTION"),"",SUMIFS(MVT_BRUT,MVT_LOT,$D59,MVT_EMPL,$E59)+$G59)</f>
        <v/>
      </c>
      <c r="P59" s="26" t="str">
        <f aca="false">IF($C59="","",IF($N59=0,"DONNEES MANQUANTES",IF($C59="RECEPTION","OK",IF($O59&lt;=0,"EMPLACEMENT INCOHERENT",IF($G59&gt;$O59+0.001,"STOCK INSUFFISANT","OK")))))</f>
        <v/>
      </c>
      <c r="Q59" s="28" t="n">
        <f aca="false">IF($P59="OK",1,0)</f>
        <v>0</v>
      </c>
      <c r="R59" s="26" t="str">
        <f aca="false">IF($C59="","",IF($N59=0,"A COMPLETER : "&amp;IF($B59="","DATE; ","")&amp;IF($D59="","LOT; ","")&amp;IF(OR(NOT(ISNUMBER($G59)),$G59&lt;=0),"QUANTITE &gt; 0; ","")&amp;IF(AND($C59&lt;&gt;"RECEPTION",$E59=""),"EMPL. SOURCE; ","")&amp;IF(AND($C59&lt;&gt;"CONSOMMATION",$F59=""),"EMPL. DESTINATION; ","")&amp;IF(AND($C59="TRANSFERT",$E59&lt;&gt;"",$E59=$F59),"SOURCE = DESTINATION; ",""),IF($P59="EMPLACEMENT INCOHERENT","Le lot "&amp;$D59&amp;" n'existe pas sur "&amp;$E59&amp;" (stock 0). Verifier l'emplacement source.",IF($P59="STOCK INSUFFISANT","Disponible avant operation : "&amp;TEXT($O59,"#,##0.00")&amp;" kg. Ligne NON comptee en stock.",IF(COUNTIFS($B$5:$B$304,$B59,$C$5:$C$304,$C59,$D$5:$D$304,$D59,$G$5:$G$304,$G59)&gt;1,"Doublon possible (meme date, type, lot et quantite).",IF($J59="LOT NON REFERENCE","Creer d'abord la fiche du lot dans l'onglet LOTS.",""))))))</f>
        <v/>
      </c>
    </row>
    <row r="60" customFormat="false" ht="15" hidden="false" customHeight="false" outlineLevel="0" collapsed="false">
      <c r="A60" s="26" t="str">
        <f aca="false">IF($C60="","","OP-"&amp;TEXT(ROW()-4,"000"))</f>
        <v/>
      </c>
      <c r="B60" s="25"/>
      <c r="C60" s="24"/>
      <c r="D60" s="24"/>
      <c r="E60" s="24"/>
      <c r="F60" s="24"/>
      <c r="G60" s="29"/>
      <c r="H60" s="24"/>
      <c r="I60" s="24"/>
      <c r="J60" s="26" t="str">
        <f aca="false">IF($D60="","",IFERROR(INDEX(LOT_PRODE,MATCH($D60,LOT_KEY,0)),"LOT NON REFERENCE"))</f>
        <v/>
      </c>
      <c r="K60" s="26" t="str">
        <f aca="false">IF($D60="","",IFERROR(INDEX(LOT_FOURNE,MATCH($D60,LOT_KEY,0)),""))</f>
        <v/>
      </c>
      <c r="L60" s="26" t="str">
        <f aca="false">IF($E60="","",IFERROR(INDEX(EMPL_CLASSE,MATCH($E60,EMPL_KEY,0)),"?"))</f>
        <v/>
      </c>
      <c r="M60" s="26" t="str">
        <f aca="false">IF($F60="","",IFERROR(INDEX(EMPL_CLASSE,MATCH($F60,EMPL_KEY,0)),"?"))</f>
        <v/>
      </c>
      <c r="N60" s="28" t="n">
        <f aca="false">IF($C60="",0,IF(OR($B60="",$D60="",NOT(ISNUMBER($G60)),$G60&lt;=0),0,IF($C60="RECEPTION",IF($F60="",0,1),IF($C60="CONSOMMATION",IF($E60="",0,1),IF(OR($E60="",$F60="",$E60=$F60),0,1)))))</f>
        <v>0</v>
      </c>
      <c r="O60" s="27" t="str">
        <f aca="false">IF(OR($N60=0,$C60="RECEPTION"),"",SUMIFS(MVT_BRUT,MVT_LOT,$D60,MVT_EMPL,$E60)+$G60)</f>
        <v/>
      </c>
      <c r="P60" s="26" t="str">
        <f aca="false">IF($C60="","",IF($N60=0,"DONNEES MANQUANTES",IF($C60="RECEPTION","OK",IF($O60&lt;=0,"EMPLACEMENT INCOHERENT",IF($G60&gt;$O60+0.001,"STOCK INSUFFISANT","OK")))))</f>
        <v/>
      </c>
      <c r="Q60" s="28" t="n">
        <f aca="false">IF($P60="OK",1,0)</f>
        <v>0</v>
      </c>
      <c r="R60" s="26" t="str">
        <f aca="false">IF($C60="","",IF($N60=0,"A COMPLETER : "&amp;IF($B60="","DATE; ","")&amp;IF($D60="","LOT; ","")&amp;IF(OR(NOT(ISNUMBER($G60)),$G60&lt;=0),"QUANTITE &gt; 0; ","")&amp;IF(AND($C60&lt;&gt;"RECEPTION",$E60=""),"EMPL. SOURCE; ","")&amp;IF(AND($C60&lt;&gt;"CONSOMMATION",$F60=""),"EMPL. DESTINATION; ","")&amp;IF(AND($C60="TRANSFERT",$E60&lt;&gt;"",$E60=$F60),"SOURCE = DESTINATION; ",""),IF($P60="EMPLACEMENT INCOHERENT","Le lot "&amp;$D60&amp;" n'existe pas sur "&amp;$E60&amp;" (stock 0). Verifier l'emplacement source.",IF($P60="STOCK INSUFFISANT","Disponible avant operation : "&amp;TEXT($O60,"#,##0.00")&amp;" kg. Ligne NON comptee en stock.",IF(COUNTIFS($B$5:$B$304,$B60,$C$5:$C$304,$C60,$D$5:$D$304,$D60,$G$5:$G$304,$G60)&gt;1,"Doublon possible (meme date, type, lot et quantite).",IF($J60="LOT NON REFERENCE","Creer d'abord la fiche du lot dans l'onglet LOTS.",""))))))</f>
        <v/>
      </c>
    </row>
    <row r="61" customFormat="false" ht="15" hidden="false" customHeight="false" outlineLevel="0" collapsed="false">
      <c r="A61" s="26" t="str">
        <f aca="false">IF($C61="","","OP-"&amp;TEXT(ROW()-4,"000"))</f>
        <v/>
      </c>
      <c r="B61" s="25"/>
      <c r="C61" s="24"/>
      <c r="D61" s="24"/>
      <c r="E61" s="24"/>
      <c r="F61" s="24"/>
      <c r="G61" s="29"/>
      <c r="H61" s="24"/>
      <c r="I61" s="24"/>
      <c r="J61" s="26" t="str">
        <f aca="false">IF($D61="","",IFERROR(INDEX(LOT_PRODE,MATCH($D61,LOT_KEY,0)),"LOT NON REFERENCE"))</f>
        <v/>
      </c>
      <c r="K61" s="26" t="str">
        <f aca="false">IF($D61="","",IFERROR(INDEX(LOT_FOURNE,MATCH($D61,LOT_KEY,0)),""))</f>
        <v/>
      </c>
      <c r="L61" s="26" t="str">
        <f aca="false">IF($E61="","",IFERROR(INDEX(EMPL_CLASSE,MATCH($E61,EMPL_KEY,0)),"?"))</f>
        <v/>
      </c>
      <c r="M61" s="26" t="str">
        <f aca="false">IF($F61="","",IFERROR(INDEX(EMPL_CLASSE,MATCH($F61,EMPL_KEY,0)),"?"))</f>
        <v/>
      </c>
      <c r="N61" s="28" t="n">
        <f aca="false">IF($C61="",0,IF(OR($B61="",$D61="",NOT(ISNUMBER($G61)),$G61&lt;=0),0,IF($C61="RECEPTION",IF($F61="",0,1),IF($C61="CONSOMMATION",IF($E61="",0,1),IF(OR($E61="",$F61="",$E61=$F61),0,1)))))</f>
        <v>0</v>
      </c>
      <c r="O61" s="27" t="str">
        <f aca="false">IF(OR($N61=0,$C61="RECEPTION"),"",SUMIFS(MVT_BRUT,MVT_LOT,$D61,MVT_EMPL,$E61)+$G61)</f>
        <v/>
      </c>
      <c r="P61" s="26" t="str">
        <f aca="false">IF($C61="","",IF($N61=0,"DONNEES MANQUANTES",IF($C61="RECEPTION","OK",IF($O61&lt;=0,"EMPLACEMENT INCOHERENT",IF($G61&gt;$O61+0.001,"STOCK INSUFFISANT","OK")))))</f>
        <v/>
      </c>
      <c r="Q61" s="28" t="n">
        <f aca="false">IF($P61="OK",1,0)</f>
        <v>0</v>
      </c>
      <c r="R61" s="26" t="str">
        <f aca="false">IF($C61="","",IF($N61=0,"A COMPLETER : "&amp;IF($B61="","DATE; ","")&amp;IF($D61="","LOT; ","")&amp;IF(OR(NOT(ISNUMBER($G61)),$G61&lt;=0),"QUANTITE &gt; 0; ","")&amp;IF(AND($C61&lt;&gt;"RECEPTION",$E61=""),"EMPL. SOURCE; ","")&amp;IF(AND($C61&lt;&gt;"CONSOMMATION",$F61=""),"EMPL. DESTINATION; ","")&amp;IF(AND($C61="TRANSFERT",$E61&lt;&gt;"",$E61=$F61),"SOURCE = DESTINATION; ",""),IF($P61="EMPLACEMENT INCOHERENT","Le lot "&amp;$D61&amp;" n'existe pas sur "&amp;$E61&amp;" (stock 0). Verifier l'emplacement source.",IF($P61="STOCK INSUFFISANT","Disponible avant operation : "&amp;TEXT($O61,"#,##0.00")&amp;" kg. Ligne NON comptee en stock.",IF(COUNTIFS($B$5:$B$304,$B61,$C$5:$C$304,$C61,$D$5:$D$304,$D61,$G$5:$G$304,$G61)&gt;1,"Doublon possible (meme date, type, lot et quantite).",IF($J61="LOT NON REFERENCE","Creer d'abord la fiche du lot dans l'onglet LOTS.",""))))))</f>
        <v/>
      </c>
    </row>
    <row r="62" customFormat="false" ht="15" hidden="false" customHeight="false" outlineLevel="0" collapsed="false">
      <c r="A62" s="26" t="str">
        <f aca="false">IF($C62="","","OP-"&amp;TEXT(ROW()-4,"000"))</f>
        <v/>
      </c>
      <c r="B62" s="25"/>
      <c r="C62" s="24"/>
      <c r="D62" s="24"/>
      <c r="E62" s="24"/>
      <c r="F62" s="24"/>
      <c r="G62" s="29"/>
      <c r="H62" s="24"/>
      <c r="I62" s="24"/>
      <c r="J62" s="26" t="str">
        <f aca="false">IF($D62="","",IFERROR(INDEX(LOT_PRODE,MATCH($D62,LOT_KEY,0)),"LOT NON REFERENCE"))</f>
        <v/>
      </c>
      <c r="K62" s="26" t="str">
        <f aca="false">IF($D62="","",IFERROR(INDEX(LOT_FOURNE,MATCH($D62,LOT_KEY,0)),""))</f>
        <v/>
      </c>
      <c r="L62" s="26" t="str">
        <f aca="false">IF($E62="","",IFERROR(INDEX(EMPL_CLASSE,MATCH($E62,EMPL_KEY,0)),"?"))</f>
        <v/>
      </c>
      <c r="M62" s="26" t="str">
        <f aca="false">IF($F62="","",IFERROR(INDEX(EMPL_CLASSE,MATCH($F62,EMPL_KEY,0)),"?"))</f>
        <v/>
      </c>
      <c r="N62" s="28" t="n">
        <f aca="false">IF($C62="",0,IF(OR($B62="",$D62="",NOT(ISNUMBER($G62)),$G62&lt;=0),0,IF($C62="RECEPTION",IF($F62="",0,1),IF($C62="CONSOMMATION",IF($E62="",0,1),IF(OR($E62="",$F62="",$E62=$F62),0,1)))))</f>
        <v>0</v>
      </c>
      <c r="O62" s="27" t="str">
        <f aca="false">IF(OR($N62=0,$C62="RECEPTION"),"",SUMIFS(MVT_BRUT,MVT_LOT,$D62,MVT_EMPL,$E62)+$G62)</f>
        <v/>
      </c>
      <c r="P62" s="26" t="str">
        <f aca="false">IF($C62="","",IF($N62=0,"DONNEES MANQUANTES",IF($C62="RECEPTION","OK",IF($O62&lt;=0,"EMPLACEMENT INCOHERENT",IF($G62&gt;$O62+0.001,"STOCK INSUFFISANT","OK")))))</f>
        <v/>
      </c>
      <c r="Q62" s="28" t="n">
        <f aca="false">IF($P62="OK",1,0)</f>
        <v>0</v>
      </c>
      <c r="R62" s="26" t="str">
        <f aca="false">IF($C62="","",IF($N62=0,"A COMPLETER : "&amp;IF($B62="","DATE; ","")&amp;IF($D62="","LOT; ","")&amp;IF(OR(NOT(ISNUMBER($G62)),$G62&lt;=0),"QUANTITE &gt; 0; ","")&amp;IF(AND($C62&lt;&gt;"RECEPTION",$E62=""),"EMPL. SOURCE; ","")&amp;IF(AND($C62&lt;&gt;"CONSOMMATION",$F62=""),"EMPL. DESTINATION; ","")&amp;IF(AND($C62="TRANSFERT",$E62&lt;&gt;"",$E62=$F62),"SOURCE = DESTINATION; ",""),IF($P62="EMPLACEMENT INCOHERENT","Le lot "&amp;$D62&amp;" n'existe pas sur "&amp;$E62&amp;" (stock 0). Verifier l'emplacement source.",IF($P62="STOCK INSUFFISANT","Disponible avant operation : "&amp;TEXT($O62,"#,##0.00")&amp;" kg. Ligne NON comptee en stock.",IF(COUNTIFS($B$5:$B$304,$B62,$C$5:$C$304,$C62,$D$5:$D$304,$D62,$G$5:$G$304,$G62)&gt;1,"Doublon possible (meme date, type, lot et quantite).",IF($J62="LOT NON REFERENCE","Creer d'abord la fiche du lot dans l'onglet LOTS.",""))))))</f>
        <v/>
      </c>
    </row>
    <row r="63" customFormat="false" ht="15" hidden="false" customHeight="false" outlineLevel="0" collapsed="false">
      <c r="A63" s="26" t="str">
        <f aca="false">IF($C63="","","OP-"&amp;TEXT(ROW()-4,"000"))</f>
        <v/>
      </c>
      <c r="B63" s="25"/>
      <c r="C63" s="24"/>
      <c r="D63" s="24"/>
      <c r="E63" s="24"/>
      <c r="F63" s="24"/>
      <c r="G63" s="29"/>
      <c r="H63" s="24"/>
      <c r="I63" s="24"/>
      <c r="J63" s="26" t="str">
        <f aca="false">IF($D63="","",IFERROR(INDEX(LOT_PRODE,MATCH($D63,LOT_KEY,0)),"LOT NON REFERENCE"))</f>
        <v/>
      </c>
      <c r="K63" s="26" t="str">
        <f aca="false">IF($D63="","",IFERROR(INDEX(LOT_FOURNE,MATCH($D63,LOT_KEY,0)),""))</f>
        <v/>
      </c>
      <c r="L63" s="26" t="str">
        <f aca="false">IF($E63="","",IFERROR(INDEX(EMPL_CLASSE,MATCH($E63,EMPL_KEY,0)),"?"))</f>
        <v/>
      </c>
      <c r="M63" s="26" t="str">
        <f aca="false">IF($F63="","",IFERROR(INDEX(EMPL_CLASSE,MATCH($F63,EMPL_KEY,0)),"?"))</f>
        <v/>
      </c>
      <c r="N63" s="28" t="n">
        <f aca="false">IF($C63="",0,IF(OR($B63="",$D63="",NOT(ISNUMBER($G63)),$G63&lt;=0),0,IF($C63="RECEPTION",IF($F63="",0,1),IF($C63="CONSOMMATION",IF($E63="",0,1),IF(OR($E63="",$F63="",$E63=$F63),0,1)))))</f>
        <v>0</v>
      </c>
      <c r="O63" s="27" t="str">
        <f aca="false">IF(OR($N63=0,$C63="RECEPTION"),"",SUMIFS(MVT_BRUT,MVT_LOT,$D63,MVT_EMPL,$E63)+$G63)</f>
        <v/>
      </c>
      <c r="P63" s="26" t="str">
        <f aca="false">IF($C63="","",IF($N63=0,"DONNEES MANQUANTES",IF($C63="RECEPTION","OK",IF($O63&lt;=0,"EMPLACEMENT INCOHERENT",IF($G63&gt;$O63+0.001,"STOCK INSUFFISANT","OK")))))</f>
        <v/>
      </c>
      <c r="Q63" s="28" t="n">
        <f aca="false">IF($P63="OK",1,0)</f>
        <v>0</v>
      </c>
      <c r="R63" s="26" t="str">
        <f aca="false">IF($C63="","",IF($N63=0,"A COMPLETER : "&amp;IF($B63="","DATE; ","")&amp;IF($D63="","LOT; ","")&amp;IF(OR(NOT(ISNUMBER($G63)),$G63&lt;=0),"QUANTITE &gt; 0; ","")&amp;IF(AND($C63&lt;&gt;"RECEPTION",$E63=""),"EMPL. SOURCE; ","")&amp;IF(AND($C63&lt;&gt;"CONSOMMATION",$F63=""),"EMPL. DESTINATION; ","")&amp;IF(AND($C63="TRANSFERT",$E63&lt;&gt;"",$E63=$F63),"SOURCE = DESTINATION; ",""),IF($P63="EMPLACEMENT INCOHERENT","Le lot "&amp;$D63&amp;" n'existe pas sur "&amp;$E63&amp;" (stock 0). Verifier l'emplacement source.",IF($P63="STOCK INSUFFISANT","Disponible avant operation : "&amp;TEXT($O63,"#,##0.00")&amp;" kg. Ligne NON comptee en stock.",IF(COUNTIFS($B$5:$B$304,$B63,$C$5:$C$304,$C63,$D$5:$D$304,$D63,$G$5:$G$304,$G63)&gt;1,"Doublon possible (meme date, type, lot et quantite).",IF($J63="LOT NON REFERENCE","Creer d'abord la fiche du lot dans l'onglet LOTS.",""))))))</f>
        <v/>
      </c>
    </row>
    <row r="64" customFormat="false" ht="15" hidden="false" customHeight="false" outlineLevel="0" collapsed="false">
      <c r="A64" s="26" t="str">
        <f aca="false">IF($C64="","","OP-"&amp;TEXT(ROW()-4,"000"))</f>
        <v/>
      </c>
      <c r="B64" s="25"/>
      <c r="C64" s="24"/>
      <c r="D64" s="24"/>
      <c r="E64" s="24"/>
      <c r="F64" s="24"/>
      <c r="G64" s="29"/>
      <c r="H64" s="24"/>
      <c r="I64" s="24"/>
      <c r="J64" s="26" t="str">
        <f aca="false">IF($D64="","",IFERROR(INDEX(LOT_PRODE,MATCH($D64,LOT_KEY,0)),"LOT NON REFERENCE"))</f>
        <v/>
      </c>
      <c r="K64" s="26" t="str">
        <f aca="false">IF($D64="","",IFERROR(INDEX(LOT_FOURNE,MATCH($D64,LOT_KEY,0)),""))</f>
        <v/>
      </c>
      <c r="L64" s="26" t="str">
        <f aca="false">IF($E64="","",IFERROR(INDEX(EMPL_CLASSE,MATCH($E64,EMPL_KEY,0)),"?"))</f>
        <v/>
      </c>
      <c r="M64" s="26" t="str">
        <f aca="false">IF($F64="","",IFERROR(INDEX(EMPL_CLASSE,MATCH($F64,EMPL_KEY,0)),"?"))</f>
        <v/>
      </c>
      <c r="N64" s="28" t="n">
        <f aca="false">IF($C64="",0,IF(OR($B64="",$D64="",NOT(ISNUMBER($G64)),$G64&lt;=0),0,IF($C64="RECEPTION",IF($F64="",0,1),IF($C64="CONSOMMATION",IF($E64="",0,1),IF(OR($E64="",$F64="",$E64=$F64),0,1)))))</f>
        <v>0</v>
      </c>
      <c r="O64" s="27" t="str">
        <f aca="false">IF(OR($N64=0,$C64="RECEPTION"),"",SUMIFS(MVT_BRUT,MVT_LOT,$D64,MVT_EMPL,$E64)+$G64)</f>
        <v/>
      </c>
      <c r="P64" s="26" t="str">
        <f aca="false">IF($C64="","",IF($N64=0,"DONNEES MANQUANTES",IF($C64="RECEPTION","OK",IF($O64&lt;=0,"EMPLACEMENT INCOHERENT",IF($G64&gt;$O64+0.001,"STOCK INSUFFISANT","OK")))))</f>
        <v/>
      </c>
      <c r="Q64" s="28" t="n">
        <f aca="false">IF($P64="OK",1,0)</f>
        <v>0</v>
      </c>
      <c r="R64" s="26" t="str">
        <f aca="false">IF($C64="","",IF($N64=0,"A COMPLETER : "&amp;IF($B64="","DATE; ","")&amp;IF($D64="","LOT; ","")&amp;IF(OR(NOT(ISNUMBER($G64)),$G64&lt;=0),"QUANTITE &gt; 0; ","")&amp;IF(AND($C64&lt;&gt;"RECEPTION",$E64=""),"EMPL. SOURCE; ","")&amp;IF(AND($C64&lt;&gt;"CONSOMMATION",$F64=""),"EMPL. DESTINATION; ","")&amp;IF(AND($C64="TRANSFERT",$E64&lt;&gt;"",$E64=$F64),"SOURCE = DESTINATION; ",""),IF($P64="EMPLACEMENT INCOHERENT","Le lot "&amp;$D64&amp;" n'existe pas sur "&amp;$E64&amp;" (stock 0). Verifier l'emplacement source.",IF($P64="STOCK INSUFFISANT","Disponible avant operation : "&amp;TEXT($O64,"#,##0.00")&amp;" kg. Ligne NON comptee en stock.",IF(COUNTIFS($B$5:$B$304,$B64,$C$5:$C$304,$C64,$D$5:$D$304,$D64,$G$5:$G$304,$G64)&gt;1,"Doublon possible (meme date, type, lot et quantite).",IF($J64="LOT NON REFERENCE","Creer d'abord la fiche du lot dans l'onglet LOTS.",""))))))</f>
        <v/>
      </c>
    </row>
    <row r="65" customFormat="false" ht="15" hidden="false" customHeight="false" outlineLevel="0" collapsed="false">
      <c r="A65" s="26" t="str">
        <f aca="false">IF($C65="","","OP-"&amp;TEXT(ROW()-4,"000"))</f>
        <v/>
      </c>
      <c r="B65" s="25"/>
      <c r="C65" s="24"/>
      <c r="D65" s="24"/>
      <c r="E65" s="24"/>
      <c r="F65" s="24"/>
      <c r="G65" s="29"/>
      <c r="H65" s="24"/>
      <c r="I65" s="24"/>
      <c r="J65" s="26" t="str">
        <f aca="false">IF($D65="","",IFERROR(INDEX(LOT_PRODE,MATCH($D65,LOT_KEY,0)),"LOT NON REFERENCE"))</f>
        <v/>
      </c>
      <c r="K65" s="26" t="str">
        <f aca="false">IF($D65="","",IFERROR(INDEX(LOT_FOURNE,MATCH($D65,LOT_KEY,0)),""))</f>
        <v/>
      </c>
      <c r="L65" s="26" t="str">
        <f aca="false">IF($E65="","",IFERROR(INDEX(EMPL_CLASSE,MATCH($E65,EMPL_KEY,0)),"?"))</f>
        <v/>
      </c>
      <c r="M65" s="26" t="str">
        <f aca="false">IF($F65="","",IFERROR(INDEX(EMPL_CLASSE,MATCH($F65,EMPL_KEY,0)),"?"))</f>
        <v/>
      </c>
      <c r="N65" s="28" t="n">
        <f aca="false">IF($C65="",0,IF(OR($B65="",$D65="",NOT(ISNUMBER($G65)),$G65&lt;=0),0,IF($C65="RECEPTION",IF($F65="",0,1),IF($C65="CONSOMMATION",IF($E65="",0,1),IF(OR($E65="",$F65="",$E65=$F65),0,1)))))</f>
        <v>0</v>
      </c>
      <c r="O65" s="27" t="str">
        <f aca="false">IF(OR($N65=0,$C65="RECEPTION"),"",SUMIFS(MVT_BRUT,MVT_LOT,$D65,MVT_EMPL,$E65)+$G65)</f>
        <v/>
      </c>
      <c r="P65" s="26" t="str">
        <f aca="false">IF($C65="","",IF($N65=0,"DONNEES MANQUANTES",IF($C65="RECEPTION","OK",IF($O65&lt;=0,"EMPLACEMENT INCOHERENT",IF($G65&gt;$O65+0.001,"STOCK INSUFFISANT","OK")))))</f>
        <v/>
      </c>
      <c r="Q65" s="28" t="n">
        <f aca="false">IF($P65="OK",1,0)</f>
        <v>0</v>
      </c>
      <c r="R65" s="26" t="str">
        <f aca="false">IF($C65="","",IF($N65=0,"A COMPLETER : "&amp;IF($B65="","DATE; ","")&amp;IF($D65="","LOT; ","")&amp;IF(OR(NOT(ISNUMBER($G65)),$G65&lt;=0),"QUANTITE &gt; 0; ","")&amp;IF(AND($C65&lt;&gt;"RECEPTION",$E65=""),"EMPL. SOURCE; ","")&amp;IF(AND($C65&lt;&gt;"CONSOMMATION",$F65=""),"EMPL. DESTINATION; ","")&amp;IF(AND($C65="TRANSFERT",$E65&lt;&gt;"",$E65=$F65),"SOURCE = DESTINATION; ",""),IF($P65="EMPLACEMENT INCOHERENT","Le lot "&amp;$D65&amp;" n'existe pas sur "&amp;$E65&amp;" (stock 0). Verifier l'emplacement source.",IF($P65="STOCK INSUFFISANT","Disponible avant operation : "&amp;TEXT($O65,"#,##0.00")&amp;" kg. Ligne NON comptee en stock.",IF(COUNTIFS($B$5:$B$304,$B65,$C$5:$C$304,$C65,$D$5:$D$304,$D65,$G$5:$G$304,$G65)&gt;1,"Doublon possible (meme date, type, lot et quantite).",IF($J65="LOT NON REFERENCE","Creer d'abord la fiche du lot dans l'onglet LOTS.",""))))))</f>
        <v/>
      </c>
    </row>
    <row r="66" customFormat="false" ht="15" hidden="false" customHeight="false" outlineLevel="0" collapsed="false">
      <c r="A66" s="26" t="str">
        <f aca="false">IF($C66="","","OP-"&amp;TEXT(ROW()-4,"000"))</f>
        <v/>
      </c>
      <c r="B66" s="25"/>
      <c r="C66" s="24"/>
      <c r="D66" s="24"/>
      <c r="E66" s="24"/>
      <c r="F66" s="24"/>
      <c r="G66" s="29"/>
      <c r="H66" s="24"/>
      <c r="I66" s="24"/>
      <c r="J66" s="26" t="str">
        <f aca="false">IF($D66="","",IFERROR(INDEX(LOT_PRODE,MATCH($D66,LOT_KEY,0)),"LOT NON REFERENCE"))</f>
        <v/>
      </c>
      <c r="K66" s="26" t="str">
        <f aca="false">IF($D66="","",IFERROR(INDEX(LOT_FOURNE,MATCH($D66,LOT_KEY,0)),""))</f>
        <v/>
      </c>
      <c r="L66" s="26" t="str">
        <f aca="false">IF($E66="","",IFERROR(INDEX(EMPL_CLASSE,MATCH($E66,EMPL_KEY,0)),"?"))</f>
        <v/>
      </c>
      <c r="M66" s="26" t="str">
        <f aca="false">IF($F66="","",IFERROR(INDEX(EMPL_CLASSE,MATCH($F66,EMPL_KEY,0)),"?"))</f>
        <v/>
      </c>
      <c r="N66" s="28" t="n">
        <f aca="false">IF($C66="",0,IF(OR($B66="",$D66="",NOT(ISNUMBER($G66)),$G66&lt;=0),0,IF($C66="RECEPTION",IF($F66="",0,1),IF($C66="CONSOMMATION",IF($E66="",0,1),IF(OR($E66="",$F66="",$E66=$F66),0,1)))))</f>
        <v>0</v>
      </c>
      <c r="O66" s="27" t="str">
        <f aca="false">IF(OR($N66=0,$C66="RECEPTION"),"",SUMIFS(MVT_BRUT,MVT_LOT,$D66,MVT_EMPL,$E66)+$G66)</f>
        <v/>
      </c>
      <c r="P66" s="26" t="str">
        <f aca="false">IF($C66="","",IF($N66=0,"DONNEES MANQUANTES",IF($C66="RECEPTION","OK",IF($O66&lt;=0,"EMPLACEMENT INCOHERENT",IF($G66&gt;$O66+0.001,"STOCK INSUFFISANT","OK")))))</f>
        <v/>
      </c>
      <c r="Q66" s="28" t="n">
        <f aca="false">IF($P66="OK",1,0)</f>
        <v>0</v>
      </c>
      <c r="R66" s="26" t="str">
        <f aca="false">IF($C66="","",IF($N66=0,"A COMPLETER : "&amp;IF($B66="","DATE; ","")&amp;IF($D66="","LOT; ","")&amp;IF(OR(NOT(ISNUMBER($G66)),$G66&lt;=0),"QUANTITE &gt; 0; ","")&amp;IF(AND($C66&lt;&gt;"RECEPTION",$E66=""),"EMPL. SOURCE; ","")&amp;IF(AND($C66&lt;&gt;"CONSOMMATION",$F66=""),"EMPL. DESTINATION; ","")&amp;IF(AND($C66="TRANSFERT",$E66&lt;&gt;"",$E66=$F66),"SOURCE = DESTINATION; ",""),IF($P66="EMPLACEMENT INCOHERENT","Le lot "&amp;$D66&amp;" n'existe pas sur "&amp;$E66&amp;" (stock 0). Verifier l'emplacement source.",IF($P66="STOCK INSUFFISANT","Disponible avant operation : "&amp;TEXT($O66,"#,##0.00")&amp;" kg. Ligne NON comptee en stock.",IF(COUNTIFS($B$5:$B$304,$B66,$C$5:$C$304,$C66,$D$5:$D$304,$D66,$G$5:$G$304,$G66)&gt;1,"Doublon possible (meme date, type, lot et quantite).",IF($J66="LOT NON REFERENCE","Creer d'abord la fiche du lot dans l'onglet LOTS.",""))))))</f>
        <v/>
      </c>
    </row>
    <row r="67" customFormat="false" ht="15" hidden="false" customHeight="false" outlineLevel="0" collapsed="false">
      <c r="A67" s="26" t="str">
        <f aca="false">IF($C67="","","OP-"&amp;TEXT(ROW()-4,"000"))</f>
        <v/>
      </c>
      <c r="B67" s="25"/>
      <c r="C67" s="24"/>
      <c r="D67" s="24"/>
      <c r="E67" s="24"/>
      <c r="F67" s="24"/>
      <c r="G67" s="29"/>
      <c r="H67" s="24"/>
      <c r="I67" s="24"/>
      <c r="J67" s="26" t="str">
        <f aca="false">IF($D67="","",IFERROR(INDEX(LOT_PRODE,MATCH($D67,LOT_KEY,0)),"LOT NON REFERENCE"))</f>
        <v/>
      </c>
      <c r="K67" s="26" t="str">
        <f aca="false">IF($D67="","",IFERROR(INDEX(LOT_FOURNE,MATCH($D67,LOT_KEY,0)),""))</f>
        <v/>
      </c>
      <c r="L67" s="26" t="str">
        <f aca="false">IF($E67="","",IFERROR(INDEX(EMPL_CLASSE,MATCH($E67,EMPL_KEY,0)),"?"))</f>
        <v/>
      </c>
      <c r="M67" s="26" t="str">
        <f aca="false">IF($F67="","",IFERROR(INDEX(EMPL_CLASSE,MATCH($F67,EMPL_KEY,0)),"?"))</f>
        <v/>
      </c>
      <c r="N67" s="28" t="n">
        <f aca="false">IF($C67="",0,IF(OR($B67="",$D67="",NOT(ISNUMBER($G67)),$G67&lt;=0),0,IF($C67="RECEPTION",IF($F67="",0,1),IF($C67="CONSOMMATION",IF($E67="",0,1),IF(OR($E67="",$F67="",$E67=$F67),0,1)))))</f>
        <v>0</v>
      </c>
      <c r="O67" s="27" t="str">
        <f aca="false">IF(OR($N67=0,$C67="RECEPTION"),"",SUMIFS(MVT_BRUT,MVT_LOT,$D67,MVT_EMPL,$E67)+$G67)</f>
        <v/>
      </c>
      <c r="P67" s="26" t="str">
        <f aca="false">IF($C67="","",IF($N67=0,"DONNEES MANQUANTES",IF($C67="RECEPTION","OK",IF($O67&lt;=0,"EMPLACEMENT INCOHERENT",IF($G67&gt;$O67+0.001,"STOCK INSUFFISANT","OK")))))</f>
        <v/>
      </c>
      <c r="Q67" s="28" t="n">
        <f aca="false">IF($P67="OK",1,0)</f>
        <v>0</v>
      </c>
      <c r="R67" s="26" t="str">
        <f aca="false">IF($C67="","",IF($N67=0,"A COMPLETER : "&amp;IF($B67="","DATE; ","")&amp;IF($D67="","LOT; ","")&amp;IF(OR(NOT(ISNUMBER($G67)),$G67&lt;=0),"QUANTITE &gt; 0; ","")&amp;IF(AND($C67&lt;&gt;"RECEPTION",$E67=""),"EMPL. SOURCE; ","")&amp;IF(AND($C67&lt;&gt;"CONSOMMATION",$F67=""),"EMPL. DESTINATION; ","")&amp;IF(AND($C67="TRANSFERT",$E67&lt;&gt;"",$E67=$F67),"SOURCE = DESTINATION; ",""),IF($P67="EMPLACEMENT INCOHERENT","Le lot "&amp;$D67&amp;" n'existe pas sur "&amp;$E67&amp;" (stock 0). Verifier l'emplacement source.",IF($P67="STOCK INSUFFISANT","Disponible avant operation : "&amp;TEXT($O67,"#,##0.00")&amp;" kg. Ligne NON comptee en stock.",IF(COUNTIFS($B$5:$B$304,$B67,$C$5:$C$304,$C67,$D$5:$D$304,$D67,$G$5:$G$304,$G67)&gt;1,"Doublon possible (meme date, type, lot et quantite).",IF($J67="LOT NON REFERENCE","Creer d'abord la fiche du lot dans l'onglet LOTS.",""))))))</f>
        <v/>
      </c>
    </row>
    <row r="68" customFormat="false" ht="15" hidden="false" customHeight="false" outlineLevel="0" collapsed="false">
      <c r="A68" s="26" t="str">
        <f aca="false">IF($C68="","","OP-"&amp;TEXT(ROW()-4,"000"))</f>
        <v/>
      </c>
      <c r="B68" s="25"/>
      <c r="C68" s="24"/>
      <c r="D68" s="24"/>
      <c r="E68" s="24"/>
      <c r="F68" s="24"/>
      <c r="G68" s="29"/>
      <c r="H68" s="24"/>
      <c r="I68" s="24"/>
      <c r="J68" s="26" t="str">
        <f aca="false">IF($D68="","",IFERROR(INDEX(LOT_PRODE,MATCH($D68,LOT_KEY,0)),"LOT NON REFERENCE"))</f>
        <v/>
      </c>
      <c r="K68" s="26" t="str">
        <f aca="false">IF($D68="","",IFERROR(INDEX(LOT_FOURNE,MATCH($D68,LOT_KEY,0)),""))</f>
        <v/>
      </c>
      <c r="L68" s="26" t="str">
        <f aca="false">IF($E68="","",IFERROR(INDEX(EMPL_CLASSE,MATCH($E68,EMPL_KEY,0)),"?"))</f>
        <v/>
      </c>
      <c r="M68" s="26" t="str">
        <f aca="false">IF($F68="","",IFERROR(INDEX(EMPL_CLASSE,MATCH($F68,EMPL_KEY,0)),"?"))</f>
        <v/>
      </c>
      <c r="N68" s="28" t="n">
        <f aca="false">IF($C68="",0,IF(OR($B68="",$D68="",NOT(ISNUMBER($G68)),$G68&lt;=0),0,IF($C68="RECEPTION",IF($F68="",0,1),IF($C68="CONSOMMATION",IF($E68="",0,1),IF(OR($E68="",$F68="",$E68=$F68),0,1)))))</f>
        <v>0</v>
      </c>
      <c r="O68" s="27" t="str">
        <f aca="false">IF(OR($N68=0,$C68="RECEPTION"),"",SUMIFS(MVT_BRUT,MVT_LOT,$D68,MVT_EMPL,$E68)+$G68)</f>
        <v/>
      </c>
      <c r="P68" s="26" t="str">
        <f aca="false">IF($C68="","",IF($N68=0,"DONNEES MANQUANTES",IF($C68="RECEPTION","OK",IF($O68&lt;=0,"EMPLACEMENT INCOHERENT",IF($G68&gt;$O68+0.001,"STOCK INSUFFISANT","OK")))))</f>
        <v/>
      </c>
      <c r="Q68" s="28" t="n">
        <f aca="false">IF($P68="OK",1,0)</f>
        <v>0</v>
      </c>
      <c r="R68" s="26" t="str">
        <f aca="false">IF($C68="","",IF($N68=0,"A COMPLETER : "&amp;IF($B68="","DATE; ","")&amp;IF($D68="","LOT; ","")&amp;IF(OR(NOT(ISNUMBER($G68)),$G68&lt;=0),"QUANTITE &gt; 0; ","")&amp;IF(AND($C68&lt;&gt;"RECEPTION",$E68=""),"EMPL. SOURCE; ","")&amp;IF(AND($C68&lt;&gt;"CONSOMMATION",$F68=""),"EMPL. DESTINATION; ","")&amp;IF(AND($C68="TRANSFERT",$E68&lt;&gt;"",$E68=$F68),"SOURCE = DESTINATION; ",""),IF($P68="EMPLACEMENT INCOHERENT","Le lot "&amp;$D68&amp;" n'existe pas sur "&amp;$E68&amp;" (stock 0). Verifier l'emplacement source.",IF($P68="STOCK INSUFFISANT","Disponible avant operation : "&amp;TEXT($O68,"#,##0.00")&amp;" kg. Ligne NON comptee en stock.",IF(COUNTIFS($B$5:$B$304,$B68,$C$5:$C$304,$C68,$D$5:$D$304,$D68,$G$5:$G$304,$G68)&gt;1,"Doublon possible (meme date, type, lot et quantite).",IF($J68="LOT NON REFERENCE","Creer d'abord la fiche du lot dans l'onglet LOTS.",""))))))</f>
        <v/>
      </c>
    </row>
    <row r="69" customFormat="false" ht="15" hidden="false" customHeight="false" outlineLevel="0" collapsed="false">
      <c r="A69" s="26" t="str">
        <f aca="false">IF($C69="","","OP-"&amp;TEXT(ROW()-4,"000"))</f>
        <v/>
      </c>
      <c r="B69" s="25"/>
      <c r="C69" s="24"/>
      <c r="D69" s="24"/>
      <c r="E69" s="24"/>
      <c r="F69" s="24"/>
      <c r="G69" s="29"/>
      <c r="H69" s="24"/>
      <c r="I69" s="24"/>
      <c r="J69" s="26" t="str">
        <f aca="false">IF($D69="","",IFERROR(INDEX(LOT_PRODE,MATCH($D69,LOT_KEY,0)),"LOT NON REFERENCE"))</f>
        <v/>
      </c>
      <c r="K69" s="26" t="str">
        <f aca="false">IF($D69="","",IFERROR(INDEX(LOT_FOURNE,MATCH($D69,LOT_KEY,0)),""))</f>
        <v/>
      </c>
      <c r="L69" s="26" t="str">
        <f aca="false">IF($E69="","",IFERROR(INDEX(EMPL_CLASSE,MATCH($E69,EMPL_KEY,0)),"?"))</f>
        <v/>
      </c>
      <c r="M69" s="26" t="str">
        <f aca="false">IF($F69="","",IFERROR(INDEX(EMPL_CLASSE,MATCH($F69,EMPL_KEY,0)),"?"))</f>
        <v/>
      </c>
      <c r="N69" s="28" t="n">
        <f aca="false">IF($C69="",0,IF(OR($B69="",$D69="",NOT(ISNUMBER($G69)),$G69&lt;=0),0,IF($C69="RECEPTION",IF($F69="",0,1),IF($C69="CONSOMMATION",IF($E69="",0,1),IF(OR($E69="",$F69="",$E69=$F69),0,1)))))</f>
        <v>0</v>
      </c>
      <c r="O69" s="27" t="str">
        <f aca="false">IF(OR($N69=0,$C69="RECEPTION"),"",SUMIFS(MVT_BRUT,MVT_LOT,$D69,MVT_EMPL,$E69)+$G69)</f>
        <v/>
      </c>
      <c r="P69" s="26" t="str">
        <f aca="false">IF($C69="","",IF($N69=0,"DONNEES MANQUANTES",IF($C69="RECEPTION","OK",IF($O69&lt;=0,"EMPLACEMENT INCOHERENT",IF($G69&gt;$O69+0.001,"STOCK INSUFFISANT","OK")))))</f>
        <v/>
      </c>
      <c r="Q69" s="28" t="n">
        <f aca="false">IF($P69="OK",1,0)</f>
        <v>0</v>
      </c>
      <c r="R69" s="26" t="str">
        <f aca="false">IF($C69="","",IF($N69=0,"A COMPLETER : "&amp;IF($B69="","DATE; ","")&amp;IF($D69="","LOT; ","")&amp;IF(OR(NOT(ISNUMBER($G69)),$G69&lt;=0),"QUANTITE &gt; 0; ","")&amp;IF(AND($C69&lt;&gt;"RECEPTION",$E69=""),"EMPL. SOURCE; ","")&amp;IF(AND($C69&lt;&gt;"CONSOMMATION",$F69=""),"EMPL. DESTINATION; ","")&amp;IF(AND($C69="TRANSFERT",$E69&lt;&gt;"",$E69=$F69),"SOURCE = DESTINATION; ",""),IF($P69="EMPLACEMENT INCOHERENT","Le lot "&amp;$D69&amp;" n'existe pas sur "&amp;$E69&amp;" (stock 0). Verifier l'emplacement source.",IF($P69="STOCK INSUFFISANT","Disponible avant operation : "&amp;TEXT($O69,"#,##0.00")&amp;" kg. Ligne NON comptee en stock.",IF(COUNTIFS($B$5:$B$304,$B69,$C$5:$C$304,$C69,$D$5:$D$304,$D69,$G$5:$G$304,$G69)&gt;1,"Doublon possible (meme date, type, lot et quantite).",IF($J69="LOT NON REFERENCE","Creer d'abord la fiche du lot dans l'onglet LOTS.",""))))))</f>
        <v/>
      </c>
    </row>
    <row r="70" customFormat="false" ht="15" hidden="false" customHeight="false" outlineLevel="0" collapsed="false">
      <c r="A70" s="26" t="str">
        <f aca="false">IF($C70="","","OP-"&amp;TEXT(ROW()-4,"000"))</f>
        <v/>
      </c>
      <c r="B70" s="25"/>
      <c r="C70" s="24"/>
      <c r="D70" s="24"/>
      <c r="E70" s="24"/>
      <c r="F70" s="24"/>
      <c r="G70" s="29"/>
      <c r="H70" s="24"/>
      <c r="I70" s="24"/>
      <c r="J70" s="26" t="str">
        <f aca="false">IF($D70="","",IFERROR(INDEX(LOT_PRODE,MATCH($D70,LOT_KEY,0)),"LOT NON REFERENCE"))</f>
        <v/>
      </c>
      <c r="K70" s="26" t="str">
        <f aca="false">IF($D70="","",IFERROR(INDEX(LOT_FOURNE,MATCH($D70,LOT_KEY,0)),""))</f>
        <v/>
      </c>
      <c r="L70" s="26" t="str">
        <f aca="false">IF($E70="","",IFERROR(INDEX(EMPL_CLASSE,MATCH($E70,EMPL_KEY,0)),"?"))</f>
        <v/>
      </c>
      <c r="M70" s="26" t="str">
        <f aca="false">IF($F70="","",IFERROR(INDEX(EMPL_CLASSE,MATCH($F70,EMPL_KEY,0)),"?"))</f>
        <v/>
      </c>
      <c r="N70" s="28" t="n">
        <f aca="false">IF($C70="",0,IF(OR($B70="",$D70="",NOT(ISNUMBER($G70)),$G70&lt;=0),0,IF($C70="RECEPTION",IF($F70="",0,1),IF($C70="CONSOMMATION",IF($E70="",0,1),IF(OR($E70="",$F70="",$E70=$F70),0,1)))))</f>
        <v>0</v>
      </c>
      <c r="O70" s="27" t="str">
        <f aca="false">IF(OR($N70=0,$C70="RECEPTION"),"",SUMIFS(MVT_BRUT,MVT_LOT,$D70,MVT_EMPL,$E70)+$G70)</f>
        <v/>
      </c>
      <c r="P70" s="26" t="str">
        <f aca="false">IF($C70="","",IF($N70=0,"DONNEES MANQUANTES",IF($C70="RECEPTION","OK",IF($O70&lt;=0,"EMPLACEMENT INCOHERENT",IF($G70&gt;$O70+0.001,"STOCK INSUFFISANT","OK")))))</f>
        <v/>
      </c>
      <c r="Q70" s="28" t="n">
        <f aca="false">IF($P70="OK",1,0)</f>
        <v>0</v>
      </c>
      <c r="R70" s="26" t="str">
        <f aca="false">IF($C70="","",IF($N70=0,"A COMPLETER : "&amp;IF($B70="","DATE; ","")&amp;IF($D70="","LOT; ","")&amp;IF(OR(NOT(ISNUMBER($G70)),$G70&lt;=0),"QUANTITE &gt; 0; ","")&amp;IF(AND($C70&lt;&gt;"RECEPTION",$E70=""),"EMPL. SOURCE; ","")&amp;IF(AND($C70&lt;&gt;"CONSOMMATION",$F70=""),"EMPL. DESTINATION; ","")&amp;IF(AND($C70="TRANSFERT",$E70&lt;&gt;"",$E70=$F70),"SOURCE = DESTINATION; ",""),IF($P70="EMPLACEMENT INCOHERENT","Le lot "&amp;$D70&amp;" n'existe pas sur "&amp;$E70&amp;" (stock 0). Verifier l'emplacement source.",IF($P70="STOCK INSUFFISANT","Disponible avant operation : "&amp;TEXT($O70,"#,##0.00")&amp;" kg. Ligne NON comptee en stock.",IF(COUNTIFS($B$5:$B$304,$B70,$C$5:$C$304,$C70,$D$5:$D$304,$D70,$G$5:$G$304,$G70)&gt;1,"Doublon possible (meme date, type, lot et quantite).",IF($J70="LOT NON REFERENCE","Creer d'abord la fiche du lot dans l'onglet LOTS.",""))))))</f>
        <v/>
      </c>
    </row>
    <row r="71" customFormat="false" ht="15" hidden="false" customHeight="false" outlineLevel="0" collapsed="false">
      <c r="A71" s="26" t="str">
        <f aca="false">IF($C71="","","OP-"&amp;TEXT(ROW()-4,"000"))</f>
        <v/>
      </c>
      <c r="B71" s="25"/>
      <c r="C71" s="24"/>
      <c r="D71" s="24"/>
      <c r="E71" s="24"/>
      <c r="F71" s="24"/>
      <c r="G71" s="29"/>
      <c r="H71" s="24"/>
      <c r="I71" s="24"/>
      <c r="J71" s="26" t="str">
        <f aca="false">IF($D71="","",IFERROR(INDEX(LOT_PRODE,MATCH($D71,LOT_KEY,0)),"LOT NON REFERENCE"))</f>
        <v/>
      </c>
      <c r="K71" s="26" t="str">
        <f aca="false">IF($D71="","",IFERROR(INDEX(LOT_FOURNE,MATCH($D71,LOT_KEY,0)),""))</f>
        <v/>
      </c>
      <c r="L71" s="26" t="str">
        <f aca="false">IF($E71="","",IFERROR(INDEX(EMPL_CLASSE,MATCH($E71,EMPL_KEY,0)),"?"))</f>
        <v/>
      </c>
      <c r="M71" s="26" t="str">
        <f aca="false">IF($F71="","",IFERROR(INDEX(EMPL_CLASSE,MATCH($F71,EMPL_KEY,0)),"?"))</f>
        <v/>
      </c>
      <c r="N71" s="28" t="n">
        <f aca="false">IF($C71="",0,IF(OR($B71="",$D71="",NOT(ISNUMBER($G71)),$G71&lt;=0),0,IF($C71="RECEPTION",IF($F71="",0,1),IF($C71="CONSOMMATION",IF($E71="",0,1),IF(OR($E71="",$F71="",$E71=$F71),0,1)))))</f>
        <v>0</v>
      </c>
      <c r="O71" s="27" t="str">
        <f aca="false">IF(OR($N71=0,$C71="RECEPTION"),"",SUMIFS(MVT_BRUT,MVT_LOT,$D71,MVT_EMPL,$E71)+$G71)</f>
        <v/>
      </c>
      <c r="P71" s="26" t="str">
        <f aca="false">IF($C71="","",IF($N71=0,"DONNEES MANQUANTES",IF($C71="RECEPTION","OK",IF($O71&lt;=0,"EMPLACEMENT INCOHERENT",IF($G71&gt;$O71+0.001,"STOCK INSUFFISANT","OK")))))</f>
        <v/>
      </c>
      <c r="Q71" s="28" t="n">
        <f aca="false">IF($P71="OK",1,0)</f>
        <v>0</v>
      </c>
      <c r="R71" s="26" t="str">
        <f aca="false">IF($C71="","",IF($N71=0,"A COMPLETER : "&amp;IF($B71="","DATE; ","")&amp;IF($D71="","LOT; ","")&amp;IF(OR(NOT(ISNUMBER($G71)),$G71&lt;=0),"QUANTITE &gt; 0; ","")&amp;IF(AND($C71&lt;&gt;"RECEPTION",$E71=""),"EMPL. SOURCE; ","")&amp;IF(AND($C71&lt;&gt;"CONSOMMATION",$F71=""),"EMPL. DESTINATION; ","")&amp;IF(AND($C71="TRANSFERT",$E71&lt;&gt;"",$E71=$F71),"SOURCE = DESTINATION; ",""),IF($P71="EMPLACEMENT INCOHERENT","Le lot "&amp;$D71&amp;" n'existe pas sur "&amp;$E71&amp;" (stock 0). Verifier l'emplacement source.",IF($P71="STOCK INSUFFISANT","Disponible avant operation : "&amp;TEXT($O71,"#,##0.00")&amp;" kg. Ligne NON comptee en stock.",IF(COUNTIFS($B$5:$B$304,$B71,$C$5:$C$304,$C71,$D$5:$D$304,$D71,$G$5:$G$304,$G71)&gt;1,"Doublon possible (meme date, type, lot et quantite).",IF($J71="LOT NON REFERENCE","Creer d'abord la fiche du lot dans l'onglet LOTS.",""))))))</f>
        <v/>
      </c>
    </row>
    <row r="72" customFormat="false" ht="15" hidden="false" customHeight="false" outlineLevel="0" collapsed="false">
      <c r="A72" s="26" t="str">
        <f aca="false">IF($C72="","","OP-"&amp;TEXT(ROW()-4,"000"))</f>
        <v/>
      </c>
      <c r="B72" s="25"/>
      <c r="C72" s="24"/>
      <c r="D72" s="24"/>
      <c r="E72" s="24"/>
      <c r="F72" s="24"/>
      <c r="G72" s="29"/>
      <c r="H72" s="24"/>
      <c r="I72" s="24"/>
      <c r="J72" s="26" t="str">
        <f aca="false">IF($D72="","",IFERROR(INDEX(LOT_PRODE,MATCH($D72,LOT_KEY,0)),"LOT NON REFERENCE"))</f>
        <v/>
      </c>
      <c r="K72" s="26" t="str">
        <f aca="false">IF($D72="","",IFERROR(INDEX(LOT_FOURNE,MATCH($D72,LOT_KEY,0)),""))</f>
        <v/>
      </c>
      <c r="L72" s="26" t="str">
        <f aca="false">IF($E72="","",IFERROR(INDEX(EMPL_CLASSE,MATCH($E72,EMPL_KEY,0)),"?"))</f>
        <v/>
      </c>
      <c r="M72" s="26" t="str">
        <f aca="false">IF($F72="","",IFERROR(INDEX(EMPL_CLASSE,MATCH($F72,EMPL_KEY,0)),"?"))</f>
        <v/>
      </c>
      <c r="N72" s="28" t="n">
        <f aca="false">IF($C72="",0,IF(OR($B72="",$D72="",NOT(ISNUMBER($G72)),$G72&lt;=0),0,IF($C72="RECEPTION",IF($F72="",0,1),IF($C72="CONSOMMATION",IF($E72="",0,1),IF(OR($E72="",$F72="",$E72=$F72),0,1)))))</f>
        <v>0</v>
      </c>
      <c r="O72" s="27" t="str">
        <f aca="false">IF(OR($N72=0,$C72="RECEPTION"),"",SUMIFS(MVT_BRUT,MVT_LOT,$D72,MVT_EMPL,$E72)+$G72)</f>
        <v/>
      </c>
      <c r="P72" s="26" t="str">
        <f aca="false">IF($C72="","",IF($N72=0,"DONNEES MANQUANTES",IF($C72="RECEPTION","OK",IF($O72&lt;=0,"EMPLACEMENT INCOHERENT",IF($G72&gt;$O72+0.001,"STOCK INSUFFISANT","OK")))))</f>
        <v/>
      </c>
      <c r="Q72" s="28" t="n">
        <f aca="false">IF($P72="OK",1,0)</f>
        <v>0</v>
      </c>
      <c r="R72" s="26" t="str">
        <f aca="false">IF($C72="","",IF($N72=0,"A COMPLETER : "&amp;IF($B72="","DATE; ","")&amp;IF($D72="","LOT; ","")&amp;IF(OR(NOT(ISNUMBER($G72)),$G72&lt;=0),"QUANTITE &gt; 0; ","")&amp;IF(AND($C72&lt;&gt;"RECEPTION",$E72=""),"EMPL. SOURCE; ","")&amp;IF(AND($C72&lt;&gt;"CONSOMMATION",$F72=""),"EMPL. DESTINATION; ","")&amp;IF(AND($C72="TRANSFERT",$E72&lt;&gt;"",$E72=$F72),"SOURCE = DESTINATION; ",""),IF($P72="EMPLACEMENT INCOHERENT","Le lot "&amp;$D72&amp;" n'existe pas sur "&amp;$E72&amp;" (stock 0). Verifier l'emplacement source.",IF($P72="STOCK INSUFFISANT","Disponible avant operation : "&amp;TEXT($O72,"#,##0.00")&amp;" kg. Ligne NON comptee en stock.",IF(COUNTIFS($B$5:$B$304,$B72,$C$5:$C$304,$C72,$D$5:$D$304,$D72,$G$5:$G$304,$G72)&gt;1,"Doublon possible (meme date, type, lot et quantite).",IF($J72="LOT NON REFERENCE","Creer d'abord la fiche du lot dans l'onglet LOTS.",""))))))</f>
        <v/>
      </c>
    </row>
    <row r="73" customFormat="false" ht="15" hidden="false" customHeight="false" outlineLevel="0" collapsed="false">
      <c r="A73" s="26" t="str">
        <f aca="false">IF($C73="","","OP-"&amp;TEXT(ROW()-4,"000"))</f>
        <v/>
      </c>
      <c r="B73" s="25"/>
      <c r="C73" s="24"/>
      <c r="D73" s="24"/>
      <c r="E73" s="24"/>
      <c r="F73" s="24"/>
      <c r="G73" s="29"/>
      <c r="H73" s="24"/>
      <c r="I73" s="24"/>
      <c r="J73" s="26" t="str">
        <f aca="false">IF($D73="","",IFERROR(INDEX(LOT_PRODE,MATCH($D73,LOT_KEY,0)),"LOT NON REFERENCE"))</f>
        <v/>
      </c>
      <c r="K73" s="26" t="str">
        <f aca="false">IF($D73="","",IFERROR(INDEX(LOT_FOURNE,MATCH($D73,LOT_KEY,0)),""))</f>
        <v/>
      </c>
      <c r="L73" s="26" t="str">
        <f aca="false">IF($E73="","",IFERROR(INDEX(EMPL_CLASSE,MATCH($E73,EMPL_KEY,0)),"?"))</f>
        <v/>
      </c>
      <c r="M73" s="26" t="str">
        <f aca="false">IF($F73="","",IFERROR(INDEX(EMPL_CLASSE,MATCH($F73,EMPL_KEY,0)),"?"))</f>
        <v/>
      </c>
      <c r="N73" s="28" t="n">
        <f aca="false">IF($C73="",0,IF(OR($B73="",$D73="",NOT(ISNUMBER($G73)),$G73&lt;=0),0,IF($C73="RECEPTION",IF($F73="",0,1),IF($C73="CONSOMMATION",IF($E73="",0,1),IF(OR($E73="",$F73="",$E73=$F73),0,1)))))</f>
        <v>0</v>
      </c>
      <c r="O73" s="27" t="str">
        <f aca="false">IF(OR($N73=0,$C73="RECEPTION"),"",SUMIFS(MVT_BRUT,MVT_LOT,$D73,MVT_EMPL,$E73)+$G73)</f>
        <v/>
      </c>
      <c r="P73" s="26" t="str">
        <f aca="false">IF($C73="","",IF($N73=0,"DONNEES MANQUANTES",IF($C73="RECEPTION","OK",IF($O73&lt;=0,"EMPLACEMENT INCOHERENT",IF($G73&gt;$O73+0.001,"STOCK INSUFFISANT","OK")))))</f>
        <v/>
      </c>
      <c r="Q73" s="28" t="n">
        <f aca="false">IF($P73="OK",1,0)</f>
        <v>0</v>
      </c>
      <c r="R73" s="26" t="str">
        <f aca="false">IF($C73="","",IF($N73=0,"A COMPLETER : "&amp;IF($B73="","DATE; ","")&amp;IF($D73="","LOT; ","")&amp;IF(OR(NOT(ISNUMBER($G73)),$G73&lt;=0),"QUANTITE &gt; 0; ","")&amp;IF(AND($C73&lt;&gt;"RECEPTION",$E73=""),"EMPL. SOURCE; ","")&amp;IF(AND($C73&lt;&gt;"CONSOMMATION",$F73=""),"EMPL. DESTINATION; ","")&amp;IF(AND($C73="TRANSFERT",$E73&lt;&gt;"",$E73=$F73),"SOURCE = DESTINATION; ",""),IF($P73="EMPLACEMENT INCOHERENT","Le lot "&amp;$D73&amp;" n'existe pas sur "&amp;$E73&amp;" (stock 0). Verifier l'emplacement source.",IF($P73="STOCK INSUFFISANT","Disponible avant operation : "&amp;TEXT($O73,"#,##0.00")&amp;" kg. Ligne NON comptee en stock.",IF(COUNTIFS($B$5:$B$304,$B73,$C$5:$C$304,$C73,$D$5:$D$304,$D73,$G$5:$G$304,$G73)&gt;1,"Doublon possible (meme date, type, lot et quantite).",IF($J73="LOT NON REFERENCE","Creer d'abord la fiche du lot dans l'onglet LOTS.",""))))))</f>
        <v/>
      </c>
    </row>
    <row r="74" customFormat="false" ht="15" hidden="false" customHeight="false" outlineLevel="0" collapsed="false">
      <c r="A74" s="26" t="str">
        <f aca="false">IF($C74="","","OP-"&amp;TEXT(ROW()-4,"000"))</f>
        <v/>
      </c>
      <c r="B74" s="25"/>
      <c r="C74" s="24"/>
      <c r="D74" s="24"/>
      <c r="E74" s="24"/>
      <c r="F74" s="24"/>
      <c r="G74" s="29"/>
      <c r="H74" s="24"/>
      <c r="I74" s="24"/>
      <c r="J74" s="26" t="str">
        <f aca="false">IF($D74="","",IFERROR(INDEX(LOT_PRODE,MATCH($D74,LOT_KEY,0)),"LOT NON REFERENCE"))</f>
        <v/>
      </c>
      <c r="K74" s="26" t="str">
        <f aca="false">IF($D74="","",IFERROR(INDEX(LOT_FOURNE,MATCH($D74,LOT_KEY,0)),""))</f>
        <v/>
      </c>
      <c r="L74" s="26" t="str">
        <f aca="false">IF($E74="","",IFERROR(INDEX(EMPL_CLASSE,MATCH($E74,EMPL_KEY,0)),"?"))</f>
        <v/>
      </c>
      <c r="M74" s="26" t="str">
        <f aca="false">IF($F74="","",IFERROR(INDEX(EMPL_CLASSE,MATCH($F74,EMPL_KEY,0)),"?"))</f>
        <v/>
      </c>
      <c r="N74" s="28" t="n">
        <f aca="false">IF($C74="",0,IF(OR($B74="",$D74="",NOT(ISNUMBER($G74)),$G74&lt;=0),0,IF($C74="RECEPTION",IF($F74="",0,1),IF($C74="CONSOMMATION",IF($E74="",0,1),IF(OR($E74="",$F74="",$E74=$F74),0,1)))))</f>
        <v>0</v>
      </c>
      <c r="O74" s="27" t="str">
        <f aca="false">IF(OR($N74=0,$C74="RECEPTION"),"",SUMIFS(MVT_BRUT,MVT_LOT,$D74,MVT_EMPL,$E74)+$G74)</f>
        <v/>
      </c>
      <c r="P74" s="26" t="str">
        <f aca="false">IF($C74="","",IF($N74=0,"DONNEES MANQUANTES",IF($C74="RECEPTION","OK",IF($O74&lt;=0,"EMPLACEMENT INCOHERENT",IF($G74&gt;$O74+0.001,"STOCK INSUFFISANT","OK")))))</f>
        <v/>
      </c>
      <c r="Q74" s="28" t="n">
        <f aca="false">IF($P74="OK",1,0)</f>
        <v>0</v>
      </c>
      <c r="R74" s="26" t="str">
        <f aca="false">IF($C74="","",IF($N74=0,"A COMPLETER : "&amp;IF($B74="","DATE; ","")&amp;IF($D74="","LOT; ","")&amp;IF(OR(NOT(ISNUMBER($G74)),$G74&lt;=0),"QUANTITE &gt; 0; ","")&amp;IF(AND($C74&lt;&gt;"RECEPTION",$E74=""),"EMPL. SOURCE; ","")&amp;IF(AND($C74&lt;&gt;"CONSOMMATION",$F74=""),"EMPL. DESTINATION; ","")&amp;IF(AND($C74="TRANSFERT",$E74&lt;&gt;"",$E74=$F74),"SOURCE = DESTINATION; ",""),IF($P74="EMPLACEMENT INCOHERENT","Le lot "&amp;$D74&amp;" n'existe pas sur "&amp;$E74&amp;" (stock 0). Verifier l'emplacement source.",IF($P74="STOCK INSUFFISANT","Disponible avant operation : "&amp;TEXT($O74,"#,##0.00")&amp;" kg. Ligne NON comptee en stock.",IF(COUNTIFS($B$5:$B$304,$B74,$C$5:$C$304,$C74,$D$5:$D$304,$D74,$G$5:$G$304,$G74)&gt;1,"Doublon possible (meme date, type, lot et quantite).",IF($J74="LOT NON REFERENCE","Creer d'abord la fiche du lot dans l'onglet LOTS.",""))))))</f>
        <v/>
      </c>
    </row>
    <row r="75" customFormat="false" ht="15" hidden="false" customHeight="false" outlineLevel="0" collapsed="false">
      <c r="A75" s="26" t="str">
        <f aca="false">IF($C75="","","OP-"&amp;TEXT(ROW()-4,"000"))</f>
        <v/>
      </c>
      <c r="B75" s="25"/>
      <c r="C75" s="24"/>
      <c r="D75" s="24"/>
      <c r="E75" s="24"/>
      <c r="F75" s="24"/>
      <c r="G75" s="29"/>
      <c r="H75" s="24"/>
      <c r="I75" s="24"/>
      <c r="J75" s="26" t="str">
        <f aca="false">IF($D75="","",IFERROR(INDEX(LOT_PRODE,MATCH($D75,LOT_KEY,0)),"LOT NON REFERENCE"))</f>
        <v/>
      </c>
      <c r="K75" s="26" t="str">
        <f aca="false">IF($D75="","",IFERROR(INDEX(LOT_FOURNE,MATCH($D75,LOT_KEY,0)),""))</f>
        <v/>
      </c>
      <c r="L75" s="26" t="str">
        <f aca="false">IF($E75="","",IFERROR(INDEX(EMPL_CLASSE,MATCH($E75,EMPL_KEY,0)),"?"))</f>
        <v/>
      </c>
      <c r="M75" s="26" t="str">
        <f aca="false">IF($F75="","",IFERROR(INDEX(EMPL_CLASSE,MATCH($F75,EMPL_KEY,0)),"?"))</f>
        <v/>
      </c>
      <c r="N75" s="28" t="n">
        <f aca="false">IF($C75="",0,IF(OR($B75="",$D75="",NOT(ISNUMBER($G75)),$G75&lt;=0),0,IF($C75="RECEPTION",IF($F75="",0,1),IF($C75="CONSOMMATION",IF($E75="",0,1),IF(OR($E75="",$F75="",$E75=$F75),0,1)))))</f>
        <v>0</v>
      </c>
      <c r="O75" s="27" t="str">
        <f aca="false">IF(OR($N75=0,$C75="RECEPTION"),"",SUMIFS(MVT_BRUT,MVT_LOT,$D75,MVT_EMPL,$E75)+$G75)</f>
        <v/>
      </c>
      <c r="P75" s="26" t="str">
        <f aca="false">IF($C75="","",IF($N75=0,"DONNEES MANQUANTES",IF($C75="RECEPTION","OK",IF($O75&lt;=0,"EMPLACEMENT INCOHERENT",IF($G75&gt;$O75+0.001,"STOCK INSUFFISANT","OK")))))</f>
        <v/>
      </c>
      <c r="Q75" s="28" t="n">
        <f aca="false">IF($P75="OK",1,0)</f>
        <v>0</v>
      </c>
      <c r="R75" s="26" t="str">
        <f aca="false">IF($C75="","",IF($N75=0,"A COMPLETER : "&amp;IF($B75="","DATE; ","")&amp;IF($D75="","LOT; ","")&amp;IF(OR(NOT(ISNUMBER($G75)),$G75&lt;=0),"QUANTITE &gt; 0; ","")&amp;IF(AND($C75&lt;&gt;"RECEPTION",$E75=""),"EMPL. SOURCE; ","")&amp;IF(AND($C75&lt;&gt;"CONSOMMATION",$F75=""),"EMPL. DESTINATION; ","")&amp;IF(AND($C75="TRANSFERT",$E75&lt;&gt;"",$E75=$F75),"SOURCE = DESTINATION; ",""),IF($P75="EMPLACEMENT INCOHERENT","Le lot "&amp;$D75&amp;" n'existe pas sur "&amp;$E75&amp;" (stock 0). Verifier l'emplacement source.",IF($P75="STOCK INSUFFISANT","Disponible avant operation : "&amp;TEXT($O75,"#,##0.00")&amp;" kg. Ligne NON comptee en stock.",IF(COUNTIFS($B$5:$B$304,$B75,$C$5:$C$304,$C75,$D$5:$D$304,$D75,$G$5:$G$304,$G75)&gt;1,"Doublon possible (meme date, type, lot et quantite).",IF($J75="LOT NON REFERENCE","Creer d'abord la fiche du lot dans l'onglet LOTS.",""))))))</f>
        <v/>
      </c>
    </row>
    <row r="76" customFormat="false" ht="15" hidden="false" customHeight="false" outlineLevel="0" collapsed="false">
      <c r="A76" s="26" t="str">
        <f aca="false">IF($C76="","","OP-"&amp;TEXT(ROW()-4,"000"))</f>
        <v/>
      </c>
      <c r="B76" s="25"/>
      <c r="C76" s="24"/>
      <c r="D76" s="24"/>
      <c r="E76" s="24"/>
      <c r="F76" s="24"/>
      <c r="G76" s="29"/>
      <c r="H76" s="24"/>
      <c r="I76" s="24"/>
      <c r="J76" s="26" t="str">
        <f aca="false">IF($D76="","",IFERROR(INDEX(LOT_PRODE,MATCH($D76,LOT_KEY,0)),"LOT NON REFERENCE"))</f>
        <v/>
      </c>
      <c r="K76" s="26" t="str">
        <f aca="false">IF($D76="","",IFERROR(INDEX(LOT_FOURNE,MATCH($D76,LOT_KEY,0)),""))</f>
        <v/>
      </c>
      <c r="L76" s="26" t="str">
        <f aca="false">IF($E76="","",IFERROR(INDEX(EMPL_CLASSE,MATCH($E76,EMPL_KEY,0)),"?"))</f>
        <v/>
      </c>
      <c r="M76" s="26" t="str">
        <f aca="false">IF($F76="","",IFERROR(INDEX(EMPL_CLASSE,MATCH($F76,EMPL_KEY,0)),"?"))</f>
        <v/>
      </c>
      <c r="N76" s="28" t="n">
        <f aca="false">IF($C76="",0,IF(OR($B76="",$D76="",NOT(ISNUMBER($G76)),$G76&lt;=0),0,IF($C76="RECEPTION",IF($F76="",0,1),IF($C76="CONSOMMATION",IF($E76="",0,1),IF(OR($E76="",$F76="",$E76=$F76),0,1)))))</f>
        <v>0</v>
      </c>
      <c r="O76" s="27" t="str">
        <f aca="false">IF(OR($N76=0,$C76="RECEPTION"),"",SUMIFS(MVT_BRUT,MVT_LOT,$D76,MVT_EMPL,$E76)+$G76)</f>
        <v/>
      </c>
      <c r="P76" s="26" t="str">
        <f aca="false">IF($C76="","",IF($N76=0,"DONNEES MANQUANTES",IF($C76="RECEPTION","OK",IF($O76&lt;=0,"EMPLACEMENT INCOHERENT",IF($G76&gt;$O76+0.001,"STOCK INSUFFISANT","OK")))))</f>
        <v/>
      </c>
      <c r="Q76" s="28" t="n">
        <f aca="false">IF($P76="OK",1,0)</f>
        <v>0</v>
      </c>
      <c r="R76" s="26" t="str">
        <f aca="false">IF($C76="","",IF($N76=0,"A COMPLETER : "&amp;IF($B76="","DATE; ","")&amp;IF($D76="","LOT; ","")&amp;IF(OR(NOT(ISNUMBER($G76)),$G76&lt;=0),"QUANTITE &gt; 0; ","")&amp;IF(AND($C76&lt;&gt;"RECEPTION",$E76=""),"EMPL. SOURCE; ","")&amp;IF(AND($C76&lt;&gt;"CONSOMMATION",$F76=""),"EMPL. DESTINATION; ","")&amp;IF(AND($C76="TRANSFERT",$E76&lt;&gt;"",$E76=$F76),"SOURCE = DESTINATION; ",""),IF($P76="EMPLACEMENT INCOHERENT","Le lot "&amp;$D76&amp;" n'existe pas sur "&amp;$E76&amp;" (stock 0). Verifier l'emplacement source.",IF($P76="STOCK INSUFFISANT","Disponible avant operation : "&amp;TEXT($O76,"#,##0.00")&amp;" kg. Ligne NON comptee en stock.",IF(COUNTIFS($B$5:$B$304,$B76,$C$5:$C$304,$C76,$D$5:$D$304,$D76,$G$5:$G$304,$G76)&gt;1,"Doublon possible (meme date, type, lot et quantite).",IF($J76="LOT NON REFERENCE","Creer d'abord la fiche du lot dans l'onglet LOTS.",""))))))</f>
        <v/>
      </c>
    </row>
    <row r="77" customFormat="false" ht="15" hidden="false" customHeight="false" outlineLevel="0" collapsed="false">
      <c r="A77" s="26" t="str">
        <f aca="false">IF($C77="","","OP-"&amp;TEXT(ROW()-4,"000"))</f>
        <v/>
      </c>
      <c r="B77" s="25"/>
      <c r="C77" s="24"/>
      <c r="D77" s="24"/>
      <c r="E77" s="24"/>
      <c r="F77" s="24"/>
      <c r="G77" s="29"/>
      <c r="H77" s="24"/>
      <c r="I77" s="24"/>
      <c r="J77" s="26" t="str">
        <f aca="false">IF($D77="","",IFERROR(INDEX(LOT_PRODE,MATCH($D77,LOT_KEY,0)),"LOT NON REFERENCE"))</f>
        <v/>
      </c>
      <c r="K77" s="26" t="str">
        <f aca="false">IF($D77="","",IFERROR(INDEX(LOT_FOURNE,MATCH($D77,LOT_KEY,0)),""))</f>
        <v/>
      </c>
      <c r="L77" s="26" t="str">
        <f aca="false">IF($E77="","",IFERROR(INDEX(EMPL_CLASSE,MATCH($E77,EMPL_KEY,0)),"?"))</f>
        <v/>
      </c>
      <c r="M77" s="26" t="str">
        <f aca="false">IF($F77="","",IFERROR(INDEX(EMPL_CLASSE,MATCH($F77,EMPL_KEY,0)),"?"))</f>
        <v/>
      </c>
      <c r="N77" s="28" t="n">
        <f aca="false">IF($C77="",0,IF(OR($B77="",$D77="",NOT(ISNUMBER($G77)),$G77&lt;=0),0,IF($C77="RECEPTION",IF($F77="",0,1),IF($C77="CONSOMMATION",IF($E77="",0,1),IF(OR($E77="",$F77="",$E77=$F77),0,1)))))</f>
        <v>0</v>
      </c>
      <c r="O77" s="27" t="str">
        <f aca="false">IF(OR($N77=0,$C77="RECEPTION"),"",SUMIFS(MVT_BRUT,MVT_LOT,$D77,MVT_EMPL,$E77)+$G77)</f>
        <v/>
      </c>
      <c r="P77" s="26" t="str">
        <f aca="false">IF($C77="","",IF($N77=0,"DONNEES MANQUANTES",IF($C77="RECEPTION","OK",IF($O77&lt;=0,"EMPLACEMENT INCOHERENT",IF($G77&gt;$O77+0.001,"STOCK INSUFFISANT","OK")))))</f>
        <v/>
      </c>
      <c r="Q77" s="28" t="n">
        <f aca="false">IF($P77="OK",1,0)</f>
        <v>0</v>
      </c>
      <c r="R77" s="26" t="str">
        <f aca="false">IF($C77="","",IF($N77=0,"A COMPLETER : "&amp;IF($B77="","DATE; ","")&amp;IF($D77="","LOT; ","")&amp;IF(OR(NOT(ISNUMBER($G77)),$G77&lt;=0),"QUANTITE &gt; 0; ","")&amp;IF(AND($C77&lt;&gt;"RECEPTION",$E77=""),"EMPL. SOURCE; ","")&amp;IF(AND($C77&lt;&gt;"CONSOMMATION",$F77=""),"EMPL. DESTINATION; ","")&amp;IF(AND($C77="TRANSFERT",$E77&lt;&gt;"",$E77=$F77),"SOURCE = DESTINATION; ",""),IF($P77="EMPLACEMENT INCOHERENT","Le lot "&amp;$D77&amp;" n'existe pas sur "&amp;$E77&amp;" (stock 0). Verifier l'emplacement source.",IF($P77="STOCK INSUFFISANT","Disponible avant operation : "&amp;TEXT($O77,"#,##0.00")&amp;" kg. Ligne NON comptee en stock.",IF(COUNTIFS($B$5:$B$304,$B77,$C$5:$C$304,$C77,$D$5:$D$304,$D77,$G$5:$G$304,$G77)&gt;1,"Doublon possible (meme date, type, lot et quantite).",IF($J77="LOT NON REFERENCE","Creer d'abord la fiche du lot dans l'onglet LOTS.",""))))))</f>
        <v/>
      </c>
    </row>
    <row r="78" customFormat="false" ht="15" hidden="false" customHeight="false" outlineLevel="0" collapsed="false">
      <c r="A78" s="26" t="str">
        <f aca="false">IF($C78="","","OP-"&amp;TEXT(ROW()-4,"000"))</f>
        <v/>
      </c>
      <c r="B78" s="25"/>
      <c r="C78" s="24"/>
      <c r="D78" s="24"/>
      <c r="E78" s="24"/>
      <c r="F78" s="24"/>
      <c r="G78" s="29"/>
      <c r="H78" s="24"/>
      <c r="I78" s="24"/>
      <c r="J78" s="26" t="str">
        <f aca="false">IF($D78="","",IFERROR(INDEX(LOT_PRODE,MATCH($D78,LOT_KEY,0)),"LOT NON REFERENCE"))</f>
        <v/>
      </c>
      <c r="K78" s="26" t="str">
        <f aca="false">IF($D78="","",IFERROR(INDEX(LOT_FOURNE,MATCH($D78,LOT_KEY,0)),""))</f>
        <v/>
      </c>
      <c r="L78" s="26" t="str">
        <f aca="false">IF($E78="","",IFERROR(INDEX(EMPL_CLASSE,MATCH($E78,EMPL_KEY,0)),"?"))</f>
        <v/>
      </c>
      <c r="M78" s="26" t="str">
        <f aca="false">IF($F78="","",IFERROR(INDEX(EMPL_CLASSE,MATCH($F78,EMPL_KEY,0)),"?"))</f>
        <v/>
      </c>
      <c r="N78" s="28" t="n">
        <f aca="false">IF($C78="",0,IF(OR($B78="",$D78="",NOT(ISNUMBER($G78)),$G78&lt;=0),0,IF($C78="RECEPTION",IF($F78="",0,1),IF($C78="CONSOMMATION",IF($E78="",0,1),IF(OR($E78="",$F78="",$E78=$F78),0,1)))))</f>
        <v>0</v>
      </c>
      <c r="O78" s="27" t="str">
        <f aca="false">IF(OR($N78=0,$C78="RECEPTION"),"",SUMIFS(MVT_BRUT,MVT_LOT,$D78,MVT_EMPL,$E78)+$G78)</f>
        <v/>
      </c>
      <c r="P78" s="26" t="str">
        <f aca="false">IF($C78="","",IF($N78=0,"DONNEES MANQUANTES",IF($C78="RECEPTION","OK",IF($O78&lt;=0,"EMPLACEMENT INCOHERENT",IF($G78&gt;$O78+0.001,"STOCK INSUFFISANT","OK")))))</f>
        <v/>
      </c>
      <c r="Q78" s="28" t="n">
        <f aca="false">IF($P78="OK",1,0)</f>
        <v>0</v>
      </c>
      <c r="R78" s="26" t="str">
        <f aca="false">IF($C78="","",IF($N78=0,"A COMPLETER : "&amp;IF($B78="","DATE; ","")&amp;IF($D78="","LOT; ","")&amp;IF(OR(NOT(ISNUMBER($G78)),$G78&lt;=0),"QUANTITE &gt; 0; ","")&amp;IF(AND($C78&lt;&gt;"RECEPTION",$E78=""),"EMPL. SOURCE; ","")&amp;IF(AND($C78&lt;&gt;"CONSOMMATION",$F78=""),"EMPL. DESTINATION; ","")&amp;IF(AND($C78="TRANSFERT",$E78&lt;&gt;"",$E78=$F78),"SOURCE = DESTINATION; ",""),IF($P78="EMPLACEMENT INCOHERENT","Le lot "&amp;$D78&amp;" n'existe pas sur "&amp;$E78&amp;" (stock 0). Verifier l'emplacement source.",IF($P78="STOCK INSUFFISANT","Disponible avant operation : "&amp;TEXT($O78,"#,##0.00")&amp;" kg. Ligne NON comptee en stock.",IF(COUNTIFS($B$5:$B$304,$B78,$C$5:$C$304,$C78,$D$5:$D$304,$D78,$G$5:$G$304,$G78)&gt;1,"Doublon possible (meme date, type, lot et quantite).",IF($J78="LOT NON REFERENCE","Creer d'abord la fiche du lot dans l'onglet LOTS.",""))))))</f>
        <v/>
      </c>
    </row>
    <row r="79" customFormat="false" ht="15" hidden="false" customHeight="false" outlineLevel="0" collapsed="false">
      <c r="A79" s="26" t="str">
        <f aca="false">IF($C79="","","OP-"&amp;TEXT(ROW()-4,"000"))</f>
        <v/>
      </c>
      <c r="B79" s="25"/>
      <c r="C79" s="24"/>
      <c r="D79" s="24"/>
      <c r="E79" s="24"/>
      <c r="F79" s="24"/>
      <c r="G79" s="29"/>
      <c r="H79" s="24"/>
      <c r="I79" s="24"/>
      <c r="J79" s="26" t="str">
        <f aca="false">IF($D79="","",IFERROR(INDEX(LOT_PRODE,MATCH($D79,LOT_KEY,0)),"LOT NON REFERENCE"))</f>
        <v/>
      </c>
      <c r="K79" s="26" t="str">
        <f aca="false">IF($D79="","",IFERROR(INDEX(LOT_FOURNE,MATCH($D79,LOT_KEY,0)),""))</f>
        <v/>
      </c>
      <c r="L79" s="26" t="str">
        <f aca="false">IF($E79="","",IFERROR(INDEX(EMPL_CLASSE,MATCH($E79,EMPL_KEY,0)),"?"))</f>
        <v/>
      </c>
      <c r="M79" s="26" t="str">
        <f aca="false">IF($F79="","",IFERROR(INDEX(EMPL_CLASSE,MATCH($F79,EMPL_KEY,0)),"?"))</f>
        <v/>
      </c>
      <c r="N79" s="28" t="n">
        <f aca="false">IF($C79="",0,IF(OR($B79="",$D79="",NOT(ISNUMBER($G79)),$G79&lt;=0),0,IF($C79="RECEPTION",IF($F79="",0,1),IF($C79="CONSOMMATION",IF($E79="",0,1),IF(OR($E79="",$F79="",$E79=$F79),0,1)))))</f>
        <v>0</v>
      </c>
      <c r="O79" s="27" t="str">
        <f aca="false">IF(OR($N79=0,$C79="RECEPTION"),"",SUMIFS(MVT_BRUT,MVT_LOT,$D79,MVT_EMPL,$E79)+$G79)</f>
        <v/>
      </c>
      <c r="P79" s="26" t="str">
        <f aca="false">IF($C79="","",IF($N79=0,"DONNEES MANQUANTES",IF($C79="RECEPTION","OK",IF($O79&lt;=0,"EMPLACEMENT INCOHERENT",IF($G79&gt;$O79+0.001,"STOCK INSUFFISANT","OK")))))</f>
        <v/>
      </c>
      <c r="Q79" s="28" t="n">
        <f aca="false">IF($P79="OK",1,0)</f>
        <v>0</v>
      </c>
      <c r="R79" s="26" t="str">
        <f aca="false">IF($C79="","",IF($N79=0,"A COMPLETER : "&amp;IF($B79="","DATE; ","")&amp;IF($D79="","LOT; ","")&amp;IF(OR(NOT(ISNUMBER($G79)),$G79&lt;=0),"QUANTITE &gt; 0; ","")&amp;IF(AND($C79&lt;&gt;"RECEPTION",$E79=""),"EMPL. SOURCE; ","")&amp;IF(AND($C79&lt;&gt;"CONSOMMATION",$F79=""),"EMPL. DESTINATION; ","")&amp;IF(AND($C79="TRANSFERT",$E79&lt;&gt;"",$E79=$F79),"SOURCE = DESTINATION; ",""),IF($P79="EMPLACEMENT INCOHERENT","Le lot "&amp;$D79&amp;" n'existe pas sur "&amp;$E79&amp;" (stock 0). Verifier l'emplacement source.",IF($P79="STOCK INSUFFISANT","Disponible avant operation : "&amp;TEXT($O79,"#,##0.00")&amp;" kg. Ligne NON comptee en stock.",IF(COUNTIFS($B$5:$B$304,$B79,$C$5:$C$304,$C79,$D$5:$D$304,$D79,$G$5:$G$304,$G79)&gt;1,"Doublon possible (meme date, type, lot et quantite).",IF($J79="LOT NON REFERENCE","Creer d'abord la fiche du lot dans l'onglet LOTS.",""))))))</f>
        <v/>
      </c>
    </row>
    <row r="80" customFormat="false" ht="15" hidden="false" customHeight="false" outlineLevel="0" collapsed="false">
      <c r="A80" s="26" t="str">
        <f aca="false">IF($C80="","","OP-"&amp;TEXT(ROW()-4,"000"))</f>
        <v/>
      </c>
      <c r="B80" s="25"/>
      <c r="C80" s="24"/>
      <c r="D80" s="24"/>
      <c r="E80" s="24"/>
      <c r="F80" s="24"/>
      <c r="G80" s="29"/>
      <c r="H80" s="24"/>
      <c r="I80" s="24"/>
      <c r="J80" s="26" t="str">
        <f aca="false">IF($D80="","",IFERROR(INDEX(LOT_PRODE,MATCH($D80,LOT_KEY,0)),"LOT NON REFERENCE"))</f>
        <v/>
      </c>
      <c r="K80" s="26" t="str">
        <f aca="false">IF($D80="","",IFERROR(INDEX(LOT_FOURNE,MATCH($D80,LOT_KEY,0)),""))</f>
        <v/>
      </c>
      <c r="L80" s="26" t="str">
        <f aca="false">IF($E80="","",IFERROR(INDEX(EMPL_CLASSE,MATCH($E80,EMPL_KEY,0)),"?"))</f>
        <v/>
      </c>
      <c r="M80" s="26" t="str">
        <f aca="false">IF($F80="","",IFERROR(INDEX(EMPL_CLASSE,MATCH($F80,EMPL_KEY,0)),"?"))</f>
        <v/>
      </c>
      <c r="N80" s="28" t="n">
        <f aca="false">IF($C80="",0,IF(OR($B80="",$D80="",NOT(ISNUMBER($G80)),$G80&lt;=0),0,IF($C80="RECEPTION",IF($F80="",0,1),IF($C80="CONSOMMATION",IF($E80="",0,1),IF(OR($E80="",$F80="",$E80=$F80),0,1)))))</f>
        <v>0</v>
      </c>
      <c r="O80" s="27" t="str">
        <f aca="false">IF(OR($N80=0,$C80="RECEPTION"),"",SUMIFS(MVT_BRUT,MVT_LOT,$D80,MVT_EMPL,$E80)+$G80)</f>
        <v/>
      </c>
      <c r="P80" s="26" t="str">
        <f aca="false">IF($C80="","",IF($N80=0,"DONNEES MANQUANTES",IF($C80="RECEPTION","OK",IF($O80&lt;=0,"EMPLACEMENT INCOHERENT",IF($G80&gt;$O80+0.001,"STOCK INSUFFISANT","OK")))))</f>
        <v/>
      </c>
      <c r="Q80" s="28" t="n">
        <f aca="false">IF($P80="OK",1,0)</f>
        <v>0</v>
      </c>
      <c r="R80" s="26" t="str">
        <f aca="false">IF($C80="","",IF($N80=0,"A COMPLETER : "&amp;IF($B80="","DATE; ","")&amp;IF($D80="","LOT; ","")&amp;IF(OR(NOT(ISNUMBER($G80)),$G80&lt;=0),"QUANTITE &gt; 0; ","")&amp;IF(AND($C80&lt;&gt;"RECEPTION",$E80=""),"EMPL. SOURCE; ","")&amp;IF(AND($C80&lt;&gt;"CONSOMMATION",$F80=""),"EMPL. DESTINATION; ","")&amp;IF(AND($C80="TRANSFERT",$E80&lt;&gt;"",$E80=$F80),"SOURCE = DESTINATION; ",""),IF($P80="EMPLACEMENT INCOHERENT","Le lot "&amp;$D80&amp;" n'existe pas sur "&amp;$E80&amp;" (stock 0). Verifier l'emplacement source.",IF($P80="STOCK INSUFFISANT","Disponible avant operation : "&amp;TEXT($O80,"#,##0.00")&amp;" kg. Ligne NON comptee en stock.",IF(COUNTIFS($B$5:$B$304,$B80,$C$5:$C$304,$C80,$D$5:$D$304,$D80,$G$5:$G$304,$G80)&gt;1,"Doublon possible (meme date, type, lot et quantite).",IF($J80="LOT NON REFERENCE","Creer d'abord la fiche du lot dans l'onglet LOTS.",""))))))</f>
        <v/>
      </c>
    </row>
    <row r="81" customFormat="false" ht="15" hidden="false" customHeight="false" outlineLevel="0" collapsed="false">
      <c r="A81" s="26" t="str">
        <f aca="false">IF($C81="","","OP-"&amp;TEXT(ROW()-4,"000"))</f>
        <v/>
      </c>
      <c r="B81" s="25"/>
      <c r="C81" s="24"/>
      <c r="D81" s="24"/>
      <c r="E81" s="24"/>
      <c r="F81" s="24"/>
      <c r="G81" s="29"/>
      <c r="H81" s="24"/>
      <c r="I81" s="24"/>
      <c r="J81" s="26" t="str">
        <f aca="false">IF($D81="","",IFERROR(INDEX(LOT_PRODE,MATCH($D81,LOT_KEY,0)),"LOT NON REFERENCE"))</f>
        <v/>
      </c>
      <c r="K81" s="26" t="str">
        <f aca="false">IF($D81="","",IFERROR(INDEX(LOT_FOURNE,MATCH($D81,LOT_KEY,0)),""))</f>
        <v/>
      </c>
      <c r="L81" s="26" t="str">
        <f aca="false">IF($E81="","",IFERROR(INDEX(EMPL_CLASSE,MATCH($E81,EMPL_KEY,0)),"?"))</f>
        <v/>
      </c>
      <c r="M81" s="26" t="str">
        <f aca="false">IF($F81="","",IFERROR(INDEX(EMPL_CLASSE,MATCH($F81,EMPL_KEY,0)),"?"))</f>
        <v/>
      </c>
      <c r="N81" s="28" t="n">
        <f aca="false">IF($C81="",0,IF(OR($B81="",$D81="",NOT(ISNUMBER($G81)),$G81&lt;=0),0,IF($C81="RECEPTION",IF($F81="",0,1),IF($C81="CONSOMMATION",IF($E81="",0,1),IF(OR($E81="",$F81="",$E81=$F81),0,1)))))</f>
        <v>0</v>
      </c>
      <c r="O81" s="27" t="str">
        <f aca="false">IF(OR($N81=0,$C81="RECEPTION"),"",SUMIFS(MVT_BRUT,MVT_LOT,$D81,MVT_EMPL,$E81)+$G81)</f>
        <v/>
      </c>
      <c r="P81" s="26" t="str">
        <f aca="false">IF($C81="","",IF($N81=0,"DONNEES MANQUANTES",IF($C81="RECEPTION","OK",IF($O81&lt;=0,"EMPLACEMENT INCOHERENT",IF($G81&gt;$O81+0.001,"STOCK INSUFFISANT","OK")))))</f>
        <v/>
      </c>
      <c r="Q81" s="28" t="n">
        <f aca="false">IF($P81="OK",1,0)</f>
        <v>0</v>
      </c>
      <c r="R81" s="26" t="str">
        <f aca="false">IF($C81="","",IF($N81=0,"A COMPLETER : "&amp;IF($B81="","DATE; ","")&amp;IF($D81="","LOT; ","")&amp;IF(OR(NOT(ISNUMBER($G81)),$G81&lt;=0),"QUANTITE &gt; 0; ","")&amp;IF(AND($C81&lt;&gt;"RECEPTION",$E81=""),"EMPL. SOURCE; ","")&amp;IF(AND($C81&lt;&gt;"CONSOMMATION",$F81=""),"EMPL. DESTINATION; ","")&amp;IF(AND($C81="TRANSFERT",$E81&lt;&gt;"",$E81=$F81),"SOURCE = DESTINATION; ",""),IF($P81="EMPLACEMENT INCOHERENT","Le lot "&amp;$D81&amp;" n'existe pas sur "&amp;$E81&amp;" (stock 0). Verifier l'emplacement source.",IF($P81="STOCK INSUFFISANT","Disponible avant operation : "&amp;TEXT($O81,"#,##0.00")&amp;" kg. Ligne NON comptee en stock.",IF(COUNTIFS($B$5:$B$304,$B81,$C$5:$C$304,$C81,$D$5:$D$304,$D81,$G$5:$G$304,$G81)&gt;1,"Doublon possible (meme date, type, lot et quantite).",IF($J81="LOT NON REFERENCE","Creer d'abord la fiche du lot dans l'onglet LOTS.",""))))))</f>
        <v/>
      </c>
    </row>
    <row r="82" customFormat="false" ht="15" hidden="false" customHeight="false" outlineLevel="0" collapsed="false">
      <c r="A82" s="26" t="str">
        <f aca="false">IF($C82="","","OP-"&amp;TEXT(ROW()-4,"000"))</f>
        <v/>
      </c>
      <c r="B82" s="25"/>
      <c r="C82" s="24"/>
      <c r="D82" s="24"/>
      <c r="E82" s="24"/>
      <c r="F82" s="24"/>
      <c r="G82" s="29"/>
      <c r="H82" s="24"/>
      <c r="I82" s="24"/>
      <c r="J82" s="26" t="str">
        <f aca="false">IF($D82="","",IFERROR(INDEX(LOT_PRODE,MATCH($D82,LOT_KEY,0)),"LOT NON REFERENCE"))</f>
        <v/>
      </c>
      <c r="K82" s="26" t="str">
        <f aca="false">IF($D82="","",IFERROR(INDEX(LOT_FOURNE,MATCH($D82,LOT_KEY,0)),""))</f>
        <v/>
      </c>
      <c r="L82" s="26" t="str">
        <f aca="false">IF($E82="","",IFERROR(INDEX(EMPL_CLASSE,MATCH($E82,EMPL_KEY,0)),"?"))</f>
        <v/>
      </c>
      <c r="M82" s="26" t="str">
        <f aca="false">IF($F82="","",IFERROR(INDEX(EMPL_CLASSE,MATCH($F82,EMPL_KEY,0)),"?"))</f>
        <v/>
      </c>
      <c r="N82" s="28" t="n">
        <f aca="false">IF($C82="",0,IF(OR($B82="",$D82="",NOT(ISNUMBER($G82)),$G82&lt;=0),0,IF($C82="RECEPTION",IF($F82="",0,1),IF($C82="CONSOMMATION",IF($E82="",0,1),IF(OR($E82="",$F82="",$E82=$F82),0,1)))))</f>
        <v>0</v>
      </c>
      <c r="O82" s="27" t="str">
        <f aca="false">IF(OR($N82=0,$C82="RECEPTION"),"",SUMIFS(MVT_BRUT,MVT_LOT,$D82,MVT_EMPL,$E82)+$G82)</f>
        <v/>
      </c>
      <c r="P82" s="26" t="str">
        <f aca="false">IF($C82="","",IF($N82=0,"DONNEES MANQUANTES",IF($C82="RECEPTION","OK",IF($O82&lt;=0,"EMPLACEMENT INCOHERENT",IF($G82&gt;$O82+0.001,"STOCK INSUFFISANT","OK")))))</f>
        <v/>
      </c>
      <c r="Q82" s="28" t="n">
        <f aca="false">IF($P82="OK",1,0)</f>
        <v>0</v>
      </c>
      <c r="R82" s="26" t="str">
        <f aca="false">IF($C82="","",IF($N82=0,"A COMPLETER : "&amp;IF($B82="","DATE; ","")&amp;IF($D82="","LOT; ","")&amp;IF(OR(NOT(ISNUMBER($G82)),$G82&lt;=0),"QUANTITE &gt; 0; ","")&amp;IF(AND($C82&lt;&gt;"RECEPTION",$E82=""),"EMPL. SOURCE; ","")&amp;IF(AND($C82&lt;&gt;"CONSOMMATION",$F82=""),"EMPL. DESTINATION; ","")&amp;IF(AND($C82="TRANSFERT",$E82&lt;&gt;"",$E82=$F82),"SOURCE = DESTINATION; ",""),IF($P82="EMPLACEMENT INCOHERENT","Le lot "&amp;$D82&amp;" n'existe pas sur "&amp;$E82&amp;" (stock 0). Verifier l'emplacement source.",IF($P82="STOCK INSUFFISANT","Disponible avant operation : "&amp;TEXT($O82,"#,##0.00")&amp;" kg. Ligne NON comptee en stock.",IF(COUNTIFS($B$5:$B$304,$B82,$C$5:$C$304,$C82,$D$5:$D$304,$D82,$G$5:$G$304,$G82)&gt;1,"Doublon possible (meme date, type, lot et quantite).",IF($J82="LOT NON REFERENCE","Creer d'abord la fiche du lot dans l'onglet LOTS.",""))))))</f>
        <v/>
      </c>
    </row>
    <row r="83" customFormat="false" ht="15" hidden="false" customHeight="false" outlineLevel="0" collapsed="false">
      <c r="A83" s="26" t="str">
        <f aca="false">IF($C83="","","OP-"&amp;TEXT(ROW()-4,"000"))</f>
        <v/>
      </c>
      <c r="B83" s="25"/>
      <c r="C83" s="24"/>
      <c r="D83" s="24"/>
      <c r="E83" s="24"/>
      <c r="F83" s="24"/>
      <c r="G83" s="29"/>
      <c r="H83" s="24"/>
      <c r="I83" s="24"/>
      <c r="J83" s="26" t="str">
        <f aca="false">IF($D83="","",IFERROR(INDEX(LOT_PRODE,MATCH($D83,LOT_KEY,0)),"LOT NON REFERENCE"))</f>
        <v/>
      </c>
      <c r="K83" s="26" t="str">
        <f aca="false">IF($D83="","",IFERROR(INDEX(LOT_FOURNE,MATCH($D83,LOT_KEY,0)),""))</f>
        <v/>
      </c>
      <c r="L83" s="26" t="str">
        <f aca="false">IF($E83="","",IFERROR(INDEX(EMPL_CLASSE,MATCH($E83,EMPL_KEY,0)),"?"))</f>
        <v/>
      </c>
      <c r="M83" s="26" t="str">
        <f aca="false">IF($F83="","",IFERROR(INDEX(EMPL_CLASSE,MATCH($F83,EMPL_KEY,0)),"?"))</f>
        <v/>
      </c>
      <c r="N83" s="28" t="n">
        <f aca="false">IF($C83="",0,IF(OR($B83="",$D83="",NOT(ISNUMBER($G83)),$G83&lt;=0),0,IF($C83="RECEPTION",IF($F83="",0,1),IF($C83="CONSOMMATION",IF($E83="",0,1),IF(OR($E83="",$F83="",$E83=$F83),0,1)))))</f>
        <v>0</v>
      </c>
      <c r="O83" s="27" t="str">
        <f aca="false">IF(OR($N83=0,$C83="RECEPTION"),"",SUMIFS(MVT_BRUT,MVT_LOT,$D83,MVT_EMPL,$E83)+$G83)</f>
        <v/>
      </c>
      <c r="P83" s="26" t="str">
        <f aca="false">IF($C83="","",IF($N83=0,"DONNEES MANQUANTES",IF($C83="RECEPTION","OK",IF($O83&lt;=0,"EMPLACEMENT INCOHERENT",IF($G83&gt;$O83+0.001,"STOCK INSUFFISANT","OK")))))</f>
        <v/>
      </c>
      <c r="Q83" s="28" t="n">
        <f aca="false">IF($P83="OK",1,0)</f>
        <v>0</v>
      </c>
      <c r="R83" s="26" t="str">
        <f aca="false">IF($C83="","",IF($N83=0,"A COMPLETER : "&amp;IF($B83="","DATE; ","")&amp;IF($D83="","LOT; ","")&amp;IF(OR(NOT(ISNUMBER($G83)),$G83&lt;=0),"QUANTITE &gt; 0; ","")&amp;IF(AND($C83&lt;&gt;"RECEPTION",$E83=""),"EMPL. SOURCE; ","")&amp;IF(AND($C83&lt;&gt;"CONSOMMATION",$F83=""),"EMPL. DESTINATION; ","")&amp;IF(AND($C83="TRANSFERT",$E83&lt;&gt;"",$E83=$F83),"SOURCE = DESTINATION; ",""),IF($P83="EMPLACEMENT INCOHERENT","Le lot "&amp;$D83&amp;" n'existe pas sur "&amp;$E83&amp;" (stock 0). Verifier l'emplacement source.",IF($P83="STOCK INSUFFISANT","Disponible avant operation : "&amp;TEXT($O83,"#,##0.00")&amp;" kg. Ligne NON comptee en stock.",IF(COUNTIFS($B$5:$B$304,$B83,$C$5:$C$304,$C83,$D$5:$D$304,$D83,$G$5:$G$304,$G83)&gt;1,"Doublon possible (meme date, type, lot et quantite).",IF($J83="LOT NON REFERENCE","Creer d'abord la fiche du lot dans l'onglet LOTS.",""))))))</f>
        <v/>
      </c>
    </row>
    <row r="84" customFormat="false" ht="15" hidden="false" customHeight="false" outlineLevel="0" collapsed="false">
      <c r="A84" s="26" t="str">
        <f aca="false">IF($C84="","","OP-"&amp;TEXT(ROW()-4,"000"))</f>
        <v/>
      </c>
      <c r="B84" s="25"/>
      <c r="C84" s="24"/>
      <c r="D84" s="24"/>
      <c r="E84" s="24"/>
      <c r="F84" s="24"/>
      <c r="G84" s="29"/>
      <c r="H84" s="24"/>
      <c r="I84" s="24"/>
      <c r="J84" s="26" t="str">
        <f aca="false">IF($D84="","",IFERROR(INDEX(LOT_PRODE,MATCH($D84,LOT_KEY,0)),"LOT NON REFERENCE"))</f>
        <v/>
      </c>
      <c r="K84" s="26" t="str">
        <f aca="false">IF($D84="","",IFERROR(INDEX(LOT_FOURNE,MATCH($D84,LOT_KEY,0)),""))</f>
        <v/>
      </c>
      <c r="L84" s="26" t="str">
        <f aca="false">IF($E84="","",IFERROR(INDEX(EMPL_CLASSE,MATCH($E84,EMPL_KEY,0)),"?"))</f>
        <v/>
      </c>
      <c r="M84" s="26" t="str">
        <f aca="false">IF($F84="","",IFERROR(INDEX(EMPL_CLASSE,MATCH($F84,EMPL_KEY,0)),"?"))</f>
        <v/>
      </c>
      <c r="N84" s="28" t="n">
        <f aca="false">IF($C84="",0,IF(OR($B84="",$D84="",NOT(ISNUMBER($G84)),$G84&lt;=0),0,IF($C84="RECEPTION",IF($F84="",0,1),IF($C84="CONSOMMATION",IF($E84="",0,1),IF(OR($E84="",$F84="",$E84=$F84),0,1)))))</f>
        <v>0</v>
      </c>
      <c r="O84" s="27" t="str">
        <f aca="false">IF(OR($N84=0,$C84="RECEPTION"),"",SUMIFS(MVT_BRUT,MVT_LOT,$D84,MVT_EMPL,$E84)+$G84)</f>
        <v/>
      </c>
      <c r="P84" s="26" t="str">
        <f aca="false">IF($C84="","",IF($N84=0,"DONNEES MANQUANTES",IF($C84="RECEPTION","OK",IF($O84&lt;=0,"EMPLACEMENT INCOHERENT",IF($G84&gt;$O84+0.001,"STOCK INSUFFISANT","OK")))))</f>
        <v/>
      </c>
      <c r="Q84" s="28" t="n">
        <f aca="false">IF($P84="OK",1,0)</f>
        <v>0</v>
      </c>
      <c r="R84" s="26" t="str">
        <f aca="false">IF($C84="","",IF($N84=0,"A COMPLETER : "&amp;IF($B84="","DATE; ","")&amp;IF($D84="","LOT; ","")&amp;IF(OR(NOT(ISNUMBER($G84)),$G84&lt;=0),"QUANTITE &gt; 0; ","")&amp;IF(AND($C84&lt;&gt;"RECEPTION",$E84=""),"EMPL. SOURCE; ","")&amp;IF(AND($C84&lt;&gt;"CONSOMMATION",$F84=""),"EMPL. DESTINATION; ","")&amp;IF(AND($C84="TRANSFERT",$E84&lt;&gt;"",$E84=$F84),"SOURCE = DESTINATION; ",""),IF($P84="EMPLACEMENT INCOHERENT","Le lot "&amp;$D84&amp;" n'existe pas sur "&amp;$E84&amp;" (stock 0). Verifier l'emplacement source.",IF($P84="STOCK INSUFFISANT","Disponible avant operation : "&amp;TEXT($O84,"#,##0.00")&amp;" kg. Ligne NON comptee en stock.",IF(COUNTIFS($B$5:$B$304,$B84,$C$5:$C$304,$C84,$D$5:$D$304,$D84,$G$5:$G$304,$G84)&gt;1,"Doublon possible (meme date, type, lot et quantite).",IF($J84="LOT NON REFERENCE","Creer d'abord la fiche du lot dans l'onglet LOTS.",""))))))</f>
        <v/>
      </c>
    </row>
    <row r="85" customFormat="false" ht="15" hidden="false" customHeight="false" outlineLevel="0" collapsed="false">
      <c r="A85" s="26" t="str">
        <f aca="false">IF($C85="","","OP-"&amp;TEXT(ROW()-4,"000"))</f>
        <v/>
      </c>
      <c r="B85" s="25"/>
      <c r="C85" s="24"/>
      <c r="D85" s="24"/>
      <c r="E85" s="24"/>
      <c r="F85" s="24"/>
      <c r="G85" s="29"/>
      <c r="H85" s="24"/>
      <c r="I85" s="24"/>
      <c r="J85" s="26" t="str">
        <f aca="false">IF($D85="","",IFERROR(INDEX(LOT_PRODE,MATCH($D85,LOT_KEY,0)),"LOT NON REFERENCE"))</f>
        <v/>
      </c>
      <c r="K85" s="26" t="str">
        <f aca="false">IF($D85="","",IFERROR(INDEX(LOT_FOURNE,MATCH($D85,LOT_KEY,0)),""))</f>
        <v/>
      </c>
      <c r="L85" s="26" t="str">
        <f aca="false">IF($E85="","",IFERROR(INDEX(EMPL_CLASSE,MATCH($E85,EMPL_KEY,0)),"?"))</f>
        <v/>
      </c>
      <c r="M85" s="26" t="str">
        <f aca="false">IF($F85="","",IFERROR(INDEX(EMPL_CLASSE,MATCH($F85,EMPL_KEY,0)),"?"))</f>
        <v/>
      </c>
      <c r="N85" s="28" t="n">
        <f aca="false">IF($C85="",0,IF(OR($B85="",$D85="",NOT(ISNUMBER($G85)),$G85&lt;=0),0,IF($C85="RECEPTION",IF($F85="",0,1),IF($C85="CONSOMMATION",IF($E85="",0,1),IF(OR($E85="",$F85="",$E85=$F85),0,1)))))</f>
        <v>0</v>
      </c>
      <c r="O85" s="27" t="str">
        <f aca="false">IF(OR($N85=0,$C85="RECEPTION"),"",SUMIFS(MVT_BRUT,MVT_LOT,$D85,MVT_EMPL,$E85)+$G85)</f>
        <v/>
      </c>
      <c r="P85" s="26" t="str">
        <f aca="false">IF($C85="","",IF($N85=0,"DONNEES MANQUANTES",IF($C85="RECEPTION","OK",IF($O85&lt;=0,"EMPLACEMENT INCOHERENT",IF($G85&gt;$O85+0.001,"STOCK INSUFFISANT","OK")))))</f>
        <v/>
      </c>
      <c r="Q85" s="28" t="n">
        <f aca="false">IF($P85="OK",1,0)</f>
        <v>0</v>
      </c>
      <c r="R85" s="26" t="str">
        <f aca="false">IF($C85="","",IF($N85=0,"A COMPLETER : "&amp;IF($B85="","DATE; ","")&amp;IF($D85="","LOT; ","")&amp;IF(OR(NOT(ISNUMBER($G85)),$G85&lt;=0),"QUANTITE &gt; 0; ","")&amp;IF(AND($C85&lt;&gt;"RECEPTION",$E85=""),"EMPL. SOURCE; ","")&amp;IF(AND($C85&lt;&gt;"CONSOMMATION",$F85=""),"EMPL. DESTINATION; ","")&amp;IF(AND($C85="TRANSFERT",$E85&lt;&gt;"",$E85=$F85),"SOURCE = DESTINATION; ",""),IF($P85="EMPLACEMENT INCOHERENT","Le lot "&amp;$D85&amp;" n'existe pas sur "&amp;$E85&amp;" (stock 0). Verifier l'emplacement source.",IF($P85="STOCK INSUFFISANT","Disponible avant operation : "&amp;TEXT($O85,"#,##0.00")&amp;" kg. Ligne NON comptee en stock.",IF(COUNTIFS($B$5:$B$304,$B85,$C$5:$C$304,$C85,$D$5:$D$304,$D85,$G$5:$G$304,$G85)&gt;1,"Doublon possible (meme date, type, lot et quantite).",IF($J85="LOT NON REFERENCE","Creer d'abord la fiche du lot dans l'onglet LOTS.",""))))))</f>
        <v/>
      </c>
    </row>
    <row r="86" customFormat="false" ht="15" hidden="false" customHeight="false" outlineLevel="0" collapsed="false">
      <c r="A86" s="26" t="str">
        <f aca="false">IF($C86="","","OP-"&amp;TEXT(ROW()-4,"000"))</f>
        <v/>
      </c>
      <c r="B86" s="25"/>
      <c r="C86" s="24"/>
      <c r="D86" s="24"/>
      <c r="E86" s="24"/>
      <c r="F86" s="24"/>
      <c r="G86" s="29"/>
      <c r="H86" s="24"/>
      <c r="I86" s="24"/>
      <c r="J86" s="26" t="str">
        <f aca="false">IF($D86="","",IFERROR(INDEX(LOT_PRODE,MATCH($D86,LOT_KEY,0)),"LOT NON REFERENCE"))</f>
        <v/>
      </c>
      <c r="K86" s="26" t="str">
        <f aca="false">IF($D86="","",IFERROR(INDEX(LOT_FOURNE,MATCH($D86,LOT_KEY,0)),""))</f>
        <v/>
      </c>
      <c r="L86" s="26" t="str">
        <f aca="false">IF($E86="","",IFERROR(INDEX(EMPL_CLASSE,MATCH($E86,EMPL_KEY,0)),"?"))</f>
        <v/>
      </c>
      <c r="M86" s="26" t="str">
        <f aca="false">IF($F86="","",IFERROR(INDEX(EMPL_CLASSE,MATCH($F86,EMPL_KEY,0)),"?"))</f>
        <v/>
      </c>
      <c r="N86" s="28" t="n">
        <f aca="false">IF($C86="",0,IF(OR($B86="",$D86="",NOT(ISNUMBER($G86)),$G86&lt;=0),0,IF($C86="RECEPTION",IF($F86="",0,1),IF($C86="CONSOMMATION",IF($E86="",0,1),IF(OR($E86="",$F86="",$E86=$F86),0,1)))))</f>
        <v>0</v>
      </c>
      <c r="O86" s="27" t="str">
        <f aca="false">IF(OR($N86=0,$C86="RECEPTION"),"",SUMIFS(MVT_BRUT,MVT_LOT,$D86,MVT_EMPL,$E86)+$G86)</f>
        <v/>
      </c>
      <c r="P86" s="26" t="str">
        <f aca="false">IF($C86="","",IF($N86=0,"DONNEES MANQUANTES",IF($C86="RECEPTION","OK",IF($O86&lt;=0,"EMPLACEMENT INCOHERENT",IF($G86&gt;$O86+0.001,"STOCK INSUFFISANT","OK")))))</f>
        <v/>
      </c>
      <c r="Q86" s="28" t="n">
        <f aca="false">IF($P86="OK",1,0)</f>
        <v>0</v>
      </c>
      <c r="R86" s="26" t="str">
        <f aca="false">IF($C86="","",IF($N86=0,"A COMPLETER : "&amp;IF($B86="","DATE; ","")&amp;IF($D86="","LOT; ","")&amp;IF(OR(NOT(ISNUMBER($G86)),$G86&lt;=0),"QUANTITE &gt; 0; ","")&amp;IF(AND($C86&lt;&gt;"RECEPTION",$E86=""),"EMPL. SOURCE; ","")&amp;IF(AND($C86&lt;&gt;"CONSOMMATION",$F86=""),"EMPL. DESTINATION; ","")&amp;IF(AND($C86="TRANSFERT",$E86&lt;&gt;"",$E86=$F86),"SOURCE = DESTINATION; ",""),IF($P86="EMPLACEMENT INCOHERENT","Le lot "&amp;$D86&amp;" n'existe pas sur "&amp;$E86&amp;" (stock 0). Verifier l'emplacement source.",IF($P86="STOCK INSUFFISANT","Disponible avant operation : "&amp;TEXT($O86,"#,##0.00")&amp;" kg. Ligne NON comptee en stock.",IF(COUNTIFS($B$5:$B$304,$B86,$C$5:$C$304,$C86,$D$5:$D$304,$D86,$G$5:$G$304,$G86)&gt;1,"Doublon possible (meme date, type, lot et quantite).",IF($J86="LOT NON REFERENCE","Creer d'abord la fiche du lot dans l'onglet LOTS.",""))))))</f>
        <v/>
      </c>
    </row>
    <row r="87" customFormat="false" ht="15" hidden="false" customHeight="false" outlineLevel="0" collapsed="false">
      <c r="A87" s="26" t="str">
        <f aca="false">IF($C87="","","OP-"&amp;TEXT(ROW()-4,"000"))</f>
        <v/>
      </c>
      <c r="B87" s="25"/>
      <c r="C87" s="24"/>
      <c r="D87" s="24"/>
      <c r="E87" s="24"/>
      <c r="F87" s="24"/>
      <c r="G87" s="29"/>
      <c r="H87" s="24"/>
      <c r="I87" s="24"/>
      <c r="J87" s="26" t="str">
        <f aca="false">IF($D87="","",IFERROR(INDEX(LOT_PRODE,MATCH($D87,LOT_KEY,0)),"LOT NON REFERENCE"))</f>
        <v/>
      </c>
      <c r="K87" s="26" t="str">
        <f aca="false">IF($D87="","",IFERROR(INDEX(LOT_FOURNE,MATCH($D87,LOT_KEY,0)),""))</f>
        <v/>
      </c>
      <c r="L87" s="26" t="str">
        <f aca="false">IF($E87="","",IFERROR(INDEX(EMPL_CLASSE,MATCH($E87,EMPL_KEY,0)),"?"))</f>
        <v/>
      </c>
      <c r="M87" s="26" t="str">
        <f aca="false">IF($F87="","",IFERROR(INDEX(EMPL_CLASSE,MATCH($F87,EMPL_KEY,0)),"?"))</f>
        <v/>
      </c>
      <c r="N87" s="28" t="n">
        <f aca="false">IF($C87="",0,IF(OR($B87="",$D87="",NOT(ISNUMBER($G87)),$G87&lt;=0),0,IF($C87="RECEPTION",IF($F87="",0,1),IF($C87="CONSOMMATION",IF($E87="",0,1),IF(OR($E87="",$F87="",$E87=$F87),0,1)))))</f>
        <v>0</v>
      </c>
      <c r="O87" s="27" t="str">
        <f aca="false">IF(OR($N87=0,$C87="RECEPTION"),"",SUMIFS(MVT_BRUT,MVT_LOT,$D87,MVT_EMPL,$E87)+$G87)</f>
        <v/>
      </c>
      <c r="P87" s="26" t="str">
        <f aca="false">IF($C87="","",IF($N87=0,"DONNEES MANQUANTES",IF($C87="RECEPTION","OK",IF($O87&lt;=0,"EMPLACEMENT INCOHERENT",IF($G87&gt;$O87+0.001,"STOCK INSUFFISANT","OK")))))</f>
        <v/>
      </c>
      <c r="Q87" s="28" t="n">
        <f aca="false">IF($P87="OK",1,0)</f>
        <v>0</v>
      </c>
      <c r="R87" s="26" t="str">
        <f aca="false">IF($C87="","",IF($N87=0,"A COMPLETER : "&amp;IF($B87="","DATE; ","")&amp;IF($D87="","LOT; ","")&amp;IF(OR(NOT(ISNUMBER($G87)),$G87&lt;=0),"QUANTITE &gt; 0; ","")&amp;IF(AND($C87&lt;&gt;"RECEPTION",$E87=""),"EMPL. SOURCE; ","")&amp;IF(AND($C87&lt;&gt;"CONSOMMATION",$F87=""),"EMPL. DESTINATION; ","")&amp;IF(AND($C87="TRANSFERT",$E87&lt;&gt;"",$E87=$F87),"SOURCE = DESTINATION; ",""),IF($P87="EMPLACEMENT INCOHERENT","Le lot "&amp;$D87&amp;" n'existe pas sur "&amp;$E87&amp;" (stock 0). Verifier l'emplacement source.",IF($P87="STOCK INSUFFISANT","Disponible avant operation : "&amp;TEXT($O87,"#,##0.00")&amp;" kg. Ligne NON comptee en stock.",IF(COUNTIFS($B$5:$B$304,$B87,$C$5:$C$304,$C87,$D$5:$D$304,$D87,$G$5:$G$304,$G87)&gt;1,"Doublon possible (meme date, type, lot et quantite).",IF($J87="LOT NON REFERENCE","Creer d'abord la fiche du lot dans l'onglet LOTS.",""))))))</f>
        <v/>
      </c>
    </row>
    <row r="88" customFormat="false" ht="15" hidden="false" customHeight="false" outlineLevel="0" collapsed="false">
      <c r="A88" s="26" t="str">
        <f aca="false">IF($C88="","","OP-"&amp;TEXT(ROW()-4,"000"))</f>
        <v/>
      </c>
      <c r="B88" s="25"/>
      <c r="C88" s="24"/>
      <c r="D88" s="24"/>
      <c r="E88" s="24"/>
      <c r="F88" s="24"/>
      <c r="G88" s="29"/>
      <c r="H88" s="24"/>
      <c r="I88" s="24"/>
      <c r="J88" s="26" t="str">
        <f aca="false">IF($D88="","",IFERROR(INDEX(LOT_PRODE,MATCH($D88,LOT_KEY,0)),"LOT NON REFERENCE"))</f>
        <v/>
      </c>
      <c r="K88" s="26" t="str">
        <f aca="false">IF($D88="","",IFERROR(INDEX(LOT_FOURNE,MATCH($D88,LOT_KEY,0)),""))</f>
        <v/>
      </c>
      <c r="L88" s="26" t="str">
        <f aca="false">IF($E88="","",IFERROR(INDEX(EMPL_CLASSE,MATCH($E88,EMPL_KEY,0)),"?"))</f>
        <v/>
      </c>
      <c r="M88" s="26" t="str">
        <f aca="false">IF($F88="","",IFERROR(INDEX(EMPL_CLASSE,MATCH($F88,EMPL_KEY,0)),"?"))</f>
        <v/>
      </c>
      <c r="N88" s="28" t="n">
        <f aca="false">IF($C88="",0,IF(OR($B88="",$D88="",NOT(ISNUMBER($G88)),$G88&lt;=0),0,IF($C88="RECEPTION",IF($F88="",0,1),IF($C88="CONSOMMATION",IF($E88="",0,1),IF(OR($E88="",$F88="",$E88=$F88),0,1)))))</f>
        <v>0</v>
      </c>
      <c r="O88" s="27" t="str">
        <f aca="false">IF(OR($N88=0,$C88="RECEPTION"),"",SUMIFS(MVT_BRUT,MVT_LOT,$D88,MVT_EMPL,$E88)+$G88)</f>
        <v/>
      </c>
      <c r="P88" s="26" t="str">
        <f aca="false">IF($C88="","",IF($N88=0,"DONNEES MANQUANTES",IF($C88="RECEPTION","OK",IF($O88&lt;=0,"EMPLACEMENT INCOHERENT",IF($G88&gt;$O88+0.001,"STOCK INSUFFISANT","OK")))))</f>
        <v/>
      </c>
      <c r="Q88" s="28" t="n">
        <f aca="false">IF($P88="OK",1,0)</f>
        <v>0</v>
      </c>
      <c r="R88" s="26" t="str">
        <f aca="false">IF($C88="","",IF($N88=0,"A COMPLETER : "&amp;IF($B88="","DATE; ","")&amp;IF($D88="","LOT; ","")&amp;IF(OR(NOT(ISNUMBER($G88)),$G88&lt;=0),"QUANTITE &gt; 0; ","")&amp;IF(AND($C88&lt;&gt;"RECEPTION",$E88=""),"EMPL. SOURCE; ","")&amp;IF(AND($C88&lt;&gt;"CONSOMMATION",$F88=""),"EMPL. DESTINATION; ","")&amp;IF(AND($C88="TRANSFERT",$E88&lt;&gt;"",$E88=$F88),"SOURCE = DESTINATION; ",""),IF($P88="EMPLACEMENT INCOHERENT","Le lot "&amp;$D88&amp;" n'existe pas sur "&amp;$E88&amp;" (stock 0). Verifier l'emplacement source.",IF($P88="STOCK INSUFFISANT","Disponible avant operation : "&amp;TEXT($O88,"#,##0.00")&amp;" kg. Ligne NON comptee en stock.",IF(COUNTIFS($B$5:$B$304,$B88,$C$5:$C$304,$C88,$D$5:$D$304,$D88,$G$5:$G$304,$G88)&gt;1,"Doublon possible (meme date, type, lot et quantite).",IF($J88="LOT NON REFERENCE","Creer d'abord la fiche du lot dans l'onglet LOTS.",""))))))</f>
        <v/>
      </c>
    </row>
    <row r="89" customFormat="false" ht="15" hidden="false" customHeight="false" outlineLevel="0" collapsed="false">
      <c r="A89" s="26" t="str">
        <f aca="false">IF($C89="","","OP-"&amp;TEXT(ROW()-4,"000"))</f>
        <v/>
      </c>
      <c r="B89" s="25"/>
      <c r="C89" s="24"/>
      <c r="D89" s="24"/>
      <c r="E89" s="24"/>
      <c r="F89" s="24"/>
      <c r="G89" s="29"/>
      <c r="H89" s="24"/>
      <c r="I89" s="24"/>
      <c r="J89" s="26" t="str">
        <f aca="false">IF($D89="","",IFERROR(INDEX(LOT_PRODE,MATCH($D89,LOT_KEY,0)),"LOT NON REFERENCE"))</f>
        <v/>
      </c>
      <c r="K89" s="26" t="str">
        <f aca="false">IF($D89="","",IFERROR(INDEX(LOT_FOURNE,MATCH($D89,LOT_KEY,0)),""))</f>
        <v/>
      </c>
      <c r="L89" s="26" t="str">
        <f aca="false">IF($E89="","",IFERROR(INDEX(EMPL_CLASSE,MATCH($E89,EMPL_KEY,0)),"?"))</f>
        <v/>
      </c>
      <c r="M89" s="26" t="str">
        <f aca="false">IF($F89="","",IFERROR(INDEX(EMPL_CLASSE,MATCH($F89,EMPL_KEY,0)),"?"))</f>
        <v/>
      </c>
      <c r="N89" s="28" t="n">
        <f aca="false">IF($C89="",0,IF(OR($B89="",$D89="",NOT(ISNUMBER($G89)),$G89&lt;=0),0,IF($C89="RECEPTION",IF($F89="",0,1),IF($C89="CONSOMMATION",IF($E89="",0,1),IF(OR($E89="",$F89="",$E89=$F89),0,1)))))</f>
        <v>0</v>
      </c>
      <c r="O89" s="27" t="str">
        <f aca="false">IF(OR($N89=0,$C89="RECEPTION"),"",SUMIFS(MVT_BRUT,MVT_LOT,$D89,MVT_EMPL,$E89)+$G89)</f>
        <v/>
      </c>
      <c r="P89" s="26" t="str">
        <f aca="false">IF($C89="","",IF($N89=0,"DONNEES MANQUANTES",IF($C89="RECEPTION","OK",IF($O89&lt;=0,"EMPLACEMENT INCOHERENT",IF($G89&gt;$O89+0.001,"STOCK INSUFFISANT","OK")))))</f>
        <v/>
      </c>
      <c r="Q89" s="28" t="n">
        <f aca="false">IF($P89="OK",1,0)</f>
        <v>0</v>
      </c>
      <c r="R89" s="26" t="str">
        <f aca="false">IF($C89="","",IF($N89=0,"A COMPLETER : "&amp;IF($B89="","DATE; ","")&amp;IF($D89="","LOT; ","")&amp;IF(OR(NOT(ISNUMBER($G89)),$G89&lt;=0),"QUANTITE &gt; 0; ","")&amp;IF(AND($C89&lt;&gt;"RECEPTION",$E89=""),"EMPL. SOURCE; ","")&amp;IF(AND($C89&lt;&gt;"CONSOMMATION",$F89=""),"EMPL. DESTINATION; ","")&amp;IF(AND($C89="TRANSFERT",$E89&lt;&gt;"",$E89=$F89),"SOURCE = DESTINATION; ",""),IF($P89="EMPLACEMENT INCOHERENT","Le lot "&amp;$D89&amp;" n'existe pas sur "&amp;$E89&amp;" (stock 0). Verifier l'emplacement source.",IF($P89="STOCK INSUFFISANT","Disponible avant operation : "&amp;TEXT($O89,"#,##0.00")&amp;" kg. Ligne NON comptee en stock.",IF(COUNTIFS($B$5:$B$304,$B89,$C$5:$C$304,$C89,$D$5:$D$304,$D89,$G$5:$G$304,$G89)&gt;1,"Doublon possible (meme date, type, lot et quantite).",IF($J89="LOT NON REFERENCE","Creer d'abord la fiche du lot dans l'onglet LOTS.",""))))))</f>
        <v/>
      </c>
    </row>
    <row r="90" customFormat="false" ht="15" hidden="false" customHeight="false" outlineLevel="0" collapsed="false">
      <c r="A90" s="26" t="str">
        <f aca="false">IF($C90="","","OP-"&amp;TEXT(ROW()-4,"000"))</f>
        <v/>
      </c>
      <c r="B90" s="25"/>
      <c r="C90" s="24"/>
      <c r="D90" s="24"/>
      <c r="E90" s="24"/>
      <c r="F90" s="24"/>
      <c r="G90" s="29"/>
      <c r="H90" s="24"/>
      <c r="I90" s="24"/>
      <c r="J90" s="26" t="str">
        <f aca="false">IF($D90="","",IFERROR(INDEX(LOT_PRODE,MATCH($D90,LOT_KEY,0)),"LOT NON REFERENCE"))</f>
        <v/>
      </c>
      <c r="K90" s="26" t="str">
        <f aca="false">IF($D90="","",IFERROR(INDEX(LOT_FOURNE,MATCH($D90,LOT_KEY,0)),""))</f>
        <v/>
      </c>
      <c r="L90" s="26" t="str">
        <f aca="false">IF($E90="","",IFERROR(INDEX(EMPL_CLASSE,MATCH($E90,EMPL_KEY,0)),"?"))</f>
        <v/>
      </c>
      <c r="M90" s="26" t="str">
        <f aca="false">IF($F90="","",IFERROR(INDEX(EMPL_CLASSE,MATCH($F90,EMPL_KEY,0)),"?"))</f>
        <v/>
      </c>
      <c r="N90" s="28" t="n">
        <f aca="false">IF($C90="",0,IF(OR($B90="",$D90="",NOT(ISNUMBER($G90)),$G90&lt;=0),0,IF($C90="RECEPTION",IF($F90="",0,1),IF($C90="CONSOMMATION",IF($E90="",0,1),IF(OR($E90="",$F90="",$E90=$F90),0,1)))))</f>
        <v>0</v>
      </c>
      <c r="O90" s="27" t="str">
        <f aca="false">IF(OR($N90=0,$C90="RECEPTION"),"",SUMIFS(MVT_BRUT,MVT_LOT,$D90,MVT_EMPL,$E90)+$G90)</f>
        <v/>
      </c>
      <c r="P90" s="26" t="str">
        <f aca="false">IF($C90="","",IF($N90=0,"DONNEES MANQUANTES",IF($C90="RECEPTION","OK",IF($O90&lt;=0,"EMPLACEMENT INCOHERENT",IF($G90&gt;$O90+0.001,"STOCK INSUFFISANT","OK")))))</f>
        <v/>
      </c>
      <c r="Q90" s="28" t="n">
        <f aca="false">IF($P90="OK",1,0)</f>
        <v>0</v>
      </c>
      <c r="R90" s="26" t="str">
        <f aca="false">IF($C90="","",IF($N90=0,"A COMPLETER : "&amp;IF($B90="","DATE; ","")&amp;IF($D90="","LOT; ","")&amp;IF(OR(NOT(ISNUMBER($G90)),$G90&lt;=0),"QUANTITE &gt; 0; ","")&amp;IF(AND($C90&lt;&gt;"RECEPTION",$E90=""),"EMPL. SOURCE; ","")&amp;IF(AND($C90&lt;&gt;"CONSOMMATION",$F90=""),"EMPL. DESTINATION; ","")&amp;IF(AND($C90="TRANSFERT",$E90&lt;&gt;"",$E90=$F90),"SOURCE = DESTINATION; ",""),IF($P90="EMPLACEMENT INCOHERENT","Le lot "&amp;$D90&amp;" n'existe pas sur "&amp;$E90&amp;" (stock 0). Verifier l'emplacement source.",IF($P90="STOCK INSUFFISANT","Disponible avant operation : "&amp;TEXT($O90,"#,##0.00")&amp;" kg. Ligne NON comptee en stock.",IF(COUNTIFS($B$5:$B$304,$B90,$C$5:$C$304,$C90,$D$5:$D$304,$D90,$G$5:$G$304,$G90)&gt;1,"Doublon possible (meme date, type, lot et quantite).",IF($J90="LOT NON REFERENCE","Creer d'abord la fiche du lot dans l'onglet LOTS.",""))))))</f>
        <v/>
      </c>
    </row>
    <row r="91" customFormat="false" ht="15" hidden="false" customHeight="false" outlineLevel="0" collapsed="false">
      <c r="A91" s="26" t="str">
        <f aca="false">IF($C91="","","OP-"&amp;TEXT(ROW()-4,"000"))</f>
        <v/>
      </c>
      <c r="B91" s="25"/>
      <c r="C91" s="24"/>
      <c r="D91" s="24"/>
      <c r="E91" s="24"/>
      <c r="F91" s="24"/>
      <c r="G91" s="29"/>
      <c r="H91" s="24"/>
      <c r="I91" s="24"/>
      <c r="J91" s="26" t="str">
        <f aca="false">IF($D91="","",IFERROR(INDEX(LOT_PRODE,MATCH($D91,LOT_KEY,0)),"LOT NON REFERENCE"))</f>
        <v/>
      </c>
      <c r="K91" s="26" t="str">
        <f aca="false">IF($D91="","",IFERROR(INDEX(LOT_FOURNE,MATCH($D91,LOT_KEY,0)),""))</f>
        <v/>
      </c>
      <c r="L91" s="26" t="str">
        <f aca="false">IF($E91="","",IFERROR(INDEX(EMPL_CLASSE,MATCH($E91,EMPL_KEY,0)),"?"))</f>
        <v/>
      </c>
      <c r="M91" s="26" t="str">
        <f aca="false">IF($F91="","",IFERROR(INDEX(EMPL_CLASSE,MATCH($F91,EMPL_KEY,0)),"?"))</f>
        <v/>
      </c>
      <c r="N91" s="28" t="n">
        <f aca="false">IF($C91="",0,IF(OR($B91="",$D91="",NOT(ISNUMBER($G91)),$G91&lt;=0),0,IF($C91="RECEPTION",IF($F91="",0,1),IF($C91="CONSOMMATION",IF($E91="",0,1),IF(OR($E91="",$F91="",$E91=$F91),0,1)))))</f>
        <v>0</v>
      </c>
      <c r="O91" s="27" t="str">
        <f aca="false">IF(OR($N91=0,$C91="RECEPTION"),"",SUMIFS(MVT_BRUT,MVT_LOT,$D91,MVT_EMPL,$E91)+$G91)</f>
        <v/>
      </c>
      <c r="P91" s="26" t="str">
        <f aca="false">IF($C91="","",IF($N91=0,"DONNEES MANQUANTES",IF($C91="RECEPTION","OK",IF($O91&lt;=0,"EMPLACEMENT INCOHERENT",IF($G91&gt;$O91+0.001,"STOCK INSUFFISANT","OK")))))</f>
        <v/>
      </c>
      <c r="Q91" s="28" t="n">
        <f aca="false">IF($P91="OK",1,0)</f>
        <v>0</v>
      </c>
      <c r="R91" s="26" t="str">
        <f aca="false">IF($C91="","",IF($N91=0,"A COMPLETER : "&amp;IF($B91="","DATE; ","")&amp;IF($D91="","LOT; ","")&amp;IF(OR(NOT(ISNUMBER($G91)),$G91&lt;=0),"QUANTITE &gt; 0; ","")&amp;IF(AND($C91&lt;&gt;"RECEPTION",$E91=""),"EMPL. SOURCE; ","")&amp;IF(AND($C91&lt;&gt;"CONSOMMATION",$F91=""),"EMPL. DESTINATION; ","")&amp;IF(AND($C91="TRANSFERT",$E91&lt;&gt;"",$E91=$F91),"SOURCE = DESTINATION; ",""),IF($P91="EMPLACEMENT INCOHERENT","Le lot "&amp;$D91&amp;" n'existe pas sur "&amp;$E91&amp;" (stock 0). Verifier l'emplacement source.",IF($P91="STOCK INSUFFISANT","Disponible avant operation : "&amp;TEXT($O91,"#,##0.00")&amp;" kg. Ligne NON comptee en stock.",IF(COUNTIFS($B$5:$B$304,$B91,$C$5:$C$304,$C91,$D$5:$D$304,$D91,$G$5:$G$304,$G91)&gt;1,"Doublon possible (meme date, type, lot et quantite).",IF($J91="LOT NON REFERENCE","Creer d'abord la fiche du lot dans l'onglet LOTS.",""))))))</f>
        <v/>
      </c>
    </row>
    <row r="92" customFormat="false" ht="15" hidden="false" customHeight="false" outlineLevel="0" collapsed="false">
      <c r="A92" s="26" t="str">
        <f aca="false">IF($C92="","","OP-"&amp;TEXT(ROW()-4,"000"))</f>
        <v/>
      </c>
      <c r="B92" s="25"/>
      <c r="C92" s="24"/>
      <c r="D92" s="24"/>
      <c r="E92" s="24"/>
      <c r="F92" s="24"/>
      <c r="G92" s="29"/>
      <c r="H92" s="24"/>
      <c r="I92" s="24"/>
      <c r="J92" s="26" t="str">
        <f aca="false">IF($D92="","",IFERROR(INDEX(LOT_PRODE,MATCH($D92,LOT_KEY,0)),"LOT NON REFERENCE"))</f>
        <v/>
      </c>
      <c r="K92" s="26" t="str">
        <f aca="false">IF($D92="","",IFERROR(INDEX(LOT_FOURNE,MATCH($D92,LOT_KEY,0)),""))</f>
        <v/>
      </c>
      <c r="L92" s="26" t="str">
        <f aca="false">IF($E92="","",IFERROR(INDEX(EMPL_CLASSE,MATCH($E92,EMPL_KEY,0)),"?"))</f>
        <v/>
      </c>
      <c r="M92" s="26" t="str">
        <f aca="false">IF($F92="","",IFERROR(INDEX(EMPL_CLASSE,MATCH($F92,EMPL_KEY,0)),"?"))</f>
        <v/>
      </c>
      <c r="N92" s="28" t="n">
        <f aca="false">IF($C92="",0,IF(OR($B92="",$D92="",NOT(ISNUMBER($G92)),$G92&lt;=0),0,IF($C92="RECEPTION",IF($F92="",0,1),IF($C92="CONSOMMATION",IF($E92="",0,1),IF(OR($E92="",$F92="",$E92=$F92),0,1)))))</f>
        <v>0</v>
      </c>
      <c r="O92" s="27" t="str">
        <f aca="false">IF(OR($N92=0,$C92="RECEPTION"),"",SUMIFS(MVT_BRUT,MVT_LOT,$D92,MVT_EMPL,$E92)+$G92)</f>
        <v/>
      </c>
      <c r="P92" s="26" t="str">
        <f aca="false">IF($C92="","",IF($N92=0,"DONNEES MANQUANTES",IF($C92="RECEPTION","OK",IF($O92&lt;=0,"EMPLACEMENT INCOHERENT",IF($G92&gt;$O92+0.001,"STOCK INSUFFISANT","OK")))))</f>
        <v/>
      </c>
      <c r="Q92" s="28" t="n">
        <f aca="false">IF($P92="OK",1,0)</f>
        <v>0</v>
      </c>
      <c r="R92" s="26" t="str">
        <f aca="false">IF($C92="","",IF($N92=0,"A COMPLETER : "&amp;IF($B92="","DATE; ","")&amp;IF($D92="","LOT; ","")&amp;IF(OR(NOT(ISNUMBER($G92)),$G92&lt;=0),"QUANTITE &gt; 0; ","")&amp;IF(AND($C92&lt;&gt;"RECEPTION",$E92=""),"EMPL. SOURCE; ","")&amp;IF(AND($C92&lt;&gt;"CONSOMMATION",$F92=""),"EMPL. DESTINATION; ","")&amp;IF(AND($C92="TRANSFERT",$E92&lt;&gt;"",$E92=$F92),"SOURCE = DESTINATION; ",""),IF($P92="EMPLACEMENT INCOHERENT","Le lot "&amp;$D92&amp;" n'existe pas sur "&amp;$E92&amp;" (stock 0). Verifier l'emplacement source.",IF($P92="STOCK INSUFFISANT","Disponible avant operation : "&amp;TEXT($O92,"#,##0.00")&amp;" kg. Ligne NON comptee en stock.",IF(COUNTIFS($B$5:$B$304,$B92,$C$5:$C$304,$C92,$D$5:$D$304,$D92,$G$5:$G$304,$G92)&gt;1,"Doublon possible (meme date, type, lot et quantite).",IF($J92="LOT NON REFERENCE","Creer d'abord la fiche du lot dans l'onglet LOTS.",""))))))</f>
        <v/>
      </c>
    </row>
    <row r="93" customFormat="false" ht="15" hidden="false" customHeight="false" outlineLevel="0" collapsed="false">
      <c r="A93" s="26" t="str">
        <f aca="false">IF($C93="","","OP-"&amp;TEXT(ROW()-4,"000"))</f>
        <v/>
      </c>
      <c r="B93" s="25"/>
      <c r="C93" s="24"/>
      <c r="D93" s="24"/>
      <c r="E93" s="24"/>
      <c r="F93" s="24"/>
      <c r="G93" s="29"/>
      <c r="H93" s="24"/>
      <c r="I93" s="24"/>
      <c r="J93" s="26" t="str">
        <f aca="false">IF($D93="","",IFERROR(INDEX(LOT_PRODE,MATCH($D93,LOT_KEY,0)),"LOT NON REFERENCE"))</f>
        <v/>
      </c>
      <c r="K93" s="26" t="str">
        <f aca="false">IF($D93="","",IFERROR(INDEX(LOT_FOURNE,MATCH($D93,LOT_KEY,0)),""))</f>
        <v/>
      </c>
      <c r="L93" s="26" t="str">
        <f aca="false">IF($E93="","",IFERROR(INDEX(EMPL_CLASSE,MATCH($E93,EMPL_KEY,0)),"?"))</f>
        <v/>
      </c>
      <c r="M93" s="26" t="str">
        <f aca="false">IF($F93="","",IFERROR(INDEX(EMPL_CLASSE,MATCH($F93,EMPL_KEY,0)),"?"))</f>
        <v/>
      </c>
      <c r="N93" s="28" t="n">
        <f aca="false">IF($C93="",0,IF(OR($B93="",$D93="",NOT(ISNUMBER($G93)),$G93&lt;=0),0,IF($C93="RECEPTION",IF($F93="",0,1),IF($C93="CONSOMMATION",IF($E93="",0,1),IF(OR($E93="",$F93="",$E93=$F93),0,1)))))</f>
        <v>0</v>
      </c>
      <c r="O93" s="27" t="str">
        <f aca="false">IF(OR($N93=0,$C93="RECEPTION"),"",SUMIFS(MVT_BRUT,MVT_LOT,$D93,MVT_EMPL,$E93)+$G93)</f>
        <v/>
      </c>
      <c r="P93" s="26" t="str">
        <f aca="false">IF($C93="","",IF($N93=0,"DONNEES MANQUANTES",IF($C93="RECEPTION","OK",IF($O93&lt;=0,"EMPLACEMENT INCOHERENT",IF($G93&gt;$O93+0.001,"STOCK INSUFFISANT","OK")))))</f>
        <v/>
      </c>
      <c r="Q93" s="28" t="n">
        <f aca="false">IF($P93="OK",1,0)</f>
        <v>0</v>
      </c>
      <c r="R93" s="26" t="str">
        <f aca="false">IF($C93="","",IF($N93=0,"A COMPLETER : "&amp;IF($B93="","DATE; ","")&amp;IF($D93="","LOT; ","")&amp;IF(OR(NOT(ISNUMBER($G93)),$G93&lt;=0),"QUANTITE &gt; 0; ","")&amp;IF(AND($C93&lt;&gt;"RECEPTION",$E93=""),"EMPL. SOURCE; ","")&amp;IF(AND($C93&lt;&gt;"CONSOMMATION",$F93=""),"EMPL. DESTINATION; ","")&amp;IF(AND($C93="TRANSFERT",$E93&lt;&gt;"",$E93=$F93),"SOURCE = DESTINATION; ",""),IF($P93="EMPLACEMENT INCOHERENT","Le lot "&amp;$D93&amp;" n'existe pas sur "&amp;$E93&amp;" (stock 0). Verifier l'emplacement source.",IF($P93="STOCK INSUFFISANT","Disponible avant operation : "&amp;TEXT($O93,"#,##0.00")&amp;" kg. Ligne NON comptee en stock.",IF(COUNTIFS($B$5:$B$304,$B93,$C$5:$C$304,$C93,$D$5:$D$304,$D93,$G$5:$G$304,$G93)&gt;1,"Doublon possible (meme date, type, lot et quantite).",IF($J93="LOT NON REFERENCE","Creer d'abord la fiche du lot dans l'onglet LOTS.",""))))))</f>
        <v/>
      </c>
    </row>
    <row r="94" customFormat="false" ht="15" hidden="false" customHeight="false" outlineLevel="0" collapsed="false">
      <c r="A94" s="26" t="str">
        <f aca="false">IF($C94="","","OP-"&amp;TEXT(ROW()-4,"000"))</f>
        <v/>
      </c>
      <c r="B94" s="25"/>
      <c r="C94" s="24"/>
      <c r="D94" s="24"/>
      <c r="E94" s="24"/>
      <c r="F94" s="24"/>
      <c r="G94" s="29"/>
      <c r="H94" s="24"/>
      <c r="I94" s="24"/>
      <c r="J94" s="26" t="str">
        <f aca="false">IF($D94="","",IFERROR(INDEX(LOT_PRODE,MATCH($D94,LOT_KEY,0)),"LOT NON REFERENCE"))</f>
        <v/>
      </c>
      <c r="K94" s="26" t="str">
        <f aca="false">IF($D94="","",IFERROR(INDEX(LOT_FOURNE,MATCH($D94,LOT_KEY,0)),""))</f>
        <v/>
      </c>
      <c r="L94" s="26" t="str">
        <f aca="false">IF($E94="","",IFERROR(INDEX(EMPL_CLASSE,MATCH($E94,EMPL_KEY,0)),"?"))</f>
        <v/>
      </c>
      <c r="M94" s="26" t="str">
        <f aca="false">IF($F94="","",IFERROR(INDEX(EMPL_CLASSE,MATCH($F94,EMPL_KEY,0)),"?"))</f>
        <v/>
      </c>
      <c r="N94" s="28" t="n">
        <f aca="false">IF($C94="",0,IF(OR($B94="",$D94="",NOT(ISNUMBER($G94)),$G94&lt;=0),0,IF($C94="RECEPTION",IF($F94="",0,1),IF($C94="CONSOMMATION",IF($E94="",0,1),IF(OR($E94="",$F94="",$E94=$F94),0,1)))))</f>
        <v>0</v>
      </c>
      <c r="O94" s="27" t="str">
        <f aca="false">IF(OR($N94=0,$C94="RECEPTION"),"",SUMIFS(MVT_BRUT,MVT_LOT,$D94,MVT_EMPL,$E94)+$G94)</f>
        <v/>
      </c>
      <c r="P94" s="26" t="str">
        <f aca="false">IF($C94="","",IF($N94=0,"DONNEES MANQUANTES",IF($C94="RECEPTION","OK",IF($O94&lt;=0,"EMPLACEMENT INCOHERENT",IF($G94&gt;$O94+0.001,"STOCK INSUFFISANT","OK")))))</f>
        <v/>
      </c>
      <c r="Q94" s="28" t="n">
        <f aca="false">IF($P94="OK",1,0)</f>
        <v>0</v>
      </c>
      <c r="R94" s="26" t="str">
        <f aca="false">IF($C94="","",IF($N94=0,"A COMPLETER : "&amp;IF($B94="","DATE; ","")&amp;IF($D94="","LOT; ","")&amp;IF(OR(NOT(ISNUMBER($G94)),$G94&lt;=0),"QUANTITE &gt; 0; ","")&amp;IF(AND($C94&lt;&gt;"RECEPTION",$E94=""),"EMPL. SOURCE; ","")&amp;IF(AND($C94&lt;&gt;"CONSOMMATION",$F94=""),"EMPL. DESTINATION; ","")&amp;IF(AND($C94="TRANSFERT",$E94&lt;&gt;"",$E94=$F94),"SOURCE = DESTINATION; ",""),IF($P94="EMPLACEMENT INCOHERENT","Le lot "&amp;$D94&amp;" n'existe pas sur "&amp;$E94&amp;" (stock 0). Verifier l'emplacement source.",IF($P94="STOCK INSUFFISANT","Disponible avant operation : "&amp;TEXT($O94,"#,##0.00")&amp;" kg. Ligne NON comptee en stock.",IF(COUNTIFS($B$5:$B$304,$B94,$C$5:$C$304,$C94,$D$5:$D$304,$D94,$G$5:$G$304,$G94)&gt;1,"Doublon possible (meme date, type, lot et quantite).",IF($J94="LOT NON REFERENCE","Creer d'abord la fiche du lot dans l'onglet LOTS.",""))))))</f>
        <v/>
      </c>
    </row>
    <row r="95" customFormat="false" ht="15" hidden="false" customHeight="false" outlineLevel="0" collapsed="false">
      <c r="A95" s="26" t="str">
        <f aca="false">IF($C95="","","OP-"&amp;TEXT(ROW()-4,"000"))</f>
        <v/>
      </c>
      <c r="B95" s="25"/>
      <c r="C95" s="24"/>
      <c r="D95" s="24"/>
      <c r="E95" s="24"/>
      <c r="F95" s="24"/>
      <c r="G95" s="29"/>
      <c r="H95" s="24"/>
      <c r="I95" s="24"/>
      <c r="J95" s="26" t="str">
        <f aca="false">IF($D95="","",IFERROR(INDEX(LOT_PRODE,MATCH($D95,LOT_KEY,0)),"LOT NON REFERENCE"))</f>
        <v/>
      </c>
      <c r="K95" s="26" t="str">
        <f aca="false">IF($D95="","",IFERROR(INDEX(LOT_FOURNE,MATCH($D95,LOT_KEY,0)),""))</f>
        <v/>
      </c>
      <c r="L95" s="26" t="str">
        <f aca="false">IF($E95="","",IFERROR(INDEX(EMPL_CLASSE,MATCH($E95,EMPL_KEY,0)),"?"))</f>
        <v/>
      </c>
      <c r="M95" s="26" t="str">
        <f aca="false">IF($F95="","",IFERROR(INDEX(EMPL_CLASSE,MATCH($F95,EMPL_KEY,0)),"?"))</f>
        <v/>
      </c>
      <c r="N95" s="28" t="n">
        <f aca="false">IF($C95="",0,IF(OR($B95="",$D95="",NOT(ISNUMBER($G95)),$G95&lt;=0),0,IF($C95="RECEPTION",IF($F95="",0,1),IF($C95="CONSOMMATION",IF($E95="",0,1),IF(OR($E95="",$F95="",$E95=$F95),0,1)))))</f>
        <v>0</v>
      </c>
      <c r="O95" s="27" t="str">
        <f aca="false">IF(OR($N95=0,$C95="RECEPTION"),"",SUMIFS(MVT_BRUT,MVT_LOT,$D95,MVT_EMPL,$E95)+$G95)</f>
        <v/>
      </c>
      <c r="P95" s="26" t="str">
        <f aca="false">IF($C95="","",IF($N95=0,"DONNEES MANQUANTES",IF($C95="RECEPTION","OK",IF($O95&lt;=0,"EMPLACEMENT INCOHERENT",IF($G95&gt;$O95+0.001,"STOCK INSUFFISANT","OK")))))</f>
        <v/>
      </c>
      <c r="Q95" s="28" t="n">
        <f aca="false">IF($P95="OK",1,0)</f>
        <v>0</v>
      </c>
      <c r="R95" s="26" t="str">
        <f aca="false">IF($C95="","",IF($N95=0,"A COMPLETER : "&amp;IF($B95="","DATE; ","")&amp;IF($D95="","LOT; ","")&amp;IF(OR(NOT(ISNUMBER($G95)),$G95&lt;=0),"QUANTITE &gt; 0; ","")&amp;IF(AND($C95&lt;&gt;"RECEPTION",$E95=""),"EMPL. SOURCE; ","")&amp;IF(AND($C95&lt;&gt;"CONSOMMATION",$F95=""),"EMPL. DESTINATION; ","")&amp;IF(AND($C95="TRANSFERT",$E95&lt;&gt;"",$E95=$F95),"SOURCE = DESTINATION; ",""),IF($P95="EMPLACEMENT INCOHERENT","Le lot "&amp;$D95&amp;" n'existe pas sur "&amp;$E95&amp;" (stock 0). Verifier l'emplacement source.",IF($P95="STOCK INSUFFISANT","Disponible avant operation : "&amp;TEXT($O95,"#,##0.00")&amp;" kg. Ligne NON comptee en stock.",IF(COUNTIFS($B$5:$B$304,$B95,$C$5:$C$304,$C95,$D$5:$D$304,$D95,$G$5:$G$304,$G95)&gt;1,"Doublon possible (meme date, type, lot et quantite).",IF($J95="LOT NON REFERENCE","Creer d'abord la fiche du lot dans l'onglet LOTS.",""))))))</f>
        <v/>
      </c>
    </row>
    <row r="96" customFormat="false" ht="15" hidden="false" customHeight="false" outlineLevel="0" collapsed="false">
      <c r="A96" s="26" t="str">
        <f aca="false">IF($C96="","","OP-"&amp;TEXT(ROW()-4,"000"))</f>
        <v/>
      </c>
      <c r="B96" s="25"/>
      <c r="C96" s="24"/>
      <c r="D96" s="24"/>
      <c r="E96" s="24"/>
      <c r="F96" s="24"/>
      <c r="G96" s="29"/>
      <c r="H96" s="24"/>
      <c r="I96" s="24"/>
      <c r="J96" s="26" t="str">
        <f aca="false">IF($D96="","",IFERROR(INDEX(LOT_PRODE,MATCH($D96,LOT_KEY,0)),"LOT NON REFERENCE"))</f>
        <v/>
      </c>
      <c r="K96" s="26" t="str">
        <f aca="false">IF($D96="","",IFERROR(INDEX(LOT_FOURNE,MATCH($D96,LOT_KEY,0)),""))</f>
        <v/>
      </c>
      <c r="L96" s="26" t="str">
        <f aca="false">IF($E96="","",IFERROR(INDEX(EMPL_CLASSE,MATCH($E96,EMPL_KEY,0)),"?"))</f>
        <v/>
      </c>
      <c r="M96" s="26" t="str">
        <f aca="false">IF($F96="","",IFERROR(INDEX(EMPL_CLASSE,MATCH($F96,EMPL_KEY,0)),"?"))</f>
        <v/>
      </c>
      <c r="N96" s="28" t="n">
        <f aca="false">IF($C96="",0,IF(OR($B96="",$D96="",NOT(ISNUMBER($G96)),$G96&lt;=0),0,IF($C96="RECEPTION",IF($F96="",0,1),IF($C96="CONSOMMATION",IF($E96="",0,1),IF(OR($E96="",$F96="",$E96=$F96),0,1)))))</f>
        <v>0</v>
      </c>
      <c r="O96" s="27" t="str">
        <f aca="false">IF(OR($N96=0,$C96="RECEPTION"),"",SUMIFS(MVT_BRUT,MVT_LOT,$D96,MVT_EMPL,$E96)+$G96)</f>
        <v/>
      </c>
      <c r="P96" s="26" t="str">
        <f aca="false">IF($C96="","",IF($N96=0,"DONNEES MANQUANTES",IF($C96="RECEPTION","OK",IF($O96&lt;=0,"EMPLACEMENT INCOHERENT",IF($G96&gt;$O96+0.001,"STOCK INSUFFISANT","OK")))))</f>
        <v/>
      </c>
      <c r="Q96" s="28" t="n">
        <f aca="false">IF($P96="OK",1,0)</f>
        <v>0</v>
      </c>
      <c r="R96" s="26" t="str">
        <f aca="false">IF($C96="","",IF($N96=0,"A COMPLETER : "&amp;IF($B96="","DATE; ","")&amp;IF($D96="","LOT; ","")&amp;IF(OR(NOT(ISNUMBER($G96)),$G96&lt;=0),"QUANTITE &gt; 0; ","")&amp;IF(AND($C96&lt;&gt;"RECEPTION",$E96=""),"EMPL. SOURCE; ","")&amp;IF(AND($C96&lt;&gt;"CONSOMMATION",$F96=""),"EMPL. DESTINATION; ","")&amp;IF(AND($C96="TRANSFERT",$E96&lt;&gt;"",$E96=$F96),"SOURCE = DESTINATION; ",""),IF($P96="EMPLACEMENT INCOHERENT","Le lot "&amp;$D96&amp;" n'existe pas sur "&amp;$E96&amp;" (stock 0). Verifier l'emplacement source.",IF($P96="STOCK INSUFFISANT","Disponible avant operation : "&amp;TEXT($O96,"#,##0.00")&amp;" kg. Ligne NON comptee en stock.",IF(COUNTIFS($B$5:$B$304,$B96,$C$5:$C$304,$C96,$D$5:$D$304,$D96,$G$5:$G$304,$G96)&gt;1,"Doublon possible (meme date, type, lot et quantite).",IF($J96="LOT NON REFERENCE","Creer d'abord la fiche du lot dans l'onglet LOTS.",""))))))</f>
        <v/>
      </c>
    </row>
    <row r="97" customFormat="false" ht="15" hidden="false" customHeight="false" outlineLevel="0" collapsed="false">
      <c r="A97" s="26" t="str">
        <f aca="false">IF($C97="","","OP-"&amp;TEXT(ROW()-4,"000"))</f>
        <v/>
      </c>
      <c r="B97" s="25"/>
      <c r="C97" s="24"/>
      <c r="D97" s="24"/>
      <c r="E97" s="24"/>
      <c r="F97" s="24"/>
      <c r="G97" s="29"/>
      <c r="H97" s="24"/>
      <c r="I97" s="24"/>
      <c r="J97" s="26" t="str">
        <f aca="false">IF($D97="","",IFERROR(INDEX(LOT_PRODE,MATCH($D97,LOT_KEY,0)),"LOT NON REFERENCE"))</f>
        <v/>
      </c>
      <c r="K97" s="26" t="str">
        <f aca="false">IF($D97="","",IFERROR(INDEX(LOT_FOURNE,MATCH($D97,LOT_KEY,0)),""))</f>
        <v/>
      </c>
      <c r="L97" s="26" t="str">
        <f aca="false">IF($E97="","",IFERROR(INDEX(EMPL_CLASSE,MATCH($E97,EMPL_KEY,0)),"?"))</f>
        <v/>
      </c>
      <c r="M97" s="26" t="str">
        <f aca="false">IF($F97="","",IFERROR(INDEX(EMPL_CLASSE,MATCH($F97,EMPL_KEY,0)),"?"))</f>
        <v/>
      </c>
      <c r="N97" s="28" t="n">
        <f aca="false">IF($C97="",0,IF(OR($B97="",$D97="",NOT(ISNUMBER($G97)),$G97&lt;=0),0,IF($C97="RECEPTION",IF($F97="",0,1),IF($C97="CONSOMMATION",IF($E97="",0,1),IF(OR($E97="",$F97="",$E97=$F97),0,1)))))</f>
        <v>0</v>
      </c>
      <c r="O97" s="27" t="str">
        <f aca="false">IF(OR($N97=0,$C97="RECEPTION"),"",SUMIFS(MVT_BRUT,MVT_LOT,$D97,MVT_EMPL,$E97)+$G97)</f>
        <v/>
      </c>
      <c r="P97" s="26" t="str">
        <f aca="false">IF($C97="","",IF($N97=0,"DONNEES MANQUANTES",IF($C97="RECEPTION","OK",IF($O97&lt;=0,"EMPLACEMENT INCOHERENT",IF($G97&gt;$O97+0.001,"STOCK INSUFFISANT","OK")))))</f>
        <v/>
      </c>
      <c r="Q97" s="28" t="n">
        <f aca="false">IF($P97="OK",1,0)</f>
        <v>0</v>
      </c>
      <c r="R97" s="26" t="str">
        <f aca="false">IF($C97="","",IF($N97=0,"A COMPLETER : "&amp;IF($B97="","DATE; ","")&amp;IF($D97="","LOT; ","")&amp;IF(OR(NOT(ISNUMBER($G97)),$G97&lt;=0),"QUANTITE &gt; 0; ","")&amp;IF(AND($C97&lt;&gt;"RECEPTION",$E97=""),"EMPL. SOURCE; ","")&amp;IF(AND($C97&lt;&gt;"CONSOMMATION",$F97=""),"EMPL. DESTINATION; ","")&amp;IF(AND($C97="TRANSFERT",$E97&lt;&gt;"",$E97=$F97),"SOURCE = DESTINATION; ",""),IF($P97="EMPLACEMENT INCOHERENT","Le lot "&amp;$D97&amp;" n'existe pas sur "&amp;$E97&amp;" (stock 0). Verifier l'emplacement source.",IF($P97="STOCK INSUFFISANT","Disponible avant operation : "&amp;TEXT($O97,"#,##0.00")&amp;" kg. Ligne NON comptee en stock.",IF(COUNTIFS($B$5:$B$304,$B97,$C$5:$C$304,$C97,$D$5:$D$304,$D97,$G$5:$G$304,$G97)&gt;1,"Doublon possible (meme date, type, lot et quantite).",IF($J97="LOT NON REFERENCE","Creer d'abord la fiche du lot dans l'onglet LOTS.",""))))))</f>
        <v/>
      </c>
    </row>
    <row r="98" customFormat="false" ht="15" hidden="false" customHeight="false" outlineLevel="0" collapsed="false">
      <c r="A98" s="26" t="str">
        <f aca="false">IF($C98="","","OP-"&amp;TEXT(ROW()-4,"000"))</f>
        <v/>
      </c>
      <c r="B98" s="25"/>
      <c r="C98" s="24"/>
      <c r="D98" s="24"/>
      <c r="E98" s="24"/>
      <c r="F98" s="24"/>
      <c r="G98" s="29"/>
      <c r="H98" s="24"/>
      <c r="I98" s="24"/>
      <c r="J98" s="26" t="str">
        <f aca="false">IF($D98="","",IFERROR(INDEX(LOT_PRODE,MATCH($D98,LOT_KEY,0)),"LOT NON REFERENCE"))</f>
        <v/>
      </c>
      <c r="K98" s="26" t="str">
        <f aca="false">IF($D98="","",IFERROR(INDEX(LOT_FOURNE,MATCH($D98,LOT_KEY,0)),""))</f>
        <v/>
      </c>
      <c r="L98" s="26" t="str">
        <f aca="false">IF($E98="","",IFERROR(INDEX(EMPL_CLASSE,MATCH($E98,EMPL_KEY,0)),"?"))</f>
        <v/>
      </c>
      <c r="M98" s="26" t="str">
        <f aca="false">IF($F98="","",IFERROR(INDEX(EMPL_CLASSE,MATCH($F98,EMPL_KEY,0)),"?"))</f>
        <v/>
      </c>
      <c r="N98" s="28" t="n">
        <f aca="false">IF($C98="",0,IF(OR($B98="",$D98="",NOT(ISNUMBER($G98)),$G98&lt;=0),0,IF($C98="RECEPTION",IF($F98="",0,1),IF($C98="CONSOMMATION",IF($E98="",0,1),IF(OR($E98="",$F98="",$E98=$F98),0,1)))))</f>
        <v>0</v>
      </c>
      <c r="O98" s="27" t="str">
        <f aca="false">IF(OR($N98=0,$C98="RECEPTION"),"",SUMIFS(MVT_BRUT,MVT_LOT,$D98,MVT_EMPL,$E98)+$G98)</f>
        <v/>
      </c>
      <c r="P98" s="26" t="str">
        <f aca="false">IF($C98="","",IF($N98=0,"DONNEES MANQUANTES",IF($C98="RECEPTION","OK",IF($O98&lt;=0,"EMPLACEMENT INCOHERENT",IF($G98&gt;$O98+0.001,"STOCK INSUFFISANT","OK")))))</f>
        <v/>
      </c>
      <c r="Q98" s="28" t="n">
        <f aca="false">IF($P98="OK",1,0)</f>
        <v>0</v>
      </c>
      <c r="R98" s="26" t="str">
        <f aca="false">IF($C98="","",IF($N98=0,"A COMPLETER : "&amp;IF($B98="","DATE; ","")&amp;IF($D98="","LOT; ","")&amp;IF(OR(NOT(ISNUMBER($G98)),$G98&lt;=0),"QUANTITE &gt; 0; ","")&amp;IF(AND($C98&lt;&gt;"RECEPTION",$E98=""),"EMPL. SOURCE; ","")&amp;IF(AND($C98&lt;&gt;"CONSOMMATION",$F98=""),"EMPL. DESTINATION; ","")&amp;IF(AND($C98="TRANSFERT",$E98&lt;&gt;"",$E98=$F98),"SOURCE = DESTINATION; ",""),IF($P98="EMPLACEMENT INCOHERENT","Le lot "&amp;$D98&amp;" n'existe pas sur "&amp;$E98&amp;" (stock 0). Verifier l'emplacement source.",IF($P98="STOCK INSUFFISANT","Disponible avant operation : "&amp;TEXT($O98,"#,##0.00")&amp;" kg. Ligne NON comptee en stock.",IF(COUNTIFS($B$5:$B$304,$B98,$C$5:$C$304,$C98,$D$5:$D$304,$D98,$G$5:$G$304,$G98)&gt;1,"Doublon possible (meme date, type, lot et quantite).",IF($J98="LOT NON REFERENCE","Creer d'abord la fiche du lot dans l'onglet LOTS.",""))))))</f>
        <v/>
      </c>
    </row>
    <row r="99" customFormat="false" ht="15" hidden="false" customHeight="false" outlineLevel="0" collapsed="false">
      <c r="A99" s="26" t="str">
        <f aca="false">IF($C99="","","OP-"&amp;TEXT(ROW()-4,"000"))</f>
        <v/>
      </c>
      <c r="B99" s="25"/>
      <c r="C99" s="24"/>
      <c r="D99" s="24"/>
      <c r="E99" s="24"/>
      <c r="F99" s="24"/>
      <c r="G99" s="29"/>
      <c r="H99" s="24"/>
      <c r="I99" s="24"/>
      <c r="J99" s="26" t="str">
        <f aca="false">IF($D99="","",IFERROR(INDEX(LOT_PRODE,MATCH($D99,LOT_KEY,0)),"LOT NON REFERENCE"))</f>
        <v/>
      </c>
      <c r="K99" s="26" t="str">
        <f aca="false">IF($D99="","",IFERROR(INDEX(LOT_FOURNE,MATCH($D99,LOT_KEY,0)),""))</f>
        <v/>
      </c>
      <c r="L99" s="26" t="str">
        <f aca="false">IF($E99="","",IFERROR(INDEX(EMPL_CLASSE,MATCH($E99,EMPL_KEY,0)),"?"))</f>
        <v/>
      </c>
      <c r="M99" s="26" t="str">
        <f aca="false">IF($F99="","",IFERROR(INDEX(EMPL_CLASSE,MATCH($F99,EMPL_KEY,0)),"?"))</f>
        <v/>
      </c>
      <c r="N99" s="28" t="n">
        <f aca="false">IF($C99="",0,IF(OR($B99="",$D99="",NOT(ISNUMBER($G99)),$G99&lt;=0),0,IF($C99="RECEPTION",IF($F99="",0,1),IF($C99="CONSOMMATION",IF($E99="",0,1),IF(OR($E99="",$F99="",$E99=$F99),0,1)))))</f>
        <v>0</v>
      </c>
      <c r="O99" s="27" t="str">
        <f aca="false">IF(OR($N99=0,$C99="RECEPTION"),"",SUMIFS(MVT_BRUT,MVT_LOT,$D99,MVT_EMPL,$E99)+$G99)</f>
        <v/>
      </c>
      <c r="P99" s="26" t="str">
        <f aca="false">IF($C99="","",IF($N99=0,"DONNEES MANQUANTES",IF($C99="RECEPTION","OK",IF($O99&lt;=0,"EMPLACEMENT INCOHERENT",IF($G99&gt;$O99+0.001,"STOCK INSUFFISANT","OK")))))</f>
        <v/>
      </c>
      <c r="Q99" s="28" t="n">
        <f aca="false">IF($P99="OK",1,0)</f>
        <v>0</v>
      </c>
      <c r="R99" s="26" t="str">
        <f aca="false">IF($C99="","",IF($N99=0,"A COMPLETER : "&amp;IF($B99="","DATE; ","")&amp;IF($D99="","LOT; ","")&amp;IF(OR(NOT(ISNUMBER($G99)),$G99&lt;=0),"QUANTITE &gt; 0; ","")&amp;IF(AND($C99&lt;&gt;"RECEPTION",$E99=""),"EMPL. SOURCE; ","")&amp;IF(AND($C99&lt;&gt;"CONSOMMATION",$F99=""),"EMPL. DESTINATION; ","")&amp;IF(AND($C99="TRANSFERT",$E99&lt;&gt;"",$E99=$F99),"SOURCE = DESTINATION; ",""),IF($P99="EMPLACEMENT INCOHERENT","Le lot "&amp;$D99&amp;" n'existe pas sur "&amp;$E99&amp;" (stock 0). Verifier l'emplacement source.",IF($P99="STOCK INSUFFISANT","Disponible avant operation : "&amp;TEXT($O99,"#,##0.00")&amp;" kg. Ligne NON comptee en stock.",IF(COUNTIFS($B$5:$B$304,$B99,$C$5:$C$304,$C99,$D$5:$D$304,$D99,$G$5:$G$304,$G99)&gt;1,"Doublon possible (meme date, type, lot et quantite).",IF($J99="LOT NON REFERENCE","Creer d'abord la fiche du lot dans l'onglet LOTS.",""))))))</f>
        <v/>
      </c>
    </row>
    <row r="100" customFormat="false" ht="15" hidden="false" customHeight="false" outlineLevel="0" collapsed="false">
      <c r="A100" s="26" t="str">
        <f aca="false">IF($C100="","","OP-"&amp;TEXT(ROW()-4,"000"))</f>
        <v/>
      </c>
      <c r="B100" s="25"/>
      <c r="C100" s="24"/>
      <c r="D100" s="24"/>
      <c r="E100" s="24"/>
      <c r="F100" s="24"/>
      <c r="G100" s="29"/>
      <c r="H100" s="24"/>
      <c r="I100" s="24"/>
      <c r="J100" s="26" t="str">
        <f aca="false">IF($D100="","",IFERROR(INDEX(LOT_PRODE,MATCH($D100,LOT_KEY,0)),"LOT NON REFERENCE"))</f>
        <v/>
      </c>
      <c r="K100" s="26" t="str">
        <f aca="false">IF($D100="","",IFERROR(INDEX(LOT_FOURNE,MATCH($D100,LOT_KEY,0)),""))</f>
        <v/>
      </c>
      <c r="L100" s="26" t="str">
        <f aca="false">IF($E100="","",IFERROR(INDEX(EMPL_CLASSE,MATCH($E100,EMPL_KEY,0)),"?"))</f>
        <v/>
      </c>
      <c r="M100" s="26" t="str">
        <f aca="false">IF($F100="","",IFERROR(INDEX(EMPL_CLASSE,MATCH($F100,EMPL_KEY,0)),"?"))</f>
        <v/>
      </c>
      <c r="N100" s="28" t="n">
        <f aca="false">IF($C100="",0,IF(OR($B100="",$D100="",NOT(ISNUMBER($G100)),$G100&lt;=0),0,IF($C100="RECEPTION",IF($F100="",0,1),IF($C100="CONSOMMATION",IF($E100="",0,1),IF(OR($E100="",$F100="",$E100=$F100),0,1)))))</f>
        <v>0</v>
      </c>
      <c r="O100" s="27" t="str">
        <f aca="false">IF(OR($N100=0,$C100="RECEPTION"),"",SUMIFS(MVT_BRUT,MVT_LOT,$D100,MVT_EMPL,$E100)+$G100)</f>
        <v/>
      </c>
      <c r="P100" s="26" t="str">
        <f aca="false">IF($C100="","",IF($N100=0,"DONNEES MANQUANTES",IF($C100="RECEPTION","OK",IF($O100&lt;=0,"EMPLACEMENT INCOHERENT",IF($G100&gt;$O100+0.001,"STOCK INSUFFISANT","OK")))))</f>
        <v/>
      </c>
      <c r="Q100" s="28" t="n">
        <f aca="false">IF($P100="OK",1,0)</f>
        <v>0</v>
      </c>
      <c r="R100" s="26" t="str">
        <f aca="false">IF($C100="","",IF($N100=0,"A COMPLETER : "&amp;IF($B100="","DATE; ","")&amp;IF($D100="","LOT; ","")&amp;IF(OR(NOT(ISNUMBER($G100)),$G100&lt;=0),"QUANTITE &gt; 0; ","")&amp;IF(AND($C100&lt;&gt;"RECEPTION",$E100=""),"EMPL. SOURCE; ","")&amp;IF(AND($C100&lt;&gt;"CONSOMMATION",$F100=""),"EMPL. DESTINATION; ","")&amp;IF(AND($C100="TRANSFERT",$E100&lt;&gt;"",$E100=$F100),"SOURCE = DESTINATION; ",""),IF($P100="EMPLACEMENT INCOHERENT","Le lot "&amp;$D100&amp;" n'existe pas sur "&amp;$E100&amp;" (stock 0). Verifier l'emplacement source.",IF($P100="STOCK INSUFFISANT","Disponible avant operation : "&amp;TEXT($O100,"#,##0.00")&amp;" kg. Ligne NON comptee en stock.",IF(COUNTIFS($B$5:$B$304,$B100,$C$5:$C$304,$C100,$D$5:$D$304,$D100,$G$5:$G$304,$G100)&gt;1,"Doublon possible (meme date, type, lot et quantite).",IF($J100="LOT NON REFERENCE","Creer d'abord la fiche du lot dans l'onglet LOTS.",""))))))</f>
        <v/>
      </c>
    </row>
    <row r="101" customFormat="false" ht="15" hidden="false" customHeight="false" outlineLevel="0" collapsed="false">
      <c r="A101" s="26" t="str">
        <f aca="false">IF($C101="","","OP-"&amp;TEXT(ROW()-4,"000"))</f>
        <v/>
      </c>
      <c r="B101" s="25"/>
      <c r="C101" s="24"/>
      <c r="D101" s="24"/>
      <c r="E101" s="24"/>
      <c r="F101" s="24"/>
      <c r="G101" s="29"/>
      <c r="H101" s="24"/>
      <c r="I101" s="24"/>
      <c r="J101" s="26" t="str">
        <f aca="false">IF($D101="","",IFERROR(INDEX(LOT_PRODE,MATCH($D101,LOT_KEY,0)),"LOT NON REFERENCE"))</f>
        <v/>
      </c>
      <c r="K101" s="26" t="str">
        <f aca="false">IF($D101="","",IFERROR(INDEX(LOT_FOURNE,MATCH($D101,LOT_KEY,0)),""))</f>
        <v/>
      </c>
      <c r="L101" s="26" t="str">
        <f aca="false">IF($E101="","",IFERROR(INDEX(EMPL_CLASSE,MATCH($E101,EMPL_KEY,0)),"?"))</f>
        <v/>
      </c>
      <c r="M101" s="26" t="str">
        <f aca="false">IF($F101="","",IFERROR(INDEX(EMPL_CLASSE,MATCH($F101,EMPL_KEY,0)),"?"))</f>
        <v/>
      </c>
      <c r="N101" s="28" t="n">
        <f aca="false">IF($C101="",0,IF(OR($B101="",$D101="",NOT(ISNUMBER($G101)),$G101&lt;=0),0,IF($C101="RECEPTION",IF($F101="",0,1),IF($C101="CONSOMMATION",IF($E101="",0,1),IF(OR($E101="",$F101="",$E101=$F101),0,1)))))</f>
        <v>0</v>
      </c>
      <c r="O101" s="27" t="str">
        <f aca="false">IF(OR($N101=0,$C101="RECEPTION"),"",SUMIFS(MVT_BRUT,MVT_LOT,$D101,MVT_EMPL,$E101)+$G101)</f>
        <v/>
      </c>
      <c r="P101" s="26" t="str">
        <f aca="false">IF($C101="","",IF($N101=0,"DONNEES MANQUANTES",IF($C101="RECEPTION","OK",IF($O101&lt;=0,"EMPLACEMENT INCOHERENT",IF($G101&gt;$O101+0.001,"STOCK INSUFFISANT","OK")))))</f>
        <v/>
      </c>
      <c r="Q101" s="28" t="n">
        <f aca="false">IF($P101="OK",1,0)</f>
        <v>0</v>
      </c>
      <c r="R101" s="26" t="str">
        <f aca="false">IF($C101="","",IF($N101=0,"A COMPLETER : "&amp;IF($B101="","DATE; ","")&amp;IF($D101="","LOT; ","")&amp;IF(OR(NOT(ISNUMBER($G101)),$G101&lt;=0),"QUANTITE &gt; 0; ","")&amp;IF(AND($C101&lt;&gt;"RECEPTION",$E101=""),"EMPL. SOURCE; ","")&amp;IF(AND($C101&lt;&gt;"CONSOMMATION",$F101=""),"EMPL. DESTINATION; ","")&amp;IF(AND($C101="TRANSFERT",$E101&lt;&gt;"",$E101=$F101),"SOURCE = DESTINATION; ",""),IF($P101="EMPLACEMENT INCOHERENT","Le lot "&amp;$D101&amp;" n'existe pas sur "&amp;$E101&amp;" (stock 0). Verifier l'emplacement source.",IF($P101="STOCK INSUFFISANT","Disponible avant operation : "&amp;TEXT($O101,"#,##0.00")&amp;" kg. Ligne NON comptee en stock.",IF(COUNTIFS($B$5:$B$304,$B101,$C$5:$C$304,$C101,$D$5:$D$304,$D101,$G$5:$G$304,$G101)&gt;1,"Doublon possible (meme date, type, lot et quantite).",IF($J101="LOT NON REFERENCE","Creer d'abord la fiche du lot dans l'onglet LOTS.",""))))))</f>
        <v/>
      </c>
    </row>
    <row r="102" customFormat="false" ht="15" hidden="false" customHeight="false" outlineLevel="0" collapsed="false">
      <c r="A102" s="26" t="str">
        <f aca="false">IF($C102="","","OP-"&amp;TEXT(ROW()-4,"000"))</f>
        <v/>
      </c>
      <c r="B102" s="25"/>
      <c r="C102" s="24"/>
      <c r="D102" s="24"/>
      <c r="E102" s="24"/>
      <c r="F102" s="24"/>
      <c r="G102" s="29"/>
      <c r="H102" s="24"/>
      <c r="I102" s="24"/>
      <c r="J102" s="26" t="str">
        <f aca="false">IF($D102="","",IFERROR(INDEX(LOT_PRODE,MATCH($D102,LOT_KEY,0)),"LOT NON REFERENCE"))</f>
        <v/>
      </c>
      <c r="K102" s="26" t="str">
        <f aca="false">IF($D102="","",IFERROR(INDEX(LOT_FOURNE,MATCH($D102,LOT_KEY,0)),""))</f>
        <v/>
      </c>
      <c r="L102" s="26" t="str">
        <f aca="false">IF($E102="","",IFERROR(INDEX(EMPL_CLASSE,MATCH($E102,EMPL_KEY,0)),"?"))</f>
        <v/>
      </c>
      <c r="M102" s="26" t="str">
        <f aca="false">IF($F102="","",IFERROR(INDEX(EMPL_CLASSE,MATCH($F102,EMPL_KEY,0)),"?"))</f>
        <v/>
      </c>
      <c r="N102" s="28" t="n">
        <f aca="false">IF($C102="",0,IF(OR($B102="",$D102="",NOT(ISNUMBER($G102)),$G102&lt;=0),0,IF($C102="RECEPTION",IF($F102="",0,1),IF($C102="CONSOMMATION",IF($E102="",0,1),IF(OR($E102="",$F102="",$E102=$F102),0,1)))))</f>
        <v>0</v>
      </c>
      <c r="O102" s="27" t="str">
        <f aca="false">IF(OR($N102=0,$C102="RECEPTION"),"",SUMIFS(MVT_BRUT,MVT_LOT,$D102,MVT_EMPL,$E102)+$G102)</f>
        <v/>
      </c>
      <c r="P102" s="26" t="str">
        <f aca="false">IF($C102="","",IF($N102=0,"DONNEES MANQUANTES",IF($C102="RECEPTION","OK",IF($O102&lt;=0,"EMPLACEMENT INCOHERENT",IF($G102&gt;$O102+0.001,"STOCK INSUFFISANT","OK")))))</f>
        <v/>
      </c>
      <c r="Q102" s="28" t="n">
        <f aca="false">IF($P102="OK",1,0)</f>
        <v>0</v>
      </c>
      <c r="R102" s="26" t="str">
        <f aca="false">IF($C102="","",IF($N102=0,"A COMPLETER : "&amp;IF($B102="","DATE; ","")&amp;IF($D102="","LOT; ","")&amp;IF(OR(NOT(ISNUMBER($G102)),$G102&lt;=0),"QUANTITE &gt; 0; ","")&amp;IF(AND($C102&lt;&gt;"RECEPTION",$E102=""),"EMPL. SOURCE; ","")&amp;IF(AND($C102&lt;&gt;"CONSOMMATION",$F102=""),"EMPL. DESTINATION; ","")&amp;IF(AND($C102="TRANSFERT",$E102&lt;&gt;"",$E102=$F102),"SOURCE = DESTINATION; ",""),IF($P102="EMPLACEMENT INCOHERENT","Le lot "&amp;$D102&amp;" n'existe pas sur "&amp;$E102&amp;" (stock 0). Verifier l'emplacement source.",IF($P102="STOCK INSUFFISANT","Disponible avant operation : "&amp;TEXT($O102,"#,##0.00")&amp;" kg. Ligne NON comptee en stock.",IF(COUNTIFS($B$5:$B$304,$B102,$C$5:$C$304,$C102,$D$5:$D$304,$D102,$G$5:$G$304,$G102)&gt;1,"Doublon possible (meme date, type, lot et quantite).",IF($J102="LOT NON REFERENCE","Creer d'abord la fiche du lot dans l'onglet LOTS.",""))))))</f>
        <v/>
      </c>
    </row>
    <row r="103" customFormat="false" ht="15" hidden="false" customHeight="false" outlineLevel="0" collapsed="false">
      <c r="A103" s="26" t="str">
        <f aca="false">IF($C103="","","OP-"&amp;TEXT(ROW()-4,"000"))</f>
        <v/>
      </c>
      <c r="B103" s="25"/>
      <c r="C103" s="24"/>
      <c r="D103" s="24"/>
      <c r="E103" s="24"/>
      <c r="F103" s="24"/>
      <c r="G103" s="29"/>
      <c r="H103" s="24"/>
      <c r="I103" s="24"/>
      <c r="J103" s="26" t="str">
        <f aca="false">IF($D103="","",IFERROR(INDEX(LOT_PRODE,MATCH($D103,LOT_KEY,0)),"LOT NON REFERENCE"))</f>
        <v/>
      </c>
      <c r="K103" s="26" t="str">
        <f aca="false">IF($D103="","",IFERROR(INDEX(LOT_FOURNE,MATCH($D103,LOT_KEY,0)),""))</f>
        <v/>
      </c>
      <c r="L103" s="26" t="str">
        <f aca="false">IF($E103="","",IFERROR(INDEX(EMPL_CLASSE,MATCH($E103,EMPL_KEY,0)),"?"))</f>
        <v/>
      </c>
      <c r="M103" s="26" t="str">
        <f aca="false">IF($F103="","",IFERROR(INDEX(EMPL_CLASSE,MATCH($F103,EMPL_KEY,0)),"?"))</f>
        <v/>
      </c>
      <c r="N103" s="28" t="n">
        <f aca="false">IF($C103="",0,IF(OR($B103="",$D103="",NOT(ISNUMBER($G103)),$G103&lt;=0),0,IF($C103="RECEPTION",IF($F103="",0,1),IF($C103="CONSOMMATION",IF($E103="",0,1),IF(OR($E103="",$F103="",$E103=$F103),0,1)))))</f>
        <v>0</v>
      </c>
      <c r="O103" s="27" t="str">
        <f aca="false">IF(OR($N103=0,$C103="RECEPTION"),"",SUMIFS(MVT_BRUT,MVT_LOT,$D103,MVT_EMPL,$E103)+$G103)</f>
        <v/>
      </c>
      <c r="P103" s="26" t="str">
        <f aca="false">IF($C103="","",IF($N103=0,"DONNEES MANQUANTES",IF($C103="RECEPTION","OK",IF($O103&lt;=0,"EMPLACEMENT INCOHERENT",IF($G103&gt;$O103+0.001,"STOCK INSUFFISANT","OK")))))</f>
        <v/>
      </c>
      <c r="Q103" s="28" t="n">
        <f aca="false">IF($P103="OK",1,0)</f>
        <v>0</v>
      </c>
      <c r="R103" s="26" t="str">
        <f aca="false">IF($C103="","",IF($N103=0,"A COMPLETER : "&amp;IF($B103="","DATE; ","")&amp;IF($D103="","LOT; ","")&amp;IF(OR(NOT(ISNUMBER($G103)),$G103&lt;=0),"QUANTITE &gt; 0; ","")&amp;IF(AND($C103&lt;&gt;"RECEPTION",$E103=""),"EMPL. SOURCE; ","")&amp;IF(AND($C103&lt;&gt;"CONSOMMATION",$F103=""),"EMPL. DESTINATION; ","")&amp;IF(AND($C103="TRANSFERT",$E103&lt;&gt;"",$E103=$F103),"SOURCE = DESTINATION; ",""),IF($P103="EMPLACEMENT INCOHERENT","Le lot "&amp;$D103&amp;" n'existe pas sur "&amp;$E103&amp;" (stock 0). Verifier l'emplacement source.",IF($P103="STOCK INSUFFISANT","Disponible avant operation : "&amp;TEXT($O103,"#,##0.00")&amp;" kg. Ligne NON comptee en stock.",IF(COUNTIFS($B$5:$B$304,$B103,$C$5:$C$304,$C103,$D$5:$D$304,$D103,$G$5:$G$304,$G103)&gt;1,"Doublon possible (meme date, type, lot et quantite).",IF($J103="LOT NON REFERENCE","Creer d'abord la fiche du lot dans l'onglet LOTS.",""))))))</f>
        <v/>
      </c>
    </row>
    <row r="104" customFormat="false" ht="15" hidden="false" customHeight="false" outlineLevel="0" collapsed="false">
      <c r="A104" s="26" t="str">
        <f aca="false">IF($C104="","","OP-"&amp;TEXT(ROW()-4,"000"))</f>
        <v/>
      </c>
      <c r="B104" s="25"/>
      <c r="C104" s="24"/>
      <c r="D104" s="24"/>
      <c r="E104" s="24"/>
      <c r="F104" s="24"/>
      <c r="G104" s="29"/>
      <c r="H104" s="24"/>
      <c r="I104" s="24"/>
      <c r="J104" s="26" t="str">
        <f aca="false">IF($D104="","",IFERROR(INDEX(LOT_PRODE,MATCH($D104,LOT_KEY,0)),"LOT NON REFERENCE"))</f>
        <v/>
      </c>
      <c r="K104" s="26" t="str">
        <f aca="false">IF($D104="","",IFERROR(INDEX(LOT_FOURNE,MATCH($D104,LOT_KEY,0)),""))</f>
        <v/>
      </c>
      <c r="L104" s="26" t="str">
        <f aca="false">IF($E104="","",IFERROR(INDEX(EMPL_CLASSE,MATCH($E104,EMPL_KEY,0)),"?"))</f>
        <v/>
      </c>
      <c r="M104" s="26" t="str">
        <f aca="false">IF($F104="","",IFERROR(INDEX(EMPL_CLASSE,MATCH($F104,EMPL_KEY,0)),"?"))</f>
        <v/>
      </c>
      <c r="N104" s="28" t="n">
        <f aca="false">IF($C104="",0,IF(OR($B104="",$D104="",NOT(ISNUMBER($G104)),$G104&lt;=0),0,IF($C104="RECEPTION",IF($F104="",0,1),IF($C104="CONSOMMATION",IF($E104="",0,1),IF(OR($E104="",$F104="",$E104=$F104),0,1)))))</f>
        <v>0</v>
      </c>
      <c r="O104" s="27" t="str">
        <f aca="false">IF(OR($N104=0,$C104="RECEPTION"),"",SUMIFS(MVT_BRUT,MVT_LOT,$D104,MVT_EMPL,$E104)+$G104)</f>
        <v/>
      </c>
      <c r="P104" s="26" t="str">
        <f aca="false">IF($C104="","",IF($N104=0,"DONNEES MANQUANTES",IF($C104="RECEPTION","OK",IF($O104&lt;=0,"EMPLACEMENT INCOHERENT",IF($G104&gt;$O104+0.001,"STOCK INSUFFISANT","OK")))))</f>
        <v/>
      </c>
      <c r="Q104" s="28" t="n">
        <f aca="false">IF($P104="OK",1,0)</f>
        <v>0</v>
      </c>
      <c r="R104" s="26" t="str">
        <f aca="false">IF($C104="","",IF($N104=0,"A COMPLETER : "&amp;IF($B104="","DATE; ","")&amp;IF($D104="","LOT; ","")&amp;IF(OR(NOT(ISNUMBER($G104)),$G104&lt;=0),"QUANTITE &gt; 0; ","")&amp;IF(AND($C104&lt;&gt;"RECEPTION",$E104=""),"EMPL. SOURCE; ","")&amp;IF(AND($C104&lt;&gt;"CONSOMMATION",$F104=""),"EMPL. DESTINATION; ","")&amp;IF(AND($C104="TRANSFERT",$E104&lt;&gt;"",$E104=$F104),"SOURCE = DESTINATION; ",""),IF($P104="EMPLACEMENT INCOHERENT","Le lot "&amp;$D104&amp;" n'existe pas sur "&amp;$E104&amp;" (stock 0). Verifier l'emplacement source.",IF($P104="STOCK INSUFFISANT","Disponible avant operation : "&amp;TEXT($O104,"#,##0.00")&amp;" kg. Ligne NON comptee en stock.",IF(COUNTIFS($B$5:$B$304,$B104,$C$5:$C$304,$C104,$D$5:$D$304,$D104,$G$5:$G$304,$G104)&gt;1,"Doublon possible (meme date, type, lot et quantite).",IF($J104="LOT NON REFERENCE","Creer d'abord la fiche du lot dans l'onglet LOTS.",""))))))</f>
        <v/>
      </c>
    </row>
    <row r="105" customFormat="false" ht="15" hidden="false" customHeight="false" outlineLevel="0" collapsed="false">
      <c r="A105" s="26" t="str">
        <f aca="false">IF($C105="","","OP-"&amp;TEXT(ROW()-4,"000"))</f>
        <v/>
      </c>
      <c r="B105" s="25"/>
      <c r="C105" s="24"/>
      <c r="D105" s="24"/>
      <c r="E105" s="24"/>
      <c r="F105" s="24"/>
      <c r="G105" s="29"/>
      <c r="H105" s="24"/>
      <c r="I105" s="24"/>
      <c r="J105" s="26" t="str">
        <f aca="false">IF($D105="","",IFERROR(INDEX(LOT_PRODE,MATCH($D105,LOT_KEY,0)),"LOT NON REFERENCE"))</f>
        <v/>
      </c>
      <c r="K105" s="26" t="str">
        <f aca="false">IF($D105="","",IFERROR(INDEX(LOT_FOURNE,MATCH($D105,LOT_KEY,0)),""))</f>
        <v/>
      </c>
      <c r="L105" s="26" t="str">
        <f aca="false">IF($E105="","",IFERROR(INDEX(EMPL_CLASSE,MATCH($E105,EMPL_KEY,0)),"?"))</f>
        <v/>
      </c>
      <c r="M105" s="26" t="str">
        <f aca="false">IF($F105="","",IFERROR(INDEX(EMPL_CLASSE,MATCH($F105,EMPL_KEY,0)),"?"))</f>
        <v/>
      </c>
      <c r="N105" s="28" t="n">
        <f aca="false">IF($C105="",0,IF(OR($B105="",$D105="",NOT(ISNUMBER($G105)),$G105&lt;=0),0,IF($C105="RECEPTION",IF($F105="",0,1),IF($C105="CONSOMMATION",IF($E105="",0,1),IF(OR($E105="",$F105="",$E105=$F105),0,1)))))</f>
        <v>0</v>
      </c>
      <c r="O105" s="27" t="str">
        <f aca="false">IF(OR($N105=0,$C105="RECEPTION"),"",SUMIFS(MVT_BRUT,MVT_LOT,$D105,MVT_EMPL,$E105)+$G105)</f>
        <v/>
      </c>
      <c r="P105" s="26" t="str">
        <f aca="false">IF($C105="","",IF($N105=0,"DONNEES MANQUANTES",IF($C105="RECEPTION","OK",IF($O105&lt;=0,"EMPLACEMENT INCOHERENT",IF($G105&gt;$O105+0.001,"STOCK INSUFFISANT","OK")))))</f>
        <v/>
      </c>
      <c r="Q105" s="28" t="n">
        <f aca="false">IF($P105="OK",1,0)</f>
        <v>0</v>
      </c>
      <c r="R105" s="26" t="str">
        <f aca="false">IF($C105="","",IF($N105=0,"A COMPLETER : "&amp;IF($B105="","DATE; ","")&amp;IF($D105="","LOT; ","")&amp;IF(OR(NOT(ISNUMBER($G105)),$G105&lt;=0),"QUANTITE &gt; 0; ","")&amp;IF(AND($C105&lt;&gt;"RECEPTION",$E105=""),"EMPL. SOURCE; ","")&amp;IF(AND($C105&lt;&gt;"CONSOMMATION",$F105=""),"EMPL. DESTINATION; ","")&amp;IF(AND($C105="TRANSFERT",$E105&lt;&gt;"",$E105=$F105),"SOURCE = DESTINATION; ",""),IF($P105="EMPLACEMENT INCOHERENT","Le lot "&amp;$D105&amp;" n'existe pas sur "&amp;$E105&amp;" (stock 0). Verifier l'emplacement source.",IF($P105="STOCK INSUFFISANT","Disponible avant operation : "&amp;TEXT($O105,"#,##0.00")&amp;" kg. Ligne NON comptee en stock.",IF(COUNTIFS($B$5:$B$304,$B105,$C$5:$C$304,$C105,$D$5:$D$304,$D105,$G$5:$G$304,$G105)&gt;1,"Doublon possible (meme date, type, lot et quantite).",IF($J105="LOT NON REFERENCE","Creer d'abord la fiche du lot dans l'onglet LOTS.",""))))))</f>
        <v/>
      </c>
    </row>
    <row r="106" customFormat="false" ht="15" hidden="false" customHeight="false" outlineLevel="0" collapsed="false">
      <c r="A106" s="26" t="str">
        <f aca="false">IF($C106="","","OP-"&amp;TEXT(ROW()-4,"000"))</f>
        <v/>
      </c>
      <c r="B106" s="25"/>
      <c r="C106" s="24"/>
      <c r="D106" s="24"/>
      <c r="E106" s="24"/>
      <c r="F106" s="24"/>
      <c r="G106" s="29"/>
      <c r="H106" s="24"/>
      <c r="I106" s="24"/>
      <c r="J106" s="26" t="str">
        <f aca="false">IF($D106="","",IFERROR(INDEX(LOT_PRODE,MATCH($D106,LOT_KEY,0)),"LOT NON REFERENCE"))</f>
        <v/>
      </c>
      <c r="K106" s="26" t="str">
        <f aca="false">IF($D106="","",IFERROR(INDEX(LOT_FOURNE,MATCH($D106,LOT_KEY,0)),""))</f>
        <v/>
      </c>
      <c r="L106" s="26" t="str">
        <f aca="false">IF($E106="","",IFERROR(INDEX(EMPL_CLASSE,MATCH($E106,EMPL_KEY,0)),"?"))</f>
        <v/>
      </c>
      <c r="M106" s="26" t="str">
        <f aca="false">IF($F106="","",IFERROR(INDEX(EMPL_CLASSE,MATCH($F106,EMPL_KEY,0)),"?"))</f>
        <v/>
      </c>
      <c r="N106" s="28" t="n">
        <f aca="false">IF($C106="",0,IF(OR($B106="",$D106="",NOT(ISNUMBER($G106)),$G106&lt;=0),0,IF($C106="RECEPTION",IF($F106="",0,1),IF($C106="CONSOMMATION",IF($E106="",0,1),IF(OR($E106="",$F106="",$E106=$F106),0,1)))))</f>
        <v>0</v>
      </c>
      <c r="O106" s="27" t="str">
        <f aca="false">IF(OR($N106=0,$C106="RECEPTION"),"",SUMIFS(MVT_BRUT,MVT_LOT,$D106,MVT_EMPL,$E106)+$G106)</f>
        <v/>
      </c>
      <c r="P106" s="26" t="str">
        <f aca="false">IF($C106="","",IF($N106=0,"DONNEES MANQUANTES",IF($C106="RECEPTION","OK",IF($O106&lt;=0,"EMPLACEMENT INCOHERENT",IF($G106&gt;$O106+0.001,"STOCK INSUFFISANT","OK")))))</f>
        <v/>
      </c>
      <c r="Q106" s="28" t="n">
        <f aca="false">IF($P106="OK",1,0)</f>
        <v>0</v>
      </c>
      <c r="R106" s="26" t="str">
        <f aca="false">IF($C106="","",IF($N106=0,"A COMPLETER : "&amp;IF($B106="","DATE; ","")&amp;IF($D106="","LOT; ","")&amp;IF(OR(NOT(ISNUMBER($G106)),$G106&lt;=0),"QUANTITE &gt; 0; ","")&amp;IF(AND($C106&lt;&gt;"RECEPTION",$E106=""),"EMPL. SOURCE; ","")&amp;IF(AND($C106&lt;&gt;"CONSOMMATION",$F106=""),"EMPL. DESTINATION; ","")&amp;IF(AND($C106="TRANSFERT",$E106&lt;&gt;"",$E106=$F106),"SOURCE = DESTINATION; ",""),IF($P106="EMPLACEMENT INCOHERENT","Le lot "&amp;$D106&amp;" n'existe pas sur "&amp;$E106&amp;" (stock 0). Verifier l'emplacement source.",IF($P106="STOCK INSUFFISANT","Disponible avant operation : "&amp;TEXT($O106,"#,##0.00")&amp;" kg. Ligne NON comptee en stock.",IF(COUNTIFS($B$5:$B$304,$B106,$C$5:$C$304,$C106,$D$5:$D$304,$D106,$G$5:$G$304,$G106)&gt;1,"Doublon possible (meme date, type, lot et quantite).",IF($J106="LOT NON REFERENCE","Creer d'abord la fiche du lot dans l'onglet LOTS.",""))))))</f>
        <v/>
      </c>
    </row>
    <row r="107" customFormat="false" ht="15" hidden="false" customHeight="false" outlineLevel="0" collapsed="false">
      <c r="A107" s="26" t="str">
        <f aca="false">IF($C107="","","OP-"&amp;TEXT(ROW()-4,"000"))</f>
        <v/>
      </c>
      <c r="B107" s="25"/>
      <c r="C107" s="24"/>
      <c r="D107" s="24"/>
      <c r="E107" s="24"/>
      <c r="F107" s="24"/>
      <c r="G107" s="29"/>
      <c r="H107" s="24"/>
      <c r="I107" s="24"/>
      <c r="J107" s="26" t="str">
        <f aca="false">IF($D107="","",IFERROR(INDEX(LOT_PRODE,MATCH($D107,LOT_KEY,0)),"LOT NON REFERENCE"))</f>
        <v/>
      </c>
      <c r="K107" s="26" t="str">
        <f aca="false">IF($D107="","",IFERROR(INDEX(LOT_FOURNE,MATCH($D107,LOT_KEY,0)),""))</f>
        <v/>
      </c>
      <c r="L107" s="26" t="str">
        <f aca="false">IF($E107="","",IFERROR(INDEX(EMPL_CLASSE,MATCH($E107,EMPL_KEY,0)),"?"))</f>
        <v/>
      </c>
      <c r="M107" s="26" t="str">
        <f aca="false">IF($F107="","",IFERROR(INDEX(EMPL_CLASSE,MATCH($F107,EMPL_KEY,0)),"?"))</f>
        <v/>
      </c>
      <c r="N107" s="28" t="n">
        <f aca="false">IF($C107="",0,IF(OR($B107="",$D107="",NOT(ISNUMBER($G107)),$G107&lt;=0),0,IF($C107="RECEPTION",IF($F107="",0,1),IF($C107="CONSOMMATION",IF($E107="",0,1),IF(OR($E107="",$F107="",$E107=$F107),0,1)))))</f>
        <v>0</v>
      </c>
      <c r="O107" s="27" t="str">
        <f aca="false">IF(OR($N107=0,$C107="RECEPTION"),"",SUMIFS(MVT_BRUT,MVT_LOT,$D107,MVT_EMPL,$E107)+$G107)</f>
        <v/>
      </c>
      <c r="P107" s="26" t="str">
        <f aca="false">IF($C107="","",IF($N107=0,"DONNEES MANQUANTES",IF($C107="RECEPTION","OK",IF($O107&lt;=0,"EMPLACEMENT INCOHERENT",IF($G107&gt;$O107+0.001,"STOCK INSUFFISANT","OK")))))</f>
        <v/>
      </c>
      <c r="Q107" s="28" t="n">
        <f aca="false">IF($P107="OK",1,0)</f>
        <v>0</v>
      </c>
      <c r="R107" s="26" t="str">
        <f aca="false">IF($C107="","",IF($N107=0,"A COMPLETER : "&amp;IF($B107="","DATE; ","")&amp;IF($D107="","LOT; ","")&amp;IF(OR(NOT(ISNUMBER($G107)),$G107&lt;=0),"QUANTITE &gt; 0; ","")&amp;IF(AND($C107&lt;&gt;"RECEPTION",$E107=""),"EMPL. SOURCE; ","")&amp;IF(AND($C107&lt;&gt;"CONSOMMATION",$F107=""),"EMPL. DESTINATION; ","")&amp;IF(AND($C107="TRANSFERT",$E107&lt;&gt;"",$E107=$F107),"SOURCE = DESTINATION; ",""),IF($P107="EMPLACEMENT INCOHERENT","Le lot "&amp;$D107&amp;" n'existe pas sur "&amp;$E107&amp;" (stock 0). Verifier l'emplacement source.",IF($P107="STOCK INSUFFISANT","Disponible avant operation : "&amp;TEXT($O107,"#,##0.00")&amp;" kg. Ligne NON comptee en stock.",IF(COUNTIFS($B$5:$B$304,$B107,$C$5:$C$304,$C107,$D$5:$D$304,$D107,$G$5:$G$304,$G107)&gt;1,"Doublon possible (meme date, type, lot et quantite).",IF($J107="LOT NON REFERENCE","Creer d'abord la fiche du lot dans l'onglet LOTS.",""))))))</f>
        <v/>
      </c>
    </row>
    <row r="108" customFormat="false" ht="15" hidden="false" customHeight="false" outlineLevel="0" collapsed="false">
      <c r="A108" s="26" t="str">
        <f aca="false">IF($C108="","","OP-"&amp;TEXT(ROW()-4,"000"))</f>
        <v/>
      </c>
      <c r="B108" s="25"/>
      <c r="C108" s="24"/>
      <c r="D108" s="24"/>
      <c r="E108" s="24"/>
      <c r="F108" s="24"/>
      <c r="G108" s="29"/>
      <c r="H108" s="24"/>
      <c r="I108" s="24"/>
      <c r="J108" s="26" t="str">
        <f aca="false">IF($D108="","",IFERROR(INDEX(LOT_PRODE,MATCH($D108,LOT_KEY,0)),"LOT NON REFERENCE"))</f>
        <v/>
      </c>
      <c r="K108" s="26" t="str">
        <f aca="false">IF($D108="","",IFERROR(INDEX(LOT_FOURNE,MATCH($D108,LOT_KEY,0)),""))</f>
        <v/>
      </c>
      <c r="L108" s="26" t="str">
        <f aca="false">IF($E108="","",IFERROR(INDEX(EMPL_CLASSE,MATCH($E108,EMPL_KEY,0)),"?"))</f>
        <v/>
      </c>
      <c r="M108" s="26" t="str">
        <f aca="false">IF($F108="","",IFERROR(INDEX(EMPL_CLASSE,MATCH($F108,EMPL_KEY,0)),"?"))</f>
        <v/>
      </c>
      <c r="N108" s="28" t="n">
        <f aca="false">IF($C108="",0,IF(OR($B108="",$D108="",NOT(ISNUMBER($G108)),$G108&lt;=0),0,IF($C108="RECEPTION",IF($F108="",0,1),IF($C108="CONSOMMATION",IF($E108="",0,1),IF(OR($E108="",$F108="",$E108=$F108),0,1)))))</f>
        <v>0</v>
      </c>
      <c r="O108" s="27" t="str">
        <f aca="false">IF(OR($N108=0,$C108="RECEPTION"),"",SUMIFS(MVT_BRUT,MVT_LOT,$D108,MVT_EMPL,$E108)+$G108)</f>
        <v/>
      </c>
      <c r="P108" s="26" t="str">
        <f aca="false">IF($C108="","",IF($N108=0,"DONNEES MANQUANTES",IF($C108="RECEPTION","OK",IF($O108&lt;=0,"EMPLACEMENT INCOHERENT",IF($G108&gt;$O108+0.001,"STOCK INSUFFISANT","OK")))))</f>
        <v/>
      </c>
      <c r="Q108" s="28" t="n">
        <f aca="false">IF($P108="OK",1,0)</f>
        <v>0</v>
      </c>
      <c r="R108" s="26" t="str">
        <f aca="false">IF($C108="","",IF($N108=0,"A COMPLETER : "&amp;IF($B108="","DATE; ","")&amp;IF($D108="","LOT; ","")&amp;IF(OR(NOT(ISNUMBER($G108)),$G108&lt;=0),"QUANTITE &gt; 0; ","")&amp;IF(AND($C108&lt;&gt;"RECEPTION",$E108=""),"EMPL. SOURCE; ","")&amp;IF(AND($C108&lt;&gt;"CONSOMMATION",$F108=""),"EMPL. DESTINATION; ","")&amp;IF(AND($C108="TRANSFERT",$E108&lt;&gt;"",$E108=$F108),"SOURCE = DESTINATION; ",""),IF($P108="EMPLACEMENT INCOHERENT","Le lot "&amp;$D108&amp;" n'existe pas sur "&amp;$E108&amp;" (stock 0). Verifier l'emplacement source.",IF($P108="STOCK INSUFFISANT","Disponible avant operation : "&amp;TEXT($O108,"#,##0.00")&amp;" kg. Ligne NON comptee en stock.",IF(COUNTIFS($B$5:$B$304,$B108,$C$5:$C$304,$C108,$D$5:$D$304,$D108,$G$5:$G$304,$G108)&gt;1,"Doublon possible (meme date, type, lot et quantite).",IF($J108="LOT NON REFERENCE","Creer d'abord la fiche du lot dans l'onglet LOTS.",""))))))</f>
        <v/>
      </c>
    </row>
    <row r="109" customFormat="false" ht="15" hidden="false" customHeight="false" outlineLevel="0" collapsed="false">
      <c r="A109" s="26" t="str">
        <f aca="false">IF($C109="","","OP-"&amp;TEXT(ROW()-4,"000"))</f>
        <v/>
      </c>
      <c r="B109" s="25"/>
      <c r="C109" s="24"/>
      <c r="D109" s="24"/>
      <c r="E109" s="24"/>
      <c r="F109" s="24"/>
      <c r="G109" s="29"/>
      <c r="H109" s="24"/>
      <c r="I109" s="24"/>
      <c r="J109" s="26" t="str">
        <f aca="false">IF($D109="","",IFERROR(INDEX(LOT_PRODE,MATCH($D109,LOT_KEY,0)),"LOT NON REFERENCE"))</f>
        <v/>
      </c>
      <c r="K109" s="26" t="str">
        <f aca="false">IF($D109="","",IFERROR(INDEX(LOT_FOURNE,MATCH($D109,LOT_KEY,0)),""))</f>
        <v/>
      </c>
      <c r="L109" s="26" t="str">
        <f aca="false">IF($E109="","",IFERROR(INDEX(EMPL_CLASSE,MATCH($E109,EMPL_KEY,0)),"?"))</f>
        <v/>
      </c>
      <c r="M109" s="26" t="str">
        <f aca="false">IF($F109="","",IFERROR(INDEX(EMPL_CLASSE,MATCH($F109,EMPL_KEY,0)),"?"))</f>
        <v/>
      </c>
      <c r="N109" s="28" t="n">
        <f aca="false">IF($C109="",0,IF(OR($B109="",$D109="",NOT(ISNUMBER($G109)),$G109&lt;=0),0,IF($C109="RECEPTION",IF($F109="",0,1),IF($C109="CONSOMMATION",IF($E109="",0,1),IF(OR($E109="",$F109="",$E109=$F109),0,1)))))</f>
        <v>0</v>
      </c>
      <c r="O109" s="27" t="str">
        <f aca="false">IF(OR($N109=0,$C109="RECEPTION"),"",SUMIFS(MVT_BRUT,MVT_LOT,$D109,MVT_EMPL,$E109)+$G109)</f>
        <v/>
      </c>
      <c r="P109" s="26" t="str">
        <f aca="false">IF($C109="","",IF($N109=0,"DONNEES MANQUANTES",IF($C109="RECEPTION","OK",IF($O109&lt;=0,"EMPLACEMENT INCOHERENT",IF($G109&gt;$O109+0.001,"STOCK INSUFFISANT","OK")))))</f>
        <v/>
      </c>
      <c r="Q109" s="28" t="n">
        <f aca="false">IF($P109="OK",1,0)</f>
        <v>0</v>
      </c>
      <c r="R109" s="26" t="str">
        <f aca="false">IF($C109="","",IF($N109=0,"A COMPLETER : "&amp;IF($B109="","DATE; ","")&amp;IF($D109="","LOT; ","")&amp;IF(OR(NOT(ISNUMBER($G109)),$G109&lt;=0),"QUANTITE &gt; 0; ","")&amp;IF(AND($C109&lt;&gt;"RECEPTION",$E109=""),"EMPL. SOURCE; ","")&amp;IF(AND($C109&lt;&gt;"CONSOMMATION",$F109=""),"EMPL. DESTINATION; ","")&amp;IF(AND($C109="TRANSFERT",$E109&lt;&gt;"",$E109=$F109),"SOURCE = DESTINATION; ",""),IF($P109="EMPLACEMENT INCOHERENT","Le lot "&amp;$D109&amp;" n'existe pas sur "&amp;$E109&amp;" (stock 0). Verifier l'emplacement source.",IF($P109="STOCK INSUFFISANT","Disponible avant operation : "&amp;TEXT($O109,"#,##0.00")&amp;" kg. Ligne NON comptee en stock.",IF(COUNTIFS($B$5:$B$304,$B109,$C$5:$C$304,$C109,$D$5:$D$304,$D109,$G$5:$G$304,$G109)&gt;1,"Doublon possible (meme date, type, lot et quantite).",IF($J109="LOT NON REFERENCE","Creer d'abord la fiche du lot dans l'onglet LOTS.",""))))))</f>
        <v/>
      </c>
    </row>
    <row r="110" customFormat="false" ht="15" hidden="false" customHeight="false" outlineLevel="0" collapsed="false">
      <c r="A110" s="26" t="str">
        <f aca="false">IF($C110="","","OP-"&amp;TEXT(ROW()-4,"000"))</f>
        <v/>
      </c>
      <c r="B110" s="25"/>
      <c r="C110" s="24"/>
      <c r="D110" s="24"/>
      <c r="E110" s="24"/>
      <c r="F110" s="24"/>
      <c r="G110" s="29"/>
      <c r="H110" s="24"/>
      <c r="I110" s="24"/>
      <c r="J110" s="26" t="str">
        <f aca="false">IF($D110="","",IFERROR(INDEX(LOT_PRODE,MATCH($D110,LOT_KEY,0)),"LOT NON REFERENCE"))</f>
        <v/>
      </c>
      <c r="K110" s="26" t="str">
        <f aca="false">IF($D110="","",IFERROR(INDEX(LOT_FOURNE,MATCH($D110,LOT_KEY,0)),""))</f>
        <v/>
      </c>
      <c r="L110" s="26" t="str">
        <f aca="false">IF($E110="","",IFERROR(INDEX(EMPL_CLASSE,MATCH($E110,EMPL_KEY,0)),"?"))</f>
        <v/>
      </c>
      <c r="M110" s="26" t="str">
        <f aca="false">IF($F110="","",IFERROR(INDEX(EMPL_CLASSE,MATCH($F110,EMPL_KEY,0)),"?"))</f>
        <v/>
      </c>
      <c r="N110" s="28" t="n">
        <f aca="false">IF($C110="",0,IF(OR($B110="",$D110="",NOT(ISNUMBER($G110)),$G110&lt;=0),0,IF($C110="RECEPTION",IF($F110="",0,1),IF($C110="CONSOMMATION",IF($E110="",0,1),IF(OR($E110="",$F110="",$E110=$F110),0,1)))))</f>
        <v>0</v>
      </c>
      <c r="O110" s="27" t="str">
        <f aca="false">IF(OR($N110=0,$C110="RECEPTION"),"",SUMIFS(MVT_BRUT,MVT_LOT,$D110,MVT_EMPL,$E110)+$G110)</f>
        <v/>
      </c>
      <c r="P110" s="26" t="str">
        <f aca="false">IF($C110="","",IF($N110=0,"DONNEES MANQUANTES",IF($C110="RECEPTION","OK",IF($O110&lt;=0,"EMPLACEMENT INCOHERENT",IF($G110&gt;$O110+0.001,"STOCK INSUFFISANT","OK")))))</f>
        <v/>
      </c>
      <c r="Q110" s="28" t="n">
        <f aca="false">IF($P110="OK",1,0)</f>
        <v>0</v>
      </c>
      <c r="R110" s="26" t="str">
        <f aca="false">IF($C110="","",IF($N110=0,"A COMPLETER : "&amp;IF($B110="","DATE; ","")&amp;IF($D110="","LOT; ","")&amp;IF(OR(NOT(ISNUMBER($G110)),$G110&lt;=0),"QUANTITE &gt; 0; ","")&amp;IF(AND($C110&lt;&gt;"RECEPTION",$E110=""),"EMPL. SOURCE; ","")&amp;IF(AND($C110&lt;&gt;"CONSOMMATION",$F110=""),"EMPL. DESTINATION; ","")&amp;IF(AND($C110="TRANSFERT",$E110&lt;&gt;"",$E110=$F110),"SOURCE = DESTINATION; ",""),IF($P110="EMPLACEMENT INCOHERENT","Le lot "&amp;$D110&amp;" n'existe pas sur "&amp;$E110&amp;" (stock 0). Verifier l'emplacement source.",IF($P110="STOCK INSUFFISANT","Disponible avant operation : "&amp;TEXT($O110,"#,##0.00")&amp;" kg. Ligne NON comptee en stock.",IF(COUNTIFS($B$5:$B$304,$B110,$C$5:$C$304,$C110,$D$5:$D$304,$D110,$G$5:$G$304,$G110)&gt;1,"Doublon possible (meme date, type, lot et quantite).",IF($J110="LOT NON REFERENCE","Creer d'abord la fiche du lot dans l'onglet LOTS.",""))))))</f>
        <v/>
      </c>
    </row>
    <row r="111" customFormat="false" ht="15" hidden="false" customHeight="false" outlineLevel="0" collapsed="false">
      <c r="A111" s="26" t="str">
        <f aca="false">IF($C111="","","OP-"&amp;TEXT(ROW()-4,"000"))</f>
        <v/>
      </c>
      <c r="B111" s="25"/>
      <c r="C111" s="24"/>
      <c r="D111" s="24"/>
      <c r="E111" s="24"/>
      <c r="F111" s="24"/>
      <c r="G111" s="29"/>
      <c r="H111" s="24"/>
      <c r="I111" s="24"/>
      <c r="J111" s="26" t="str">
        <f aca="false">IF($D111="","",IFERROR(INDEX(LOT_PRODE,MATCH($D111,LOT_KEY,0)),"LOT NON REFERENCE"))</f>
        <v/>
      </c>
      <c r="K111" s="26" t="str">
        <f aca="false">IF($D111="","",IFERROR(INDEX(LOT_FOURNE,MATCH($D111,LOT_KEY,0)),""))</f>
        <v/>
      </c>
      <c r="L111" s="26" t="str">
        <f aca="false">IF($E111="","",IFERROR(INDEX(EMPL_CLASSE,MATCH($E111,EMPL_KEY,0)),"?"))</f>
        <v/>
      </c>
      <c r="M111" s="26" t="str">
        <f aca="false">IF($F111="","",IFERROR(INDEX(EMPL_CLASSE,MATCH($F111,EMPL_KEY,0)),"?"))</f>
        <v/>
      </c>
      <c r="N111" s="28" t="n">
        <f aca="false">IF($C111="",0,IF(OR($B111="",$D111="",NOT(ISNUMBER($G111)),$G111&lt;=0),0,IF($C111="RECEPTION",IF($F111="",0,1),IF($C111="CONSOMMATION",IF($E111="",0,1),IF(OR($E111="",$F111="",$E111=$F111),0,1)))))</f>
        <v>0</v>
      </c>
      <c r="O111" s="27" t="str">
        <f aca="false">IF(OR($N111=0,$C111="RECEPTION"),"",SUMIFS(MVT_BRUT,MVT_LOT,$D111,MVT_EMPL,$E111)+$G111)</f>
        <v/>
      </c>
      <c r="P111" s="26" t="str">
        <f aca="false">IF($C111="","",IF($N111=0,"DONNEES MANQUANTES",IF($C111="RECEPTION","OK",IF($O111&lt;=0,"EMPLACEMENT INCOHERENT",IF($G111&gt;$O111+0.001,"STOCK INSUFFISANT","OK")))))</f>
        <v/>
      </c>
      <c r="Q111" s="28" t="n">
        <f aca="false">IF($P111="OK",1,0)</f>
        <v>0</v>
      </c>
      <c r="R111" s="26" t="str">
        <f aca="false">IF($C111="","",IF($N111=0,"A COMPLETER : "&amp;IF($B111="","DATE; ","")&amp;IF($D111="","LOT; ","")&amp;IF(OR(NOT(ISNUMBER($G111)),$G111&lt;=0),"QUANTITE &gt; 0; ","")&amp;IF(AND($C111&lt;&gt;"RECEPTION",$E111=""),"EMPL. SOURCE; ","")&amp;IF(AND($C111&lt;&gt;"CONSOMMATION",$F111=""),"EMPL. DESTINATION; ","")&amp;IF(AND($C111="TRANSFERT",$E111&lt;&gt;"",$E111=$F111),"SOURCE = DESTINATION; ",""),IF($P111="EMPLACEMENT INCOHERENT","Le lot "&amp;$D111&amp;" n'existe pas sur "&amp;$E111&amp;" (stock 0). Verifier l'emplacement source.",IF($P111="STOCK INSUFFISANT","Disponible avant operation : "&amp;TEXT($O111,"#,##0.00")&amp;" kg. Ligne NON comptee en stock.",IF(COUNTIFS($B$5:$B$304,$B111,$C$5:$C$304,$C111,$D$5:$D$304,$D111,$G$5:$G$304,$G111)&gt;1,"Doublon possible (meme date, type, lot et quantite).",IF($J111="LOT NON REFERENCE","Creer d'abord la fiche du lot dans l'onglet LOTS.",""))))))</f>
        <v/>
      </c>
    </row>
    <row r="112" customFormat="false" ht="15" hidden="false" customHeight="false" outlineLevel="0" collapsed="false">
      <c r="A112" s="26" t="str">
        <f aca="false">IF($C112="","","OP-"&amp;TEXT(ROW()-4,"000"))</f>
        <v/>
      </c>
      <c r="B112" s="25"/>
      <c r="C112" s="24"/>
      <c r="D112" s="24"/>
      <c r="E112" s="24"/>
      <c r="F112" s="24"/>
      <c r="G112" s="29"/>
      <c r="H112" s="24"/>
      <c r="I112" s="24"/>
      <c r="J112" s="26" t="str">
        <f aca="false">IF($D112="","",IFERROR(INDEX(LOT_PRODE,MATCH($D112,LOT_KEY,0)),"LOT NON REFERENCE"))</f>
        <v/>
      </c>
      <c r="K112" s="26" t="str">
        <f aca="false">IF($D112="","",IFERROR(INDEX(LOT_FOURNE,MATCH($D112,LOT_KEY,0)),""))</f>
        <v/>
      </c>
      <c r="L112" s="26" t="str">
        <f aca="false">IF($E112="","",IFERROR(INDEX(EMPL_CLASSE,MATCH($E112,EMPL_KEY,0)),"?"))</f>
        <v/>
      </c>
      <c r="M112" s="26" t="str">
        <f aca="false">IF($F112="","",IFERROR(INDEX(EMPL_CLASSE,MATCH($F112,EMPL_KEY,0)),"?"))</f>
        <v/>
      </c>
      <c r="N112" s="28" t="n">
        <f aca="false">IF($C112="",0,IF(OR($B112="",$D112="",NOT(ISNUMBER($G112)),$G112&lt;=0),0,IF($C112="RECEPTION",IF($F112="",0,1),IF($C112="CONSOMMATION",IF($E112="",0,1),IF(OR($E112="",$F112="",$E112=$F112),0,1)))))</f>
        <v>0</v>
      </c>
      <c r="O112" s="27" t="str">
        <f aca="false">IF(OR($N112=0,$C112="RECEPTION"),"",SUMIFS(MVT_BRUT,MVT_LOT,$D112,MVT_EMPL,$E112)+$G112)</f>
        <v/>
      </c>
      <c r="P112" s="26" t="str">
        <f aca="false">IF($C112="","",IF($N112=0,"DONNEES MANQUANTES",IF($C112="RECEPTION","OK",IF($O112&lt;=0,"EMPLACEMENT INCOHERENT",IF($G112&gt;$O112+0.001,"STOCK INSUFFISANT","OK")))))</f>
        <v/>
      </c>
      <c r="Q112" s="28" t="n">
        <f aca="false">IF($P112="OK",1,0)</f>
        <v>0</v>
      </c>
      <c r="R112" s="26" t="str">
        <f aca="false">IF($C112="","",IF($N112=0,"A COMPLETER : "&amp;IF($B112="","DATE; ","")&amp;IF($D112="","LOT; ","")&amp;IF(OR(NOT(ISNUMBER($G112)),$G112&lt;=0),"QUANTITE &gt; 0; ","")&amp;IF(AND($C112&lt;&gt;"RECEPTION",$E112=""),"EMPL. SOURCE; ","")&amp;IF(AND($C112&lt;&gt;"CONSOMMATION",$F112=""),"EMPL. DESTINATION; ","")&amp;IF(AND($C112="TRANSFERT",$E112&lt;&gt;"",$E112=$F112),"SOURCE = DESTINATION; ",""),IF($P112="EMPLACEMENT INCOHERENT","Le lot "&amp;$D112&amp;" n'existe pas sur "&amp;$E112&amp;" (stock 0). Verifier l'emplacement source.",IF($P112="STOCK INSUFFISANT","Disponible avant operation : "&amp;TEXT($O112,"#,##0.00")&amp;" kg. Ligne NON comptee en stock.",IF(COUNTIFS($B$5:$B$304,$B112,$C$5:$C$304,$C112,$D$5:$D$304,$D112,$G$5:$G$304,$G112)&gt;1,"Doublon possible (meme date, type, lot et quantite).",IF($J112="LOT NON REFERENCE","Creer d'abord la fiche du lot dans l'onglet LOTS.",""))))))</f>
        <v/>
      </c>
    </row>
    <row r="113" customFormat="false" ht="15" hidden="false" customHeight="false" outlineLevel="0" collapsed="false">
      <c r="A113" s="26" t="str">
        <f aca="false">IF($C113="","","OP-"&amp;TEXT(ROW()-4,"000"))</f>
        <v/>
      </c>
      <c r="B113" s="25"/>
      <c r="C113" s="24"/>
      <c r="D113" s="24"/>
      <c r="E113" s="24"/>
      <c r="F113" s="24"/>
      <c r="G113" s="29"/>
      <c r="H113" s="24"/>
      <c r="I113" s="24"/>
      <c r="J113" s="26" t="str">
        <f aca="false">IF($D113="","",IFERROR(INDEX(LOT_PRODE,MATCH($D113,LOT_KEY,0)),"LOT NON REFERENCE"))</f>
        <v/>
      </c>
      <c r="K113" s="26" t="str">
        <f aca="false">IF($D113="","",IFERROR(INDEX(LOT_FOURNE,MATCH($D113,LOT_KEY,0)),""))</f>
        <v/>
      </c>
      <c r="L113" s="26" t="str">
        <f aca="false">IF($E113="","",IFERROR(INDEX(EMPL_CLASSE,MATCH($E113,EMPL_KEY,0)),"?"))</f>
        <v/>
      </c>
      <c r="M113" s="26" t="str">
        <f aca="false">IF($F113="","",IFERROR(INDEX(EMPL_CLASSE,MATCH($F113,EMPL_KEY,0)),"?"))</f>
        <v/>
      </c>
      <c r="N113" s="28" t="n">
        <f aca="false">IF($C113="",0,IF(OR($B113="",$D113="",NOT(ISNUMBER($G113)),$G113&lt;=0),0,IF($C113="RECEPTION",IF($F113="",0,1),IF($C113="CONSOMMATION",IF($E113="",0,1),IF(OR($E113="",$F113="",$E113=$F113),0,1)))))</f>
        <v>0</v>
      </c>
      <c r="O113" s="27" t="str">
        <f aca="false">IF(OR($N113=0,$C113="RECEPTION"),"",SUMIFS(MVT_BRUT,MVT_LOT,$D113,MVT_EMPL,$E113)+$G113)</f>
        <v/>
      </c>
      <c r="P113" s="26" t="str">
        <f aca="false">IF($C113="","",IF($N113=0,"DONNEES MANQUANTES",IF($C113="RECEPTION","OK",IF($O113&lt;=0,"EMPLACEMENT INCOHERENT",IF($G113&gt;$O113+0.001,"STOCK INSUFFISANT","OK")))))</f>
        <v/>
      </c>
      <c r="Q113" s="28" t="n">
        <f aca="false">IF($P113="OK",1,0)</f>
        <v>0</v>
      </c>
      <c r="R113" s="26" t="str">
        <f aca="false">IF($C113="","",IF($N113=0,"A COMPLETER : "&amp;IF($B113="","DATE; ","")&amp;IF($D113="","LOT; ","")&amp;IF(OR(NOT(ISNUMBER($G113)),$G113&lt;=0),"QUANTITE &gt; 0; ","")&amp;IF(AND($C113&lt;&gt;"RECEPTION",$E113=""),"EMPL. SOURCE; ","")&amp;IF(AND($C113&lt;&gt;"CONSOMMATION",$F113=""),"EMPL. DESTINATION; ","")&amp;IF(AND($C113="TRANSFERT",$E113&lt;&gt;"",$E113=$F113),"SOURCE = DESTINATION; ",""),IF($P113="EMPLACEMENT INCOHERENT","Le lot "&amp;$D113&amp;" n'existe pas sur "&amp;$E113&amp;" (stock 0). Verifier l'emplacement source.",IF($P113="STOCK INSUFFISANT","Disponible avant operation : "&amp;TEXT($O113,"#,##0.00")&amp;" kg. Ligne NON comptee en stock.",IF(COUNTIFS($B$5:$B$304,$B113,$C$5:$C$304,$C113,$D$5:$D$304,$D113,$G$5:$G$304,$G113)&gt;1,"Doublon possible (meme date, type, lot et quantite).",IF($J113="LOT NON REFERENCE","Creer d'abord la fiche du lot dans l'onglet LOTS.",""))))))</f>
        <v/>
      </c>
    </row>
    <row r="114" customFormat="false" ht="15" hidden="false" customHeight="false" outlineLevel="0" collapsed="false">
      <c r="A114" s="26" t="str">
        <f aca="false">IF($C114="","","OP-"&amp;TEXT(ROW()-4,"000"))</f>
        <v/>
      </c>
      <c r="B114" s="25"/>
      <c r="C114" s="24"/>
      <c r="D114" s="24"/>
      <c r="E114" s="24"/>
      <c r="F114" s="24"/>
      <c r="G114" s="29"/>
      <c r="H114" s="24"/>
      <c r="I114" s="24"/>
      <c r="J114" s="26" t="str">
        <f aca="false">IF($D114="","",IFERROR(INDEX(LOT_PRODE,MATCH($D114,LOT_KEY,0)),"LOT NON REFERENCE"))</f>
        <v/>
      </c>
      <c r="K114" s="26" t="str">
        <f aca="false">IF($D114="","",IFERROR(INDEX(LOT_FOURNE,MATCH($D114,LOT_KEY,0)),""))</f>
        <v/>
      </c>
      <c r="L114" s="26" t="str">
        <f aca="false">IF($E114="","",IFERROR(INDEX(EMPL_CLASSE,MATCH($E114,EMPL_KEY,0)),"?"))</f>
        <v/>
      </c>
      <c r="M114" s="26" t="str">
        <f aca="false">IF($F114="","",IFERROR(INDEX(EMPL_CLASSE,MATCH($F114,EMPL_KEY,0)),"?"))</f>
        <v/>
      </c>
      <c r="N114" s="28" t="n">
        <f aca="false">IF($C114="",0,IF(OR($B114="",$D114="",NOT(ISNUMBER($G114)),$G114&lt;=0),0,IF($C114="RECEPTION",IF($F114="",0,1),IF($C114="CONSOMMATION",IF($E114="",0,1),IF(OR($E114="",$F114="",$E114=$F114),0,1)))))</f>
        <v>0</v>
      </c>
      <c r="O114" s="27" t="str">
        <f aca="false">IF(OR($N114=0,$C114="RECEPTION"),"",SUMIFS(MVT_BRUT,MVT_LOT,$D114,MVT_EMPL,$E114)+$G114)</f>
        <v/>
      </c>
      <c r="P114" s="26" t="str">
        <f aca="false">IF($C114="","",IF($N114=0,"DONNEES MANQUANTES",IF($C114="RECEPTION","OK",IF($O114&lt;=0,"EMPLACEMENT INCOHERENT",IF($G114&gt;$O114+0.001,"STOCK INSUFFISANT","OK")))))</f>
        <v/>
      </c>
      <c r="Q114" s="28" t="n">
        <f aca="false">IF($P114="OK",1,0)</f>
        <v>0</v>
      </c>
      <c r="R114" s="26" t="str">
        <f aca="false">IF($C114="","",IF($N114=0,"A COMPLETER : "&amp;IF($B114="","DATE; ","")&amp;IF($D114="","LOT; ","")&amp;IF(OR(NOT(ISNUMBER($G114)),$G114&lt;=0),"QUANTITE &gt; 0; ","")&amp;IF(AND($C114&lt;&gt;"RECEPTION",$E114=""),"EMPL. SOURCE; ","")&amp;IF(AND($C114&lt;&gt;"CONSOMMATION",$F114=""),"EMPL. DESTINATION; ","")&amp;IF(AND($C114="TRANSFERT",$E114&lt;&gt;"",$E114=$F114),"SOURCE = DESTINATION; ",""),IF($P114="EMPLACEMENT INCOHERENT","Le lot "&amp;$D114&amp;" n'existe pas sur "&amp;$E114&amp;" (stock 0). Verifier l'emplacement source.",IF($P114="STOCK INSUFFISANT","Disponible avant operation : "&amp;TEXT($O114,"#,##0.00")&amp;" kg. Ligne NON comptee en stock.",IF(COUNTIFS($B$5:$B$304,$B114,$C$5:$C$304,$C114,$D$5:$D$304,$D114,$G$5:$G$304,$G114)&gt;1,"Doublon possible (meme date, type, lot et quantite).",IF($J114="LOT NON REFERENCE","Creer d'abord la fiche du lot dans l'onglet LOTS.",""))))))</f>
        <v/>
      </c>
    </row>
    <row r="115" customFormat="false" ht="15" hidden="false" customHeight="false" outlineLevel="0" collapsed="false">
      <c r="A115" s="26" t="str">
        <f aca="false">IF($C115="","","OP-"&amp;TEXT(ROW()-4,"000"))</f>
        <v/>
      </c>
      <c r="B115" s="25"/>
      <c r="C115" s="24"/>
      <c r="D115" s="24"/>
      <c r="E115" s="24"/>
      <c r="F115" s="24"/>
      <c r="G115" s="29"/>
      <c r="H115" s="24"/>
      <c r="I115" s="24"/>
      <c r="J115" s="26" t="str">
        <f aca="false">IF($D115="","",IFERROR(INDEX(LOT_PRODE,MATCH($D115,LOT_KEY,0)),"LOT NON REFERENCE"))</f>
        <v/>
      </c>
      <c r="K115" s="26" t="str">
        <f aca="false">IF($D115="","",IFERROR(INDEX(LOT_FOURNE,MATCH($D115,LOT_KEY,0)),""))</f>
        <v/>
      </c>
      <c r="L115" s="26" t="str">
        <f aca="false">IF($E115="","",IFERROR(INDEX(EMPL_CLASSE,MATCH($E115,EMPL_KEY,0)),"?"))</f>
        <v/>
      </c>
      <c r="M115" s="26" t="str">
        <f aca="false">IF($F115="","",IFERROR(INDEX(EMPL_CLASSE,MATCH($F115,EMPL_KEY,0)),"?"))</f>
        <v/>
      </c>
      <c r="N115" s="28" t="n">
        <f aca="false">IF($C115="",0,IF(OR($B115="",$D115="",NOT(ISNUMBER($G115)),$G115&lt;=0),0,IF($C115="RECEPTION",IF($F115="",0,1),IF($C115="CONSOMMATION",IF($E115="",0,1),IF(OR($E115="",$F115="",$E115=$F115),0,1)))))</f>
        <v>0</v>
      </c>
      <c r="O115" s="27" t="str">
        <f aca="false">IF(OR($N115=0,$C115="RECEPTION"),"",SUMIFS(MVT_BRUT,MVT_LOT,$D115,MVT_EMPL,$E115)+$G115)</f>
        <v/>
      </c>
      <c r="P115" s="26" t="str">
        <f aca="false">IF($C115="","",IF($N115=0,"DONNEES MANQUANTES",IF($C115="RECEPTION","OK",IF($O115&lt;=0,"EMPLACEMENT INCOHERENT",IF($G115&gt;$O115+0.001,"STOCK INSUFFISANT","OK")))))</f>
        <v/>
      </c>
      <c r="Q115" s="28" t="n">
        <f aca="false">IF($P115="OK",1,0)</f>
        <v>0</v>
      </c>
      <c r="R115" s="26" t="str">
        <f aca="false">IF($C115="","",IF($N115=0,"A COMPLETER : "&amp;IF($B115="","DATE; ","")&amp;IF($D115="","LOT; ","")&amp;IF(OR(NOT(ISNUMBER($G115)),$G115&lt;=0),"QUANTITE &gt; 0; ","")&amp;IF(AND($C115&lt;&gt;"RECEPTION",$E115=""),"EMPL. SOURCE; ","")&amp;IF(AND($C115&lt;&gt;"CONSOMMATION",$F115=""),"EMPL. DESTINATION; ","")&amp;IF(AND($C115="TRANSFERT",$E115&lt;&gt;"",$E115=$F115),"SOURCE = DESTINATION; ",""),IF($P115="EMPLACEMENT INCOHERENT","Le lot "&amp;$D115&amp;" n'existe pas sur "&amp;$E115&amp;" (stock 0). Verifier l'emplacement source.",IF($P115="STOCK INSUFFISANT","Disponible avant operation : "&amp;TEXT($O115,"#,##0.00")&amp;" kg. Ligne NON comptee en stock.",IF(COUNTIFS($B$5:$B$304,$B115,$C$5:$C$304,$C115,$D$5:$D$304,$D115,$G$5:$G$304,$G115)&gt;1,"Doublon possible (meme date, type, lot et quantite).",IF($J115="LOT NON REFERENCE","Creer d'abord la fiche du lot dans l'onglet LOTS.",""))))))</f>
        <v/>
      </c>
    </row>
    <row r="116" customFormat="false" ht="15" hidden="false" customHeight="false" outlineLevel="0" collapsed="false">
      <c r="A116" s="26" t="str">
        <f aca="false">IF($C116="","","OP-"&amp;TEXT(ROW()-4,"000"))</f>
        <v/>
      </c>
      <c r="B116" s="25"/>
      <c r="C116" s="24"/>
      <c r="D116" s="24"/>
      <c r="E116" s="24"/>
      <c r="F116" s="24"/>
      <c r="G116" s="29"/>
      <c r="H116" s="24"/>
      <c r="I116" s="24"/>
      <c r="J116" s="26" t="str">
        <f aca="false">IF($D116="","",IFERROR(INDEX(LOT_PRODE,MATCH($D116,LOT_KEY,0)),"LOT NON REFERENCE"))</f>
        <v/>
      </c>
      <c r="K116" s="26" t="str">
        <f aca="false">IF($D116="","",IFERROR(INDEX(LOT_FOURNE,MATCH($D116,LOT_KEY,0)),""))</f>
        <v/>
      </c>
      <c r="L116" s="26" t="str">
        <f aca="false">IF($E116="","",IFERROR(INDEX(EMPL_CLASSE,MATCH($E116,EMPL_KEY,0)),"?"))</f>
        <v/>
      </c>
      <c r="M116" s="26" t="str">
        <f aca="false">IF($F116="","",IFERROR(INDEX(EMPL_CLASSE,MATCH($F116,EMPL_KEY,0)),"?"))</f>
        <v/>
      </c>
      <c r="N116" s="28" t="n">
        <f aca="false">IF($C116="",0,IF(OR($B116="",$D116="",NOT(ISNUMBER($G116)),$G116&lt;=0),0,IF($C116="RECEPTION",IF($F116="",0,1),IF($C116="CONSOMMATION",IF($E116="",0,1),IF(OR($E116="",$F116="",$E116=$F116),0,1)))))</f>
        <v>0</v>
      </c>
      <c r="O116" s="27" t="str">
        <f aca="false">IF(OR($N116=0,$C116="RECEPTION"),"",SUMIFS(MVT_BRUT,MVT_LOT,$D116,MVT_EMPL,$E116)+$G116)</f>
        <v/>
      </c>
      <c r="P116" s="26" t="str">
        <f aca="false">IF($C116="","",IF($N116=0,"DONNEES MANQUANTES",IF($C116="RECEPTION","OK",IF($O116&lt;=0,"EMPLACEMENT INCOHERENT",IF($G116&gt;$O116+0.001,"STOCK INSUFFISANT","OK")))))</f>
        <v/>
      </c>
      <c r="Q116" s="28" t="n">
        <f aca="false">IF($P116="OK",1,0)</f>
        <v>0</v>
      </c>
      <c r="R116" s="26" t="str">
        <f aca="false">IF($C116="","",IF($N116=0,"A COMPLETER : "&amp;IF($B116="","DATE; ","")&amp;IF($D116="","LOT; ","")&amp;IF(OR(NOT(ISNUMBER($G116)),$G116&lt;=0),"QUANTITE &gt; 0; ","")&amp;IF(AND($C116&lt;&gt;"RECEPTION",$E116=""),"EMPL. SOURCE; ","")&amp;IF(AND($C116&lt;&gt;"CONSOMMATION",$F116=""),"EMPL. DESTINATION; ","")&amp;IF(AND($C116="TRANSFERT",$E116&lt;&gt;"",$E116=$F116),"SOURCE = DESTINATION; ",""),IF($P116="EMPLACEMENT INCOHERENT","Le lot "&amp;$D116&amp;" n'existe pas sur "&amp;$E116&amp;" (stock 0). Verifier l'emplacement source.",IF($P116="STOCK INSUFFISANT","Disponible avant operation : "&amp;TEXT($O116,"#,##0.00")&amp;" kg. Ligne NON comptee en stock.",IF(COUNTIFS($B$5:$B$304,$B116,$C$5:$C$304,$C116,$D$5:$D$304,$D116,$G$5:$G$304,$G116)&gt;1,"Doublon possible (meme date, type, lot et quantite).",IF($J116="LOT NON REFERENCE","Creer d'abord la fiche du lot dans l'onglet LOTS.",""))))))</f>
        <v/>
      </c>
    </row>
    <row r="117" customFormat="false" ht="15" hidden="false" customHeight="false" outlineLevel="0" collapsed="false">
      <c r="A117" s="26" t="str">
        <f aca="false">IF($C117="","","OP-"&amp;TEXT(ROW()-4,"000"))</f>
        <v/>
      </c>
      <c r="B117" s="25"/>
      <c r="C117" s="24"/>
      <c r="D117" s="24"/>
      <c r="E117" s="24"/>
      <c r="F117" s="24"/>
      <c r="G117" s="29"/>
      <c r="H117" s="24"/>
      <c r="I117" s="24"/>
      <c r="J117" s="26" t="str">
        <f aca="false">IF($D117="","",IFERROR(INDEX(LOT_PRODE,MATCH($D117,LOT_KEY,0)),"LOT NON REFERENCE"))</f>
        <v/>
      </c>
      <c r="K117" s="26" t="str">
        <f aca="false">IF($D117="","",IFERROR(INDEX(LOT_FOURNE,MATCH($D117,LOT_KEY,0)),""))</f>
        <v/>
      </c>
      <c r="L117" s="26" t="str">
        <f aca="false">IF($E117="","",IFERROR(INDEX(EMPL_CLASSE,MATCH($E117,EMPL_KEY,0)),"?"))</f>
        <v/>
      </c>
      <c r="M117" s="26" t="str">
        <f aca="false">IF($F117="","",IFERROR(INDEX(EMPL_CLASSE,MATCH($F117,EMPL_KEY,0)),"?"))</f>
        <v/>
      </c>
      <c r="N117" s="28" t="n">
        <f aca="false">IF($C117="",0,IF(OR($B117="",$D117="",NOT(ISNUMBER($G117)),$G117&lt;=0),0,IF($C117="RECEPTION",IF($F117="",0,1),IF($C117="CONSOMMATION",IF($E117="",0,1),IF(OR($E117="",$F117="",$E117=$F117),0,1)))))</f>
        <v>0</v>
      </c>
      <c r="O117" s="27" t="str">
        <f aca="false">IF(OR($N117=0,$C117="RECEPTION"),"",SUMIFS(MVT_BRUT,MVT_LOT,$D117,MVT_EMPL,$E117)+$G117)</f>
        <v/>
      </c>
      <c r="P117" s="26" t="str">
        <f aca="false">IF($C117="","",IF($N117=0,"DONNEES MANQUANTES",IF($C117="RECEPTION","OK",IF($O117&lt;=0,"EMPLACEMENT INCOHERENT",IF($G117&gt;$O117+0.001,"STOCK INSUFFISANT","OK")))))</f>
        <v/>
      </c>
      <c r="Q117" s="28" t="n">
        <f aca="false">IF($P117="OK",1,0)</f>
        <v>0</v>
      </c>
      <c r="R117" s="26" t="str">
        <f aca="false">IF($C117="","",IF($N117=0,"A COMPLETER : "&amp;IF($B117="","DATE; ","")&amp;IF($D117="","LOT; ","")&amp;IF(OR(NOT(ISNUMBER($G117)),$G117&lt;=0),"QUANTITE &gt; 0; ","")&amp;IF(AND($C117&lt;&gt;"RECEPTION",$E117=""),"EMPL. SOURCE; ","")&amp;IF(AND($C117&lt;&gt;"CONSOMMATION",$F117=""),"EMPL. DESTINATION; ","")&amp;IF(AND($C117="TRANSFERT",$E117&lt;&gt;"",$E117=$F117),"SOURCE = DESTINATION; ",""),IF($P117="EMPLACEMENT INCOHERENT","Le lot "&amp;$D117&amp;" n'existe pas sur "&amp;$E117&amp;" (stock 0). Verifier l'emplacement source.",IF($P117="STOCK INSUFFISANT","Disponible avant operation : "&amp;TEXT($O117,"#,##0.00")&amp;" kg. Ligne NON comptee en stock.",IF(COUNTIFS($B$5:$B$304,$B117,$C$5:$C$304,$C117,$D$5:$D$304,$D117,$G$5:$G$304,$G117)&gt;1,"Doublon possible (meme date, type, lot et quantite).",IF($J117="LOT NON REFERENCE","Creer d'abord la fiche du lot dans l'onglet LOTS.",""))))))</f>
        <v/>
      </c>
    </row>
    <row r="118" customFormat="false" ht="15" hidden="false" customHeight="false" outlineLevel="0" collapsed="false">
      <c r="A118" s="26" t="str">
        <f aca="false">IF($C118="","","OP-"&amp;TEXT(ROW()-4,"000"))</f>
        <v/>
      </c>
      <c r="B118" s="25"/>
      <c r="C118" s="24"/>
      <c r="D118" s="24"/>
      <c r="E118" s="24"/>
      <c r="F118" s="24"/>
      <c r="G118" s="29"/>
      <c r="H118" s="24"/>
      <c r="I118" s="24"/>
      <c r="J118" s="26" t="str">
        <f aca="false">IF($D118="","",IFERROR(INDEX(LOT_PRODE,MATCH($D118,LOT_KEY,0)),"LOT NON REFERENCE"))</f>
        <v/>
      </c>
      <c r="K118" s="26" t="str">
        <f aca="false">IF($D118="","",IFERROR(INDEX(LOT_FOURNE,MATCH($D118,LOT_KEY,0)),""))</f>
        <v/>
      </c>
      <c r="L118" s="26" t="str">
        <f aca="false">IF($E118="","",IFERROR(INDEX(EMPL_CLASSE,MATCH($E118,EMPL_KEY,0)),"?"))</f>
        <v/>
      </c>
      <c r="M118" s="26" t="str">
        <f aca="false">IF($F118="","",IFERROR(INDEX(EMPL_CLASSE,MATCH($F118,EMPL_KEY,0)),"?"))</f>
        <v/>
      </c>
      <c r="N118" s="28" t="n">
        <f aca="false">IF($C118="",0,IF(OR($B118="",$D118="",NOT(ISNUMBER($G118)),$G118&lt;=0),0,IF($C118="RECEPTION",IF($F118="",0,1),IF($C118="CONSOMMATION",IF($E118="",0,1),IF(OR($E118="",$F118="",$E118=$F118),0,1)))))</f>
        <v>0</v>
      </c>
      <c r="O118" s="27" t="str">
        <f aca="false">IF(OR($N118=0,$C118="RECEPTION"),"",SUMIFS(MVT_BRUT,MVT_LOT,$D118,MVT_EMPL,$E118)+$G118)</f>
        <v/>
      </c>
      <c r="P118" s="26" t="str">
        <f aca="false">IF($C118="","",IF($N118=0,"DONNEES MANQUANTES",IF($C118="RECEPTION","OK",IF($O118&lt;=0,"EMPLACEMENT INCOHERENT",IF($G118&gt;$O118+0.001,"STOCK INSUFFISANT","OK")))))</f>
        <v/>
      </c>
      <c r="Q118" s="28" t="n">
        <f aca="false">IF($P118="OK",1,0)</f>
        <v>0</v>
      </c>
      <c r="R118" s="26" t="str">
        <f aca="false">IF($C118="","",IF($N118=0,"A COMPLETER : "&amp;IF($B118="","DATE; ","")&amp;IF($D118="","LOT; ","")&amp;IF(OR(NOT(ISNUMBER($G118)),$G118&lt;=0),"QUANTITE &gt; 0; ","")&amp;IF(AND($C118&lt;&gt;"RECEPTION",$E118=""),"EMPL. SOURCE; ","")&amp;IF(AND($C118&lt;&gt;"CONSOMMATION",$F118=""),"EMPL. DESTINATION; ","")&amp;IF(AND($C118="TRANSFERT",$E118&lt;&gt;"",$E118=$F118),"SOURCE = DESTINATION; ",""),IF($P118="EMPLACEMENT INCOHERENT","Le lot "&amp;$D118&amp;" n'existe pas sur "&amp;$E118&amp;" (stock 0). Verifier l'emplacement source.",IF($P118="STOCK INSUFFISANT","Disponible avant operation : "&amp;TEXT($O118,"#,##0.00")&amp;" kg. Ligne NON comptee en stock.",IF(COUNTIFS($B$5:$B$304,$B118,$C$5:$C$304,$C118,$D$5:$D$304,$D118,$G$5:$G$304,$G118)&gt;1,"Doublon possible (meme date, type, lot et quantite).",IF($J118="LOT NON REFERENCE","Creer d'abord la fiche du lot dans l'onglet LOTS.",""))))))</f>
        <v/>
      </c>
    </row>
    <row r="119" customFormat="false" ht="15" hidden="false" customHeight="false" outlineLevel="0" collapsed="false">
      <c r="A119" s="26" t="str">
        <f aca="false">IF($C119="","","OP-"&amp;TEXT(ROW()-4,"000"))</f>
        <v/>
      </c>
      <c r="B119" s="25"/>
      <c r="C119" s="24"/>
      <c r="D119" s="24"/>
      <c r="E119" s="24"/>
      <c r="F119" s="24"/>
      <c r="G119" s="29"/>
      <c r="H119" s="24"/>
      <c r="I119" s="24"/>
      <c r="J119" s="26" t="str">
        <f aca="false">IF($D119="","",IFERROR(INDEX(LOT_PRODE,MATCH($D119,LOT_KEY,0)),"LOT NON REFERENCE"))</f>
        <v/>
      </c>
      <c r="K119" s="26" t="str">
        <f aca="false">IF($D119="","",IFERROR(INDEX(LOT_FOURNE,MATCH($D119,LOT_KEY,0)),""))</f>
        <v/>
      </c>
      <c r="L119" s="26" t="str">
        <f aca="false">IF($E119="","",IFERROR(INDEX(EMPL_CLASSE,MATCH($E119,EMPL_KEY,0)),"?"))</f>
        <v/>
      </c>
      <c r="M119" s="26" t="str">
        <f aca="false">IF($F119="","",IFERROR(INDEX(EMPL_CLASSE,MATCH($F119,EMPL_KEY,0)),"?"))</f>
        <v/>
      </c>
      <c r="N119" s="28" t="n">
        <f aca="false">IF($C119="",0,IF(OR($B119="",$D119="",NOT(ISNUMBER($G119)),$G119&lt;=0),0,IF($C119="RECEPTION",IF($F119="",0,1),IF($C119="CONSOMMATION",IF($E119="",0,1),IF(OR($E119="",$F119="",$E119=$F119),0,1)))))</f>
        <v>0</v>
      </c>
      <c r="O119" s="27" t="str">
        <f aca="false">IF(OR($N119=0,$C119="RECEPTION"),"",SUMIFS(MVT_BRUT,MVT_LOT,$D119,MVT_EMPL,$E119)+$G119)</f>
        <v/>
      </c>
      <c r="P119" s="26" t="str">
        <f aca="false">IF($C119="","",IF($N119=0,"DONNEES MANQUANTES",IF($C119="RECEPTION","OK",IF($O119&lt;=0,"EMPLACEMENT INCOHERENT",IF($G119&gt;$O119+0.001,"STOCK INSUFFISANT","OK")))))</f>
        <v/>
      </c>
      <c r="Q119" s="28" t="n">
        <f aca="false">IF($P119="OK",1,0)</f>
        <v>0</v>
      </c>
      <c r="R119" s="26" t="str">
        <f aca="false">IF($C119="","",IF($N119=0,"A COMPLETER : "&amp;IF($B119="","DATE; ","")&amp;IF($D119="","LOT; ","")&amp;IF(OR(NOT(ISNUMBER($G119)),$G119&lt;=0),"QUANTITE &gt; 0; ","")&amp;IF(AND($C119&lt;&gt;"RECEPTION",$E119=""),"EMPL. SOURCE; ","")&amp;IF(AND($C119&lt;&gt;"CONSOMMATION",$F119=""),"EMPL. DESTINATION; ","")&amp;IF(AND($C119="TRANSFERT",$E119&lt;&gt;"",$E119=$F119),"SOURCE = DESTINATION; ",""),IF($P119="EMPLACEMENT INCOHERENT","Le lot "&amp;$D119&amp;" n'existe pas sur "&amp;$E119&amp;" (stock 0). Verifier l'emplacement source.",IF($P119="STOCK INSUFFISANT","Disponible avant operation : "&amp;TEXT($O119,"#,##0.00")&amp;" kg. Ligne NON comptee en stock.",IF(COUNTIFS($B$5:$B$304,$B119,$C$5:$C$304,$C119,$D$5:$D$304,$D119,$G$5:$G$304,$G119)&gt;1,"Doublon possible (meme date, type, lot et quantite).",IF($J119="LOT NON REFERENCE","Creer d'abord la fiche du lot dans l'onglet LOTS.",""))))))</f>
        <v/>
      </c>
    </row>
    <row r="120" customFormat="false" ht="15" hidden="false" customHeight="false" outlineLevel="0" collapsed="false">
      <c r="A120" s="26" t="str">
        <f aca="false">IF($C120="","","OP-"&amp;TEXT(ROW()-4,"000"))</f>
        <v/>
      </c>
      <c r="B120" s="25"/>
      <c r="C120" s="24"/>
      <c r="D120" s="24"/>
      <c r="E120" s="24"/>
      <c r="F120" s="24"/>
      <c r="G120" s="29"/>
      <c r="H120" s="24"/>
      <c r="I120" s="24"/>
      <c r="J120" s="26" t="str">
        <f aca="false">IF($D120="","",IFERROR(INDEX(LOT_PRODE,MATCH($D120,LOT_KEY,0)),"LOT NON REFERENCE"))</f>
        <v/>
      </c>
      <c r="K120" s="26" t="str">
        <f aca="false">IF($D120="","",IFERROR(INDEX(LOT_FOURNE,MATCH($D120,LOT_KEY,0)),""))</f>
        <v/>
      </c>
      <c r="L120" s="26" t="str">
        <f aca="false">IF($E120="","",IFERROR(INDEX(EMPL_CLASSE,MATCH($E120,EMPL_KEY,0)),"?"))</f>
        <v/>
      </c>
      <c r="M120" s="26" t="str">
        <f aca="false">IF($F120="","",IFERROR(INDEX(EMPL_CLASSE,MATCH($F120,EMPL_KEY,0)),"?"))</f>
        <v/>
      </c>
      <c r="N120" s="28" t="n">
        <f aca="false">IF($C120="",0,IF(OR($B120="",$D120="",NOT(ISNUMBER($G120)),$G120&lt;=0),0,IF($C120="RECEPTION",IF($F120="",0,1),IF($C120="CONSOMMATION",IF($E120="",0,1),IF(OR($E120="",$F120="",$E120=$F120),0,1)))))</f>
        <v>0</v>
      </c>
      <c r="O120" s="27" t="str">
        <f aca="false">IF(OR($N120=0,$C120="RECEPTION"),"",SUMIFS(MVT_BRUT,MVT_LOT,$D120,MVT_EMPL,$E120)+$G120)</f>
        <v/>
      </c>
      <c r="P120" s="26" t="str">
        <f aca="false">IF($C120="","",IF($N120=0,"DONNEES MANQUANTES",IF($C120="RECEPTION","OK",IF($O120&lt;=0,"EMPLACEMENT INCOHERENT",IF($G120&gt;$O120+0.001,"STOCK INSUFFISANT","OK")))))</f>
        <v/>
      </c>
      <c r="Q120" s="28" t="n">
        <f aca="false">IF($P120="OK",1,0)</f>
        <v>0</v>
      </c>
      <c r="R120" s="26" t="str">
        <f aca="false">IF($C120="","",IF($N120=0,"A COMPLETER : "&amp;IF($B120="","DATE; ","")&amp;IF($D120="","LOT; ","")&amp;IF(OR(NOT(ISNUMBER($G120)),$G120&lt;=0),"QUANTITE &gt; 0; ","")&amp;IF(AND($C120&lt;&gt;"RECEPTION",$E120=""),"EMPL. SOURCE; ","")&amp;IF(AND($C120&lt;&gt;"CONSOMMATION",$F120=""),"EMPL. DESTINATION; ","")&amp;IF(AND($C120="TRANSFERT",$E120&lt;&gt;"",$E120=$F120),"SOURCE = DESTINATION; ",""),IF($P120="EMPLACEMENT INCOHERENT","Le lot "&amp;$D120&amp;" n'existe pas sur "&amp;$E120&amp;" (stock 0). Verifier l'emplacement source.",IF($P120="STOCK INSUFFISANT","Disponible avant operation : "&amp;TEXT($O120,"#,##0.00")&amp;" kg. Ligne NON comptee en stock.",IF(COUNTIFS($B$5:$B$304,$B120,$C$5:$C$304,$C120,$D$5:$D$304,$D120,$G$5:$G$304,$G120)&gt;1,"Doublon possible (meme date, type, lot et quantite).",IF($J120="LOT NON REFERENCE","Creer d'abord la fiche du lot dans l'onglet LOTS.",""))))))</f>
        <v/>
      </c>
    </row>
    <row r="121" customFormat="false" ht="15" hidden="false" customHeight="false" outlineLevel="0" collapsed="false">
      <c r="A121" s="26" t="str">
        <f aca="false">IF($C121="","","OP-"&amp;TEXT(ROW()-4,"000"))</f>
        <v/>
      </c>
      <c r="B121" s="25"/>
      <c r="C121" s="24"/>
      <c r="D121" s="24"/>
      <c r="E121" s="24"/>
      <c r="F121" s="24"/>
      <c r="G121" s="29"/>
      <c r="H121" s="24"/>
      <c r="I121" s="24"/>
      <c r="J121" s="26" t="str">
        <f aca="false">IF($D121="","",IFERROR(INDEX(LOT_PRODE,MATCH($D121,LOT_KEY,0)),"LOT NON REFERENCE"))</f>
        <v/>
      </c>
      <c r="K121" s="26" t="str">
        <f aca="false">IF($D121="","",IFERROR(INDEX(LOT_FOURNE,MATCH($D121,LOT_KEY,0)),""))</f>
        <v/>
      </c>
      <c r="L121" s="26" t="str">
        <f aca="false">IF($E121="","",IFERROR(INDEX(EMPL_CLASSE,MATCH($E121,EMPL_KEY,0)),"?"))</f>
        <v/>
      </c>
      <c r="M121" s="26" t="str">
        <f aca="false">IF($F121="","",IFERROR(INDEX(EMPL_CLASSE,MATCH($F121,EMPL_KEY,0)),"?"))</f>
        <v/>
      </c>
      <c r="N121" s="28" t="n">
        <f aca="false">IF($C121="",0,IF(OR($B121="",$D121="",NOT(ISNUMBER($G121)),$G121&lt;=0),0,IF($C121="RECEPTION",IF($F121="",0,1),IF($C121="CONSOMMATION",IF($E121="",0,1),IF(OR($E121="",$F121="",$E121=$F121),0,1)))))</f>
        <v>0</v>
      </c>
      <c r="O121" s="27" t="str">
        <f aca="false">IF(OR($N121=0,$C121="RECEPTION"),"",SUMIFS(MVT_BRUT,MVT_LOT,$D121,MVT_EMPL,$E121)+$G121)</f>
        <v/>
      </c>
      <c r="P121" s="26" t="str">
        <f aca="false">IF($C121="","",IF($N121=0,"DONNEES MANQUANTES",IF($C121="RECEPTION","OK",IF($O121&lt;=0,"EMPLACEMENT INCOHERENT",IF($G121&gt;$O121+0.001,"STOCK INSUFFISANT","OK")))))</f>
        <v/>
      </c>
      <c r="Q121" s="28" t="n">
        <f aca="false">IF($P121="OK",1,0)</f>
        <v>0</v>
      </c>
      <c r="R121" s="26" t="str">
        <f aca="false">IF($C121="","",IF($N121=0,"A COMPLETER : "&amp;IF($B121="","DATE; ","")&amp;IF($D121="","LOT; ","")&amp;IF(OR(NOT(ISNUMBER($G121)),$G121&lt;=0),"QUANTITE &gt; 0; ","")&amp;IF(AND($C121&lt;&gt;"RECEPTION",$E121=""),"EMPL. SOURCE; ","")&amp;IF(AND($C121&lt;&gt;"CONSOMMATION",$F121=""),"EMPL. DESTINATION; ","")&amp;IF(AND($C121="TRANSFERT",$E121&lt;&gt;"",$E121=$F121),"SOURCE = DESTINATION; ",""),IF($P121="EMPLACEMENT INCOHERENT","Le lot "&amp;$D121&amp;" n'existe pas sur "&amp;$E121&amp;" (stock 0). Verifier l'emplacement source.",IF($P121="STOCK INSUFFISANT","Disponible avant operation : "&amp;TEXT($O121,"#,##0.00")&amp;" kg. Ligne NON comptee en stock.",IF(COUNTIFS($B$5:$B$304,$B121,$C$5:$C$304,$C121,$D$5:$D$304,$D121,$G$5:$G$304,$G121)&gt;1,"Doublon possible (meme date, type, lot et quantite).",IF($J121="LOT NON REFERENCE","Creer d'abord la fiche du lot dans l'onglet LOTS.",""))))))</f>
        <v/>
      </c>
    </row>
    <row r="122" customFormat="false" ht="15" hidden="false" customHeight="false" outlineLevel="0" collapsed="false">
      <c r="A122" s="26" t="str">
        <f aca="false">IF($C122="","","OP-"&amp;TEXT(ROW()-4,"000"))</f>
        <v/>
      </c>
      <c r="B122" s="25"/>
      <c r="C122" s="24"/>
      <c r="D122" s="24"/>
      <c r="E122" s="24"/>
      <c r="F122" s="24"/>
      <c r="G122" s="29"/>
      <c r="H122" s="24"/>
      <c r="I122" s="24"/>
      <c r="J122" s="26" t="str">
        <f aca="false">IF($D122="","",IFERROR(INDEX(LOT_PRODE,MATCH($D122,LOT_KEY,0)),"LOT NON REFERENCE"))</f>
        <v/>
      </c>
      <c r="K122" s="26" t="str">
        <f aca="false">IF($D122="","",IFERROR(INDEX(LOT_FOURNE,MATCH($D122,LOT_KEY,0)),""))</f>
        <v/>
      </c>
      <c r="L122" s="26" t="str">
        <f aca="false">IF($E122="","",IFERROR(INDEX(EMPL_CLASSE,MATCH($E122,EMPL_KEY,0)),"?"))</f>
        <v/>
      </c>
      <c r="M122" s="26" t="str">
        <f aca="false">IF($F122="","",IFERROR(INDEX(EMPL_CLASSE,MATCH($F122,EMPL_KEY,0)),"?"))</f>
        <v/>
      </c>
      <c r="N122" s="28" t="n">
        <f aca="false">IF($C122="",0,IF(OR($B122="",$D122="",NOT(ISNUMBER($G122)),$G122&lt;=0),0,IF($C122="RECEPTION",IF($F122="",0,1),IF($C122="CONSOMMATION",IF($E122="",0,1),IF(OR($E122="",$F122="",$E122=$F122),0,1)))))</f>
        <v>0</v>
      </c>
      <c r="O122" s="27" t="str">
        <f aca="false">IF(OR($N122=0,$C122="RECEPTION"),"",SUMIFS(MVT_BRUT,MVT_LOT,$D122,MVT_EMPL,$E122)+$G122)</f>
        <v/>
      </c>
      <c r="P122" s="26" t="str">
        <f aca="false">IF($C122="","",IF($N122=0,"DONNEES MANQUANTES",IF($C122="RECEPTION","OK",IF($O122&lt;=0,"EMPLACEMENT INCOHERENT",IF($G122&gt;$O122+0.001,"STOCK INSUFFISANT","OK")))))</f>
        <v/>
      </c>
      <c r="Q122" s="28" t="n">
        <f aca="false">IF($P122="OK",1,0)</f>
        <v>0</v>
      </c>
      <c r="R122" s="26" t="str">
        <f aca="false">IF($C122="","",IF($N122=0,"A COMPLETER : "&amp;IF($B122="","DATE; ","")&amp;IF($D122="","LOT; ","")&amp;IF(OR(NOT(ISNUMBER($G122)),$G122&lt;=0),"QUANTITE &gt; 0; ","")&amp;IF(AND($C122&lt;&gt;"RECEPTION",$E122=""),"EMPL. SOURCE; ","")&amp;IF(AND($C122&lt;&gt;"CONSOMMATION",$F122=""),"EMPL. DESTINATION; ","")&amp;IF(AND($C122="TRANSFERT",$E122&lt;&gt;"",$E122=$F122),"SOURCE = DESTINATION; ",""),IF($P122="EMPLACEMENT INCOHERENT","Le lot "&amp;$D122&amp;" n'existe pas sur "&amp;$E122&amp;" (stock 0). Verifier l'emplacement source.",IF($P122="STOCK INSUFFISANT","Disponible avant operation : "&amp;TEXT($O122,"#,##0.00")&amp;" kg. Ligne NON comptee en stock.",IF(COUNTIFS($B$5:$B$304,$B122,$C$5:$C$304,$C122,$D$5:$D$304,$D122,$G$5:$G$304,$G122)&gt;1,"Doublon possible (meme date, type, lot et quantite).",IF($J122="LOT NON REFERENCE","Creer d'abord la fiche du lot dans l'onglet LOTS.",""))))))</f>
        <v/>
      </c>
    </row>
    <row r="123" customFormat="false" ht="15" hidden="false" customHeight="false" outlineLevel="0" collapsed="false">
      <c r="A123" s="26" t="str">
        <f aca="false">IF($C123="","","OP-"&amp;TEXT(ROW()-4,"000"))</f>
        <v/>
      </c>
      <c r="B123" s="25"/>
      <c r="C123" s="24"/>
      <c r="D123" s="24"/>
      <c r="E123" s="24"/>
      <c r="F123" s="24"/>
      <c r="G123" s="29"/>
      <c r="H123" s="24"/>
      <c r="I123" s="24"/>
      <c r="J123" s="26" t="str">
        <f aca="false">IF($D123="","",IFERROR(INDEX(LOT_PRODE,MATCH($D123,LOT_KEY,0)),"LOT NON REFERENCE"))</f>
        <v/>
      </c>
      <c r="K123" s="26" t="str">
        <f aca="false">IF($D123="","",IFERROR(INDEX(LOT_FOURNE,MATCH($D123,LOT_KEY,0)),""))</f>
        <v/>
      </c>
      <c r="L123" s="26" t="str">
        <f aca="false">IF($E123="","",IFERROR(INDEX(EMPL_CLASSE,MATCH($E123,EMPL_KEY,0)),"?"))</f>
        <v/>
      </c>
      <c r="M123" s="26" t="str">
        <f aca="false">IF($F123="","",IFERROR(INDEX(EMPL_CLASSE,MATCH($F123,EMPL_KEY,0)),"?"))</f>
        <v/>
      </c>
      <c r="N123" s="28" t="n">
        <f aca="false">IF($C123="",0,IF(OR($B123="",$D123="",NOT(ISNUMBER($G123)),$G123&lt;=0),0,IF($C123="RECEPTION",IF($F123="",0,1),IF($C123="CONSOMMATION",IF($E123="",0,1),IF(OR($E123="",$F123="",$E123=$F123),0,1)))))</f>
        <v>0</v>
      </c>
      <c r="O123" s="27" t="str">
        <f aca="false">IF(OR($N123=0,$C123="RECEPTION"),"",SUMIFS(MVT_BRUT,MVT_LOT,$D123,MVT_EMPL,$E123)+$G123)</f>
        <v/>
      </c>
      <c r="P123" s="26" t="str">
        <f aca="false">IF($C123="","",IF($N123=0,"DONNEES MANQUANTES",IF($C123="RECEPTION","OK",IF($O123&lt;=0,"EMPLACEMENT INCOHERENT",IF($G123&gt;$O123+0.001,"STOCK INSUFFISANT","OK")))))</f>
        <v/>
      </c>
      <c r="Q123" s="28" t="n">
        <f aca="false">IF($P123="OK",1,0)</f>
        <v>0</v>
      </c>
      <c r="R123" s="26" t="str">
        <f aca="false">IF($C123="","",IF($N123=0,"A COMPLETER : "&amp;IF($B123="","DATE; ","")&amp;IF($D123="","LOT; ","")&amp;IF(OR(NOT(ISNUMBER($G123)),$G123&lt;=0),"QUANTITE &gt; 0; ","")&amp;IF(AND($C123&lt;&gt;"RECEPTION",$E123=""),"EMPL. SOURCE; ","")&amp;IF(AND($C123&lt;&gt;"CONSOMMATION",$F123=""),"EMPL. DESTINATION; ","")&amp;IF(AND($C123="TRANSFERT",$E123&lt;&gt;"",$E123=$F123),"SOURCE = DESTINATION; ",""),IF($P123="EMPLACEMENT INCOHERENT","Le lot "&amp;$D123&amp;" n'existe pas sur "&amp;$E123&amp;" (stock 0). Verifier l'emplacement source.",IF($P123="STOCK INSUFFISANT","Disponible avant operation : "&amp;TEXT($O123,"#,##0.00")&amp;" kg. Ligne NON comptee en stock.",IF(COUNTIFS($B$5:$B$304,$B123,$C$5:$C$304,$C123,$D$5:$D$304,$D123,$G$5:$G$304,$G123)&gt;1,"Doublon possible (meme date, type, lot et quantite).",IF($J123="LOT NON REFERENCE","Creer d'abord la fiche du lot dans l'onglet LOTS.",""))))))</f>
        <v/>
      </c>
    </row>
    <row r="124" customFormat="false" ht="15" hidden="false" customHeight="false" outlineLevel="0" collapsed="false">
      <c r="A124" s="26" t="str">
        <f aca="false">IF($C124="","","OP-"&amp;TEXT(ROW()-4,"000"))</f>
        <v/>
      </c>
      <c r="B124" s="25"/>
      <c r="C124" s="24"/>
      <c r="D124" s="24"/>
      <c r="E124" s="24"/>
      <c r="F124" s="24"/>
      <c r="G124" s="29"/>
      <c r="H124" s="24"/>
      <c r="I124" s="24"/>
      <c r="J124" s="26" t="str">
        <f aca="false">IF($D124="","",IFERROR(INDEX(LOT_PRODE,MATCH($D124,LOT_KEY,0)),"LOT NON REFERENCE"))</f>
        <v/>
      </c>
      <c r="K124" s="26" t="str">
        <f aca="false">IF($D124="","",IFERROR(INDEX(LOT_FOURNE,MATCH($D124,LOT_KEY,0)),""))</f>
        <v/>
      </c>
      <c r="L124" s="26" t="str">
        <f aca="false">IF($E124="","",IFERROR(INDEX(EMPL_CLASSE,MATCH($E124,EMPL_KEY,0)),"?"))</f>
        <v/>
      </c>
      <c r="M124" s="26" t="str">
        <f aca="false">IF($F124="","",IFERROR(INDEX(EMPL_CLASSE,MATCH($F124,EMPL_KEY,0)),"?"))</f>
        <v/>
      </c>
      <c r="N124" s="28" t="n">
        <f aca="false">IF($C124="",0,IF(OR($B124="",$D124="",NOT(ISNUMBER($G124)),$G124&lt;=0),0,IF($C124="RECEPTION",IF($F124="",0,1),IF($C124="CONSOMMATION",IF($E124="",0,1),IF(OR($E124="",$F124="",$E124=$F124),0,1)))))</f>
        <v>0</v>
      </c>
      <c r="O124" s="27" t="str">
        <f aca="false">IF(OR($N124=0,$C124="RECEPTION"),"",SUMIFS(MVT_BRUT,MVT_LOT,$D124,MVT_EMPL,$E124)+$G124)</f>
        <v/>
      </c>
      <c r="P124" s="26" t="str">
        <f aca="false">IF($C124="","",IF($N124=0,"DONNEES MANQUANTES",IF($C124="RECEPTION","OK",IF($O124&lt;=0,"EMPLACEMENT INCOHERENT",IF($G124&gt;$O124+0.001,"STOCK INSUFFISANT","OK")))))</f>
        <v/>
      </c>
      <c r="Q124" s="28" t="n">
        <f aca="false">IF($P124="OK",1,0)</f>
        <v>0</v>
      </c>
      <c r="R124" s="26" t="str">
        <f aca="false">IF($C124="","",IF($N124=0,"A COMPLETER : "&amp;IF($B124="","DATE; ","")&amp;IF($D124="","LOT; ","")&amp;IF(OR(NOT(ISNUMBER($G124)),$G124&lt;=0),"QUANTITE &gt; 0; ","")&amp;IF(AND($C124&lt;&gt;"RECEPTION",$E124=""),"EMPL. SOURCE; ","")&amp;IF(AND($C124&lt;&gt;"CONSOMMATION",$F124=""),"EMPL. DESTINATION; ","")&amp;IF(AND($C124="TRANSFERT",$E124&lt;&gt;"",$E124=$F124),"SOURCE = DESTINATION; ",""),IF($P124="EMPLACEMENT INCOHERENT","Le lot "&amp;$D124&amp;" n'existe pas sur "&amp;$E124&amp;" (stock 0). Verifier l'emplacement source.",IF($P124="STOCK INSUFFISANT","Disponible avant operation : "&amp;TEXT($O124,"#,##0.00")&amp;" kg. Ligne NON comptee en stock.",IF(COUNTIFS($B$5:$B$304,$B124,$C$5:$C$304,$C124,$D$5:$D$304,$D124,$G$5:$G$304,$G124)&gt;1,"Doublon possible (meme date, type, lot et quantite).",IF($J124="LOT NON REFERENCE","Creer d'abord la fiche du lot dans l'onglet LOTS.",""))))))</f>
        <v/>
      </c>
    </row>
    <row r="125" customFormat="false" ht="15" hidden="false" customHeight="false" outlineLevel="0" collapsed="false">
      <c r="A125" s="26" t="str">
        <f aca="false">IF($C125="","","OP-"&amp;TEXT(ROW()-4,"000"))</f>
        <v/>
      </c>
      <c r="B125" s="25"/>
      <c r="C125" s="24"/>
      <c r="D125" s="24"/>
      <c r="E125" s="24"/>
      <c r="F125" s="24"/>
      <c r="G125" s="29"/>
      <c r="H125" s="24"/>
      <c r="I125" s="24"/>
      <c r="J125" s="26" t="str">
        <f aca="false">IF($D125="","",IFERROR(INDEX(LOT_PRODE,MATCH($D125,LOT_KEY,0)),"LOT NON REFERENCE"))</f>
        <v/>
      </c>
      <c r="K125" s="26" t="str">
        <f aca="false">IF($D125="","",IFERROR(INDEX(LOT_FOURNE,MATCH($D125,LOT_KEY,0)),""))</f>
        <v/>
      </c>
      <c r="L125" s="26" t="str">
        <f aca="false">IF($E125="","",IFERROR(INDEX(EMPL_CLASSE,MATCH($E125,EMPL_KEY,0)),"?"))</f>
        <v/>
      </c>
      <c r="M125" s="26" t="str">
        <f aca="false">IF($F125="","",IFERROR(INDEX(EMPL_CLASSE,MATCH($F125,EMPL_KEY,0)),"?"))</f>
        <v/>
      </c>
      <c r="N125" s="28" t="n">
        <f aca="false">IF($C125="",0,IF(OR($B125="",$D125="",NOT(ISNUMBER($G125)),$G125&lt;=0),0,IF($C125="RECEPTION",IF($F125="",0,1),IF($C125="CONSOMMATION",IF($E125="",0,1),IF(OR($E125="",$F125="",$E125=$F125),0,1)))))</f>
        <v>0</v>
      </c>
      <c r="O125" s="27" t="str">
        <f aca="false">IF(OR($N125=0,$C125="RECEPTION"),"",SUMIFS(MVT_BRUT,MVT_LOT,$D125,MVT_EMPL,$E125)+$G125)</f>
        <v/>
      </c>
      <c r="P125" s="26" t="str">
        <f aca="false">IF($C125="","",IF($N125=0,"DONNEES MANQUANTES",IF($C125="RECEPTION","OK",IF($O125&lt;=0,"EMPLACEMENT INCOHERENT",IF($G125&gt;$O125+0.001,"STOCK INSUFFISANT","OK")))))</f>
        <v/>
      </c>
      <c r="Q125" s="28" t="n">
        <f aca="false">IF($P125="OK",1,0)</f>
        <v>0</v>
      </c>
      <c r="R125" s="26" t="str">
        <f aca="false">IF($C125="","",IF($N125=0,"A COMPLETER : "&amp;IF($B125="","DATE; ","")&amp;IF($D125="","LOT; ","")&amp;IF(OR(NOT(ISNUMBER($G125)),$G125&lt;=0),"QUANTITE &gt; 0; ","")&amp;IF(AND($C125&lt;&gt;"RECEPTION",$E125=""),"EMPL. SOURCE; ","")&amp;IF(AND($C125&lt;&gt;"CONSOMMATION",$F125=""),"EMPL. DESTINATION; ","")&amp;IF(AND($C125="TRANSFERT",$E125&lt;&gt;"",$E125=$F125),"SOURCE = DESTINATION; ",""),IF($P125="EMPLACEMENT INCOHERENT","Le lot "&amp;$D125&amp;" n'existe pas sur "&amp;$E125&amp;" (stock 0). Verifier l'emplacement source.",IF($P125="STOCK INSUFFISANT","Disponible avant operation : "&amp;TEXT($O125,"#,##0.00")&amp;" kg. Ligne NON comptee en stock.",IF(COUNTIFS($B$5:$B$304,$B125,$C$5:$C$304,$C125,$D$5:$D$304,$D125,$G$5:$G$304,$G125)&gt;1,"Doublon possible (meme date, type, lot et quantite).",IF($J125="LOT NON REFERENCE","Creer d'abord la fiche du lot dans l'onglet LOTS.",""))))))</f>
        <v/>
      </c>
    </row>
    <row r="126" customFormat="false" ht="15" hidden="false" customHeight="false" outlineLevel="0" collapsed="false">
      <c r="A126" s="26" t="str">
        <f aca="false">IF($C126="","","OP-"&amp;TEXT(ROW()-4,"000"))</f>
        <v/>
      </c>
      <c r="B126" s="25"/>
      <c r="C126" s="24"/>
      <c r="D126" s="24"/>
      <c r="E126" s="24"/>
      <c r="F126" s="24"/>
      <c r="G126" s="29"/>
      <c r="H126" s="24"/>
      <c r="I126" s="24"/>
      <c r="J126" s="26" t="str">
        <f aca="false">IF($D126="","",IFERROR(INDEX(LOT_PRODE,MATCH($D126,LOT_KEY,0)),"LOT NON REFERENCE"))</f>
        <v/>
      </c>
      <c r="K126" s="26" t="str">
        <f aca="false">IF($D126="","",IFERROR(INDEX(LOT_FOURNE,MATCH($D126,LOT_KEY,0)),""))</f>
        <v/>
      </c>
      <c r="L126" s="26" t="str">
        <f aca="false">IF($E126="","",IFERROR(INDEX(EMPL_CLASSE,MATCH($E126,EMPL_KEY,0)),"?"))</f>
        <v/>
      </c>
      <c r="M126" s="26" t="str">
        <f aca="false">IF($F126="","",IFERROR(INDEX(EMPL_CLASSE,MATCH($F126,EMPL_KEY,0)),"?"))</f>
        <v/>
      </c>
      <c r="N126" s="28" t="n">
        <f aca="false">IF($C126="",0,IF(OR($B126="",$D126="",NOT(ISNUMBER($G126)),$G126&lt;=0),0,IF($C126="RECEPTION",IF($F126="",0,1),IF($C126="CONSOMMATION",IF($E126="",0,1),IF(OR($E126="",$F126="",$E126=$F126),0,1)))))</f>
        <v>0</v>
      </c>
      <c r="O126" s="27" t="str">
        <f aca="false">IF(OR($N126=0,$C126="RECEPTION"),"",SUMIFS(MVT_BRUT,MVT_LOT,$D126,MVT_EMPL,$E126)+$G126)</f>
        <v/>
      </c>
      <c r="P126" s="26" t="str">
        <f aca="false">IF($C126="","",IF($N126=0,"DONNEES MANQUANTES",IF($C126="RECEPTION","OK",IF($O126&lt;=0,"EMPLACEMENT INCOHERENT",IF($G126&gt;$O126+0.001,"STOCK INSUFFISANT","OK")))))</f>
        <v/>
      </c>
      <c r="Q126" s="28" t="n">
        <f aca="false">IF($P126="OK",1,0)</f>
        <v>0</v>
      </c>
      <c r="R126" s="26" t="str">
        <f aca="false">IF($C126="","",IF($N126=0,"A COMPLETER : "&amp;IF($B126="","DATE; ","")&amp;IF($D126="","LOT; ","")&amp;IF(OR(NOT(ISNUMBER($G126)),$G126&lt;=0),"QUANTITE &gt; 0; ","")&amp;IF(AND($C126&lt;&gt;"RECEPTION",$E126=""),"EMPL. SOURCE; ","")&amp;IF(AND($C126&lt;&gt;"CONSOMMATION",$F126=""),"EMPL. DESTINATION; ","")&amp;IF(AND($C126="TRANSFERT",$E126&lt;&gt;"",$E126=$F126),"SOURCE = DESTINATION; ",""),IF($P126="EMPLACEMENT INCOHERENT","Le lot "&amp;$D126&amp;" n'existe pas sur "&amp;$E126&amp;" (stock 0). Verifier l'emplacement source.",IF($P126="STOCK INSUFFISANT","Disponible avant operation : "&amp;TEXT($O126,"#,##0.00")&amp;" kg. Ligne NON comptee en stock.",IF(COUNTIFS($B$5:$B$304,$B126,$C$5:$C$304,$C126,$D$5:$D$304,$D126,$G$5:$G$304,$G126)&gt;1,"Doublon possible (meme date, type, lot et quantite).",IF($J126="LOT NON REFERENCE","Creer d'abord la fiche du lot dans l'onglet LOTS.",""))))))</f>
        <v/>
      </c>
    </row>
    <row r="127" customFormat="false" ht="15" hidden="false" customHeight="false" outlineLevel="0" collapsed="false">
      <c r="A127" s="26" t="str">
        <f aca="false">IF($C127="","","OP-"&amp;TEXT(ROW()-4,"000"))</f>
        <v/>
      </c>
      <c r="B127" s="25"/>
      <c r="C127" s="24"/>
      <c r="D127" s="24"/>
      <c r="E127" s="24"/>
      <c r="F127" s="24"/>
      <c r="G127" s="29"/>
      <c r="H127" s="24"/>
      <c r="I127" s="24"/>
      <c r="J127" s="26" t="str">
        <f aca="false">IF($D127="","",IFERROR(INDEX(LOT_PRODE,MATCH($D127,LOT_KEY,0)),"LOT NON REFERENCE"))</f>
        <v/>
      </c>
      <c r="K127" s="26" t="str">
        <f aca="false">IF($D127="","",IFERROR(INDEX(LOT_FOURNE,MATCH($D127,LOT_KEY,0)),""))</f>
        <v/>
      </c>
      <c r="L127" s="26" t="str">
        <f aca="false">IF($E127="","",IFERROR(INDEX(EMPL_CLASSE,MATCH($E127,EMPL_KEY,0)),"?"))</f>
        <v/>
      </c>
      <c r="M127" s="26" t="str">
        <f aca="false">IF($F127="","",IFERROR(INDEX(EMPL_CLASSE,MATCH($F127,EMPL_KEY,0)),"?"))</f>
        <v/>
      </c>
      <c r="N127" s="28" t="n">
        <f aca="false">IF($C127="",0,IF(OR($B127="",$D127="",NOT(ISNUMBER($G127)),$G127&lt;=0),0,IF($C127="RECEPTION",IF($F127="",0,1),IF($C127="CONSOMMATION",IF($E127="",0,1),IF(OR($E127="",$F127="",$E127=$F127),0,1)))))</f>
        <v>0</v>
      </c>
      <c r="O127" s="27" t="str">
        <f aca="false">IF(OR($N127=0,$C127="RECEPTION"),"",SUMIFS(MVT_BRUT,MVT_LOT,$D127,MVT_EMPL,$E127)+$G127)</f>
        <v/>
      </c>
      <c r="P127" s="26" t="str">
        <f aca="false">IF($C127="","",IF($N127=0,"DONNEES MANQUANTES",IF($C127="RECEPTION","OK",IF($O127&lt;=0,"EMPLACEMENT INCOHERENT",IF($G127&gt;$O127+0.001,"STOCK INSUFFISANT","OK")))))</f>
        <v/>
      </c>
      <c r="Q127" s="28" t="n">
        <f aca="false">IF($P127="OK",1,0)</f>
        <v>0</v>
      </c>
      <c r="R127" s="26" t="str">
        <f aca="false">IF($C127="","",IF($N127=0,"A COMPLETER : "&amp;IF($B127="","DATE; ","")&amp;IF($D127="","LOT; ","")&amp;IF(OR(NOT(ISNUMBER($G127)),$G127&lt;=0),"QUANTITE &gt; 0; ","")&amp;IF(AND($C127&lt;&gt;"RECEPTION",$E127=""),"EMPL. SOURCE; ","")&amp;IF(AND($C127&lt;&gt;"CONSOMMATION",$F127=""),"EMPL. DESTINATION; ","")&amp;IF(AND($C127="TRANSFERT",$E127&lt;&gt;"",$E127=$F127),"SOURCE = DESTINATION; ",""),IF($P127="EMPLACEMENT INCOHERENT","Le lot "&amp;$D127&amp;" n'existe pas sur "&amp;$E127&amp;" (stock 0). Verifier l'emplacement source.",IF($P127="STOCK INSUFFISANT","Disponible avant operation : "&amp;TEXT($O127,"#,##0.00")&amp;" kg. Ligne NON comptee en stock.",IF(COUNTIFS($B$5:$B$304,$B127,$C$5:$C$304,$C127,$D$5:$D$304,$D127,$G$5:$G$304,$G127)&gt;1,"Doublon possible (meme date, type, lot et quantite).",IF($J127="LOT NON REFERENCE","Creer d'abord la fiche du lot dans l'onglet LOTS.",""))))))</f>
        <v/>
      </c>
    </row>
    <row r="128" customFormat="false" ht="15" hidden="false" customHeight="false" outlineLevel="0" collapsed="false">
      <c r="A128" s="26" t="str">
        <f aca="false">IF($C128="","","OP-"&amp;TEXT(ROW()-4,"000"))</f>
        <v/>
      </c>
      <c r="B128" s="25"/>
      <c r="C128" s="24"/>
      <c r="D128" s="24"/>
      <c r="E128" s="24"/>
      <c r="F128" s="24"/>
      <c r="G128" s="29"/>
      <c r="H128" s="24"/>
      <c r="I128" s="24"/>
      <c r="J128" s="26" t="str">
        <f aca="false">IF($D128="","",IFERROR(INDEX(LOT_PRODE,MATCH($D128,LOT_KEY,0)),"LOT NON REFERENCE"))</f>
        <v/>
      </c>
      <c r="K128" s="26" t="str">
        <f aca="false">IF($D128="","",IFERROR(INDEX(LOT_FOURNE,MATCH($D128,LOT_KEY,0)),""))</f>
        <v/>
      </c>
      <c r="L128" s="26" t="str">
        <f aca="false">IF($E128="","",IFERROR(INDEX(EMPL_CLASSE,MATCH($E128,EMPL_KEY,0)),"?"))</f>
        <v/>
      </c>
      <c r="M128" s="26" t="str">
        <f aca="false">IF($F128="","",IFERROR(INDEX(EMPL_CLASSE,MATCH($F128,EMPL_KEY,0)),"?"))</f>
        <v/>
      </c>
      <c r="N128" s="28" t="n">
        <f aca="false">IF($C128="",0,IF(OR($B128="",$D128="",NOT(ISNUMBER($G128)),$G128&lt;=0),0,IF($C128="RECEPTION",IF($F128="",0,1),IF($C128="CONSOMMATION",IF($E128="",0,1),IF(OR($E128="",$F128="",$E128=$F128),0,1)))))</f>
        <v>0</v>
      </c>
      <c r="O128" s="27" t="str">
        <f aca="false">IF(OR($N128=0,$C128="RECEPTION"),"",SUMIFS(MVT_BRUT,MVT_LOT,$D128,MVT_EMPL,$E128)+$G128)</f>
        <v/>
      </c>
      <c r="P128" s="26" t="str">
        <f aca="false">IF($C128="","",IF($N128=0,"DONNEES MANQUANTES",IF($C128="RECEPTION","OK",IF($O128&lt;=0,"EMPLACEMENT INCOHERENT",IF($G128&gt;$O128+0.001,"STOCK INSUFFISANT","OK")))))</f>
        <v/>
      </c>
      <c r="Q128" s="28" t="n">
        <f aca="false">IF($P128="OK",1,0)</f>
        <v>0</v>
      </c>
      <c r="R128" s="26" t="str">
        <f aca="false">IF($C128="","",IF($N128=0,"A COMPLETER : "&amp;IF($B128="","DATE; ","")&amp;IF($D128="","LOT; ","")&amp;IF(OR(NOT(ISNUMBER($G128)),$G128&lt;=0),"QUANTITE &gt; 0; ","")&amp;IF(AND($C128&lt;&gt;"RECEPTION",$E128=""),"EMPL. SOURCE; ","")&amp;IF(AND($C128&lt;&gt;"CONSOMMATION",$F128=""),"EMPL. DESTINATION; ","")&amp;IF(AND($C128="TRANSFERT",$E128&lt;&gt;"",$E128=$F128),"SOURCE = DESTINATION; ",""),IF($P128="EMPLACEMENT INCOHERENT","Le lot "&amp;$D128&amp;" n'existe pas sur "&amp;$E128&amp;" (stock 0). Verifier l'emplacement source.",IF($P128="STOCK INSUFFISANT","Disponible avant operation : "&amp;TEXT($O128,"#,##0.00")&amp;" kg. Ligne NON comptee en stock.",IF(COUNTIFS($B$5:$B$304,$B128,$C$5:$C$304,$C128,$D$5:$D$304,$D128,$G$5:$G$304,$G128)&gt;1,"Doublon possible (meme date, type, lot et quantite).",IF($J128="LOT NON REFERENCE","Creer d'abord la fiche du lot dans l'onglet LOTS.",""))))))</f>
        <v/>
      </c>
    </row>
    <row r="129" customFormat="false" ht="15" hidden="false" customHeight="false" outlineLevel="0" collapsed="false">
      <c r="A129" s="26" t="str">
        <f aca="false">IF($C129="","","OP-"&amp;TEXT(ROW()-4,"000"))</f>
        <v/>
      </c>
      <c r="B129" s="25"/>
      <c r="C129" s="24"/>
      <c r="D129" s="24"/>
      <c r="E129" s="24"/>
      <c r="F129" s="24"/>
      <c r="G129" s="29"/>
      <c r="H129" s="24"/>
      <c r="I129" s="24"/>
      <c r="J129" s="26" t="str">
        <f aca="false">IF($D129="","",IFERROR(INDEX(LOT_PRODE,MATCH($D129,LOT_KEY,0)),"LOT NON REFERENCE"))</f>
        <v/>
      </c>
      <c r="K129" s="26" t="str">
        <f aca="false">IF($D129="","",IFERROR(INDEX(LOT_FOURNE,MATCH($D129,LOT_KEY,0)),""))</f>
        <v/>
      </c>
      <c r="L129" s="26" t="str">
        <f aca="false">IF($E129="","",IFERROR(INDEX(EMPL_CLASSE,MATCH($E129,EMPL_KEY,0)),"?"))</f>
        <v/>
      </c>
      <c r="M129" s="26" t="str">
        <f aca="false">IF($F129="","",IFERROR(INDEX(EMPL_CLASSE,MATCH($F129,EMPL_KEY,0)),"?"))</f>
        <v/>
      </c>
      <c r="N129" s="28" t="n">
        <f aca="false">IF($C129="",0,IF(OR($B129="",$D129="",NOT(ISNUMBER($G129)),$G129&lt;=0),0,IF($C129="RECEPTION",IF($F129="",0,1),IF($C129="CONSOMMATION",IF($E129="",0,1),IF(OR($E129="",$F129="",$E129=$F129),0,1)))))</f>
        <v>0</v>
      </c>
      <c r="O129" s="27" t="str">
        <f aca="false">IF(OR($N129=0,$C129="RECEPTION"),"",SUMIFS(MVT_BRUT,MVT_LOT,$D129,MVT_EMPL,$E129)+$G129)</f>
        <v/>
      </c>
      <c r="P129" s="26" t="str">
        <f aca="false">IF($C129="","",IF($N129=0,"DONNEES MANQUANTES",IF($C129="RECEPTION","OK",IF($O129&lt;=0,"EMPLACEMENT INCOHERENT",IF($G129&gt;$O129+0.001,"STOCK INSUFFISANT","OK")))))</f>
        <v/>
      </c>
      <c r="Q129" s="28" t="n">
        <f aca="false">IF($P129="OK",1,0)</f>
        <v>0</v>
      </c>
      <c r="R129" s="26" t="str">
        <f aca="false">IF($C129="","",IF($N129=0,"A COMPLETER : "&amp;IF($B129="","DATE; ","")&amp;IF($D129="","LOT; ","")&amp;IF(OR(NOT(ISNUMBER($G129)),$G129&lt;=0),"QUANTITE &gt; 0; ","")&amp;IF(AND($C129&lt;&gt;"RECEPTION",$E129=""),"EMPL. SOURCE; ","")&amp;IF(AND($C129&lt;&gt;"CONSOMMATION",$F129=""),"EMPL. DESTINATION; ","")&amp;IF(AND($C129="TRANSFERT",$E129&lt;&gt;"",$E129=$F129),"SOURCE = DESTINATION; ",""),IF($P129="EMPLACEMENT INCOHERENT","Le lot "&amp;$D129&amp;" n'existe pas sur "&amp;$E129&amp;" (stock 0). Verifier l'emplacement source.",IF($P129="STOCK INSUFFISANT","Disponible avant operation : "&amp;TEXT($O129,"#,##0.00")&amp;" kg. Ligne NON comptee en stock.",IF(COUNTIFS($B$5:$B$304,$B129,$C$5:$C$304,$C129,$D$5:$D$304,$D129,$G$5:$G$304,$G129)&gt;1,"Doublon possible (meme date, type, lot et quantite).",IF($J129="LOT NON REFERENCE","Creer d'abord la fiche du lot dans l'onglet LOTS.",""))))))</f>
        <v/>
      </c>
    </row>
    <row r="130" customFormat="false" ht="15" hidden="false" customHeight="false" outlineLevel="0" collapsed="false">
      <c r="A130" s="26" t="str">
        <f aca="false">IF($C130="","","OP-"&amp;TEXT(ROW()-4,"000"))</f>
        <v/>
      </c>
      <c r="B130" s="25"/>
      <c r="C130" s="24"/>
      <c r="D130" s="24"/>
      <c r="E130" s="24"/>
      <c r="F130" s="24"/>
      <c r="G130" s="29"/>
      <c r="H130" s="24"/>
      <c r="I130" s="24"/>
      <c r="J130" s="26" t="str">
        <f aca="false">IF($D130="","",IFERROR(INDEX(LOT_PRODE,MATCH($D130,LOT_KEY,0)),"LOT NON REFERENCE"))</f>
        <v/>
      </c>
      <c r="K130" s="26" t="str">
        <f aca="false">IF($D130="","",IFERROR(INDEX(LOT_FOURNE,MATCH($D130,LOT_KEY,0)),""))</f>
        <v/>
      </c>
      <c r="L130" s="26" t="str">
        <f aca="false">IF($E130="","",IFERROR(INDEX(EMPL_CLASSE,MATCH($E130,EMPL_KEY,0)),"?"))</f>
        <v/>
      </c>
      <c r="M130" s="26" t="str">
        <f aca="false">IF($F130="","",IFERROR(INDEX(EMPL_CLASSE,MATCH($F130,EMPL_KEY,0)),"?"))</f>
        <v/>
      </c>
      <c r="N130" s="28" t="n">
        <f aca="false">IF($C130="",0,IF(OR($B130="",$D130="",NOT(ISNUMBER($G130)),$G130&lt;=0),0,IF($C130="RECEPTION",IF($F130="",0,1),IF($C130="CONSOMMATION",IF($E130="",0,1),IF(OR($E130="",$F130="",$E130=$F130),0,1)))))</f>
        <v>0</v>
      </c>
      <c r="O130" s="27" t="str">
        <f aca="false">IF(OR($N130=0,$C130="RECEPTION"),"",SUMIFS(MVT_BRUT,MVT_LOT,$D130,MVT_EMPL,$E130)+$G130)</f>
        <v/>
      </c>
      <c r="P130" s="26" t="str">
        <f aca="false">IF($C130="","",IF($N130=0,"DONNEES MANQUANTES",IF($C130="RECEPTION","OK",IF($O130&lt;=0,"EMPLACEMENT INCOHERENT",IF($G130&gt;$O130+0.001,"STOCK INSUFFISANT","OK")))))</f>
        <v/>
      </c>
      <c r="Q130" s="28" t="n">
        <f aca="false">IF($P130="OK",1,0)</f>
        <v>0</v>
      </c>
      <c r="R130" s="26" t="str">
        <f aca="false">IF($C130="","",IF($N130=0,"A COMPLETER : "&amp;IF($B130="","DATE; ","")&amp;IF($D130="","LOT; ","")&amp;IF(OR(NOT(ISNUMBER($G130)),$G130&lt;=0),"QUANTITE &gt; 0; ","")&amp;IF(AND($C130&lt;&gt;"RECEPTION",$E130=""),"EMPL. SOURCE; ","")&amp;IF(AND($C130&lt;&gt;"CONSOMMATION",$F130=""),"EMPL. DESTINATION; ","")&amp;IF(AND($C130="TRANSFERT",$E130&lt;&gt;"",$E130=$F130),"SOURCE = DESTINATION; ",""),IF($P130="EMPLACEMENT INCOHERENT","Le lot "&amp;$D130&amp;" n'existe pas sur "&amp;$E130&amp;" (stock 0). Verifier l'emplacement source.",IF($P130="STOCK INSUFFISANT","Disponible avant operation : "&amp;TEXT($O130,"#,##0.00")&amp;" kg. Ligne NON comptee en stock.",IF(COUNTIFS($B$5:$B$304,$B130,$C$5:$C$304,$C130,$D$5:$D$304,$D130,$G$5:$G$304,$G130)&gt;1,"Doublon possible (meme date, type, lot et quantite).",IF($J130="LOT NON REFERENCE","Creer d'abord la fiche du lot dans l'onglet LOTS.",""))))))</f>
        <v/>
      </c>
    </row>
    <row r="131" customFormat="false" ht="15" hidden="false" customHeight="false" outlineLevel="0" collapsed="false">
      <c r="A131" s="26" t="str">
        <f aca="false">IF($C131="","","OP-"&amp;TEXT(ROW()-4,"000"))</f>
        <v/>
      </c>
      <c r="B131" s="25"/>
      <c r="C131" s="24"/>
      <c r="D131" s="24"/>
      <c r="E131" s="24"/>
      <c r="F131" s="24"/>
      <c r="G131" s="29"/>
      <c r="H131" s="24"/>
      <c r="I131" s="24"/>
      <c r="J131" s="26" t="str">
        <f aca="false">IF($D131="","",IFERROR(INDEX(LOT_PRODE,MATCH($D131,LOT_KEY,0)),"LOT NON REFERENCE"))</f>
        <v/>
      </c>
      <c r="K131" s="26" t="str">
        <f aca="false">IF($D131="","",IFERROR(INDEX(LOT_FOURNE,MATCH($D131,LOT_KEY,0)),""))</f>
        <v/>
      </c>
      <c r="L131" s="26" t="str">
        <f aca="false">IF($E131="","",IFERROR(INDEX(EMPL_CLASSE,MATCH($E131,EMPL_KEY,0)),"?"))</f>
        <v/>
      </c>
      <c r="M131" s="26" t="str">
        <f aca="false">IF($F131="","",IFERROR(INDEX(EMPL_CLASSE,MATCH($F131,EMPL_KEY,0)),"?"))</f>
        <v/>
      </c>
      <c r="N131" s="28" t="n">
        <f aca="false">IF($C131="",0,IF(OR($B131="",$D131="",NOT(ISNUMBER($G131)),$G131&lt;=0),0,IF($C131="RECEPTION",IF($F131="",0,1),IF($C131="CONSOMMATION",IF($E131="",0,1),IF(OR($E131="",$F131="",$E131=$F131),0,1)))))</f>
        <v>0</v>
      </c>
      <c r="O131" s="27" t="str">
        <f aca="false">IF(OR($N131=0,$C131="RECEPTION"),"",SUMIFS(MVT_BRUT,MVT_LOT,$D131,MVT_EMPL,$E131)+$G131)</f>
        <v/>
      </c>
      <c r="P131" s="26" t="str">
        <f aca="false">IF($C131="","",IF($N131=0,"DONNEES MANQUANTES",IF($C131="RECEPTION","OK",IF($O131&lt;=0,"EMPLACEMENT INCOHERENT",IF($G131&gt;$O131+0.001,"STOCK INSUFFISANT","OK")))))</f>
        <v/>
      </c>
      <c r="Q131" s="28" t="n">
        <f aca="false">IF($P131="OK",1,0)</f>
        <v>0</v>
      </c>
      <c r="R131" s="26" t="str">
        <f aca="false">IF($C131="","",IF($N131=0,"A COMPLETER : "&amp;IF($B131="","DATE; ","")&amp;IF($D131="","LOT; ","")&amp;IF(OR(NOT(ISNUMBER($G131)),$G131&lt;=0),"QUANTITE &gt; 0; ","")&amp;IF(AND($C131&lt;&gt;"RECEPTION",$E131=""),"EMPL. SOURCE; ","")&amp;IF(AND($C131&lt;&gt;"CONSOMMATION",$F131=""),"EMPL. DESTINATION; ","")&amp;IF(AND($C131="TRANSFERT",$E131&lt;&gt;"",$E131=$F131),"SOURCE = DESTINATION; ",""),IF($P131="EMPLACEMENT INCOHERENT","Le lot "&amp;$D131&amp;" n'existe pas sur "&amp;$E131&amp;" (stock 0). Verifier l'emplacement source.",IF($P131="STOCK INSUFFISANT","Disponible avant operation : "&amp;TEXT($O131,"#,##0.00")&amp;" kg. Ligne NON comptee en stock.",IF(COUNTIFS($B$5:$B$304,$B131,$C$5:$C$304,$C131,$D$5:$D$304,$D131,$G$5:$G$304,$G131)&gt;1,"Doublon possible (meme date, type, lot et quantite).",IF($J131="LOT NON REFERENCE","Creer d'abord la fiche du lot dans l'onglet LOTS.",""))))))</f>
        <v/>
      </c>
    </row>
    <row r="132" customFormat="false" ht="15" hidden="false" customHeight="false" outlineLevel="0" collapsed="false">
      <c r="A132" s="26" t="str">
        <f aca="false">IF($C132="","","OP-"&amp;TEXT(ROW()-4,"000"))</f>
        <v/>
      </c>
      <c r="B132" s="25"/>
      <c r="C132" s="24"/>
      <c r="D132" s="24"/>
      <c r="E132" s="24"/>
      <c r="F132" s="24"/>
      <c r="G132" s="29"/>
      <c r="H132" s="24"/>
      <c r="I132" s="24"/>
      <c r="J132" s="26" t="str">
        <f aca="false">IF($D132="","",IFERROR(INDEX(LOT_PRODE,MATCH($D132,LOT_KEY,0)),"LOT NON REFERENCE"))</f>
        <v/>
      </c>
      <c r="K132" s="26" t="str">
        <f aca="false">IF($D132="","",IFERROR(INDEX(LOT_FOURNE,MATCH($D132,LOT_KEY,0)),""))</f>
        <v/>
      </c>
      <c r="L132" s="26" t="str">
        <f aca="false">IF($E132="","",IFERROR(INDEX(EMPL_CLASSE,MATCH($E132,EMPL_KEY,0)),"?"))</f>
        <v/>
      </c>
      <c r="M132" s="26" t="str">
        <f aca="false">IF($F132="","",IFERROR(INDEX(EMPL_CLASSE,MATCH($F132,EMPL_KEY,0)),"?"))</f>
        <v/>
      </c>
      <c r="N132" s="28" t="n">
        <f aca="false">IF($C132="",0,IF(OR($B132="",$D132="",NOT(ISNUMBER($G132)),$G132&lt;=0),0,IF($C132="RECEPTION",IF($F132="",0,1),IF($C132="CONSOMMATION",IF($E132="",0,1),IF(OR($E132="",$F132="",$E132=$F132),0,1)))))</f>
        <v>0</v>
      </c>
      <c r="O132" s="27" t="str">
        <f aca="false">IF(OR($N132=0,$C132="RECEPTION"),"",SUMIFS(MVT_BRUT,MVT_LOT,$D132,MVT_EMPL,$E132)+$G132)</f>
        <v/>
      </c>
      <c r="P132" s="26" t="str">
        <f aca="false">IF($C132="","",IF($N132=0,"DONNEES MANQUANTES",IF($C132="RECEPTION","OK",IF($O132&lt;=0,"EMPLACEMENT INCOHERENT",IF($G132&gt;$O132+0.001,"STOCK INSUFFISANT","OK")))))</f>
        <v/>
      </c>
      <c r="Q132" s="28" t="n">
        <f aca="false">IF($P132="OK",1,0)</f>
        <v>0</v>
      </c>
      <c r="R132" s="26" t="str">
        <f aca="false">IF($C132="","",IF($N132=0,"A COMPLETER : "&amp;IF($B132="","DATE; ","")&amp;IF($D132="","LOT; ","")&amp;IF(OR(NOT(ISNUMBER($G132)),$G132&lt;=0),"QUANTITE &gt; 0; ","")&amp;IF(AND($C132&lt;&gt;"RECEPTION",$E132=""),"EMPL. SOURCE; ","")&amp;IF(AND($C132&lt;&gt;"CONSOMMATION",$F132=""),"EMPL. DESTINATION; ","")&amp;IF(AND($C132="TRANSFERT",$E132&lt;&gt;"",$E132=$F132),"SOURCE = DESTINATION; ",""),IF($P132="EMPLACEMENT INCOHERENT","Le lot "&amp;$D132&amp;" n'existe pas sur "&amp;$E132&amp;" (stock 0). Verifier l'emplacement source.",IF($P132="STOCK INSUFFISANT","Disponible avant operation : "&amp;TEXT($O132,"#,##0.00")&amp;" kg. Ligne NON comptee en stock.",IF(COUNTIFS($B$5:$B$304,$B132,$C$5:$C$304,$C132,$D$5:$D$304,$D132,$G$5:$G$304,$G132)&gt;1,"Doublon possible (meme date, type, lot et quantite).",IF($J132="LOT NON REFERENCE","Creer d'abord la fiche du lot dans l'onglet LOTS.",""))))))</f>
        <v/>
      </c>
    </row>
    <row r="133" customFormat="false" ht="15" hidden="false" customHeight="false" outlineLevel="0" collapsed="false">
      <c r="A133" s="26" t="str">
        <f aca="false">IF($C133="","","OP-"&amp;TEXT(ROW()-4,"000"))</f>
        <v/>
      </c>
      <c r="B133" s="25"/>
      <c r="C133" s="24"/>
      <c r="D133" s="24"/>
      <c r="E133" s="24"/>
      <c r="F133" s="24"/>
      <c r="G133" s="29"/>
      <c r="H133" s="24"/>
      <c r="I133" s="24"/>
      <c r="J133" s="26" t="str">
        <f aca="false">IF($D133="","",IFERROR(INDEX(LOT_PRODE,MATCH($D133,LOT_KEY,0)),"LOT NON REFERENCE"))</f>
        <v/>
      </c>
      <c r="K133" s="26" t="str">
        <f aca="false">IF($D133="","",IFERROR(INDEX(LOT_FOURNE,MATCH($D133,LOT_KEY,0)),""))</f>
        <v/>
      </c>
      <c r="L133" s="26" t="str">
        <f aca="false">IF($E133="","",IFERROR(INDEX(EMPL_CLASSE,MATCH($E133,EMPL_KEY,0)),"?"))</f>
        <v/>
      </c>
      <c r="M133" s="26" t="str">
        <f aca="false">IF($F133="","",IFERROR(INDEX(EMPL_CLASSE,MATCH($F133,EMPL_KEY,0)),"?"))</f>
        <v/>
      </c>
      <c r="N133" s="28" t="n">
        <f aca="false">IF($C133="",0,IF(OR($B133="",$D133="",NOT(ISNUMBER($G133)),$G133&lt;=0),0,IF($C133="RECEPTION",IF($F133="",0,1),IF($C133="CONSOMMATION",IF($E133="",0,1),IF(OR($E133="",$F133="",$E133=$F133),0,1)))))</f>
        <v>0</v>
      </c>
      <c r="O133" s="27" t="str">
        <f aca="false">IF(OR($N133=0,$C133="RECEPTION"),"",SUMIFS(MVT_BRUT,MVT_LOT,$D133,MVT_EMPL,$E133)+$G133)</f>
        <v/>
      </c>
      <c r="P133" s="26" t="str">
        <f aca="false">IF($C133="","",IF($N133=0,"DONNEES MANQUANTES",IF($C133="RECEPTION","OK",IF($O133&lt;=0,"EMPLACEMENT INCOHERENT",IF($G133&gt;$O133+0.001,"STOCK INSUFFISANT","OK")))))</f>
        <v/>
      </c>
      <c r="Q133" s="28" t="n">
        <f aca="false">IF($P133="OK",1,0)</f>
        <v>0</v>
      </c>
      <c r="R133" s="26" t="str">
        <f aca="false">IF($C133="","",IF($N133=0,"A COMPLETER : "&amp;IF($B133="","DATE; ","")&amp;IF($D133="","LOT; ","")&amp;IF(OR(NOT(ISNUMBER($G133)),$G133&lt;=0),"QUANTITE &gt; 0; ","")&amp;IF(AND($C133&lt;&gt;"RECEPTION",$E133=""),"EMPL. SOURCE; ","")&amp;IF(AND($C133&lt;&gt;"CONSOMMATION",$F133=""),"EMPL. DESTINATION; ","")&amp;IF(AND($C133="TRANSFERT",$E133&lt;&gt;"",$E133=$F133),"SOURCE = DESTINATION; ",""),IF($P133="EMPLACEMENT INCOHERENT","Le lot "&amp;$D133&amp;" n'existe pas sur "&amp;$E133&amp;" (stock 0). Verifier l'emplacement source.",IF($P133="STOCK INSUFFISANT","Disponible avant operation : "&amp;TEXT($O133,"#,##0.00")&amp;" kg. Ligne NON comptee en stock.",IF(COUNTIFS($B$5:$B$304,$B133,$C$5:$C$304,$C133,$D$5:$D$304,$D133,$G$5:$G$304,$G133)&gt;1,"Doublon possible (meme date, type, lot et quantite).",IF($J133="LOT NON REFERENCE","Creer d'abord la fiche du lot dans l'onglet LOTS.",""))))))</f>
        <v/>
      </c>
    </row>
    <row r="134" customFormat="false" ht="15" hidden="false" customHeight="false" outlineLevel="0" collapsed="false">
      <c r="A134" s="26" t="str">
        <f aca="false">IF($C134="","","OP-"&amp;TEXT(ROW()-4,"000"))</f>
        <v/>
      </c>
      <c r="B134" s="25"/>
      <c r="C134" s="24"/>
      <c r="D134" s="24"/>
      <c r="E134" s="24"/>
      <c r="F134" s="24"/>
      <c r="G134" s="29"/>
      <c r="H134" s="24"/>
      <c r="I134" s="24"/>
      <c r="J134" s="26" t="str">
        <f aca="false">IF($D134="","",IFERROR(INDEX(LOT_PRODE,MATCH($D134,LOT_KEY,0)),"LOT NON REFERENCE"))</f>
        <v/>
      </c>
      <c r="K134" s="26" t="str">
        <f aca="false">IF($D134="","",IFERROR(INDEX(LOT_FOURNE,MATCH($D134,LOT_KEY,0)),""))</f>
        <v/>
      </c>
      <c r="L134" s="26" t="str">
        <f aca="false">IF($E134="","",IFERROR(INDEX(EMPL_CLASSE,MATCH($E134,EMPL_KEY,0)),"?"))</f>
        <v/>
      </c>
      <c r="M134" s="26" t="str">
        <f aca="false">IF($F134="","",IFERROR(INDEX(EMPL_CLASSE,MATCH($F134,EMPL_KEY,0)),"?"))</f>
        <v/>
      </c>
      <c r="N134" s="28" t="n">
        <f aca="false">IF($C134="",0,IF(OR($B134="",$D134="",NOT(ISNUMBER($G134)),$G134&lt;=0),0,IF($C134="RECEPTION",IF($F134="",0,1),IF($C134="CONSOMMATION",IF($E134="",0,1),IF(OR($E134="",$F134="",$E134=$F134),0,1)))))</f>
        <v>0</v>
      </c>
      <c r="O134" s="27" t="str">
        <f aca="false">IF(OR($N134=0,$C134="RECEPTION"),"",SUMIFS(MVT_BRUT,MVT_LOT,$D134,MVT_EMPL,$E134)+$G134)</f>
        <v/>
      </c>
      <c r="P134" s="26" t="str">
        <f aca="false">IF($C134="","",IF($N134=0,"DONNEES MANQUANTES",IF($C134="RECEPTION","OK",IF($O134&lt;=0,"EMPLACEMENT INCOHERENT",IF($G134&gt;$O134+0.001,"STOCK INSUFFISANT","OK")))))</f>
        <v/>
      </c>
      <c r="Q134" s="28" t="n">
        <f aca="false">IF($P134="OK",1,0)</f>
        <v>0</v>
      </c>
      <c r="R134" s="26" t="str">
        <f aca="false">IF($C134="","",IF($N134=0,"A COMPLETER : "&amp;IF($B134="","DATE; ","")&amp;IF($D134="","LOT; ","")&amp;IF(OR(NOT(ISNUMBER($G134)),$G134&lt;=0),"QUANTITE &gt; 0; ","")&amp;IF(AND($C134&lt;&gt;"RECEPTION",$E134=""),"EMPL. SOURCE; ","")&amp;IF(AND($C134&lt;&gt;"CONSOMMATION",$F134=""),"EMPL. DESTINATION; ","")&amp;IF(AND($C134="TRANSFERT",$E134&lt;&gt;"",$E134=$F134),"SOURCE = DESTINATION; ",""),IF($P134="EMPLACEMENT INCOHERENT","Le lot "&amp;$D134&amp;" n'existe pas sur "&amp;$E134&amp;" (stock 0). Verifier l'emplacement source.",IF($P134="STOCK INSUFFISANT","Disponible avant operation : "&amp;TEXT($O134,"#,##0.00")&amp;" kg. Ligne NON comptee en stock.",IF(COUNTIFS($B$5:$B$304,$B134,$C$5:$C$304,$C134,$D$5:$D$304,$D134,$G$5:$G$304,$G134)&gt;1,"Doublon possible (meme date, type, lot et quantite).",IF($J134="LOT NON REFERENCE","Creer d'abord la fiche du lot dans l'onglet LOTS.",""))))))</f>
        <v/>
      </c>
    </row>
    <row r="135" customFormat="false" ht="15" hidden="false" customHeight="false" outlineLevel="0" collapsed="false">
      <c r="A135" s="26" t="str">
        <f aca="false">IF($C135="","","OP-"&amp;TEXT(ROW()-4,"000"))</f>
        <v/>
      </c>
      <c r="B135" s="25"/>
      <c r="C135" s="24"/>
      <c r="D135" s="24"/>
      <c r="E135" s="24"/>
      <c r="F135" s="24"/>
      <c r="G135" s="29"/>
      <c r="H135" s="24"/>
      <c r="I135" s="24"/>
      <c r="J135" s="26" t="str">
        <f aca="false">IF($D135="","",IFERROR(INDEX(LOT_PRODE,MATCH($D135,LOT_KEY,0)),"LOT NON REFERENCE"))</f>
        <v/>
      </c>
      <c r="K135" s="26" t="str">
        <f aca="false">IF($D135="","",IFERROR(INDEX(LOT_FOURNE,MATCH($D135,LOT_KEY,0)),""))</f>
        <v/>
      </c>
      <c r="L135" s="26" t="str">
        <f aca="false">IF($E135="","",IFERROR(INDEX(EMPL_CLASSE,MATCH($E135,EMPL_KEY,0)),"?"))</f>
        <v/>
      </c>
      <c r="M135" s="26" t="str">
        <f aca="false">IF($F135="","",IFERROR(INDEX(EMPL_CLASSE,MATCH($F135,EMPL_KEY,0)),"?"))</f>
        <v/>
      </c>
      <c r="N135" s="28" t="n">
        <f aca="false">IF($C135="",0,IF(OR($B135="",$D135="",NOT(ISNUMBER($G135)),$G135&lt;=0),0,IF($C135="RECEPTION",IF($F135="",0,1),IF($C135="CONSOMMATION",IF($E135="",0,1),IF(OR($E135="",$F135="",$E135=$F135),0,1)))))</f>
        <v>0</v>
      </c>
      <c r="O135" s="27" t="str">
        <f aca="false">IF(OR($N135=0,$C135="RECEPTION"),"",SUMIFS(MVT_BRUT,MVT_LOT,$D135,MVT_EMPL,$E135)+$G135)</f>
        <v/>
      </c>
      <c r="P135" s="26" t="str">
        <f aca="false">IF($C135="","",IF($N135=0,"DONNEES MANQUANTES",IF($C135="RECEPTION","OK",IF($O135&lt;=0,"EMPLACEMENT INCOHERENT",IF($G135&gt;$O135+0.001,"STOCK INSUFFISANT","OK")))))</f>
        <v/>
      </c>
      <c r="Q135" s="28" t="n">
        <f aca="false">IF($P135="OK",1,0)</f>
        <v>0</v>
      </c>
      <c r="R135" s="26" t="str">
        <f aca="false">IF($C135="","",IF($N135=0,"A COMPLETER : "&amp;IF($B135="","DATE; ","")&amp;IF($D135="","LOT; ","")&amp;IF(OR(NOT(ISNUMBER($G135)),$G135&lt;=0),"QUANTITE &gt; 0; ","")&amp;IF(AND($C135&lt;&gt;"RECEPTION",$E135=""),"EMPL. SOURCE; ","")&amp;IF(AND($C135&lt;&gt;"CONSOMMATION",$F135=""),"EMPL. DESTINATION; ","")&amp;IF(AND($C135="TRANSFERT",$E135&lt;&gt;"",$E135=$F135),"SOURCE = DESTINATION; ",""),IF($P135="EMPLACEMENT INCOHERENT","Le lot "&amp;$D135&amp;" n'existe pas sur "&amp;$E135&amp;" (stock 0). Verifier l'emplacement source.",IF($P135="STOCK INSUFFISANT","Disponible avant operation : "&amp;TEXT($O135,"#,##0.00")&amp;" kg. Ligne NON comptee en stock.",IF(COUNTIFS($B$5:$B$304,$B135,$C$5:$C$304,$C135,$D$5:$D$304,$D135,$G$5:$G$304,$G135)&gt;1,"Doublon possible (meme date, type, lot et quantite).",IF($J135="LOT NON REFERENCE","Creer d'abord la fiche du lot dans l'onglet LOTS.",""))))))</f>
        <v/>
      </c>
    </row>
    <row r="136" customFormat="false" ht="15" hidden="false" customHeight="false" outlineLevel="0" collapsed="false">
      <c r="A136" s="26" t="str">
        <f aca="false">IF($C136="","","OP-"&amp;TEXT(ROW()-4,"000"))</f>
        <v/>
      </c>
      <c r="B136" s="25"/>
      <c r="C136" s="24"/>
      <c r="D136" s="24"/>
      <c r="E136" s="24"/>
      <c r="F136" s="24"/>
      <c r="G136" s="29"/>
      <c r="H136" s="24"/>
      <c r="I136" s="24"/>
      <c r="J136" s="26" t="str">
        <f aca="false">IF($D136="","",IFERROR(INDEX(LOT_PRODE,MATCH($D136,LOT_KEY,0)),"LOT NON REFERENCE"))</f>
        <v/>
      </c>
      <c r="K136" s="26" t="str">
        <f aca="false">IF($D136="","",IFERROR(INDEX(LOT_FOURNE,MATCH($D136,LOT_KEY,0)),""))</f>
        <v/>
      </c>
      <c r="L136" s="26" t="str">
        <f aca="false">IF($E136="","",IFERROR(INDEX(EMPL_CLASSE,MATCH($E136,EMPL_KEY,0)),"?"))</f>
        <v/>
      </c>
      <c r="M136" s="26" t="str">
        <f aca="false">IF($F136="","",IFERROR(INDEX(EMPL_CLASSE,MATCH($F136,EMPL_KEY,0)),"?"))</f>
        <v/>
      </c>
      <c r="N136" s="28" t="n">
        <f aca="false">IF($C136="",0,IF(OR($B136="",$D136="",NOT(ISNUMBER($G136)),$G136&lt;=0),0,IF($C136="RECEPTION",IF($F136="",0,1),IF($C136="CONSOMMATION",IF($E136="",0,1),IF(OR($E136="",$F136="",$E136=$F136),0,1)))))</f>
        <v>0</v>
      </c>
      <c r="O136" s="27" t="str">
        <f aca="false">IF(OR($N136=0,$C136="RECEPTION"),"",SUMIFS(MVT_BRUT,MVT_LOT,$D136,MVT_EMPL,$E136)+$G136)</f>
        <v/>
      </c>
      <c r="P136" s="26" t="str">
        <f aca="false">IF($C136="","",IF($N136=0,"DONNEES MANQUANTES",IF($C136="RECEPTION","OK",IF($O136&lt;=0,"EMPLACEMENT INCOHERENT",IF($G136&gt;$O136+0.001,"STOCK INSUFFISANT","OK")))))</f>
        <v/>
      </c>
      <c r="Q136" s="28" t="n">
        <f aca="false">IF($P136="OK",1,0)</f>
        <v>0</v>
      </c>
      <c r="R136" s="26" t="str">
        <f aca="false">IF($C136="","",IF($N136=0,"A COMPLETER : "&amp;IF($B136="","DATE; ","")&amp;IF($D136="","LOT; ","")&amp;IF(OR(NOT(ISNUMBER($G136)),$G136&lt;=0),"QUANTITE &gt; 0; ","")&amp;IF(AND($C136&lt;&gt;"RECEPTION",$E136=""),"EMPL. SOURCE; ","")&amp;IF(AND($C136&lt;&gt;"CONSOMMATION",$F136=""),"EMPL. DESTINATION; ","")&amp;IF(AND($C136="TRANSFERT",$E136&lt;&gt;"",$E136=$F136),"SOURCE = DESTINATION; ",""),IF($P136="EMPLACEMENT INCOHERENT","Le lot "&amp;$D136&amp;" n'existe pas sur "&amp;$E136&amp;" (stock 0). Verifier l'emplacement source.",IF($P136="STOCK INSUFFISANT","Disponible avant operation : "&amp;TEXT($O136,"#,##0.00")&amp;" kg. Ligne NON comptee en stock.",IF(COUNTIFS($B$5:$B$304,$B136,$C$5:$C$304,$C136,$D$5:$D$304,$D136,$G$5:$G$304,$G136)&gt;1,"Doublon possible (meme date, type, lot et quantite).",IF($J136="LOT NON REFERENCE","Creer d'abord la fiche du lot dans l'onglet LOTS.",""))))))</f>
        <v/>
      </c>
    </row>
    <row r="137" customFormat="false" ht="15" hidden="false" customHeight="false" outlineLevel="0" collapsed="false">
      <c r="A137" s="26" t="str">
        <f aca="false">IF($C137="","","OP-"&amp;TEXT(ROW()-4,"000"))</f>
        <v/>
      </c>
      <c r="B137" s="25"/>
      <c r="C137" s="24"/>
      <c r="D137" s="24"/>
      <c r="E137" s="24"/>
      <c r="F137" s="24"/>
      <c r="G137" s="29"/>
      <c r="H137" s="24"/>
      <c r="I137" s="24"/>
      <c r="J137" s="26" t="str">
        <f aca="false">IF($D137="","",IFERROR(INDEX(LOT_PRODE,MATCH($D137,LOT_KEY,0)),"LOT NON REFERENCE"))</f>
        <v/>
      </c>
      <c r="K137" s="26" t="str">
        <f aca="false">IF($D137="","",IFERROR(INDEX(LOT_FOURNE,MATCH($D137,LOT_KEY,0)),""))</f>
        <v/>
      </c>
      <c r="L137" s="26" t="str">
        <f aca="false">IF($E137="","",IFERROR(INDEX(EMPL_CLASSE,MATCH($E137,EMPL_KEY,0)),"?"))</f>
        <v/>
      </c>
      <c r="M137" s="26" t="str">
        <f aca="false">IF($F137="","",IFERROR(INDEX(EMPL_CLASSE,MATCH($F137,EMPL_KEY,0)),"?"))</f>
        <v/>
      </c>
      <c r="N137" s="28" t="n">
        <f aca="false">IF($C137="",0,IF(OR($B137="",$D137="",NOT(ISNUMBER($G137)),$G137&lt;=0),0,IF($C137="RECEPTION",IF($F137="",0,1),IF($C137="CONSOMMATION",IF($E137="",0,1),IF(OR($E137="",$F137="",$E137=$F137),0,1)))))</f>
        <v>0</v>
      </c>
      <c r="O137" s="27" t="str">
        <f aca="false">IF(OR($N137=0,$C137="RECEPTION"),"",SUMIFS(MVT_BRUT,MVT_LOT,$D137,MVT_EMPL,$E137)+$G137)</f>
        <v/>
      </c>
      <c r="P137" s="26" t="str">
        <f aca="false">IF($C137="","",IF($N137=0,"DONNEES MANQUANTES",IF($C137="RECEPTION","OK",IF($O137&lt;=0,"EMPLACEMENT INCOHERENT",IF($G137&gt;$O137+0.001,"STOCK INSUFFISANT","OK")))))</f>
        <v/>
      </c>
      <c r="Q137" s="28" t="n">
        <f aca="false">IF($P137="OK",1,0)</f>
        <v>0</v>
      </c>
      <c r="R137" s="26" t="str">
        <f aca="false">IF($C137="","",IF($N137=0,"A COMPLETER : "&amp;IF($B137="","DATE; ","")&amp;IF($D137="","LOT; ","")&amp;IF(OR(NOT(ISNUMBER($G137)),$G137&lt;=0),"QUANTITE &gt; 0; ","")&amp;IF(AND($C137&lt;&gt;"RECEPTION",$E137=""),"EMPL. SOURCE; ","")&amp;IF(AND($C137&lt;&gt;"CONSOMMATION",$F137=""),"EMPL. DESTINATION; ","")&amp;IF(AND($C137="TRANSFERT",$E137&lt;&gt;"",$E137=$F137),"SOURCE = DESTINATION; ",""),IF($P137="EMPLACEMENT INCOHERENT","Le lot "&amp;$D137&amp;" n'existe pas sur "&amp;$E137&amp;" (stock 0). Verifier l'emplacement source.",IF($P137="STOCK INSUFFISANT","Disponible avant operation : "&amp;TEXT($O137,"#,##0.00")&amp;" kg. Ligne NON comptee en stock.",IF(COUNTIFS($B$5:$B$304,$B137,$C$5:$C$304,$C137,$D$5:$D$304,$D137,$G$5:$G$304,$G137)&gt;1,"Doublon possible (meme date, type, lot et quantite).",IF($J137="LOT NON REFERENCE","Creer d'abord la fiche du lot dans l'onglet LOTS.",""))))))</f>
        <v/>
      </c>
    </row>
    <row r="138" customFormat="false" ht="15" hidden="false" customHeight="false" outlineLevel="0" collapsed="false">
      <c r="A138" s="26" t="str">
        <f aca="false">IF($C138="","","OP-"&amp;TEXT(ROW()-4,"000"))</f>
        <v/>
      </c>
      <c r="B138" s="25"/>
      <c r="C138" s="24"/>
      <c r="D138" s="24"/>
      <c r="E138" s="24"/>
      <c r="F138" s="24"/>
      <c r="G138" s="29"/>
      <c r="H138" s="24"/>
      <c r="I138" s="24"/>
      <c r="J138" s="26" t="str">
        <f aca="false">IF($D138="","",IFERROR(INDEX(LOT_PRODE,MATCH($D138,LOT_KEY,0)),"LOT NON REFERENCE"))</f>
        <v/>
      </c>
      <c r="K138" s="26" t="str">
        <f aca="false">IF($D138="","",IFERROR(INDEX(LOT_FOURNE,MATCH($D138,LOT_KEY,0)),""))</f>
        <v/>
      </c>
      <c r="L138" s="26" t="str">
        <f aca="false">IF($E138="","",IFERROR(INDEX(EMPL_CLASSE,MATCH($E138,EMPL_KEY,0)),"?"))</f>
        <v/>
      </c>
      <c r="M138" s="26" t="str">
        <f aca="false">IF($F138="","",IFERROR(INDEX(EMPL_CLASSE,MATCH($F138,EMPL_KEY,0)),"?"))</f>
        <v/>
      </c>
      <c r="N138" s="28" t="n">
        <f aca="false">IF($C138="",0,IF(OR($B138="",$D138="",NOT(ISNUMBER($G138)),$G138&lt;=0),0,IF($C138="RECEPTION",IF($F138="",0,1),IF($C138="CONSOMMATION",IF($E138="",0,1),IF(OR($E138="",$F138="",$E138=$F138),0,1)))))</f>
        <v>0</v>
      </c>
      <c r="O138" s="27" t="str">
        <f aca="false">IF(OR($N138=0,$C138="RECEPTION"),"",SUMIFS(MVT_BRUT,MVT_LOT,$D138,MVT_EMPL,$E138)+$G138)</f>
        <v/>
      </c>
      <c r="P138" s="26" t="str">
        <f aca="false">IF($C138="","",IF($N138=0,"DONNEES MANQUANTES",IF($C138="RECEPTION","OK",IF($O138&lt;=0,"EMPLACEMENT INCOHERENT",IF($G138&gt;$O138+0.001,"STOCK INSUFFISANT","OK")))))</f>
        <v/>
      </c>
      <c r="Q138" s="28" t="n">
        <f aca="false">IF($P138="OK",1,0)</f>
        <v>0</v>
      </c>
      <c r="R138" s="26" t="str">
        <f aca="false">IF($C138="","",IF($N138=0,"A COMPLETER : "&amp;IF($B138="","DATE; ","")&amp;IF($D138="","LOT; ","")&amp;IF(OR(NOT(ISNUMBER($G138)),$G138&lt;=0),"QUANTITE &gt; 0; ","")&amp;IF(AND($C138&lt;&gt;"RECEPTION",$E138=""),"EMPL. SOURCE; ","")&amp;IF(AND($C138&lt;&gt;"CONSOMMATION",$F138=""),"EMPL. DESTINATION; ","")&amp;IF(AND($C138="TRANSFERT",$E138&lt;&gt;"",$E138=$F138),"SOURCE = DESTINATION; ",""),IF($P138="EMPLACEMENT INCOHERENT","Le lot "&amp;$D138&amp;" n'existe pas sur "&amp;$E138&amp;" (stock 0). Verifier l'emplacement source.",IF($P138="STOCK INSUFFISANT","Disponible avant operation : "&amp;TEXT($O138,"#,##0.00")&amp;" kg. Ligne NON comptee en stock.",IF(COUNTIFS($B$5:$B$304,$B138,$C$5:$C$304,$C138,$D$5:$D$304,$D138,$G$5:$G$304,$G138)&gt;1,"Doublon possible (meme date, type, lot et quantite).",IF($J138="LOT NON REFERENCE","Creer d'abord la fiche du lot dans l'onglet LOTS.",""))))))</f>
        <v/>
      </c>
    </row>
    <row r="139" customFormat="false" ht="15" hidden="false" customHeight="false" outlineLevel="0" collapsed="false">
      <c r="A139" s="26" t="str">
        <f aca="false">IF($C139="","","OP-"&amp;TEXT(ROW()-4,"000"))</f>
        <v/>
      </c>
      <c r="B139" s="25"/>
      <c r="C139" s="24"/>
      <c r="D139" s="24"/>
      <c r="E139" s="24"/>
      <c r="F139" s="24"/>
      <c r="G139" s="29"/>
      <c r="H139" s="24"/>
      <c r="I139" s="24"/>
      <c r="J139" s="26" t="str">
        <f aca="false">IF($D139="","",IFERROR(INDEX(LOT_PRODE,MATCH($D139,LOT_KEY,0)),"LOT NON REFERENCE"))</f>
        <v/>
      </c>
      <c r="K139" s="26" t="str">
        <f aca="false">IF($D139="","",IFERROR(INDEX(LOT_FOURNE,MATCH($D139,LOT_KEY,0)),""))</f>
        <v/>
      </c>
      <c r="L139" s="26" t="str">
        <f aca="false">IF($E139="","",IFERROR(INDEX(EMPL_CLASSE,MATCH($E139,EMPL_KEY,0)),"?"))</f>
        <v/>
      </c>
      <c r="M139" s="26" t="str">
        <f aca="false">IF($F139="","",IFERROR(INDEX(EMPL_CLASSE,MATCH($F139,EMPL_KEY,0)),"?"))</f>
        <v/>
      </c>
      <c r="N139" s="28" t="n">
        <f aca="false">IF($C139="",0,IF(OR($B139="",$D139="",NOT(ISNUMBER($G139)),$G139&lt;=0),0,IF($C139="RECEPTION",IF($F139="",0,1),IF($C139="CONSOMMATION",IF($E139="",0,1),IF(OR($E139="",$F139="",$E139=$F139),0,1)))))</f>
        <v>0</v>
      </c>
      <c r="O139" s="27" t="str">
        <f aca="false">IF(OR($N139=0,$C139="RECEPTION"),"",SUMIFS(MVT_BRUT,MVT_LOT,$D139,MVT_EMPL,$E139)+$G139)</f>
        <v/>
      </c>
      <c r="P139" s="26" t="str">
        <f aca="false">IF($C139="","",IF($N139=0,"DONNEES MANQUANTES",IF($C139="RECEPTION","OK",IF($O139&lt;=0,"EMPLACEMENT INCOHERENT",IF($G139&gt;$O139+0.001,"STOCK INSUFFISANT","OK")))))</f>
        <v/>
      </c>
      <c r="Q139" s="28" t="n">
        <f aca="false">IF($P139="OK",1,0)</f>
        <v>0</v>
      </c>
      <c r="R139" s="26" t="str">
        <f aca="false">IF($C139="","",IF($N139=0,"A COMPLETER : "&amp;IF($B139="","DATE; ","")&amp;IF($D139="","LOT; ","")&amp;IF(OR(NOT(ISNUMBER($G139)),$G139&lt;=0),"QUANTITE &gt; 0; ","")&amp;IF(AND($C139&lt;&gt;"RECEPTION",$E139=""),"EMPL. SOURCE; ","")&amp;IF(AND($C139&lt;&gt;"CONSOMMATION",$F139=""),"EMPL. DESTINATION; ","")&amp;IF(AND($C139="TRANSFERT",$E139&lt;&gt;"",$E139=$F139),"SOURCE = DESTINATION; ",""),IF($P139="EMPLACEMENT INCOHERENT","Le lot "&amp;$D139&amp;" n'existe pas sur "&amp;$E139&amp;" (stock 0). Verifier l'emplacement source.",IF($P139="STOCK INSUFFISANT","Disponible avant operation : "&amp;TEXT($O139,"#,##0.00")&amp;" kg. Ligne NON comptee en stock.",IF(COUNTIFS($B$5:$B$304,$B139,$C$5:$C$304,$C139,$D$5:$D$304,$D139,$G$5:$G$304,$G139)&gt;1,"Doublon possible (meme date, type, lot et quantite).",IF($J139="LOT NON REFERENCE","Creer d'abord la fiche du lot dans l'onglet LOTS.",""))))))</f>
        <v/>
      </c>
    </row>
    <row r="140" customFormat="false" ht="15" hidden="false" customHeight="false" outlineLevel="0" collapsed="false">
      <c r="A140" s="26" t="str">
        <f aca="false">IF($C140="","","OP-"&amp;TEXT(ROW()-4,"000"))</f>
        <v/>
      </c>
      <c r="B140" s="25"/>
      <c r="C140" s="24"/>
      <c r="D140" s="24"/>
      <c r="E140" s="24"/>
      <c r="F140" s="24"/>
      <c r="G140" s="29"/>
      <c r="H140" s="24"/>
      <c r="I140" s="24"/>
      <c r="J140" s="26" t="str">
        <f aca="false">IF($D140="","",IFERROR(INDEX(LOT_PRODE,MATCH($D140,LOT_KEY,0)),"LOT NON REFERENCE"))</f>
        <v/>
      </c>
      <c r="K140" s="26" t="str">
        <f aca="false">IF($D140="","",IFERROR(INDEX(LOT_FOURNE,MATCH($D140,LOT_KEY,0)),""))</f>
        <v/>
      </c>
      <c r="L140" s="26" t="str">
        <f aca="false">IF($E140="","",IFERROR(INDEX(EMPL_CLASSE,MATCH($E140,EMPL_KEY,0)),"?"))</f>
        <v/>
      </c>
      <c r="M140" s="26" t="str">
        <f aca="false">IF($F140="","",IFERROR(INDEX(EMPL_CLASSE,MATCH($F140,EMPL_KEY,0)),"?"))</f>
        <v/>
      </c>
      <c r="N140" s="28" t="n">
        <f aca="false">IF($C140="",0,IF(OR($B140="",$D140="",NOT(ISNUMBER($G140)),$G140&lt;=0),0,IF($C140="RECEPTION",IF($F140="",0,1),IF($C140="CONSOMMATION",IF($E140="",0,1),IF(OR($E140="",$F140="",$E140=$F140),0,1)))))</f>
        <v>0</v>
      </c>
      <c r="O140" s="27" t="str">
        <f aca="false">IF(OR($N140=0,$C140="RECEPTION"),"",SUMIFS(MVT_BRUT,MVT_LOT,$D140,MVT_EMPL,$E140)+$G140)</f>
        <v/>
      </c>
      <c r="P140" s="26" t="str">
        <f aca="false">IF($C140="","",IF($N140=0,"DONNEES MANQUANTES",IF($C140="RECEPTION","OK",IF($O140&lt;=0,"EMPLACEMENT INCOHERENT",IF($G140&gt;$O140+0.001,"STOCK INSUFFISANT","OK")))))</f>
        <v/>
      </c>
      <c r="Q140" s="28" t="n">
        <f aca="false">IF($P140="OK",1,0)</f>
        <v>0</v>
      </c>
      <c r="R140" s="26" t="str">
        <f aca="false">IF($C140="","",IF($N140=0,"A COMPLETER : "&amp;IF($B140="","DATE; ","")&amp;IF($D140="","LOT; ","")&amp;IF(OR(NOT(ISNUMBER($G140)),$G140&lt;=0),"QUANTITE &gt; 0; ","")&amp;IF(AND($C140&lt;&gt;"RECEPTION",$E140=""),"EMPL. SOURCE; ","")&amp;IF(AND($C140&lt;&gt;"CONSOMMATION",$F140=""),"EMPL. DESTINATION; ","")&amp;IF(AND($C140="TRANSFERT",$E140&lt;&gt;"",$E140=$F140),"SOURCE = DESTINATION; ",""),IF($P140="EMPLACEMENT INCOHERENT","Le lot "&amp;$D140&amp;" n'existe pas sur "&amp;$E140&amp;" (stock 0). Verifier l'emplacement source.",IF($P140="STOCK INSUFFISANT","Disponible avant operation : "&amp;TEXT($O140,"#,##0.00")&amp;" kg. Ligne NON comptee en stock.",IF(COUNTIFS($B$5:$B$304,$B140,$C$5:$C$304,$C140,$D$5:$D$304,$D140,$G$5:$G$304,$G140)&gt;1,"Doublon possible (meme date, type, lot et quantite).",IF($J140="LOT NON REFERENCE","Creer d'abord la fiche du lot dans l'onglet LOTS.",""))))))</f>
        <v/>
      </c>
    </row>
    <row r="141" customFormat="false" ht="15" hidden="false" customHeight="false" outlineLevel="0" collapsed="false">
      <c r="A141" s="26" t="str">
        <f aca="false">IF($C141="","","OP-"&amp;TEXT(ROW()-4,"000"))</f>
        <v/>
      </c>
      <c r="B141" s="25"/>
      <c r="C141" s="24"/>
      <c r="D141" s="24"/>
      <c r="E141" s="24"/>
      <c r="F141" s="24"/>
      <c r="G141" s="29"/>
      <c r="H141" s="24"/>
      <c r="I141" s="24"/>
      <c r="J141" s="26" t="str">
        <f aca="false">IF($D141="","",IFERROR(INDEX(LOT_PRODE,MATCH($D141,LOT_KEY,0)),"LOT NON REFERENCE"))</f>
        <v/>
      </c>
      <c r="K141" s="26" t="str">
        <f aca="false">IF($D141="","",IFERROR(INDEX(LOT_FOURNE,MATCH($D141,LOT_KEY,0)),""))</f>
        <v/>
      </c>
      <c r="L141" s="26" t="str">
        <f aca="false">IF($E141="","",IFERROR(INDEX(EMPL_CLASSE,MATCH($E141,EMPL_KEY,0)),"?"))</f>
        <v/>
      </c>
      <c r="M141" s="26" t="str">
        <f aca="false">IF($F141="","",IFERROR(INDEX(EMPL_CLASSE,MATCH($F141,EMPL_KEY,0)),"?"))</f>
        <v/>
      </c>
      <c r="N141" s="28" t="n">
        <f aca="false">IF($C141="",0,IF(OR($B141="",$D141="",NOT(ISNUMBER($G141)),$G141&lt;=0),0,IF($C141="RECEPTION",IF($F141="",0,1),IF($C141="CONSOMMATION",IF($E141="",0,1),IF(OR($E141="",$F141="",$E141=$F141),0,1)))))</f>
        <v>0</v>
      </c>
      <c r="O141" s="27" t="str">
        <f aca="false">IF(OR($N141=0,$C141="RECEPTION"),"",SUMIFS(MVT_BRUT,MVT_LOT,$D141,MVT_EMPL,$E141)+$G141)</f>
        <v/>
      </c>
      <c r="P141" s="26" t="str">
        <f aca="false">IF($C141="","",IF($N141=0,"DONNEES MANQUANTES",IF($C141="RECEPTION","OK",IF($O141&lt;=0,"EMPLACEMENT INCOHERENT",IF($G141&gt;$O141+0.001,"STOCK INSUFFISANT","OK")))))</f>
        <v/>
      </c>
      <c r="Q141" s="28" t="n">
        <f aca="false">IF($P141="OK",1,0)</f>
        <v>0</v>
      </c>
      <c r="R141" s="26" t="str">
        <f aca="false">IF($C141="","",IF($N141=0,"A COMPLETER : "&amp;IF($B141="","DATE; ","")&amp;IF($D141="","LOT; ","")&amp;IF(OR(NOT(ISNUMBER($G141)),$G141&lt;=0),"QUANTITE &gt; 0; ","")&amp;IF(AND($C141&lt;&gt;"RECEPTION",$E141=""),"EMPL. SOURCE; ","")&amp;IF(AND($C141&lt;&gt;"CONSOMMATION",$F141=""),"EMPL. DESTINATION; ","")&amp;IF(AND($C141="TRANSFERT",$E141&lt;&gt;"",$E141=$F141),"SOURCE = DESTINATION; ",""),IF($P141="EMPLACEMENT INCOHERENT","Le lot "&amp;$D141&amp;" n'existe pas sur "&amp;$E141&amp;" (stock 0). Verifier l'emplacement source.",IF($P141="STOCK INSUFFISANT","Disponible avant operation : "&amp;TEXT($O141,"#,##0.00")&amp;" kg. Ligne NON comptee en stock.",IF(COUNTIFS($B$5:$B$304,$B141,$C$5:$C$304,$C141,$D$5:$D$304,$D141,$G$5:$G$304,$G141)&gt;1,"Doublon possible (meme date, type, lot et quantite).",IF($J141="LOT NON REFERENCE","Creer d'abord la fiche du lot dans l'onglet LOTS.",""))))))</f>
        <v/>
      </c>
    </row>
    <row r="142" customFormat="false" ht="15" hidden="false" customHeight="false" outlineLevel="0" collapsed="false">
      <c r="A142" s="26" t="str">
        <f aca="false">IF($C142="","","OP-"&amp;TEXT(ROW()-4,"000"))</f>
        <v/>
      </c>
      <c r="B142" s="25"/>
      <c r="C142" s="24"/>
      <c r="D142" s="24"/>
      <c r="E142" s="24"/>
      <c r="F142" s="24"/>
      <c r="G142" s="29"/>
      <c r="H142" s="24"/>
      <c r="I142" s="24"/>
      <c r="J142" s="26" t="str">
        <f aca="false">IF($D142="","",IFERROR(INDEX(LOT_PRODE,MATCH($D142,LOT_KEY,0)),"LOT NON REFERENCE"))</f>
        <v/>
      </c>
      <c r="K142" s="26" t="str">
        <f aca="false">IF($D142="","",IFERROR(INDEX(LOT_FOURNE,MATCH($D142,LOT_KEY,0)),""))</f>
        <v/>
      </c>
      <c r="L142" s="26" t="str">
        <f aca="false">IF($E142="","",IFERROR(INDEX(EMPL_CLASSE,MATCH($E142,EMPL_KEY,0)),"?"))</f>
        <v/>
      </c>
      <c r="M142" s="26" t="str">
        <f aca="false">IF($F142="","",IFERROR(INDEX(EMPL_CLASSE,MATCH($F142,EMPL_KEY,0)),"?"))</f>
        <v/>
      </c>
      <c r="N142" s="28" t="n">
        <f aca="false">IF($C142="",0,IF(OR($B142="",$D142="",NOT(ISNUMBER($G142)),$G142&lt;=0),0,IF($C142="RECEPTION",IF($F142="",0,1),IF($C142="CONSOMMATION",IF($E142="",0,1),IF(OR($E142="",$F142="",$E142=$F142),0,1)))))</f>
        <v>0</v>
      </c>
      <c r="O142" s="27" t="str">
        <f aca="false">IF(OR($N142=0,$C142="RECEPTION"),"",SUMIFS(MVT_BRUT,MVT_LOT,$D142,MVT_EMPL,$E142)+$G142)</f>
        <v/>
      </c>
      <c r="P142" s="26" t="str">
        <f aca="false">IF($C142="","",IF($N142=0,"DONNEES MANQUANTES",IF($C142="RECEPTION","OK",IF($O142&lt;=0,"EMPLACEMENT INCOHERENT",IF($G142&gt;$O142+0.001,"STOCK INSUFFISANT","OK")))))</f>
        <v/>
      </c>
      <c r="Q142" s="28" t="n">
        <f aca="false">IF($P142="OK",1,0)</f>
        <v>0</v>
      </c>
      <c r="R142" s="26" t="str">
        <f aca="false">IF($C142="","",IF($N142=0,"A COMPLETER : "&amp;IF($B142="","DATE; ","")&amp;IF($D142="","LOT; ","")&amp;IF(OR(NOT(ISNUMBER($G142)),$G142&lt;=0),"QUANTITE &gt; 0; ","")&amp;IF(AND($C142&lt;&gt;"RECEPTION",$E142=""),"EMPL. SOURCE; ","")&amp;IF(AND($C142&lt;&gt;"CONSOMMATION",$F142=""),"EMPL. DESTINATION; ","")&amp;IF(AND($C142="TRANSFERT",$E142&lt;&gt;"",$E142=$F142),"SOURCE = DESTINATION; ",""),IF($P142="EMPLACEMENT INCOHERENT","Le lot "&amp;$D142&amp;" n'existe pas sur "&amp;$E142&amp;" (stock 0). Verifier l'emplacement source.",IF($P142="STOCK INSUFFISANT","Disponible avant operation : "&amp;TEXT($O142,"#,##0.00")&amp;" kg. Ligne NON comptee en stock.",IF(COUNTIFS($B$5:$B$304,$B142,$C$5:$C$304,$C142,$D$5:$D$304,$D142,$G$5:$G$304,$G142)&gt;1,"Doublon possible (meme date, type, lot et quantite).",IF($J142="LOT NON REFERENCE","Creer d'abord la fiche du lot dans l'onglet LOTS.",""))))))</f>
        <v/>
      </c>
    </row>
    <row r="143" customFormat="false" ht="15" hidden="false" customHeight="false" outlineLevel="0" collapsed="false">
      <c r="A143" s="26" t="str">
        <f aca="false">IF($C143="","","OP-"&amp;TEXT(ROW()-4,"000"))</f>
        <v/>
      </c>
      <c r="B143" s="25"/>
      <c r="C143" s="24"/>
      <c r="D143" s="24"/>
      <c r="E143" s="24"/>
      <c r="F143" s="24"/>
      <c r="G143" s="29"/>
      <c r="H143" s="24"/>
      <c r="I143" s="24"/>
      <c r="J143" s="26" t="str">
        <f aca="false">IF($D143="","",IFERROR(INDEX(LOT_PRODE,MATCH($D143,LOT_KEY,0)),"LOT NON REFERENCE"))</f>
        <v/>
      </c>
      <c r="K143" s="26" t="str">
        <f aca="false">IF($D143="","",IFERROR(INDEX(LOT_FOURNE,MATCH($D143,LOT_KEY,0)),""))</f>
        <v/>
      </c>
      <c r="L143" s="26" t="str">
        <f aca="false">IF($E143="","",IFERROR(INDEX(EMPL_CLASSE,MATCH($E143,EMPL_KEY,0)),"?"))</f>
        <v/>
      </c>
      <c r="M143" s="26" t="str">
        <f aca="false">IF($F143="","",IFERROR(INDEX(EMPL_CLASSE,MATCH($F143,EMPL_KEY,0)),"?"))</f>
        <v/>
      </c>
      <c r="N143" s="28" t="n">
        <f aca="false">IF($C143="",0,IF(OR($B143="",$D143="",NOT(ISNUMBER($G143)),$G143&lt;=0),0,IF($C143="RECEPTION",IF($F143="",0,1),IF($C143="CONSOMMATION",IF($E143="",0,1),IF(OR($E143="",$F143="",$E143=$F143),0,1)))))</f>
        <v>0</v>
      </c>
      <c r="O143" s="27" t="str">
        <f aca="false">IF(OR($N143=0,$C143="RECEPTION"),"",SUMIFS(MVT_BRUT,MVT_LOT,$D143,MVT_EMPL,$E143)+$G143)</f>
        <v/>
      </c>
      <c r="P143" s="26" t="str">
        <f aca="false">IF($C143="","",IF($N143=0,"DONNEES MANQUANTES",IF($C143="RECEPTION","OK",IF($O143&lt;=0,"EMPLACEMENT INCOHERENT",IF($G143&gt;$O143+0.001,"STOCK INSUFFISANT","OK")))))</f>
        <v/>
      </c>
      <c r="Q143" s="28" t="n">
        <f aca="false">IF($P143="OK",1,0)</f>
        <v>0</v>
      </c>
      <c r="R143" s="26" t="str">
        <f aca="false">IF($C143="","",IF($N143=0,"A COMPLETER : "&amp;IF($B143="","DATE; ","")&amp;IF($D143="","LOT; ","")&amp;IF(OR(NOT(ISNUMBER($G143)),$G143&lt;=0),"QUANTITE &gt; 0; ","")&amp;IF(AND($C143&lt;&gt;"RECEPTION",$E143=""),"EMPL. SOURCE; ","")&amp;IF(AND($C143&lt;&gt;"CONSOMMATION",$F143=""),"EMPL. DESTINATION; ","")&amp;IF(AND($C143="TRANSFERT",$E143&lt;&gt;"",$E143=$F143),"SOURCE = DESTINATION; ",""),IF($P143="EMPLACEMENT INCOHERENT","Le lot "&amp;$D143&amp;" n'existe pas sur "&amp;$E143&amp;" (stock 0). Verifier l'emplacement source.",IF($P143="STOCK INSUFFISANT","Disponible avant operation : "&amp;TEXT($O143,"#,##0.00")&amp;" kg. Ligne NON comptee en stock.",IF(COUNTIFS($B$5:$B$304,$B143,$C$5:$C$304,$C143,$D$5:$D$304,$D143,$G$5:$G$304,$G143)&gt;1,"Doublon possible (meme date, type, lot et quantite).",IF($J143="LOT NON REFERENCE","Creer d'abord la fiche du lot dans l'onglet LOTS.",""))))))</f>
        <v/>
      </c>
    </row>
    <row r="144" customFormat="false" ht="15" hidden="false" customHeight="false" outlineLevel="0" collapsed="false">
      <c r="A144" s="26" t="str">
        <f aca="false">IF($C144="","","OP-"&amp;TEXT(ROW()-4,"000"))</f>
        <v/>
      </c>
      <c r="B144" s="25"/>
      <c r="C144" s="24"/>
      <c r="D144" s="24"/>
      <c r="E144" s="24"/>
      <c r="F144" s="24"/>
      <c r="G144" s="29"/>
      <c r="H144" s="24"/>
      <c r="I144" s="24"/>
      <c r="J144" s="26" t="str">
        <f aca="false">IF($D144="","",IFERROR(INDEX(LOT_PRODE,MATCH($D144,LOT_KEY,0)),"LOT NON REFERENCE"))</f>
        <v/>
      </c>
      <c r="K144" s="26" t="str">
        <f aca="false">IF($D144="","",IFERROR(INDEX(LOT_FOURNE,MATCH($D144,LOT_KEY,0)),""))</f>
        <v/>
      </c>
      <c r="L144" s="26" t="str">
        <f aca="false">IF($E144="","",IFERROR(INDEX(EMPL_CLASSE,MATCH($E144,EMPL_KEY,0)),"?"))</f>
        <v/>
      </c>
      <c r="M144" s="26" t="str">
        <f aca="false">IF($F144="","",IFERROR(INDEX(EMPL_CLASSE,MATCH($F144,EMPL_KEY,0)),"?"))</f>
        <v/>
      </c>
      <c r="N144" s="28" t="n">
        <f aca="false">IF($C144="",0,IF(OR($B144="",$D144="",NOT(ISNUMBER($G144)),$G144&lt;=0),0,IF($C144="RECEPTION",IF($F144="",0,1),IF($C144="CONSOMMATION",IF($E144="",0,1),IF(OR($E144="",$F144="",$E144=$F144),0,1)))))</f>
        <v>0</v>
      </c>
      <c r="O144" s="27" t="str">
        <f aca="false">IF(OR($N144=0,$C144="RECEPTION"),"",SUMIFS(MVT_BRUT,MVT_LOT,$D144,MVT_EMPL,$E144)+$G144)</f>
        <v/>
      </c>
      <c r="P144" s="26" t="str">
        <f aca="false">IF($C144="","",IF($N144=0,"DONNEES MANQUANTES",IF($C144="RECEPTION","OK",IF($O144&lt;=0,"EMPLACEMENT INCOHERENT",IF($G144&gt;$O144+0.001,"STOCK INSUFFISANT","OK")))))</f>
        <v/>
      </c>
      <c r="Q144" s="28" t="n">
        <f aca="false">IF($P144="OK",1,0)</f>
        <v>0</v>
      </c>
      <c r="R144" s="26" t="str">
        <f aca="false">IF($C144="","",IF($N144=0,"A COMPLETER : "&amp;IF($B144="","DATE; ","")&amp;IF($D144="","LOT; ","")&amp;IF(OR(NOT(ISNUMBER($G144)),$G144&lt;=0),"QUANTITE &gt; 0; ","")&amp;IF(AND($C144&lt;&gt;"RECEPTION",$E144=""),"EMPL. SOURCE; ","")&amp;IF(AND($C144&lt;&gt;"CONSOMMATION",$F144=""),"EMPL. DESTINATION; ","")&amp;IF(AND($C144="TRANSFERT",$E144&lt;&gt;"",$E144=$F144),"SOURCE = DESTINATION; ",""),IF($P144="EMPLACEMENT INCOHERENT","Le lot "&amp;$D144&amp;" n'existe pas sur "&amp;$E144&amp;" (stock 0). Verifier l'emplacement source.",IF($P144="STOCK INSUFFISANT","Disponible avant operation : "&amp;TEXT($O144,"#,##0.00")&amp;" kg. Ligne NON comptee en stock.",IF(COUNTIFS($B$5:$B$304,$B144,$C$5:$C$304,$C144,$D$5:$D$304,$D144,$G$5:$G$304,$G144)&gt;1,"Doublon possible (meme date, type, lot et quantite).",IF($J144="LOT NON REFERENCE","Creer d'abord la fiche du lot dans l'onglet LOTS.",""))))))</f>
        <v/>
      </c>
    </row>
    <row r="145" customFormat="false" ht="15" hidden="false" customHeight="false" outlineLevel="0" collapsed="false">
      <c r="A145" s="26" t="str">
        <f aca="false">IF($C145="","","OP-"&amp;TEXT(ROW()-4,"000"))</f>
        <v/>
      </c>
      <c r="B145" s="25"/>
      <c r="C145" s="24"/>
      <c r="D145" s="24"/>
      <c r="E145" s="24"/>
      <c r="F145" s="24"/>
      <c r="G145" s="29"/>
      <c r="H145" s="24"/>
      <c r="I145" s="24"/>
      <c r="J145" s="26" t="str">
        <f aca="false">IF($D145="","",IFERROR(INDEX(LOT_PRODE,MATCH($D145,LOT_KEY,0)),"LOT NON REFERENCE"))</f>
        <v/>
      </c>
      <c r="K145" s="26" t="str">
        <f aca="false">IF($D145="","",IFERROR(INDEX(LOT_FOURNE,MATCH($D145,LOT_KEY,0)),""))</f>
        <v/>
      </c>
      <c r="L145" s="26" t="str">
        <f aca="false">IF($E145="","",IFERROR(INDEX(EMPL_CLASSE,MATCH($E145,EMPL_KEY,0)),"?"))</f>
        <v/>
      </c>
      <c r="M145" s="26" t="str">
        <f aca="false">IF($F145="","",IFERROR(INDEX(EMPL_CLASSE,MATCH($F145,EMPL_KEY,0)),"?"))</f>
        <v/>
      </c>
      <c r="N145" s="28" t="n">
        <f aca="false">IF($C145="",0,IF(OR($B145="",$D145="",NOT(ISNUMBER($G145)),$G145&lt;=0),0,IF($C145="RECEPTION",IF($F145="",0,1),IF($C145="CONSOMMATION",IF($E145="",0,1),IF(OR($E145="",$F145="",$E145=$F145),0,1)))))</f>
        <v>0</v>
      </c>
      <c r="O145" s="27" t="str">
        <f aca="false">IF(OR($N145=0,$C145="RECEPTION"),"",SUMIFS(MVT_BRUT,MVT_LOT,$D145,MVT_EMPL,$E145)+$G145)</f>
        <v/>
      </c>
      <c r="P145" s="26" t="str">
        <f aca="false">IF($C145="","",IF($N145=0,"DONNEES MANQUANTES",IF($C145="RECEPTION","OK",IF($O145&lt;=0,"EMPLACEMENT INCOHERENT",IF($G145&gt;$O145+0.001,"STOCK INSUFFISANT","OK")))))</f>
        <v/>
      </c>
      <c r="Q145" s="28" t="n">
        <f aca="false">IF($P145="OK",1,0)</f>
        <v>0</v>
      </c>
      <c r="R145" s="26" t="str">
        <f aca="false">IF($C145="","",IF($N145=0,"A COMPLETER : "&amp;IF($B145="","DATE; ","")&amp;IF($D145="","LOT; ","")&amp;IF(OR(NOT(ISNUMBER($G145)),$G145&lt;=0),"QUANTITE &gt; 0; ","")&amp;IF(AND($C145&lt;&gt;"RECEPTION",$E145=""),"EMPL. SOURCE; ","")&amp;IF(AND($C145&lt;&gt;"CONSOMMATION",$F145=""),"EMPL. DESTINATION; ","")&amp;IF(AND($C145="TRANSFERT",$E145&lt;&gt;"",$E145=$F145),"SOURCE = DESTINATION; ",""),IF($P145="EMPLACEMENT INCOHERENT","Le lot "&amp;$D145&amp;" n'existe pas sur "&amp;$E145&amp;" (stock 0). Verifier l'emplacement source.",IF($P145="STOCK INSUFFISANT","Disponible avant operation : "&amp;TEXT($O145,"#,##0.00")&amp;" kg. Ligne NON comptee en stock.",IF(COUNTIFS($B$5:$B$304,$B145,$C$5:$C$304,$C145,$D$5:$D$304,$D145,$G$5:$G$304,$G145)&gt;1,"Doublon possible (meme date, type, lot et quantite).",IF($J145="LOT NON REFERENCE","Creer d'abord la fiche du lot dans l'onglet LOTS.",""))))))</f>
        <v/>
      </c>
    </row>
    <row r="146" customFormat="false" ht="15" hidden="false" customHeight="false" outlineLevel="0" collapsed="false">
      <c r="A146" s="26" t="str">
        <f aca="false">IF($C146="","","OP-"&amp;TEXT(ROW()-4,"000"))</f>
        <v/>
      </c>
      <c r="B146" s="25"/>
      <c r="C146" s="24"/>
      <c r="D146" s="24"/>
      <c r="E146" s="24"/>
      <c r="F146" s="24"/>
      <c r="G146" s="29"/>
      <c r="H146" s="24"/>
      <c r="I146" s="24"/>
      <c r="J146" s="26" t="str">
        <f aca="false">IF($D146="","",IFERROR(INDEX(LOT_PRODE,MATCH($D146,LOT_KEY,0)),"LOT NON REFERENCE"))</f>
        <v/>
      </c>
      <c r="K146" s="26" t="str">
        <f aca="false">IF($D146="","",IFERROR(INDEX(LOT_FOURNE,MATCH($D146,LOT_KEY,0)),""))</f>
        <v/>
      </c>
      <c r="L146" s="26" t="str">
        <f aca="false">IF($E146="","",IFERROR(INDEX(EMPL_CLASSE,MATCH($E146,EMPL_KEY,0)),"?"))</f>
        <v/>
      </c>
      <c r="M146" s="26" t="str">
        <f aca="false">IF($F146="","",IFERROR(INDEX(EMPL_CLASSE,MATCH($F146,EMPL_KEY,0)),"?"))</f>
        <v/>
      </c>
      <c r="N146" s="28" t="n">
        <f aca="false">IF($C146="",0,IF(OR($B146="",$D146="",NOT(ISNUMBER($G146)),$G146&lt;=0),0,IF($C146="RECEPTION",IF($F146="",0,1),IF($C146="CONSOMMATION",IF($E146="",0,1),IF(OR($E146="",$F146="",$E146=$F146),0,1)))))</f>
        <v>0</v>
      </c>
      <c r="O146" s="27" t="str">
        <f aca="false">IF(OR($N146=0,$C146="RECEPTION"),"",SUMIFS(MVT_BRUT,MVT_LOT,$D146,MVT_EMPL,$E146)+$G146)</f>
        <v/>
      </c>
      <c r="P146" s="26" t="str">
        <f aca="false">IF($C146="","",IF($N146=0,"DONNEES MANQUANTES",IF($C146="RECEPTION","OK",IF($O146&lt;=0,"EMPLACEMENT INCOHERENT",IF($G146&gt;$O146+0.001,"STOCK INSUFFISANT","OK")))))</f>
        <v/>
      </c>
      <c r="Q146" s="28" t="n">
        <f aca="false">IF($P146="OK",1,0)</f>
        <v>0</v>
      </c>
      <c r="R146" s="26" t="str">
        <f aca="false">IF($C146="","",IF($N146=0,"A COMPLETER : "&amp;IF($B146="","DATE; ","")&amp;IF($D146="","LOT; ","")&amp;IF(OR(NOT(ISNUMBER($G146)),$G146&lt;=0),"QUANTITE &gt; 0; ","")&amp;IF(AND($C146&lt;&gt;"RECEPTION",$E146=""),"EMPL. SOURCE; ","")&amp;IF(AND($C146&lt;&gt;"CONSOMMATION",$F146=""),"EMPL. DESTINATION; ","")&amp;IF(AND($C146="TRANSFERT",$E146&lt;&gt;"",$E146=$F146),"SOURCE = DESTINATION; ",""),IF($P146="EMPLACEMENT INCOHERENT","Le lot "&amp;$D146&amp;" n'existe pas sur "&amp;$E146&amp;" (stock 0). Verifier l'emplacement source.",IF($P146="STOCK INSUFFISANT","Disponible avant operation : "&amp;TEXT($O146,"#,##0.00")&amp;" kg. Ligne NON comptee en stock.",IF(COUNTIFS($B$5:$B$304,$B146,$C$5:$C$304,$C146,$D$5:$D$304,$D146,$G$5:$G$304,$G146)&gt;1,"Doublon possible (meme date, type, lot et quantite).",IF($J146="LOT NON REFERENCE","Creer d'abord la fiche du lot dans l'onglet LOTS.",""))))))</f>
        <v/>
      </c>
    </row>
    <row r="147" customFormat="false" ht="15" hidden="false" customHeight="false" outlineLevel="0" collapsed="false">
      <c r="A147" s="26" t="str">
        <f aca="false">IF($C147="","","OP-"&amp;TEXT(ROW()-4,"000"))</f>
        <v/>
      </c>
      <c r="B147" s="25"/>
      <c r="C147" s="24"/>
      <c r="D147" s="24"/>
      <c r="E147" s="24"/>
      <c r="F147" s="24"/>
      <c r="G147" s="29"/>
      <c r="H147" s="24"/>
      <c r="I147" s="24"/>
      <c r="J147" s="26" t="str">
        <f aca="false">IF($D147="","",IFERROR(INDEX(LOT_PRODE,MATCH($D147,LOT_KEY,0)),"LOT NON REFERENCE"))</f>
        <v/>
      </c>
      <c r="K147" s="26" t="str">
        <f aca="false">IF($D147="","",IFERROR(INDEX(LOT_FOURNE,MATCH($D147,LOT_KEY,0)),""))</f>
        <v/>
      </c>
      <c r="L147" s="26" t="str">
        <f aca="false">IF($E147="","",IFERROR(INDEX(EMPL_CLASSE,MATCH($E147,EMPL_KEY,0)),"?"))</f>
        <v/>
      </c>
      <c r="M147" s="26" t="str">
        <f aca="false">IF($F147="","",IFERROR(INDEX(EMPL_CLASSE,MATCH($F147,EMPL_KEY,0)),"?"))</f>
        <v/>
      </c>
      <c r="N147" s="28" t="n">
        <f aca="false">IF($C147="",0,IF(OR($B147="",$D147="",NOT(ISNUMBER($G147)),$G147&lt;=0),0,IF($C147="RECEPTION",IF($F147="",0,1),IF($C147="CONSOMMATION",IF($E147="",0,1),IF(OR($E147="",$F147="",$E147=$F147),0,1)))))</f>
        <v>0</v>
      </c>
      <c r="O147" s="27" t="str">
        <f aca="false">IF(OR($N147=0,$C147="RECEPTION"),"",SUMIFS(MVT_BRUT,MVT_LOT,$D147,MVT_EMPL,$E147)+$G147)</f>
        <v/>
      </c>
      <c r="P147" s="26" t="str">
        <f aca="false">IF($C147="","",IF($N147=0,"DONNEES MANQUANTES",IF($C147="RECEPTION","OK",IF($O147&lt;=0,"EMPLACEMENT INCOHERENT",IF($G147&gt;$O147+0.001,"STOCK INSUFFISANT","OK")))))</f>
        <v/>
      </c>
      <c r="Q147" s="28" t="n">
        <f aca="false">IF($P147="OK",1,0)</f>
        <v>0</v>
      </c>
      <c r="R147" s="26" t="str">
        <f aca="false">IF($C147="","",IF($N147=0,"A COMPLETER : "&amp;IF($B147="","DATE; ","")&amp;IF($D147="","LOT; ","")&amp;IF(OR(NOT(ISNUMBER($G147)),$G147&lt;=0),"QUANTITE &gt; 0; ","")&amp;IF(AND($C147&lt;&gt;"RECEPTION",$E147=""),"EMPL. SOURCE; ","")&amp;IF(AND($C147&lt;&gt;"CONSOMMATION",$F147=""),"EMPL. DESTINATION; ","")&amp;IF(AND($C147="TRANSFERT",$E147&lt;&gt;"",$E147=$F147),"SOURCE = DESTINATION; ",""),IF($P147="EMPLACEMENT INCOHERENT","Le lot "&amp;$D147&amp;" n'existe pas sur "&amp;$E147&amp;" (stock 0). Verifier l'emplacement source.",IF($P147="STOCK INSUFFISANT","Disponible avant operation : "&amp;TEXT($O147,"#,##0.00")&amp;" kg. Ligne NON comptee en stock.",IF(COUNTIFS($B$5:$B$304,$B147,$C$5:$C$304,$C147,$D$5:$D$304,$D147,$G$5:$G$304,$G147)&gt;1,"Doublon possible (meme date, type, lot et quantite).",IF($J147="LOT NON REFERENCE","Creer d'abord la fiche du lot dans l'onglet LOTS.",""))))))</f>
        <v/>
      </c>
    </row>
    <row r="148" customFormat="false" ht="15" hidden="false" customHeight="false" outlineLevel="0" collapsed="false">
      <c r="A148" s="26" t="str">
        <f aca="false">IF($C148="","","OP-"&amp;TEXT(ROW()-4,"000"))</f>
        <v/>
      </c>
      <c r="B148" s="25"/>
      <c r="C148" s="24"/>
      <c r="D148" s="24"/>
      <c r="E148" s="24"/>
      <c r="F148" s="24"/>
      <c r="G148" s="29"/>
      <c r="H148" s="24"/>
      <c r="I148" s="24"/>
      <c r="J148" s="26" t="str">
        <f aca="false">IF($D148="","",IFERROR(INDEX(LOT_PRODE,MATCH($D148,LOT_KEY,0)),"LOT NON REFERENCE"))</f>
        <v/>
      </c>
      <c r="K148" s="26" t="str">
        <f aca="false">IF($D148="","",IFERROR(INDEX(LOT_FOURNE,MATCH($D148,LOT_KEY,0)),""))</f>
        <v/>
      </c>
      <c r="L148" s="26" t="str">
        <f aca="false">IF($E148="","",IFERROR(INDEX(EMPL_CLASSE,MATCH($E148,EMPL_KEY,0)),"?"))</f>
        <v/>
      </c>
      <c r="M148" s="26" t="str">
        <f aca="false">IF($F148="","",IFERROR(INDEX(EMPL_CLASSE,MATCH($F148,EMPL_KEY,0)),"?"))</f>
        <v/>
      </c>
      <c r="N148" s="28" t="n">
        <f aca="false">IF($C148="",0,IF(OR($B148="",$D148="",NOT(ISNUMBER($G148)),$G148&lt;=0),0,IF($C148="RECEPTION",IF($F148="",0,1),IF($C148="CONSOMMATION",IF($E148="",0,1),IF(OR($E148="",$F148="",$E148=$F148),0,1)))))</f>
        <v>0</v>
      </c>
      <c r="O148" s="27" t="str">
        <f aca="false">IF(OR($N148=0,$C148="RECEPTION"),"",SUMIFS(MVT_BRUT,MVT_LOT,$D148,MVT_EMPL,$E148)+$G148)</f>
        <v/>
      </c>
      <c r="P148" s="26" t="str">
        <f aca="false">IF($C148="","",IF($N148=0,"DONNEES MANQUANTES",IF($C148="RECEPTION","OK",IF($O148&lt;=0,"EMPLACEMENT INCOHERENT",IF($G148&gt;$O148+0.001,"STOCK INSUFFISANT","OK")))))</f>
        <v/>
      </c>
      <c r="Q148" s="28" t="n">
        <f aca="false">IF($P148="OK",1,0)</f>
        <v>0</v>
      </c>
      <c r="R148" s="26" t="str">
        <f aca="false">IF($C148="","",IF($N148=0,"A COMPLETER : "&amp;IF($B148="","DATE; ","")&amp;IF($D148="","LOT; ","")&amp;IF(OR(NOT(ISNUMBER($G148)),$G148&lt;=0),"QUANTITE &gt; 0; ","")&amp;IF(AND($C148&lt;&gt;"RECEPTION",$E148=""),"EMPL. SOURCE; ","")&amp;IF(AND($C148&lt;&gt;"CONSOMMATION",$F148=""),"EMPL. DESTINATION; ","")&amp;IF(AND($C148="TRANSFERT",$E148&lt;&gt;"",$E148=$F148),"SOURCE = DESTINATION; ",""),IF($P148="EMPLACEMENT INCOHERENT","Le lot "&amp;$D148&amp;" n'existe pas sur "&amp;$E148&amp;" (stock 0). Verifier l'emplacement source.",IF($P148="STOCK INSUFFISANT","Disponible avant operation : "&amp;TEXT($O148,"#,##0.00")&amp;" kg. Ligne NON comptee en stock.",IF(COUNTIFS($B$5:$B$304,$B148,$C$5:$C$304,$C148,$D$5:$D$304,$D148,$G$5:$G$304,$G148)&gt;1,"Doublon possible (meme date, type, lot et quantite).",IF($J148="LOT NON REFERENCE","Creer d'abord la fiche du lot dans l'onglet LOTS.",""))))))</f>
        <v/>
      </c>
    </row>
    <row r="149" customFormat="false" ht="15" hidden="false" customHeight="false" outlineLevel="0" collapsed="false">
      <c r="A149" s="26" t="str">
        <f aca="false">IF($C149="","","OP-"&amp;TEXT(ROW()-4,"000"))</f>
        <v/>
      </c>
      <c r="B149" s="25"/>
      <c r="C149" s="24"/>
      <c r="D149" s="24"/>
      <c r="E149" s="24"/>
      <c r="F149" s="24"/>
      <c r="G149" s="29"/>
      <c r="H149" s="24"/>
      <c r="I149" s="24"/>
      <c r="J149" s="26" t="str">
        <f aca="false">IF($D149="","",IFERROR(INDEX(LOT_PRODE,MATCH($D149,LOT_KEY,0)),"LOT NON REFERENCE"))</f>
        <v/>
      </c>
      <c r="K149" s="26" t="str">
        <f aca="false">IF($D149="","",IFERROR(INDEX(LOT_FOURNE,MATCH($D149,LOT_KEY,0)),""))</f>
        <v/>
      </c>
      <c r="L149" s="26" t="str">
        <f aca="false">IF($E149="","",IFERROR(INDEX(EMPL_CLASSE,MATCH($E149,EMPL_KEY,0)),"?"))</f>
        <v/>
      </c>
      <c r="M149" s="26" t="str">
        <f aca="false">IF($F149="","",IFERROR(INDEX(EMPL_CLASSE,MATCH($F149,EMPL_KEY,0)),"?"))</f>
        <v/>
      </c>
      <c r="N149" s="28" t="n">
        <f aca="false">IF($C149="",0,IF(OR($B149="",$D149="",NOT(ISNUMBER($G149)),$G149&lt;=0),0,IF($C149="RECEPTION",IF($F149="",0,1),IF($C149="CONSOMMATION",IF($E149="",0,1),IF(OR($E149="",$F149="",$E149=$F149),0,1)))))</f>
        <v>0</v>
      </c>
      <c r="O149" s="27" t="str">
        <f aca="false">IF(OR($N149=0,$C149="RECEPTION"),"",SUMIFS(MVT_BRUT,MVT_LOT,$D149,MVT_EMPL,$E149)+$G149)</f>
        <v/>
      </c>
      <c r="P149" s="26" t="str">
        <f aca="false">IF($C149="","",IF($N149=0,"DONNEES MANQUANTES",IF($C149="RECEPTION","OK",IF($O149&lt;=0,"EMPLACEMENT INCOHERENT",IF($G149&gt;$O149+0.001,"STOCK INSUFFISANT","OK")))))</f>
        <v/>
      </c>
      <c r="Q149" s="28" t="n">
        <f aca="false">IF($P149="OK",1,0)</f>
        <v>0</v>
      </c>
      <c r="R149" s="26" t="str">
        <f aca="false">IF($C149="","",IF($N149=0,"A COMPLETER : "&amp;IF($B149="","DATE; ","")&amp;IF($D149="","LOT; ","")&amp;IF(OR(NOT(ISNUMBER($G149)),$G149&lt;=0),"QUANTITE &gt; 0; ","")&amp;IF(AND($C149&lt;&gt;"RECEPTION",$E149=""),"EMPL. SOURCE; ","")&amp;IF(AND($C149&lt;&gt;"CONSOMMATION",$F149=""),"EMPL. DESTINATION; ","")&amp;IF(AND($C149="TRANSFERT",$E149&lt;&gt;"",$E149=$F149),"SOURCE = DESTINATION; ",""),IF($P149="EMPLACEMENT INCOHERENT","Le lot "&amp;$D149&amp;" n'existe pas sur "&amp;$E149&amp;" (stock 0). Verifier l'emplacement source.",IF($P149="STOCK INSUFFISANT","Disponible avant operation : "&amp;TEXT($O149,"#,##0.00")&amp;" kg. Ligne NON comptee en stock.",IF(COUNTIFS($B$5:$B$304,$B149,$C$5:$C$304,$C149,$D$5:$D$304,$D149,$G$5:$G$304,$G149)&gt;1,"Doublon possible (meme date, type, lot et quantite).",IF($J149="LOT NON REFERENCE","Creer d'abord la fiche du lot dans l'onglet LOTS.",""))))))</f>
        <v/>
      </c>
    </row>
    <row r="150" customFormat="false" ht="15" hidden="false" customHeight="false" outlineLevel="0" collapsed="false">
      <c r="A150" s="26" t="str">
        <f aca="false">IF($C150="","","OP-"&amp;TEXT(ROW()-4,"000"))</f>
        <v/>
      </c>
      <c r="B150" s="25"/>
      <c r="C150" s="24"/>
      <c r="D150" s="24"/>
      <c r="E150" s="24"/>
      <c r="F150" s="24"/>
      <c r="G150" s="29"/>
      <c r="H150" s="24"/>
      <c r="I150" s="24"/>
      <c r="J150" s="26" t="str">
        <f aca="false">IF($D150="","",IFERROR(INDEX(LOT_PRODE,MATCH($D150,LOT_KEY,0)),"LOT NON REFERENCE"))</f>
        <v/>
      </c>
      <c r="K150" s="26" t="str">
        <f aca="false">IF($D150="","",IFERROR(INDEX(LOT_FOURNE,MATCH($D150,LOT_KEY,0)),""))</f>
        <v/>
      </c>
      <c r="L150" s="26" t="str">
        <f aca="false">IF($E150="","",IFERROR(INDEX(EMPL_CLASSE,MATCH($E150,EMPL_KEY,0)),"?"))</f>
        <v/>
      </c>
      <c r="M150" s="26" t="str">
        <f aca="false">IF($F150="","",IFERROR(INDEX(EMPL_CLASSE,MATCH($F150,EMPL_KEY,0)),"?"))</f>
        <v/>
      </c>
      <c r="N150" s="28" t="n">
        <f aca="false">IF($C150="",0,IF(OR($B150="",$D150="",NOT(ISNUMBER($G150)),$G150&lt;=0),0,IF($C150="RECEPTION",IF($F150="",0,1),IF($C150="CONSOMMATION",IF($E150="",0,1),IF(OR($E150="",$F150="",$E150=$F150),0,1)))))</f>
        <v>0</v>
      </c>
      <c r="O150" s="27" t="str">
        <f aca="false">IF(OR($N150=0,$C150="RECEPTION"),"",SUMIFS(MVT_BRUT,MVT_LOT,$D150,MVT_EMPL,$E150)+$G150)</f>
        <v/>
      </c>
      <c r="P150" s="26" t="str">
        <f aca="false">IF($C150="","",IF($N150=0,"DONNEES MANQUANTES",IF($C150="RECEPTION","OK",IF($O150&lt;=0,"EMPLACEMENT INCOHERENT",IF($G150&gt;$O150+0.001,"STOCK INSUFFISANT","OK")))))</f>
        <v/>
      </c>
      <c r="Q150" s="28" t="n">
        <f aca="false">IF($P150="OK",1,0)</f>
        <v>0</v>
      </c>
      <c r="R150" s="26" t="str">
        <f aca="false">IF($C150="","",IF($N150=0,"A COMPLETER : "&amp;IF($B150="","DATE; ","")&amp;IF($D150="","LOT; ","")&amp;IF(OR(NOT(ISNUMBER($G150)),$G150&lt;=0),"QUANTITE &gt; 0; ","")&amp;IF(AND($C150&lt;&gt;"RECEPTION",$E150=""),"EMPL. SOURCE; ","")&amp;IF(AND($C150&lt;&gt;"CONSOMMATION",$F150=""),"EMPL. DESTINATION; ","")&amp;IF(AND($C150="TRANSFERT",$E150&lt;&gt;"",$E150=$F150),"SOURCE = DESTINATION; ",""),IF($P150="EMPLACEMENT INCOHERENT","Le lot "&amp;$D150&amp;" n'existe pas sur "&amp;$E150&amp;" (stock 0). Verifier l'emplacement source.",IF($P150="STOCK INSUFFISANT","Disponible avant operation : "&amp;TEXT($O150,"#,##0.00")&amp;" kg. Ligne NON comptee en stock.",IF(COUNTIFS($B$5:$B$304,$B150,$C$5:$C$304,$C150,$D$5:$D$304,$D150,$G$5:$G$304,$G150)&gt;1,"Doublon possible (meme date, type, lot et quantite).",IF($J150="LOT NON REFERENCE","Creer d'abord la fiche du lot dans l'onglet LOTS.",""))))))</f>
        <v/>
      </c>
    </row>
    <row r="151" customFormat="false" ht="15" hidden="false" customHeight="false" outlineLevel="0" collapsed="false">
      <c r="A151" s="26" t="str">
        <f aca="false">IF($C151="","","OP-"&amp;TEXT(ROW()-4,"000"))</f>
        <v/>
      </c>
      <c r="B151" s="25"/>
      <c r="C151" s="24"/>
      <c r="D151" s="24"/>
      <c r="E151" s="24"/>
      <c r="F151" s="24"/>
      <c r="G151" s="29"/>
      <c r="H151" s="24"/>
      <c r="I151" s="24"/>
      <c r="J151" s="26" t="str">
        <f aca="false">IF($D151="","",IFERROR(INDEX(LOT_PRODE,MATCH($D151,LOT_KEY,0)),"LOT NON REFERENCE"))</f>
        <v/>
      </c>
      <c r="K151" s="26" t="str">
        <f aca="false">IF($D151="","",IFERROR(INDEX(LOT_FOURNE,MATCH($D151,LOT_KEY,0)),""))</f>
        <v/>
      </c>
      <c r="L151" s="26" t="str">
        <f aca="false">IF($E151="","",IFERROR(INDEX(EMPL_CLASSE,MATCH($E151,EMPL_KEY,0)),"?"))</f>
        <v/>
      </c>
      <c r="M151" s="26" t="str">
        <f aca="false">IF($F151="","",IFERROR(INDEX(EMPL_CLASSE,MATCH($F151,EMPL_KEY,0)),"?"))</f>
        <v/>
      </c>
      <c r="N151" s="28" t="n">
        <f aca="false">IF($C151="",0,IF(OR($B151="",$D151="",NOT(ISNUMBER($G151)),$G151&lt;=0),0,IF($C151="RECEPTION",IF($F151="",0,1),IF($C151="CONSOMMATION",IF($E151="",0,1),IF(OR($E151="",$F151="",$E151=$F151),0,1)))))</f>
        <v>0</v>
      </c>
      <c r="O151" s="27" t="str">
        <f aca="false">IF(OR($N151=0,$C151="RECEPTION"),"",SUMIFS(MVT_BRUT,MVT_LOT,$D151,MVT_EMPL,$E151)+$G151)</f>
        <v/>
      </c>
      <c r="P151" s="26" t="str">
        <f aca="false">IF($C151="","",IF($N151=0,"DONNEES MANQUANTES",IF($C151="RECEPTION","OK",IF($O151&lt;=0,"EMPLACEMENT INCOHERENT",IF($G151&gt;$O151+0.001,"STOCK INSUFFISANT","OK")))))</f>
        <v/>
      </c>
      <c r="Q151" s="28" t="n">
        <f aca="false">IF($P151="OK",1,0)</f>
        <v>0</v>
      </c>
      <c r="R151" s="26" t="str">
        <f aca="false">IF($C151="","",IF($N151=0,"A COMPLETER : "&amp;IF($B151="","DATE; ","")&amp;IF($D151="","LOT; ","")&amp;IF(OR(NOT(ISNUMBER($G151)),$G151&lt;=0),"QUANTITE &gt; 0; ","")&amp;IF(AND($C151&lt;&gt;"RECEPTION",$E151=""),"EMPL. SOURCE; ","")&amp;IF(AND($C151&lt;&gt;"CONSOMMATION",$F151=""),"EMPL. DESTINATION; ","")&amp;IF(AND($C151="TRANSFERT",$E151&lt;&gt;"",$E151=$F151),"SOURCE = DESTINATION; ",""),IF($P151="EMPLACEMENT INCOHERENT","Le lot "&amp;$D151&amp;" n'existe pas sur "&amp;$E151&amp;" (stock 0). Verifier l'emplacement source.",IF($P151="STOCK INSUFFISANT","Disponible avant operation : "&amp;TEXT($O151,"#,##0.00")&amp;" kg. Ligne NON comptee en stock.",IF(COUNTIFS($B$5:$B$304,$B151,$C$5:$C$304,$C151,$D$5:$D$304,$D151,$G$5:$G$304,$G151)&gt;1,"Doublon possible (meme date, type, lot et quantite).",IF($J151="LOT NON REFERENCE","Creer d'abord la fiche du lot dans l'onglet LOTS.",""))))))</f>
        <v/>
      </c>
    </row>
    <row r="152" customFormat="false" ht="15" hidden="false" customHeight="false" outlineLevel="0" collapsed="false">
      <c r="A152" s="26" t="str">
        <f aca="false">IF($C152="","","OP-"&amp;TEXT(ROW()-4,"000"))</f>
        <v/>
      </c>
      <c r="B152" s="25"/>
      <c r="C152" s="24"/>
      <c r="D152" s="24"/>
      <c r="E152" s="24"/>
      <c r="F152" s="24"/>
      <c r="G152" s="29"/>
      <c r="H152" s="24"/>
      <c r="I152" s="24"/>
      <c r="J152" s="26" t="str">
        <f aca="false">IF($D152="","",IFERROR(INDEX(LOT_PRODE,MATCH($D152,LOT_KEY,0)),"LOT NON REFERENCE"))</f>
        <v/>
      </c>
      <c r="K152" s="26" t="str">
        <f aca="false">IF($D152="","",IFERROR(INDEX(LOT_FOURNE,MATCH($D152,LOT_KEY,0)),""))</f>
        <v/>
      </c>
      <c r="L152" s="26" t="str">
        <f aca="false">IF($E152="","",IFERROR(INDEX(EMPL_CLASSE,MATCH($E152,EMPL_KEY,0)),"?"))</f>
        <v/>
      </c>
      <c r="M152" s="26" t="str">
        <f aca="false">IF($F152="","",IFERROR(INDEX(EMPL_CLASSE,MATCH($F152,EMPL_KEY,0)),"?"))</f>
        <v/>
      </c>
      <c r="N152" s="28" t="n">
        <f aca="false">IF($C152="",0,IF(OR($B152="",$D152="",NOT(ISNUMBER($G152)),$G152&lt;=0),0,IF($C152="RECEPTION",IF($F152="",0,1),IF($C152="CONSOMMATION",IF($E152="",0,1),IF(OR($E152="",$F152="",$E152=$F152),0,1)))))</f>
        <v>0</v>
      </c>
      <c r="O152" s="27" t="str">
        <f aca="false">IF(OR($N152=0,$C152="RECEPTION"),"",SUMIFS(MVT_BRUT,MVT_LOT,$D152,MVT_EMPL,$E152)+$G152)</f>
        <v/>
      </c>
      <c r="P152" s="26" t="str">
        <f aca="false">IF($C152="","",IF($N152=0,"DONNEES MANQUANTES",IF($C152="RECEPTION","OK",IF($O152&lt;=0,"EMPLACEMENT INCOHERENT",IF($G152&gt;$O152+0.001,"STOCK INSUFFISANT","OK")))))</f>
        <v/>
      </c>
      <c r="Q152" s="28" t="n">
        <f aca="false">IF($P152="OK",1,0)</f>
        <v>0</v>
      </c>
      <c r="R152" s="26" t="str">
        <f aca="false">IF($C152="","",IF($N152=0,"A COMPLETER : "&amp;IF($B152="","DATE; ","")&amp;IF($D152="","LOT; ","")&amp;IF(OR(NOT(ISNUMBER($G152)),$G152&lt;=0),"QUANTITE &gt; 0; ","")&amp;IF(AND($C152&lt;&gt;"RECEPTION",$E152=""),"EMPL. SOURCE; ","")&amp;IF(AND($C152&lt;&gt;"CONSOMMATION",$F152=""),"EMPL. DESTINATION; ","")&amp;IF(AND($C152="TRANSFERT",$E152&lt;&gt;"",$E152=$F152),"SOURCE = DESTINATION; ",""),IF($P152="EMPLACEMENT INCOHERENT","Le lot "&amp;$D152&amp;" n'existe pas sur "&amp;$E152&amp;" (stock 0). Verifier l'emplacement source.",IF($P152="STOCK INSUFFISANT","Disponible avant operation : "&amp;TEXT($O152,"#,##0.00")&amp;" kg. Ligne NON comptee en stock.",IF(COUNTIFS($B$5:$B$304,$B152,$C$5:$C$304,$C152,$D$5:$D$304,$D152,$G$5:$G$304,$G152)&gt;1,"Doublon possible (meme date, type, lot et quantite).",IF($J152="LOT NON REFERENCE","Creer d'abord la fiche du lot dans l'onglet LOTS.",""))))))</f>
        <v/>
      </c>
    </row>
    <row r="153" customFormat="false" ht="15" hidden="false" customHeight="false" outlineLevel="0" collapsed="false">
      <c r="A153" s="26" t="str">
        <f aca="false">IF($C153="","","OP-"&amp;TEXT(ROW()-4,"000"))</f>
        <v/>
      </c>
      <c r="B153" s="25"/>
      <c r="C153" s="24"/>
      <c r="D153" s="24"/>
      <c r="E153" s="24"/>
      <c r="F153" s="24"/>
      <c r="G153" s="29"/>
      <c r="H153" s="24"/>
      <c r="I153" s="24"/>
      <c r="J153" s="26" t="str">
        <f aca="false">IF($D153="","",IFERROR(INDEX(LOT_PRODE,MATCH($D153,LOT_KEY,0)),"LOT NON REFERENCE"))</f>
        <v/>
      </c>
      <c r="K153" s="26" t="str">
        <f aca="false">IF($D153="","",IFERROR(INDEX(LOT_FOURNE,MATCH($D153,LOT_KEY,0)),""))</f>
        <v/>
      </c>
      <c r="L153" s="26" t="str">
        <f aca="false">IF($E153="","",IFERROR(INDEX(EMPL_CLASSE,MATCH($E153,EMPL_KEY,0)),"?"))</f>
        <v/>
      </c>
      <c r="M153" s="26" t="str">
        <f aca="false">IF($F153="","",IFERROR(INDEX(EMPL_CLASSE,MATCH($F153,EMPL_KEY,0)),"?"))</f>
        <v/>
      </c>
      <c r="N153" s="28" t="n">
        <f aca="false">IF($C153="",0,IF(OR($B153="",$D153="",NOT(ISNUMBER($G153)),$G153&lt;=0),0,IF($C153="RECEPTION",IF($F153="",0,1),IF($C153="CONSOMMATION",IF($E153="",0,1),IF(OR($E153="",$F153="",$E153=$F153),0,1)))))</f>
        <v>0</v>
      </c>
      <c r="O153" s="27" t="str">
        <f aca="false">IF(OR($N153=0,$C153="RECEPTION"),"",SUMIFS(MVT_BRUT,MVT_LOT,$D153,MVT_EMPL,$E153)+$G153)</f>
        <v/>
      </c>
      <c r="P153" s="26" t="str">
        <f aca="false">IF($C153="","",IF($N153=0,"DONNEES MANQUANTES",IF($C153="RECEPTION","OK",IF($O153&lt;=0,"EMPLACEMENT INCOHERENT",IF($G153&gt;$O153+0.001,"STOCK INSUFFISANT","OK")))))</f>
        <v/>
      </c>
      <c r="Q153" s="28" t="n">
        <f aca="false">IF($P153="OK",1,0)</f>
        <v>0</v>
      </c>
      <c r="R153" s="26" t="str">
        <f aca="false">IF($C153="","",IF($N153=0,"A COMPLETER : "&amp;IF($B153="","DATE; ","")&amp;IF($D153="","LOT; ","")&amp;IF(OR(NOT(ISNUMBER($G153)),$G153&lt;=0),"QUANTITE &gt; 0; ","")&amp;IF(AND($C153&lt;&gt;"RECEPTION",$E153=""),"EMPL. SOURCE; ","")&amp;IF(AND($C153&lt;&gt;"CONSOMMATION",$F153=""),"EMPL. DESTINATION; ","")&amp;IF(AND($C153="TRANSFERT",$E153&lt;&gt;"",$E153=$F153),"SOURCE = DESTINATION; ",""),IF($P153="EMPLACEMENT INCOHERENT","Le lot "&amp;$D153&amp;" n'existe pas sur "&amp;$E153&amp;" (stock 0). Verifier l'emplacement source.",IF($P153="STOCK INSUFFISANT","Disponible avant operation : "&amp;TEXT($O153,"#,##0.00")&amp;" kg. Ligne NON comptee en stock.",IF(COUNTIFS($B$5:$B$304,$B153,$C$5:$C$304,$C153,$D$5:$D$304,$D153,$G$5:$G$304,$G153)&gt;1,"Doublon possible (meme date, type, lot et quantite).",IF($J153="LOT NON REFERENCE","Creer d'abord la fiche du lot dans l'onglet LOTS.",""))))))</f>
        <v/>
      </c>
    </row>
    <row r="154" customFormat="false" ht="15" hidden="false" customHeight="false" outlineLevel="0" collapsed="false">
      <c r="A154" s="26" t="str">
        <f aca="false">IF($C154="","","OP-"&amp;TEXT(ROW()-4,"000"))</f>
        <v/>
      </c>
      <c r="B154" s="25"/>
      <c r="C154" s="24"/>
      <c r="D154" s="24"/>
      <c r="E154" s="24"/>
      <c r="F154" s="24"/>
      <c r="G154" s="29"/>
      <c r="H154" s="24"/>
      <c r="I154" s="24"/>
      <c r="J154" s="26" t="str">
        <f aca="false">IF($D154="","",IFERROR(INDEX(LOT_PRODE,MATCH($D154,LOT_KEY,0)),"LOT NON REFERENCE"))</f>
        <v/>
      </c>
      <c r="K154" s="26" t="str">
        <f aca="false">IF($D154="","",IFERROR(INDEX(LOT_FOURNE,MATCH($D154,LOT_KEY,0)),""))</f>
        <v/>
      </c>
      <c r="L154" s="26" t="str">
        <f aca="false">IF($E154="","",IFERROR(INDEX(EMPL_CLASSE,MATCH($E154,EMPL_KEY,0)),"?"))</f>
        <v/>
      </c>
      <c r="M154" s="26" t="str">
        <f aca="false">IF($F154="","",IFERROR(INDEX(EMPL_CLASSE,MATCH($F154,EMPL_KEY,0)),"?"))</f>
        <v/>
      </c>
      <c r="N154" s="28" t="n">
        <f aca="false">IF($C154="",0,IF(OR($B154="",$D154="",NOT(ISNUMBER($G154)),$G154&lt;=0),0,IF($C154="RECEPTION",IF($F154="",0,1),IF($C154="CONSOMMATION",IF($E154="",0,1),IF(OR($E154="",$F154="",$E154=$F154),0,1)))))</f>
        <v>0</v>
      </c>
      <c r="O154" s="27" t="str">
        <f aca="false">IF(OR($N154=0,$C154="RECEPTION"),"",SUMIFS(MVT_BRUT,MVT_LOT,$D154,MVT_EMPL,$E154)+$G154)</f>
        <v/>
      </c>
      <c r="P154" s="26" t="str">
        <f aca="false">IF($C154="","",IF($N154=0,"DONNEES MANQUANTES",IF($C154="RECEPTION","OK",IF($O154&lt;=0,"EMPLACEMENT INCOHERENT",IF($G154&gt;$O154+0.001,"STOCK INSUFFISANT","OK")))))</f>
        <v/>
      </c>
      <c r="Q154" s="28" t="n">
        <f aca="false">IF($P154="OK",1,0)</f>
        <v>0</v>
      </c>
      <c r="R154" s="26" t="str">
        <f aca="false">IF($C154="","",IF($N154=0,"A COMPLETER : "&amp;IF($B154="","DATE; ","")&amp;IF($D154="","LOT; ","")&amp;IF(OR(NOT(ISNUMBER($G154)),$G154&lt;=0),"QUANTITE &gt; 0; ","")&amp;IF(AND($C154&lt;&gt;"RECEPTION",$E154=""),"EMPL. SOURCE; ","")&amp;IF(AND($C154&lt;&gt;"CONSOMMATION",$F154=""),"EMPL. DESTINATION; ","")&amp;IF(AND($C154="TRANSFERT",$E154&lt;&gt;"",$E154=$F154),"SOURCE = DESTINATION; ",""),IF($P154="EMPLACEMENT INCOHERENT","Le lot "&amp;$D154&amp;" n'existe pas sur "&amp;$E154&amp;" (stock 0). Verifier l'emplacement source.",IF($P154="STOCK INSUFFISANT","Disponible avant operation : "&amp;TEXT($O154,"#,##0.00")&amp;" kg. Ligne NON comptee en stock.",IF(COUNTIFS($B$5:$B$304,$B154,$C$5:$C$304,$C154,$D$5:$D$304,$D154,$G$5:$G$304,$G154)&gt;1,"Doublon possible (meme date, type, lot et quantite).",IF($J154="LOT NON REFERENCE","Creer d'abord la fiche du lot dans l'onglet LOTS.",""))))))</f>
        <v/>
      </c>
    </row>
    <row r="155" customFormat="false" ht="15" hidden="false" customHeight="false" outlineLevel="0" collapsed="false">
      <c r="A155" s="26" t="str">
        <f aca="false">IF($C155="","","OP-"&amp;TEXT(ROW()-4,"000"))</f>
        <v/>
      </c>
      <c r="B155" s="25"/>
      <c r="C155" s="24"/>
      <c r="D155" s="24"/>
      <c r="E155" s="24"/>
      <c r="F155" s="24"/>
      <c r="G155" s="29"/>
      <c r="H155" s="24"/>
      <c r="I155" s="24"/>
      <c r="J155" s="26" t="str">
        <f aca="false">IF($D155="","",IFERROR(INDEX(LOT_PRODE,MATCH($D155,LOT_KEY,0)),"LOT NON REFERENCE"))</f>
        <v/>
      </c>
      <c r="K155" s="26" t="str">
        <f aca="false">IF($D155="","",IFERROR(INDEX(LOT_FOURNE,MATCH($D155,LOT_KEY,0)),""))</f>
        <v/>
      </c>
      <c r="L155" s="26" t="str">
        <f aca="false">IF($E155="","",IFERROR(INDEX(EMPL_CLASSE,MATCH($E155,EMPL_KEY,0)),"?"))</f>
        <v/>
      </c>
      <c r="M155" s="26" t="str">
        <f aca="false">IF($F155="","",IFERROR(INDEX(EMPL_CLASSE,MATCH($F155,EMPL_KEY,0)),"?"))</f>
        <v/>
      </c>
      <c r="N155" s="28" t="n">
        <f aca="false">IF($C155="",0,IF(OR($B155="",$D155="",NOT(ISNUMBER($G155)),$G155&lt;=0),0,IF($C155="RECEPTION",IF($F155="",0,1),IF($C155="CONSOMMATION",IF($E155="",0,1),IF(OR($E155="",$F155="",$E155=$F155),0,1)))))</f>
        <v>0</v>
      </c>
      <c r="O155" s="27" t="str">
        <f aca="false">IF(OR($N155=0,$C155="RECEPTION"),"",SUMIFS(MVT_BRUT,MVT_LOT,$D155,MVT_EMPL,$E155)+$G155)</f>
        <v/>
      </c>
      <c r="P155" s="26" t="str">
        <f aca="false">IF($C155="","",IF($N155=0,"DONNEES MANQUANTES",IF($C155="RECEPTION","OK",IF($O155&lt;=0,"EMPLACEMENT INCOHERENT",IF($G155&gt;$O155+0.001,"STOCK INSUFFISANT","OK")))))</f>
        <v/>
      </c>
      <c r="Q155" s="28" t="n">
        <f aca="false">IF($P155="OK",1,0)</f>
        <v>0</v>
      </c>
      <c r="R155" s="26" t="str">
        <f aca="false">IF($C155="","",IF($N155=0,"A COMPLETER : "&amp;IF($B155="","DATE; ","")&amp;IF($D155="","LOT; ","")&amp;IF(OR(NOT(ISNUMBER($G155)),$G155&lt;=0),"QUANTITE &gt; 0; ","")&amp;IF(AND($C155&lt;&gt;"RECEPTION",$E155=""),"EMPL. SOURCE; ","")&amp;IF(AND($C155&lt;&gt;"CONSOMMATION",$F155=""),"EMPL. DESTINATION; ","")&amp;IF(AND($C155="TRANSFERT",$E155&lt;&gt;"",$E155=$F155),"SOURCE = DESTINATION; ",""),IF($P155="EMPLACEMENT INCOHERENT","Le lot "&amp;$D155&amp;" n'existe pas sur "&amp;$E155&amp;" (stock 0). Verifier l'emplacement source.",IF($P155="STOCK INSUFFISANT","Disponible avant operation : "&amp;TEXT($O155,"#,##0.00")&amp;" kg. Ligne NON comptee en stock.",IF(COUNTIFS($B$5:$B$304,$B155,$C$5:$C$304,$C155,$D$5:$D$304,$D155,$G$5:$G$304,$G155)&gt;1,"Doublon possible (meme date, type, lot et quantite).",IF($J155="LOT NON REFERENCE","Creer d'abord la fiche du lot dans l'onglet LOTS.",""))))))</f>
        <v/>
      </c>
    </row>
    <row r="156" customFormat="false" ht="15" hidden="false" customHeight="false" outlineLevel="0" collapsed="false">
      <c r="A156" s="26" t="str">
        <f aca="false">IF($C156="","","OP-"&amp;TEXT(ROW()-4,"000"))</f>
        <v/>
      </c>
      <c r="B156" s="25"/>
      <c r="C156" s="24"/>
      <c r="D156" s="24"/>
      <c r="E156" s="24"/>
      <c r="F156" s="24"/>
      <c r="G156" s="29"/>
      <c r="H156" s="24"/>
      <c r="I156" s="24"/>
      <c r="J156" s="26" t="str">
        <f aca="false">IF($D156="","",IFERROR(INDEX(LOT_PRODE,MATCH($D156,LOT_KEY,0)),"LOT NON REFERENCE"))</f>
        <v/>
      </c>
      <c r="K156" s="26" t="str">
        <f aca="false">IF($D156="","",IFERROR(INDEX(LOT_FOURNE,MATCH($D156,LOT_KEY,0)),""))</f>
        <v/>
      </c>
      <c r="L156" s="26" t="str">
        <f aca="false">IF($E156="","",IFERROR(INDEX(EMPL_CLASSE,MATCH($E156,EMPL_KEY,0)),"?"))</f>
        <v/>
      </c>
      <c r="M156" s="26" t="str">
        <f aca="false">IF($F156="","",IFERROR(INDEX(EMPL_CLASSE,MATCH($F156,EMPL_KEY,0)),"?"))</f>
        <v/>
      </c>
      <c r="N156" s="28" t="n">
        <f aca="false">IF($C156="",0,IF(OR($B156="",$D156="",NOT(ISNUMBER($G156)),$G156&lt;=0),0,IF($C156="RECEPTION",IF($F156="",0,1),IF($C156="CONSOMMATION",IF($E156="",0,1),IF(OR($E156="",$F156="",$E156=$F156),0,1)))))</f>
        <v>0</v>
      </c>
      <c r="O156" s="27" t="str">
        <f aca="false">IF(OR($N156=0,$C156="RECEPTION"),"",SUMIFS(MVT_BRUT,MVT_LOT,$D156,MVT_EMPL,$E156)+$G156)</f>
        <v/>
      </c>
      <c r="P156" s="26" t="str">
        <f aca="false">IF($C156="","",IF($N156=0,"DONNEES MANQUANTES",IF($C156="RECEPTION","OK",IF($O156&lt;=0,"EMPLACEMENT INCOHERENT",IF($G156&gt;$O156+0.001,"STOCK INSUFFISANT","OK")))))</f>
        <v/>
      </c>
      <c r="Q156" s="28" t="n">
        <f aca="false">IF($P156="OK",1,0)</f>
        <v>0</v>
      </c>
      <c r="R156" s="26" t="str">
        <f aca="false">IF($C156="","",IF($N156=0,"A COMPLETER : "&amp;IF($B156="","DATE; ","")&amp;IF($D156="","LOT; ","")&amp;IF(OR(NOT(ISNUMBER($G156)),$G156&lt;=0),"QUANTITE &gt; 0; ","")&amp;IF(AND($C156&lt;&gt;"RECEPTION",$E156=""),"EMPL. SOURCE; ","")&amp;IF(AND($C156&lt;&gt;"CONSOMMATION",$F156=""),"EMPL. DESTINATION; ","")&amp;IF(AND($C156="TRANSFERT",$E156&lt;&gt;"",$E156=$F156),"SOURCE = DESTINATION; ",""),IF($P156="EMPLACEMENT INCOHERENT","Le lot "&amp;$D156&amp;" n'existe pas sur "&amp;$E156&amp;" (stock 0). Verifier l'emplacement source.",IF($P156="STOCK INSUFFISANT","Disponible avant operation : "&amp;TEXT($O156,"#,##0.00")&amp;" kg. Ligne NON comptee en stock.",IF(COUNTIFS($B$5:$B$304,$B156,$C$5:$C$304,$C156,$D$5:$D$304,$D156,$G$5:$G$304,$G156)&gt;1,"Doublon possible (meme date, type, lot et quantite).",IF($J156="LOT NON REFERENCE","Creer d'abord la fiche du lot dans l'onglet LOTS.",""))))))</f>
        <v/>
      </c>
    </row>
    <row r="157" customFormat="false" ht="15" hidden="false" customHeight="false" outlineLevel="0" collapsed="false">
      <c r="A157" s="26" t="str">
        <f aca="false">IF($C157="","","OP-"&amp;TEXT(ROW()-4,"000"))</f>
        <v/>
      </c>
      <c r="B157" s="25"/>
      <c r="C157" s="24"/>
      <c r="D157" s="24"/>
      <c r="E157" s="24"/>
      <c r="F157" s="24"/>
      <c r="G157" s="29"/>
      <c r="H157" s="24"/>
      <c r="I157" s="24"/>
      <c r="J157" s="26" t="str">
        <f aca="false">IF($D157="","",IFERROR(INDEX(LOT_PRODE,MATCH($D157,LOT_KEY,0)),"LOT NON REFERENCE"))</f>
        <v/>
      </c>
      <c r="K157" s="26" t="str">
        <f aca="false">IF($D157="","",IFERROR(INDEX(LOT_FOURNE,MATCH($D157,LOT_KEY,0)),""))</f>
        <v/>
      </c>
      <c r="L157" s="26" t="str">
        <f aca="false">IF($E157="","",IFERROR(INDEX(EMPL_CLASSE,MATCH($E157,EMPL_KEY,0)),"?"))</f>
        <v/>
      </c>
      <c r="M157" s="26" t="str">
        <f aca="false">IF($F157="","",IFERROR(INDEX(EMPL_CLASSE,MATCH($F157,EMPL_KEY,0)),"?"))</f>
        <v/>
      </c>
      <c r="N157" s="28" t="n">
        <f aca="false">IF($C157="",0,IF(OR($B157="",$D157="",NOT(ISNUMBER($G157)),$G157&lt;=0),0,IF($C157="RECEPTION",IF($F157="",0,1),IF($C157="CONSOMMATION",IF($E157="",0,1),IF(OR($E157="",$F157="",$E157=$F157),0,1)))))</f>
        <v>0</v>
      </c>
      <c r="O157" s="27" t="str">
        <f aca="false">IF(OR($N157=0,$C157="RECEPTION"),"",SUMIFS(MVT_BRUT,MVT_LOT,$D157,MVT_EMPL,$E157)+$G157)</f>
        <v/>
      </c>
      <c r="P157" s="26" t="str">
        <f aca="false">IF($C157="","",IF($N157=0,"DONNEES MANQUANTES",IF($C157="RECEPTION","OK",IF($O157&lt;=0,"EMPLACEMENT INCOHERENT",IF($G157&gt;$O157+0.001,"STOCK INSUFFISANT","OK")))))</f>
        <v/>
      </c>
      <c r="Q157" s="28" t="n">
        <f aca="false">IF($P157="OK",1,0)</f>
        <v>0</v>
      </c>
      <c r="R157" s="26" t="str">
        <f aca="false">IF($C157="","",IF($N157=0,"A COMPLETER : "&amp;IF($B157="","DATE; ","")&amp;IF($D157="","LOT; ","")&amp;IF(OR(NOT(ISNUMBER($G157)),$G157&lt;=0),"QUANTITE &gt; 0; ","")&amp;IF(AND($C157&lt;&gt;"RECEPTION",$E157=""),"EMPL. SOURCE; ","")&amp;IF(AND($C157&lt;&gt;"CONSOMMATION",$F157=""),"EMPL. DESTINATION; ","")&amp;IF(AND($C157="TRANSFERT",$E157&lt;&gt;"",$E157=$F157),"SOURCE = DESTINATION; ",""),IF($P157="EMPLACEMENT INCOHERENT","Le lot "&amp;$D157&amp;" n'existe pas sur "&amp;$E157&amp;" (stock 0). Verifier l'emplacement source.",IF($P157="STOCK INSUFFISANT","Disponible avant operation : "&amp;TEXT($O157,"#,##0.00")&amp;" kg. Ligne NON comptee en stock.",IF(COUNTIFS($B$5:$B$304,$B157,$C$5:$C$304,$C157,$D$5:$D$304,$D157,$G$5:$G$304,$G157)&gt;1,"Doublon possible (meme date, type, lot et quantite).",IF($J157="LOT NON REFERENCE","Creer d'abord la fiche du lot dans l'onglet LOTS.",""))))))</f>
        <v/>
      </c>
    </row>
    <row r="158" customFormat="false" ht="15" hidden="false" customHeight="false" outlineLevel="0" collapsed="false">
      <c r="A158" s="26" t="str">
        <f aca="false">IF($C158="","","OP-"&amp;TEXT(ROW()-4,"000"))</f>
        <v/>
      </c>
      <c r="B158" s="25"/>
      <c r="C158" s="24"/>
      <c r="D158" s="24"/>
      <c r="E158" s="24"/>
      <c r="F158" s="24"/>
      <c r="G158" s="29"/>
      <c r="H158" s="24"/>
      <c r="I158" s="24"/>
      <c r="J158" s="26" t="str">
        <f aca="false">IF($D158="","",IFERROR(INDEX(LOT_PRODE,MATCH($D158,LOT_KEY,0)),"LOT NON REFERENCE"))</f>
        <v/>
      </c>
      <c r="K158" s="26" t="str">
        <f aca="false">IF($D158="","",IFERROR(INDEX(LOT_FOURNE,MATCH($D158,LOT_KEY,0)),""))</f>
        <v/>
      </c>
      <c r="L158" s="26" t="str">
        <f aca="false">IF($E158="","",IFERROR(INDEX(EMPL_CLASSE,MATCH($E158,EMPL_KEY,0)),"?"))</f>
        <v/>
      </c>
      <c r="M158" s="26" t="str">
        <f aca="false">IF($F158="","",IFERROR(INDEX(EMPL_CLASSE,MATCH($F158,EMPL_KEY,0)),"?"))</f>
        <v/>
      </c>
      <c r="N158" s="28" t="n">
        <f aca="false">IF($C158="",0,IF(OR($B158="",$D158="",NOT(ISNUMBER($G158)),$G158&lt;=0),0,IF($C158="RECEPTION",IF($F158="",0,1),IF($C158="CONSOMMATION",IF($E158="",0,1),IF(OR($E158="",$F158="",$E158=$F158),0,1)))))</f>
        <v>0</v>
      </c>
      <c r="O158" s="27" t="str">
        <f aca="false">IF(OR($N158=0,$C158="RECEPTION"),"",SUMIFS(MVT_BRUT,MVT_LOT,$D158,MVT_EMPL,$E158)+$G158)</f>
        <v/>
      </c>
      <c r="P158" s="26" t="str">
        <f aca="false">IF($C158="","",IF($N158=0,"DONNEES MANQUANTES",IF($C158="RECEPTION","OK",IF($O158&lt;=0,"EMPLACEMENT INCOHERENT",IF($G158&gt;$O158+0.001,"STOCK INSUFFISANT","OK")))))</f>
        <v/>
      </c>
      <c r="Q158" s="28" t="n">
        <f aca="false">IF($P158="OK",1,0)</f>
        <v>0</v>
      </c>
      <c r="R158" s="26" t="str">
        <f aca="false">IF($C158="","",IF($N158=0,"A COMPLETER : "&amp;IF($B158="","DATE; ","")&amp;IF($D158="","LOT; ","")&amp;IF(OR(NOT(ISNUMBER($G158)),$G158&lt;=0),"QUANTITE &gt; 0; ","")&amp;IF(AND($C158&lt;&gt;"RECEPTION",$E158=""),"EMPL. SOURCE; ","")&amp;IF(AND($C158&lt;&gt;"CONSOMMATION",$F158=""),"EMPL. DESTINATION; ","")&amp;IF(AND($C158="TRANSFERT",$E158&lt;&gt;"",$E158=$F158),"SOURCE = DESTINATION; ",""),IF($P158="EMPLACEMENT INCOHERENT","Le lot "&amp;$D158&amp;" n'existe pas sur "&amp;$E158&amp;" (stock 0). Verifier l'emplacement source.",IF($P158="STOCK INSUFFISANT","Disponible avant operation : "&amp;TEXT($O158,"#,##0.00")&amp;" kg. Ligne NON comptee en stock.",IF(COUNTIFS($B$5:$B$304,$B158,$C$5:$C$304,$C158,$D$5:$D$304,$D158,$G$5:$G$304,$G158)&gt;1,"Doublon possible (meme date, type, lot et quantite).",IF($J158="LOT NON REFERENCE","Creer d'abord la fiche du lot dans l'onglet LOTS.",""))))))</f>
        <v/>
      </c>
    </row>
    <row r="159" customFormat="false" ht="15" hidden="false" customHeight="false" outlineLevel="0" collapsed="false">
      <c r="A159" s="26" t="str">
        <f aca="false">IF($C159="","","OP-"&amp;TEXT(ROW()-4,"000"))</f>
        <v/>
      </c>
      <c r="B159" s="25"/>
      <c r="C159" s="24"/>
      <c r="D159" s="24"/>
      <c r="E159" s="24"/>
      <c r="F159" s="24"/>
      <c r="G159" s="29"/>
      <c r="H159" s="24"/>
      <c r="I159" s="24"/>
      <c r="J159" s="26" t="str">
        <f aca="false">IF($D159="","",IFERROR(INDEX(LOT_PRODE,MATCH($D159,LOT_KEY,0)),"LOT NON REFERENCE"))</f>
        <v/>
      </c>
      <c r="K159" s="26" t="str">
        <f aca="false">IF($D159="","",IFERROR(INDEX(LOT_FOURNE,MATCH($D159,LOT_KEY,0)),""))</f>
        <v/>
      </c>
      <c r="L159" s="26" t="str">
        <f aca="false">IF($E159="","",IFERROR(INDEX(EMPL_CLASSE,MATCH($E159,EMPL_KEY,0)),"?"))</f>
        <v/>
      </c>
      <c r="M159" s="26" t="str">
        <f aca="false">IF($F159="","",IFERROR(INDEX(EMPL_CLASSE,MATCH($F159,EMPL_KEY,0)),"?"))</f>
        <v/>
      </c>
      <c r="N159" s="28" t="n">
        <f aca="false">IF($C159="",0,IF(OR($B159="",$D159="",NOT(ISNUMBER($G159)),$G159&lt;=0),0,IF($C159="RECEPTION",IF($F159="",0,1),IF($C159="CONSOMMATION",IF($E159="",0,1),IF(OR($E159="",$F159="",$E159=$F159),0,1)))))</f>
        <v>0</v>
      </c>
      <c r="O159" s="27" t="str">
        <f aca="false">IF(OR($N159=0,$C159="RECEPTION"),"",SUMIFS(MVT_BRUT,MVT_LOT,$D159,MVT_EMPL,$E159)+$G159)</f>
        <v/>
      </c>
      <c r="P159" s="26" t="str">
        <f aca="false">IF($C159="","",IF($N159=0,"DONNEES MANQUANTES",IF($C159="RECEPTION","OK",IF($O159&lt;=0,"EMPLACEMENT INCOHERENT",IF($G159&gt;$O159+0.001,"STOCK INSUFFISANT","OK")))))</f>
        <v/>
      </c>
      <c r="Q159" s="28" t="n">
        <f aca="false">IF($P159="OK",1,0)</f>
        <v>0</v>
      </c>
      <c r="R159" s="26" t="str">
        <f aca="false">IF($C159="","",IF($N159=0,"A COMPLETER : "&amp;IF($B159="","DATE; ","")&amp;IF($D159="","LOT; ","")&amp;IF(OR(NOT(ISNUMBER($G159)),$G159&lt;=0),"QUANTITE &gt; 0; ","")&amp;IF(AND($C159&lt;&gt;"RECEPTION",$E159=""),"EMPL. SOURCE; ","")&amp;IF(AND($C159&lt;&gt;"CONSOMMATION",$F159=""),"EMPL. DESTINATION; ","")&amp;IF(AND($C159="TRANSFERT",$E159&lt;&gt;"",$E159=$F159),"SOURCE = DESTINATION; ",""),IF($P159="EMPLACEMENT INCOHERENT","Le lot "&amp;$D159&amp;" n'existe pas sur "&amp;$E159&amp;" (stock 0). Verifier l'emplacement source.",IF($P159="STOCK INSUFFISANT","Disponible avant operation : "&amp;TEXT($O159,"#,##0.00")&amp;" kg. Ligne NON comptee en stock.",IF(COUNTIFS($B$5:$B$304,$B159,$C$5:$C$304,$C159,$D$5:$D$304,$D159,$G$5:$G$304,$G159)&gt;1,"Doublon possible (meme date, type, lot et quantite).",IF($J159="LOT NON REFERENCE","Creer d'abord la fiche du lot dans l'onglet LOTS.",""))))))</f>
        <v/>
      </c>
    </row>
    <row r="160" customFormat="false" ht="15" hidden="false" customHeight="false" outlineLevel="0" collapsed="false">
      <c r="A160" s="26" t="str">
        <f aca="false">IF($C160="","","OP-"&amp;TEXT(ROW()-4,"000"))</f>
        <v/>
      </c>
      <c r="B160" s="25"/>
      <c r="C160" s="24"/>
      <c r="D160" s="24"/>
      <c r="E160" s="24"/>
      <c r="F160" s="24"/>
      <c r="G160" s="29"/>
      <c r="H160" s="24"/>
      <c r="I160" s="24"/>
      <c r="J160" s="26" t="str">
        <f aca="false">IF($D160="","",IFERROR(INDEX(LOT_PRODE,MATCH($D160,LOT_KEY,0)),"LOT NON REFERENCE"))</f>
        <v/>
      </c>
      <c r="K160" s="26" t="str">
        <f aca="false">IF($D160="","",IFERROR(INDEX(LOT_FOURNE,MATCH($D160,LOT_KEY,0)),""))</f>
        <v/>
      </c>
      <c r="L160" s="26" t="str">
        <f aca="false">IF($E160="","",IFERROR(INDEX(EMPL_CLASSE,MATCH($E160,EMPL_KEY,0)),"?"))</f>
        <v/>
      </c>
      <c r="M160" s="26" t="str">
        <f aca="false">IF($F160="","",IFERROR(INDEX(EMPL_CLASSE,MATCH($F160,EMPL_KEY,0)),"?"))</f>
        <v/>
      </c>
      <c r="N160" s="28" t="n">
        <f aca="false">IF($C160="",0,IF(OR($B160="",$D160="",NOT(ISNUMBER($G160)),$G160&lt;=0),0,IF($C160="RECEPTION",IF($F160="",0,1),IF($C160="CONSOMMATION",IF($E160="",0,1),IF(OR($E160="",$F160="",$E160=$F160),0,1)))))</f>
        <v>0</v>
      </c>
      <c r="O160" s="27" t="str">
        <f aca="false">IF(OR($N160=0,$C160="RECEPTION"),"",SUMIFS(MVT_BRUT,MVT_LOT,$D160,MVT_EMPL,$E160)+$G160)</f>
        <v/>
      </c>
      <c r="P160" s="26" t="str">
        <f aca="false">IF($C160="","",IF($N160=0,"DONNEES MANQUANTES",IF($C160="RECEPTION","OK",IF($O160&lt;=0,"EMPLACEMENT INCOHERENT",IF($G160&gt;$O160+0.001,"STOCK INSUFFISANT","OK")))))</f>
        <v/>
      </c>
      <c r="Q160" s="28" t="n">
        <f aca="false">IF($P160="OK",1,0)</f>
        <v>0</v>
      </c>
      <c r="R160" s="26" t="str">
        <f aca="false">IF($C160="","",IF($N160=0,"A COMPLETER : "&amp;IF($B160="","DATE; ","")&amp;IF($D160="","LOT; ","")&amp;IF(OR(NOT(ISNUMBER($G160)),$G160&lt;=0),"QUANTITE &gt; 0; ","")&amp;IF(AND($C160&lt;&gt;"RECEPTION",$E160=""),"EMPL. SOURCE; ","")&amp;IF(AND($C160&lt;&gt;"CONSOMMATION",$F160=""),"EMPL. DESTINATION; ","")&amp;IF(AND($C160="TRANSFERT",$E160&lt;&gt;"",$E160=$F160),"SOURCE = DESTINATION; ",""),IF($P160="EMPLACEMENT INCOHERENT","Le lot "&amp;$D160&amp;" n'existe pas sur "&amp;$E160&amp;" (stock 0). Verifier l'emplacement source.",IF($P160="STOCK INSUFFISANT","Disponible avant operation : "&amp;TEXT($O160,"#,##0.00")&amp;" kg. Ligne NON comptee en stock.",IF(COUNTIFS($B$5:$B$304,$B160,$C$5:$C$304,$C160,$D$5:$D$304,$D160,$G$5:$G$304,$G160)&gt;1,"Doublon possible (meme date, type, lot et quantite).",IF($J160="LOT NON REFERENCE","Creer d'abord la fiche du lot dans l'onglet LOTS.",""))))))</f>
        <v/>
      </c>
    </row>
    <row r="161" customFormat="false" ht="15" hidden="false" customHeight="false" outlineLevel="0" collapsed="false">
      <c r="A161" s="26" t="str">
        <f aca="false">IF($C161="","","OP-"&amp;TEXT(ROW()-4,"000"))</f>
        <v/>
      </c>
      <c r="B161" s="25"/>
      <c r="C161" s="24"/>
      <c r="D161" s="24"/>
      <c r="E161" s="24"/>
      <c r="F161" s="24"/>
      <c r="G161" s="29"/>
      <c r="H161" s="24"/>
      <c r="I161" s="24"/>
      <c r="J161" s="26" t="str">
        <f aca="false">IF($D161="","",IFERROR(INDEX(LOT_PRODE,MATCH($D161,LOT_KEY,0)),"LOT NON REFERENCE"))</f>
        <v/>
      </c>
      <c r="K161" s="26" t="str">
        <f aca="false">IF($D161="","",IFERROR(INDEX(LOT_FOURNE,MATCH($D161,LOT_KEY,0)),""))</f>
        <v/>
      </c>
      <c r="L161" s="26" t="str">
        <f aca="false">IF($E161="","",IFERROR(INDEX(EMPL_CLASSE,MATCH($E161,EMPL_KEY,0)),"?"))</f>
        <v/>
      </c>
      <c r="M161" s="26" t="str">
        <f aca="false">IF($F161="","",IFERROR(INDEX(EMPL_CLASSE,MATCH($F161,EMPL_KEY,0)),"?"))</f>
        <v/>
      </c>
      <c r="N161" s="28" t="n">
        <f aca="false">IF($C161="",0,IF(OR($B161="",$D161="",NOT(ISNUMBER($G161)),$G161&lt;=0),0,IF($C161="RECEPTION",IF($F161="",0,1),IF($C161="CONSOMMATION",IF($E161="",0,1),IF(OR($E161="",$F161="",$E161=$F161),0,1)))))</f>
        <v>0</v>
      </c>
      <c r="O161" s="27" t="str">
        <f aca="false">IF(OR($N161=0,$C161="RECEPTION"),"",SUMIFS(MVT_BRUT,MVT_LOT,$D161,MVT_EMPL,$E161)+$G161)</f>
        <v/>
      </c>
      <c r="P161" s="26" t="str">
        <f aca="false">IF($C161="","",IF($N161=0,"DONNEES MANQUANTES",IF($C161="RECEPTION","OK",IF($O161&lt;=0,"EMPLACEMENT INCOHERENT",IF($G161&gt;$O161+0.001,"STOCK INSUFFISANT","OK")))))</f>
        <v/>
      </c>
      <c r="Q161" s="28" t="n">
        <f aca="false">IF($P161="OK",1,0)</f>
        <v>0</v>
      </c>
      <c r="R161" s="26" t="str">
        <f aca="false">IF($C161="","",IF($N161=0,"A COMPLETER : "&amp;IF($B161="","DATE; ","")&amp;IF($D161="","LOT; ","")&amp;IF(OR(NOT(ISNUMBER($G161)),$G161&lt;=0),"QUANTITE &gt; 0; ","")&amp;IF(AND($C161&lt;&gt;"RECEPTION",$E161=""),"EMPL. SOURCE; ","")&amp;IF(AND($C161&lt;&gt;"CONSOMMATION",$F161=""),"EMPL. DESTINATION; ","")&amp;IF(AND($C161="TRANSFERT",$E161&lt;&gt;"",$E161=$F161),"SOURCE = DESTINATION; ",""),IF($P161="EMPLACEMENT INCOHERENT","Le lot "&amp;$D161&amp;" n'existe pas sur "&amp;$E161&amp;" (stock 0). Verifier l'emplacement source.",IF($P161="STOCK INSUFFISANT","Disponible avant operation : "&amp;TEXT($O161,"#,##0.00")&amp;" kg. Ligne NON comptee en stock.",IF(COUNTIFS($B$5:$B$304,$B161,$C$5:$C$304,$C161,$D$5:$D$304,$D161,$G$5:$G$304,$G161)&gt;1,"Doublon possible (meme date, type, lot et quantite).",IF($J161="LOT NON REFERENCE","Creer d'abord la fiche du lot dans l'onglet LOTS.",""))))))</f>
        <v/>
      </c>
    </row>
    <row r="162" customFormat="false" ht="15" hidden="false" customHeight="false" outlineLevel="0" collapsed="false">
      <c r="A162" s="26" t="str">
        <f aca="false">IF($C162="","","OP-"&amp;TEXT(ROW()-4,"000"))</f>
        <v/>
      </c>
      <c r="B162" s="25"/>
      <c r="C162" s="24"/>
      <c r="D162" s="24"/>
      <c r="E162" s="24"/>
      <c r="F162" s="24"/>
      <c r="G162" s="29"/>
      <c r="H162" s="24"/>
      <c r="I162" s="24"/>
      <c r="J162" s="26" t="str">
        <f aca="false">IF($D162="","",IFERROR(INDEX(LOT_PRODE,MATCH($D162,LOT_KEY,0)),"LOT NON REFERENCE"))</f>
        <v/>
      </c>
      <c r="K162" s="26" t="str">
        <f aca="false">IF($D162="","",IFERROR(INDEX(LOT_FOURNE,MATCH($D162,LOT_KEY,0)),""))</f>
        <v/>
      </c>
      <c r="L162" s="26" t="str">
        <f aca="false">IF($E162="","",IFERROR(INDEX(EMPL_CLASSE,MATCH($E162,EMPL_KEY,0)),"?"))</f>
        <v/>
      </c>
      <c r="M162" s="26" t="str">
        <f aca="false">IF($F162="","",IFERROR(INDEX(EMPL_CLASSE,MATCH($F162,EMPL_KEY,0)),"?"))</f>
        <v/>
      </c>
      <c r="N162" s="28" t="n">
        <f aca="false">IF($C162="",0,IF(OR($B162="",$D162="",NOT(ISNUMBER($G162)),$G162&lt;=0),0,IF($C162="RECEPTION",IF($F162="",0,1),IF($C162="CONSOMMATION",IF($E162="",0,1),IF(OR($E162="",$F162="",$E162=$F162),0,1)))))</f>
        <v>0</v>
      </c>
      <c r="O162" s="27" t="str">
        <f aca="false">IF(OR($N162=0,$C162="RECEPTION"),"",SUMIFS(MVT_BRUT,MVT_LOT,$D162,MVT_EMPL,$E162)+$G162)</f>
        <v/>
      </c>
      <c r="P162" s="26" t="str">
        <f aca="false">IF($C162="","",IF($N162=0,"DONNEES MANQUANTES",IF($C162="RECEPTION","OK",IF($O162&lt;=0,"EMPLACEMENT INCOHERENT",IF($G162&gt;$O162+0.001,"STOCK INSUFFISANT","OK")))))</f>
        <v/>
      </c>
      <c r="Q162" s="28" t="n">
        <f aca="false">IF($P162="OK",1,0)</f>
        <v>0</v>
      </c>
      <c r="R162" s="26" t="str">
        <f aca="false">IF($C162="","",IF($N162=0,"A COMPLETER : "&amp;IF($B162="","DATE; ","")&amp;IF($D162="","LOT; ","")&amp;IF(OR(NOT(ISNUMBER($G162)),$G162&lt;=0),"QUANTITE &gt; 0; ","")&amp;IF(AND($C162&lt;&gt;"RECEPTION",$E162=""),"EMPL. SOURCE; ","")&amp;IF(AND($C162&lt;&gt;"CONSOMMATION",$F162=""),"EMPL. DESTINATION; ","")&amp;IF(AND($C162="TRANSFERT",$E162&lt;&gt;"",$E162=$F162),"SOURCE = DESTINATION; ",""),IF($P162="EMPLACEMENT INCOHERENT","Le lot "&amp;$D162&amp;" n'existe pas sur "&amp;$E162&amp;" (stock 0). Verifier l'emplacement source.",IF($P162="STOCK INSUFFISANT","Disponible avant operation : "&amp;TEXT($O162,"#,##0.00")&amp;" kg. Ligne NON comptee en stock.",IF(COUNTIFS($B$5:$B$304,$B162,$C$5:$C$304,$C162,$D$5:$D$304,$D162,$G$5:$G$304,$G162)&gt;1,"Doublon possible (meme date, type, lot et quantite).",IF($J162="LOT NON REFERENCE","Creer d'abord la fiche du lot dans l'onglet LOTS.",""))))))</f>
        <v/>
      </c>
    </row>
    <row r="163" customFormat="false" ht="15" hidden="false" customHeight="false" outlineLevel="0" collapsed="false">
      <c r="A163" s="26" t="str">
        <f aca="false">IF($C163="","","OP-"&amp;TEXT(ROW()-4,"000"))</f>
        <v/>
      </c>
      <c r="B163" s="25"/>
      <c r="C163" s="24"/>
      <c r="D163" s="24"/>
      <c r="E163" s="24"/>
      <c r="F163" s="24"/>
      <c r="G163" s="29"/>
      <c r="H163" s="24"/>
      <c r="I163" s="24"/>
      <c r="J163" s="26" t="str">
        <f aca="false">IF($D163="","",IFERROR(INDEX(LOT_PRODE,MATCH($D163,LOT_KEY,0)),"LOT NON REFERENCE"))</f>
        <v/>
      </c>
      <c r="K163" s="26" t="str">
        <f aca="false">IF($D163="","",IFERROR(INDEX(LOT_FOURNE,MATCH($D163,LOT_KEY,0)),""))</f>
        <v/>
      </c>
      <c r="L163" s="26" t="str">
        <f aca="false">IF($E163="","",IFERROR(INDEX(EMPL_CLASSE,MATCH($E163,EMPL_KEY,0)),"?"))</f>
        <v/>
      </c>
      <c r="M163" s="26" t="str">
        <f aca="false">IF($F163="","",IFERROR(INDEX(EMPL_CLASSE,MATCH($F163,EMPL_KEY,0)),"?"))</f>
        <v/>
      </c>
      <c r="N163" s="28" t="n">
        <f aca="false">IF($C163="",0,IF(OR($B163="",$D163="",NOT(ISNUMBER($G163)),$G163&lt;=0),0,IF($C163="RECEPTION",IF($F163="",0,1),IF($C163="CONSOMMATION",IF($E163="",0,1),IF(OR($E163="",$F163="",$E163=$F163),0,1)))))</f>
        <v>0</v>
      </c>
      <c r="O163" s="27" t="str">
        <f aca="false">IF(OR($N163=0,$C163="RECEPTION"),"",SUMIFS(MVT_BRUT,MVT_LOT,$D163,MVT_EMPL,$E163)+$G163)</f>
        <v/>
      </c>
      <c r="P163" s="26" t="str">
        <f aca="false">IF($C163="","",IF($N163=0,"DONNEES MANQUANTES",IF($C163="RECEPTION","OK",IF($O163&lt;=0,"EMPLACEMENT INCOHERENT",IF($G163&gt;$O163+0.001,"STOCK INSUFFISANT","OK")))))</f>
        <v/>
      </c>
      <c r="Q163" s="28" t="n">
        <f aca="false">IF($P163="OK",1,0)</f>
        <v>0</v>
      </c>
      <c r="R163" s="26" t="str">
        <f aca="false">IF($C163="","",IF($N163=0,"A COMPLETER : "&amp;IF($B163="","DATE; ","")&amp;IF($D163="","LOT; ","")&amp;IF(OR(NOT(ISNUMBER($G163)),$G163&lt;=0),"QUANTITE &gt; 0; ","")&amp;IF(AND($C163&lt;&gt;"RECEPTION",$E163=""),"EMPL. SOURCE; ","")&amp;IF(AND($C163&lt;&gt;"CONSOMMATION",$F163=""),"EMPL. DESTINATION; ","")&amp;IF(AND($C163="TRANSFERT",$E163&lt;&gt;"",$E163=$F163),"SOURCE = DESTINATION; ",""),IF($P163="EMPLACEMENT INCOHERENT","Le lot "&amp;$D163&amp;" n'existe pas sur "&amp;$E163&amp;" (stock 0). Verifier l'emplacement source.",IF($P163="STOCK INSUFFISANT","Disponible avant operation : "&amp;TEXT($O163,"#,##0.00")&amp;" kg. Ligne NON comptee en stock.",IF(COUNTIFS($B$5:$B$304,$B163,$C$5:$C$304,$C163,$D$5:$D$304,$D163,$G$5:$G$304,$G163)&gt;1,"Doublon possible (meme date, type, lot et quantite).",IF($J163="LOT NON REFERENCE","Creer d'abord la fiche du lot dans l'onglet LOTS.",""))))))</f>
        <v/>
      </c>
    </row>
    <row r="164" customFormat="false" ht="15" hidden="false" customHeight="false" outlineLevel="0" collapsed="false">
      <c r="A164" s="26" t="str">
        <f aca="false">IF($C164="","","OP-"&amp;TEXT(ROW()-4,"000"))</f>
        <v/>
      </c>
      <c r="B164" s="25"/>
      <c r="C164" s="24"/>
      <c r="D164" s="24"/>
      <c r="E164" s="24"/>
      <c r="F164" s="24"/>
      <c r="G164" s="29"/>
      <c r="H164" s="24"/>
      <c r="I164" s="24"/>
      <c r="J164" s="26" t="str">
        <f aca="false">IF($D164="","",IFERROR(INDEX(LOT_PRODE,MATCH($D164,LOT_KEY,0)),"LOT NON REFERENCE"))</f>
        <v/>
      </c>
      <c r="K164" s="26" t="str">
        <f aca="false">IF($D164="","",IFERROR(INDEX(LOT_FOURNE,MATCH($D164,LOT_KEY,0)),""))</f>
        <v/>
      </c>
      <c r="L164" s="26" t="str">
        <f aca="false">IF($E164="","",IFERROR(INDEX(EMPL_CLASSE,MATCH($E164,EMPL_KEY,0)),"?"))</f>
        <v/>
      </c>
      <c r="M164" s="26" t="str">
        <f aca="false">IF($F164="","",IFERROR(INDEX(EMPL_CLASSE,MATCH($F164,EMPL_KEY,0)),"?"))</f>
        <v/>
      </c>
      <c r="N164" s="28" t="n">
        <f aca="false">IF($C164="",0,IF(OR($B164="",$D164="",NOT(ISNUMBER($G164)),$G164&lt;=0),0,IF($C164="RECEPTION",IF($F164="",0,1),IF($C164="CONSOMMATION",IF($E164="",0,1),IF(OR($E164="",$F164="",$E164=$F164),0,1)))))</f>
        <v>0</v>
      </c>
      <c r="O164" s="27" t="str">
        <f aca="false">IF(OR($N164=0,$C164="RECEPTION"),"",SUMIFS(MVT_BRUT,MVT_LOT,$D164,MVT_EMPL,$E164)+$G164)</f>
        <v/>
      </c>
      <c r="P164" s="26" t="str">
        <f aca="false">IF($C164="","",IF($N164=0,"DONNEES MANQUANTES",IF($C164="RECEPTION","OK",IF($O164&lt;=0,"EMPLACEMENT INCOHERENT",IF($G164&gt;$O164+0.001,"STOCK INSUFFISANT","OK")))))</f>
        <v/>
      </c>
      <c r="Q164" s="28" t="n">
        <f aca="false">IF($P164="OK",1,0)</f>
        <v>0</v>
      </c>
      <c r="R164" s="26" t="str">
        <f aca="false">IF($C164="","",IF($N164=0,"A COMPLETER : "&amp;IF($B164="","DATE; ","")&amp;IF($D164="","LOT; ","")&amp;IF(OR(NOT(ISNUMBER($G164)),$G164&lt;=0),"QUANTITE &gt; 0; ","")&amp;IF(AND($C164&lt;&gt;"RECEPTION",$E164=""),"EMPL. SOURCE; ","")&amp;IF(AND($C164&lt;&gt;"CONSOMMATION",$F164=""),"EMPL. DESTINATION; ","")&amp;IF(AND($C164="TRANSFERT",$E164&lt;&gt;"",$E164=$F164),"SOURCE = DESTINATION; ",""),IF($P164="EMPLACEMENT INCOHERENT","Le lot "&amp;$D164&amp;" n'existe pas sur "&amp;$E164&amp;" (stock 0). Verifier l'emplacement source.",IF($P164="STOCK INSUFFISANT","Disponible avant operation : "&amp;TEXT($O164,"#,##0.00")&amp;" kg. Ligne NON comptee en stock.",IF(COUNTIFS($B$5:$B$304,$B164,$C$5:$C$304,$C164,$D$5:$D$304,$D164,$G$5:$G$304,$G164)&gt;1,"Doublon possible (meme date, type, lot et quantite).",IF($J164="LOT NON REFERENCE","Creer d'abord la fiche du lot dans l'onglet LOTS.",""))))))</f>
        <v/>
      </c>
    </row>
    <row r="165" customFormat="false" ht="15" hidden="false" customHeight="false" outlineLevel="0" collapsed="false">
      <c r="A165" s="26" t="str">
        <f aca="false">IF($C165="","","OP-"&amp;TEXT(ROW()-4,"000"))</f>
        <v/>
      </c>
      <c r="B165" s="25"/>
      <c r="C165" s="24"/>
      <c r="D165" s="24"/>
      <c r="E165" s="24"/>
      <c r="F165" s="24"/>
      <c r="G165" s="29"/>
      <c r="H165" s="24"/>
      <c r="I165" s="24"/>
      <c r="J165" s="26" t="str">
        <f aca="false">IF($D165="","",IFERROR(INDEX(LOT_PRODE,MATCH($D165,LOT_KEY,0)),"LOT NON REFERENCE"))</f>
        <v/>
      </c>
      <c r="K165" s="26" t="str">
        <f aca="false">IF($D165="","",IFERROR(INDEX(LOT_FOURNE,MATCH($D165,LOT_KEY,0)),""))</f>
        <v/>
      </c>
      <c r="L165" s="26" t="str">
        <f aca="false">IF($E165="","",IFERROR(INDEX(EMPL_CLASSE,MATCH($E165,EMPL_KEY,0)),"?"))</f>
        <v/>
      </c>
      <c r="M165" s="26" t="str">
        <f aca="false">IF($F165="","",IFERROR(INDEX(EMPL_CLASSE,MATCH($F165,EMPL_KEY,0)),"?"))</f>
        <v/>
      </c>
      <c r="N165" s="28" t="n">
        <f aca="false">IF($C165="",0,IF(OR($B165="",$D165="",NOT(ISNUMBER($G165)),$G165&lt;=0),0,IF($C165="RECEPTION",IF($F165="",0,1),IF($C165="CONSOMMATION",IF($E165="",0,1),IF(OR($E165="",$F165="",$E165=$F165),0,1)))))</f>
        <v>0</v>
      </c>
      <c r="O165" s="27" t="str">
        <f aca="false">IF(OR($N165=0,$C165="RECEPTION"),"",SUMIFS(MVT_BRUT,MVT_LOT,$D165,MVT_EMPL,$E165)+$G165)</f>
        <v/>
      </c>
      <c r="P165" s="26" t="str">
        <f aca="false">IF($C165="","",IF($N165=0,"DONNEES MANQUANTES",IF($C165="RECEPTION","OK",IF($O165&lt;=0,"EMPLACEMENT INCOHERENT",IF($G165&gt;$O165+0.001,"STOCK INSUFFISANT","OK")))))</f>
        <v/>
      </c>
      <c r="Q165" s="28" t="n">
        <f aca="false">IF($P165="OK",1,0)</f>
        <v>0</v>
      </c>
      <c r="R165" s="26" t="str">
        <f aca="false">IF($C165="","",IF($N165=0,"A COMPLETER : "&amp;IF($B165="","DATE; ","")&amp;IF($D165="","LOT; ","")&amp;IF(OR(NOT(ISNUMBER($G165)),$G165&lt;=0),"QUANTITE &gt; 0; ","")&amp;IF(AND($C165&lt;&gt;"RECEPTION",$E165=""),"EMPL. SOURCE; ","")&amp;IF(AND($C165&lt;&gt;"CONSOMMATION",$F165=""),"EMPL. DESTINATION; ","")&amp;IF(AND($C165="TRANSFERT",$E165&lt;&gt;"",$E165=$F165),"SOURCE = DESTINATION; ",""),IF($P165="EMPLACEMENT INCOHERENT","Le lot "&amp;$D165&amp;" n'existe pas sur "&amp;$E165&amp;" (stock 0). Verifier l'emplacement source.",IF($P165="STOCK INSUFFISANT","Disponible avant operation : "&amp;TEXT($O165,"#,##0.00")&amp;" kg. Ligne NON comptee en stock.",IF(COUNTIFS($B$5:$B$304,$B165,$C$5:$C$304,$C165,$D$5:$D$304,$D165,$G$5:$G$304,$G165)&gt;1,"Doublon possible (meme date, type, lot et quantite).",IF($J165="LOT NON REFERENCE","Creer d'abord la fiche du lot dans l'onglet LOTS.",""))))))</f>
        <v/>
      </c>
    </row>
    <row r="166" customFormat="false" ht="15" hidden="false" customHeight="false" outlineLevel="0" collapsed="false">
      <c r="A166" s="26" t="str">
        <f aca="false">IF($C166="","","OP-"&amp;TEXT(ROW()-4,"000"))</f>
        <v/>
      </c>
      <c r="B166" s="25"/>
      <c r="C166" s="24"/>
      <c r="D166" s="24"/>
      <c r="E166" s="24"/>
      <c r="F166" s="24"/>
      <c r="G166" s="29"/>
      <c r="H166" s="24"/>
      <c r="I166" s="24"/>
      <c r="J166" s="26" t="str">
        <f aca="false">IF($D166="","",IFERROR(INDEX(LOT_PRODE,MATCH($D166,LOT_KEY,0)),"LOT NON REFERENCE"))</f>
        <v/>
      </c>
      <c r="K166" s="26" t="str">
        <f aca="false">IF($D166="","",IFERROR(INDEX(LOT_FOURNE,MATCH($D166,LOT_KEY,0)),""))</f>
        <v/>
      </c>
      <c r="L166" s="26" t="str">
        <f aca="false">IF($E166="","",IFERROR(INDEX(EMPL_CLASSE,MATCH($E166,EMPL_KEY,0)),"?"))</f>
        <v/>
      </c>
      <c r="M166" s="26" t="str">
        <f aca="false">IF($F166="","",IFERROR(INDEX(EMPL_CLASSE,MATCH($F166,EMPL_KEY,0)),"?"))</f>
        <v/>
      </c>
      <c r="N166" s="28" t="n">
        <f aca="false">IF($C166="",0,IF(OR($B166="",$D166="",NOT(ISNUMBER($G166)),$G166&lt;=0),0,IF($C166="RECEPTION",IF($F166="",0,1),IF($C166="CONSOMMATION",IF($E166="",0,1),IF(OR($E166="",$F166="",$E166=$F166),0,1)))))</f>
        <v>0</v>
      </c>
      <c r="O166" s="27" t="str">
        <f aca="false">IF(OR($N166=0,$C166="RECEPTION"),"",SUMIFS(MVT_BRUT,MVT_LOT,$D166,MVT_EMPL,$E166)+$G166)</f>
        <v/>
      </c>
      <c r="P166" s="26" t="str">
        <f aca="false">IF($C166="","",IF($N166=0,"DONNEES MANQUANTES",IF($C166="RECEPTION","OK",IF($O166&lt;=0,"EMPLACEMENT INCOHERENT",IF($G166&gt;$O166+0.001,"STOCK INSUFFISANT","OK")))))</f>
        <v/>
      </c>
      <c r="Q166" s="28" t="n">
        <f aca="false">IF($P166="OK",1,0)</f>
        <v>0</v>
      </c>
      <c r="R166" s="26" t="str">
        <f aca="false">IF($C166="","",IF($N166=0,"A COMPLETER : "&amp;IF($B166="","DATE; ","")&amp;IF($D166="","LOT; ","")&amp;IF(OR(NOT(ISNUMBER($G166)),$G166&lt;=0),"QUANTITE &gt; 0; ","")&amp;IF(AND($C166&lt;&gt;"RECEPTION",$E166=""),"EMPL. SOURCE; ","")&amp;IF(AND($C166&lt;&gt;"CONSOMMATION",$F166=""),"EMPL. DESTINATION; ","")&amp;IF(AND($C166="TRANSFERT",$E166&lt;&gt;"",$E166=$F166),"SOURCE = DESTINATION; ",""),IF($P166="EMPLACEMENT INCOHERENT","Le lot "&amp;$D166&amp;" n'existe pas sur "&amp;$E166&amp;" (stock 0). Verifier l'emplacement source.",IF($P166="STOCK INSUFFISANT","Disponible avant operation : "&amp;TEXT($O166,"#,##0.00")&amp;" kg. Ligne NON comptee en stock.",IF(COUNTIFS($B$5:$B$304,$B166,$C$5:$C$304,$C166,$D$5:$D$304,$D166,$G$5:$G$304,$G166)&gt;1,"Doublon possible (meme date, type, lot et quantite).",IF($J166="LOT NON REFERENCE","Creer d'abord la fiche du lot dans l'onglet LOTS.",""))))))</f>
        <v/>
      </c>
    </row>
    <row r="167" customFormat="false" ht="15" hidden="false" customHeight="false" outlineLevel="0" collapsed="false">
      <c r="A167" s="26" t="str">
        <f aca="false">IF($C167="","","OP-"&amp;TEXT(ROW()-4,"000"))</f>
        <v/>
      </c>
      <c r="B167" s="25"/>
      <c r="C167" s="24"/>
      <c r="D167" s="24"/>
      <c r="E167" s="24"/>
      <c r="F167" s="24"/>
      <c r="G167" s="29"/>
      <c r="H167" s="24"/>
      <c r="I167" s="24"/>
      <c r="J167" s="26" t="str">
        <f aca="false">IF($D167="","",IFERROR(INDEX(LOT_PRODE,MATCH($D167,LOT_KEY,0)),"LOT NON REFERENCE"))</f>
        <v/>
      </c>
      <c r="K167" s="26" t="str">
        <f aca="false">IF($D167="","",IFERROR(INDEX(LOT_FOURNE,MATCH($D167,LOT_KEY,0)),""))</f>
        <v/>
      </c>
      <c r="L167" s="26" t="str">
        <f aca="false">IF($E167="","",IFERROR(INDEX(EMPL_CLASSE,MATCH($E167,EMPL_KEY,0)),"?"))</f>
        <v/>
      </c>
      <c r="M167" s="26" t="str">
        <f aca="false">IF($F167="","",IFERROR(INDEX(EMPL_CLASSE,MATCH($F167,EMPL_KEY,0)),"?"))</f>
        <v/>
      </c>
      <c r="N167" s="28" t="n">
        <f aca="false">IF($C167="",0,IF(OR($B167="",$D167="",NOT(ISNUMBER($G167)),$G167&lt;=0),0,IF($C167="RECEPTION",IF($F167="",0,1),IF($C167="CONSOMMATION",IF($E167="",0,1),IF(OR($E167="",$F167="",$E167=$F167),0,1)))))</f>
        <v>0</v>
      </c>
      <c r="O167" s="27" t="str">
        <f aca="false">IF(OR($N167=0,$C167="RECEPTION"),"",SUMIFS(MVT_BRUT,MVT_LOT,$D167,MVT_EMPL,$E167)+$G167)</f>
        <v/>
      </c>
      <c r="P167" s="26" t="str">
        <f aca="false">IF($C167="","",IF($N167=0,"DONNEES MANQUANTES",IF($C167="RECEPTION","OK",IF($O167&lt;=0,"EMPLACEMENT INCOHERENT",IF($G167&gt;$O167+0.001,"STOCK INSUFFISANT","OK")))))</f>
        <v/>
      </c>
      <c r="Q167" s="28" t="n">
        <f aca="false">IF($P167="OK",1,0)</f>
        <v>0</v>
      </c>
      <c r="R167" s="26" t="str">
        <f aca="false">IF($C167="","",IF($N167=0,"A COMPLETER : "&amp;IF($B167="","DATE; ","")&amp;IF($D167="","LOT; ","")&amp;IF(OR(NOT(ISNUMBER($G167)),$G167&lt;=0),"QUANTITE &gt; 0; ","")&amp;IF(AND($C167&lt;&gt;"RECEPTION",$E167=""),"EMPL. SOURCE; ","")&amp;IF(AND($C167&lt;&gt;"CONSOMMATION",$F167=""),"EMPL. DESTINATION; ","")&amp;IF(AND($C167="TRANSFERT",$E167&lt;&gt;"",$E167=$F167),"SOURCE = DESTINATION; ",""),IF($P167="EMPLACEMENT INCOHERENT","Le lot "&amp;$D167&amp;" n'existe pas sur "&amp;$E167&amp;" (stock 0). Verifier l'emplacement source.",IF($P167="STOCK INSUFFISANT","Disponible avant operation : "&amp;TEXT($O167,"#,##0.00")&amp;" kg. Ligne NON comptee en stock.",IF(COUNTIFS($B$5:$B$304,$B167,$C$5:$C$304,$C167,$D$5:$D$304,$D167,$G$5:$G$304,$G167)&gt;1,"Doublon possible (meme date, type, lot et quantite).",IF($J167="LOT NON REFERENCE","Creer d'abord la fiche du lot dans l'onglet LOTS.",""))))))</f>
        <v/>
      </c>
    </row>
    <row r="168" customFormat="false" ht="15" hidden="false" customHeight="false" outlineLevel="0" collapsed="false">
      <c r="A168" s="26" t="str">
        <f aca="false">IF($C168="","","OP-"&amp;TEXT(ROW()-4,"000"))</f>
        <v/>
      </c>
      <c r="B168" s="25"/>
      <c r="C168" s="24"/>
      <c r="D168" s="24"/>
      <c r="E168" s="24"/>
      <c r="F168" s="24"/>
      <c r="G168" s="29"/>
      <c r="H168" s="24"/>
      <c r="I168" s="24"/>
      <c r="J168" s="26" t="str">
        <f aca="false">IF($D168="","",IFERROR(INDEX(LOT_PRODE,MATCH($D168,LOT_KEY,0)),"LOT NON REFERENCE"))</f>
        <v/>
      </c>
      <c r="K168" s="26" t="str">
        <f aca="false">IF($D168="","",IFERROR(INDEX(LOT_FOURNE,MATCH($D168,LOT_KEY,0)),""))</f>
        <v/>
      </c>
      <c r="L168" s="26" t="str">
        <f aca="false">IF($E168="","",IFERROR(INDEX(EMPL_CLASSE,MATCH($E168,EMPL_KEY,0)),"?"))</f>
        <v/>
      </c>
      <c r="M168" s="26" t="str">
        <f aca="false">IF($F168="","",IFERROR(INDEX(EMPL_CLASSE,MATCH($F168,EMPL_KEY,0)),"?"))</f>
        <v/>
      </c>
      <c r="N168" s="28" t="n">
        <f aca="false">IF($C168="",0,IF(OR($B168="",$D168="",NOT(ISNUMBER($G168)),$G168&lt;=0),0,IF($C168="RECEPTION",IF($F168="",0,1),IF($C168="CONSOMMATION",IF($E168="",0,1),IF(OR($E168="",$F168="",$E168=$F168),0,1)))))</f>
        <v>0</v>
      </c>
      <c r="O168" s="27" t="str">
        <f aca="false">IF(OR($N168=0,$C168="RECEPTION"),"",SUMIFS(MVT_BRUT,MVT_LOT,$D168,MVT_EMPL,$E168)+$G168)</f>
        <v/>
      </c>
      <c r="P168" s="26" t="str">
        <f aca="false">IF($C168="","",IF($N168=0,"DONNEES MANQUANTES",IF($C168="RECEPTION","OK",IF($O168&lt;=0,"EMPLACEMENT INCOHERENT",IF($G168&gt;$O168+0.001,"STOCK INSUFFISANT","OK")))))</f>
        <v/>
      </c>
      <c r="Q168" s="28" t="n">
        <f aca="false">IF($P168="OK",1,0)</f>
        <v>0</v>
      </c>
      <c r="R168" s="26" t="str">
        <f aca="false">IF($C168="","",IF($N168=0,"A COMPLETER : "&amp;IF($B168="","DATE; ","")&amp;IF($D168="","LOT; ","")&amp;IF(OR(NOT(ISNUMBER($G168)),$G168&lt;=0),"QUANTITE &gt; 0; ","")&amp;IF(AND($C168&lt;&gt;"RECEPTION",$E168=""),"EMPL. SOURCE; ","")&amp;IF(AND($C168&lt;&gt;"CONSOMMATION",$F168=""),"EMPL. DESTINATION; ","")&amp;IF(AND($C168="TRANSFERT",$E168&lt;&gt;"",$E168=$F168),"SOURCE = DESTINATION; ",""),IF($P168="EMPLACEMENT INCOHERENT","Le lot "&amp;$D168&amp;" n'existe pas sur "&amp;$E168&amp;" (stock 0). Verifier l'emplacement source.",IF($P168="STOCK INSUFFISANT","Disponible avant operation : "&amp;TEXT($O168,"#,##0.00")&amp;" kg. Ligne NON comptee en stock.",IF(COUNTIFS($B$5:$B$304,$B168,$C$5:$C$304,$C168,$D$5:$D$304,$D168,$G$5:$G$304,$G168)&gt;1,"Doublon possible (meme date, type, lot et quantite).",IF($J168="LOT NON REFERENCE","Creer d'abord la fiche du lot dans l'onglet LOTS.",""))))))</f>
        <v/>
      </c>
    </row>
    <row r="169" customFormat="false" ht="15" hidden="false" customHeight="false" outlineLevel="0" collapsed="false">
      <c r="A169" s="26" t="str">
        <f aca="false">IF($C169="","","OP-"&amp;TEXT(ROW()-4,"000"))</f>
        <v/>
      </c>
      <c r="B169" s="25"/>
      <c r="C169" s="24"/>
      <c r="D169" s="24"/>
      <c r="E169" s="24"/>
      <c r="F169" s="24"/>
      <c r="G169" s="29"/>
      <c r="H169" s="24"/>
      <c r="I169" s="24"/>
      <c r="J169" s="26" t="str">
        <f aca="false">IF($D169="","",IFERROR(INDEX(LOT_PRODE,MATCH($D169,LOT_KEY,0)),"LOT NON REFERENCE"))</f>
        <v/>
      </c>
      <c r="K169" s="26" t="str">
        <f aca="false">IF($D169="","",IFERROR(INDEX(LOT_FOURNE,MATCH($D169,LOT_KEY,0)),""))</f>
        <v/>
      </c>
      <c r="L169" s="26" t="str">
        <f aca="false">IF($E169="","",IFERROR(INDEX(EMPL_CLASSE,MATCH($E169,EMPL_KEY,0)),"?"))</f>
        <v/>
      </c>
      <c r="M169" s="26" t="str">
        <f aca="false">IF($F169="","",IFERROR(INDEX(EMPL_CLASSE,MATCH($F169,EMPL_KEY,0)),"?"))</f>
        <v/>
      </c>
      <c r="N169" s="28" t="n">
        <f aca="false">IF($C169="",0,IF(OR($B169="",$D169="",NOT(ISNUMBER($G169)),$G169&lt;=0),0,IF($C169="RECEPTION",IF($F169="",0,1),IF($C169="CONSOMMATION",IF($E169="",0,1),IF(OR($E169="",$F169="",$E169=$F169),0,1)))))</f>
        <v>0</v>
      </c>
      <c r="O169" s="27" t="str">
        <f aca="false">IF(OR($N169=0,$C169="RECEPTION"),"",SUMIFS(MVT_BRUT,MVT_LOT,$D169,MVT_EMPL,$E169)+$G169)</f>
        <v/>
      </c>
      <c r="P169" s="26" t="str">
        <f aca="false">IF($C169="","",IF($N169=0,"DONNEES MANQUANTES",IF($C169="RECEPTION","OK",IF($O169&lt;=0,"EMPLACEMENT INCOHERENT",IF($G169&gt;$O169+0.001,"STOCK INSUFFISANT","OK")))))</f>
        <v/>
      </c>
      <c r="Q169" s="28" t="n">
        <f aca="false">IF($P169="OK",1,0)</f>
        <v>0</v>
      </c>
      <c r="R169" s="26" t="str">
        <f aca="false">IF($C169="","",IF($N169=0,"A COMPLETER : "&amp;IF($B169="","DATE; ","")&amp;IF($D169="","LOT; ","")&amp;IF(OR(NOT(ISNUMBER($G169)),$G169&lt;=0),"QUANTITE &gt; 0; ","")&amp;IF(AND($C169&lt;&gt;"RECEPTION",$E169=""),"EMPL. SOURCE; ","")&amp;IF(AND($C169&lt;&gt;"CONSOMMATION",$F169=""),"EMPL. DESTINATION; ","")&amp;IF(AND($C169="TRANSFERT",$E169&lt;&gt;"",$E169=$F169),"SOURCE = DESTINATION; ",""),IF($P169="EMPLACEMENT INCOHERENT","Le lot "&amp;$D169&amp;" n'existe pas sur "&amp;$E169&amp;" (stock 0). Verifier l'emplacement source.",IF($P169="STOCK INSUFFISANT","Disponible avant operation : "&amp;TEXT($O169,"#,##0.00")&amp;" kg. Ligne NON comptee en stock.",IF(COUNTIFS($B$5:$B$304,$B169,$C$5:$C$304,$C169,$D$5:$D$304,$D169,$G$5:$G$304,$G169)&gt;1,"Doublon possible (meme date, type, lot et quantite).",IF($J169="LOT NON REFERENCE","Creer d'abord la fiche du lot dans l'onglet LOTS.",""))))))</f>
        <v/>
      </c>
    </row>
    <row r="170" customFormat="false" ht="15" hidden="false" customHeight="false" outlineLevel="0" collapsed="false">
      <c r="A170" s="26" t="str">
        <f aca="false">IF($C170="","","OP-"&amp;TEXT(ROW()-4,"000"))</f>
        <v/>
      </c>
      <c r="B170" s="25"/>
      <c r="C170" s="24"/>
      <c r="D170" s="24"/>
      <c r="E170" s="24"/>
      <c r="F170" s="24"/>
      <c r="G170" s="29"/>
      <c r="H170" s="24"/>
      <c r="I170" s="24"/>
      <c r="J170" s="26" t="str">
        <f aca="false">IF($D170="","",IFERROR(INDEX(LOT_PRODE,MATCH($D170,LOT_KEY,0)),"LOT NON REFERENCE"))</f>
        <v/>
      </c>
      <c r="K170" s="26" t="str">
        <f aca="false">IF($D170="","",IFERROR(INDEX(LOT_FOURNE,MATCH($D170,LOT_KEY,0)),""))</f>
        <v/>
      </c>
      <c r="L170" s="26" t="str">
        <f aca="false">IF($E170="","",IFERROR(INDEX(EMPL_CLASSE,MATCH($E170,EMPL_KEY,0)),"?"))</f>
        <v/>
      </c>
      <c r="M170" s="26" t="str">
        <f aca="false">IF($F170="","",IFERROR(INDEX(EMPL_CLASSE,MATCH($F170,EMPL_KEY,0)),"?"))</f>
        <v/>
      </c>
      <c r="N170" s="28" t="n">
        <f aca="false">IF($C170="",0,IF(OR($B170="",$D170="",NOT(ISNUMBER($G170)),$G170&lt;=0),0,IF($C170="RECEPTION",IF($F170="",0,1),IF($C170="CONSOMMATION",IF($E170="",0,1),IF(OR($E170="",$F170="",$E170=$F170),0,1)))))</f>
        <v>0</v>
      </c>
      <c r="O170" s="27" t="str">
        <f aca="false">IF(OR($N170=0,$C170="RECEPTION"),"",SUMIFS(MVT_BRUT,MVT_LOT,$D170,MVT_EMPL,$E170)+$G170)</f>
        <v/>
      </c>
      <c r="P170" s="26" t="str">
        <f aca="false">IF($C170="","",IF($N170=0,"DONNEES MANQUANTES",IF($C170="RECEPTION","OK",IF($O170&lt;=0,"EMPLACEMENT INCOHERENT",IF($G170&gt;$O170+0.001,"STOCK INSUFFISANT","OK")))))</f>
        <v/>
      </c>
      <c r="Q170" s="28" t="n">
        <f aca="false">IF($P170="OK",1,0)</f>
        <v>0</v>
      </c>
      <c r="R170" s="26" t="str">
        <f aca="false">IF($C170="","",IF($N170=0,"A COMPLETER : "&amp;IF($B170="","DATE; ","")&amp;IF($D170="","LOT; ","")&amp;IF(OR(NOT(ISNUMBER($G170)),$G170&lt;=0),"QUANTITE &gt; 0; ","")&amp;IF(AND($C170&lt;&gt;"RECEPTION",$E170=""),"EMPL. SOURCE; ","")&amp;IF(AND($C170&lt;&gt;"CONSOMMATION",$F170=""),"EMPL. DESTINATION; ","")&amp;IF(AND($C170="TRANSFERT",$E170&lt;&gt;"",$E170=$F170),"SOURCE = DESTINATION; ",""),IF($P170="EMPLACEMENT INCOHERENT","Le lot "&amp;$D170&amp;" n'existe pas sur "&amp;$E170&amp;" (stock 0). Verifier l'emplacement source.",IF($P170="STOCK INSUFFISANT","Disponible avant operation : "&amp;TEXT($O170,"#,##0.00")&amp;" kg. Ligne NON comptee en stock.",IF(COUNTIFS($B$5:$B$304,$B170,$C$5:$C$304,$C170,$D$5:$D$304,$D170,$G$5:$G$304,$G170)&gt;1,"Doublon possible (meme date, type, lot et quantite).",IF($J170="LOT NON REFERENCE","Creer d'abord la fiche du lot dans l'onglet LOTS.",""))))))</f>
        <v/>
      </c>
    </row>
    <row r="171" customFormat="false" ht="15" hidden="false" customHeight="false" outlineLevel="0" collapsed="false">
      <c r="A171" s="26" t="str">
        <f aca="false">IF($C171="","","OP-"&amp;TEXT(ROW()-4,"000"))</f>
        <v/>
      </c>
      <c r="B171" s="25"/>
      <c r="C171" s="24"/>
      <c r="D171" s="24"/>
      <c r="E171" s="24"/>
      <c r="F171" s="24"/>
      <c r="G171" s="29"/>
      <c r="H171" s="24"/>
      <c r="I171" s="24"/>
      <c r="J171" s="26" t="str">
        <f aca="false">IF($D171="","",IFERROR(INDEX(LOT_PRODE,MATCH($D171,LOT_KEY,0)),"LOT NON REFERENCE"))</f>
        <v/>
      </c>
      <c r="K171" s="26" t="str">
        <f aca="false">IF($D171="","",IFERROR(INDEX(LOT_FOURNE,MATCH($D171,LOT_KEY,0)),""))</f>
        <v/>
      </c>
      <c r="L171" s="26" t="str">
        <f aca="false">IF($E171="","",IFERROR(INDEX(EMPL_CLASSE,MATCH($E171,EMPL_KEY,0)),"?"))</f>
        <v/>
      </c>
      <c r="M171" s="26" t="str">
        <f aca="false">IF($F171="","",IFERROR(INDEX(EMPL_CLASSE,MATCH($F171,EMPL_KEY,0)),"?"))</f>
        <v/>
      </c>
      <c r="N171" s="28" t="n">
        <f aca="false">IF($C171="",0,IF(OR($B171="",$D171="",NOT(ISNUMBER($G171)),$G171&lt;=0),0,IF($C171="RECEPTION",IF($F171="",0,1),IF($C171="CONSOMMATION",IF($E171="",0,1),IF(OR($E171="",$F171="",$E171=$F171),0,1)))))</f>
        <v>0</v>
      </c>
      <c r="O171" s="27" t="str">
        <f aca="false">IF(OR($N171=0,$C171="RECEPTION"),"",SUMIFS(MVT_BRUT,MVT_LOT,$D171,MVT_EMPL,$E171)+$G171)</f>
        <v/>
      </c>
      <c r="P171" s="26" t="str">
        <f aca="false">IF($C171="","",IF($N171=0,"DONNEES MANQUANTES",IF($C171="RECEPTION","OK",IF($O171&lt;=0,"EMPLACEMENT INCOHERENT",IF($G171&gt;$O171+0.001,"STOCK INSUFFISANT","OK")))))</f>
        <v/>
      </c>
      <c r="Q171" s="28" t="n">
        <f aca="false">IF($P171="OK",1,0)</f>
        <v>0</v>
      </c>
      <c r="R171" s="26" t="str">
        <f aca="false">IF($C171="","",IF($N171=0,"A COMPLETER : "&amp;IF($B171="","DATE; ","")&amp;IF($D171="","LOT; ","")&amp;IF(OR(NOT(ISNUMBER($G171)),$G171&lt;=0),"QUANTITE &gt; 0; ","")&amp;IF(AND($C171&lt;&gt;"RECEPTION",$E171=""),"EMPL. SOURCE; ","")&amp;IF(AND($C171&lt;&gt;"CONSOMMATION",$F171=""),"EMPL. DESTINATION; ","")&amp;IF(AND($C171="TRANSFERT",$E171&lt;&gt;"",$E171=$F171),"SOURCE = DESTINATION; ",""),IF($P171="EMPLACEMENT INCOHERENT","Le lot "&amp;$D171&amp;" n'existe pas sur "&amp;$E171&amp;" (stock 0). Verifier l'emplacement source.",IF($P171="STOCK INSUFFISANT","Disponible avant operation : "&amp;TEXT($O171,"#,##0.00")&amp;" kg. Ligne NON comptee en stock.",IF(COUNTIFS($B$5:$B$304,$B171,$C$5:$C$304,$C171,$D$5:$D$304,$D171,$G$5:$G$304,$G171)&gt;1,"Doublon possible (meme date, type, lot et quantite).",IF($J171="LOT NON REFERENCE","Creer d'abord la fiche du lot dans l'onglet LOTS.",""))))))</f>
        <v/>
      </c>
    </row>
    <row r="172" customFormat="false" ht="15" hidden="false" customHeight="false" outlineLevel="0" collapsed="false">
      <c r="A172" s="26" t="str">
        <f aca="false">IF($C172="","","OP-"&amp;TEXT(ROW()-4,"000"))</f>
        <v/>
      </c>
      <c r="B172" s="25"/>
      <c r="C172" s="24"/>
      <c r="D172" s="24"/>
      <c r="E172" s="24"/>
      <c r="F172" s="24"/>
      <c r="G172" s="29"/>
      <c r="H172" s="24"/>
      <c r="I172" s="24"/>
      <c r="J172" s="26" t="str">
        <f aca="false">IF($D172="","",IFERROR(INDEX(LOT_PRODE,MATCH($D172,LOT_KEY,0)),"LOT NON REFERENCE"))</f>
        <v/>
      </c>
      <c r="K172" s="26" t="str">
        <f aca="false">IF($D172="","",IFERROR(INDEX(LOT_FOURNE,MATCH($D172,LOT_KEY,0)),""))</f>
        <v/>
      </c>
      <c r="L172" s="26" t="str">
        <f aca="false">IF($E172="","",IFERROR(INDEX(EMPL_CLASSE,MATCH($E172,EMPL_KEY,0)),"?"))</f>
        <v/>
      </c>
      <c r="M172" s="26" t="str">
        <f aca="false">IF($F172="","",IFERROR(INDEX(EMPL_CLASSE,MATCH($F172,EMPL_KEY,0)),"?"))</f>
        <v/>
      </c>
      <c r="N172" s="28" t="n">
        <f aca="false">IF($C172="",0,IF(OR($B172="",$D172="",NOT(ISNUMBER($G172)),$G172&lt;=0),0,IF($C172="RECEPTION",IF($F172="",0,1),IF($C172="CONSOMMATION",IF($E172="",0,1),IF(OR($E172="",$F172="",$E172=$F172),0,1)))))</f>
        <v>0</v>
      </c>
      <c r="O172" s="27" t="str">
        <f aca="false">IF(OR($N172=0,$C172="RECEPTION"),"",SUMIFS(MVT_BRUT,MVT_LOT,$D172,MVT_EMPL,$E172)+$G172)</f>
        <v/>
      </c>
      <c r="P172" s="26" t="str">
        <f aca="false">IF($C172="","",IF($N172=0,"DONNEES MANQUANTES",IF($C172="RECEPTION","OK",IF($O172&lt;=0,"EMPLACEMENT INCOHERENT",IF($G172&gt;$O172+0.001,"STOCK INSUFFISANT","OK")))))</f>
        <v/>
      </c>
      <c r="Q172" s="28" t="n">
        <f aca="false">IF($P172="OK",1,0)</f>
        <v>0</v>
      </c>
      <c r="R172" s="26" t="str">
        <f aca="false">IF($C172="","",IF($N172=0,"A COMPLETER : "&amp;IF($B172="","DATE; ","")&amp;IF($D172="","LOT; ","")&amp;IF(OR(NOT(ISNUMBER($G172)),$G172&lt;=0),"QUANTITE &gt; 0; ","")&amp;IF(AND($C172&lt;&gt;"RECEPTION",$E172=""),"EMPL. SOURCE; ","")&amp;IF(AND($C172&lt;&gt;"CONSOMMATION",$F172=""),"EMPL. DESTINATION; ","")&amp;IF(AND($C172="TRANSFERT",$E172&lt;&gt;"",$E172=$F172),"SOURCE = DESTINATION; ",""),IF($P172="EMPLACEMENT INCOHERENT","Le lot "&amp;$D172&amp;" n'existe pas sur "&amp;$E172&amp;" (stock 0). Verifier l'emplacement source.",IF($P172="STOCK INSUFFISANT","Disponible avant operation : "&amp;TEXT($O172,"#,##0.00")&amp;" kg. Ligne NON comptee en stock.",IF(COUNTIFS($B$5:$B$304,$B172,$C$5:$C$304,$C172,$D$5:$D$304,$D172,$G$5:$G$304,$G172)&gt;1,"Doublon possible (meme date, type, lot et quantite).",IF($J172="LOT NON REFERENCE","Creer d'abord la fiche du lot dans l'onglet LOTS.",""))))))</f>
        <v/>
      </c>
    </row>
    <row r="173" customFormat="false" ht="15" hidden="false" customHeight="false" outlineLevel="0" collapsed="false">
      <c r="A173" s="26" t="str">
        <f aca="false">IF($C173="","","OP-"&amp;TEXT(ROW()-4,"000"))</f>
        <v/>
      </c>
      <c r="B173" s="25"/>
      <c r="C173" s="24"/>
      <c r="D173" s="24"/>
      <c r="E173" s="24"/>
      <c r="F173" s="24"/>
      <c r="G173" s="29"/>
      <c r="H173" s="24"/>
      <c r="I173" s="24"/>
      <c r="J173" s="26" t="str">
        <f aca="false">IF($D173="","",IFERROR(INDEX(LOT_PRODE,MATCH($D173,LOT_KEY,0)),"LOT NON REFERENCE"))</f>
        <v/>
      </c>
      <c r="K173" s="26" t="str">
        <f aca="false">IF($D173="","",IFERROR(INDEX(LOT_FOURNE,MATCH($D173,LOT_KEY,0)),""))</f>
        <v/>
      </c>
      <c r="L173" s="26" t="str">
        <f aca="false">IF($E173="","",IFERROR(INDEX(EMPL_CLASSE,MATCH($E173,EMPL_KEY,0)),"?"))</f>
        <v/>
      </c>
      <c r="M173" s="26" t="str">
        <f aca="false">IF($F173="","",IFERROR(INDEX(EMPL_CLASSE,MATCH($F173,EMPL_KEY,0)),"?"))</f>
        <v/>
      </c>
      <c r="N173" s="28" t="n">
        <f aca="false">IF($C173="",0,IF(OR($B173="",$D173="",NOT(ISNUMBER($G173)),$G173&lt;=0),0,IF($C173="RECEPTION",IF($F173="",0,1),IF($C173="CONSOMMATION",IF($E173="",0,1),IF(OR($E173="",$F173="",$E173=$F173),0,1)))))</f>
        <v>0</v>
      </c>
      <c r="O173" s="27" t="str">
        <f aca="false">IF(OR($N173=0,$C173="RECEPTION"),"",SUMIFS(MVT_BRUT,MVT_LOT,$D173,MVT_EMPL,$E173)+$G173)</f>
        <v/>
      </c>
      <c r="P173" s="26" t="str">
        <f aca="false">IF($C173="","",IF($N173=0,"DONNEES MANQUANTES",IF($C173="RECEPTION","OK",IF($O173&lt;=0,"EMPLACEMENT INCOHERENT",IF($G173&gt;$O173+0.001,"STOCK INSUFFISANT","OK")))))</f>
        <v/>
      </c>
      <c r="Q173" s="28" t="n">
        <f aca="false">IF($P173="OK",1,0)</f>
        <v>0</v>
      </c>
      <c r="R173" s="26" t="str">
        <f aca="false">IF($C173="","",IF($N173=0,"A COMPLETER : "&amp;IF($B173="","DATE; ","")&amp;IF($D173="","LOT; ","")&amp;IF(OR(NOT(ISNUMBER($G173)),$G173&lt;=0),"QUANTITE &gt; 0; ","")&amp;IF(AND($C173&lt;&gt;"RECEPTION",$E173=""),"EMPL. SOURCE; ","")&amp;IF(AND($C173&lt;&gt;"CONSOMMATION",$F173=""),"EMPL. DESTINATION; ","")&amp;IF(AND($C173="TRANSFERT",$E173&lt;&gt;"",$E173=$F173),"SOURCE = DESTINATION; ",""),IF($P173="EMPLACEMENT INCOHERENT","Le lot "&amp;$D173&amp;" n'existe pas sur "&amp;$E173&amp;" (stock 0). Verifier l'emplacement source.",IF($P173="STOCK INSUFFISANT","Disponible avant operation : "&amp;TEXT($O173,"#,##0.00")&amp;" kg. Ligne NON comptee en stock.",IF(COUNTIFS($B$5:$B$304,$B173,$C$5:$C$304,$C173,$D$5:$D$304,$D173,$G$5:$G$304,$G173)&gt;1,"Doublon possible (meme date, type, lot et quantite).",IF($J173="LOT NON REFERENCE","Creer d'abord la fiche du lot dans l'onglet LOTS.",""))))))</f>
        <v/>
      </c>
    </row>
    <row r="174" customFormat="false" ht="15" hidden="false" customHeight="false" outlineLevel="0" collapsed="false">
      <c r="A174" s="26" t="str">
        <f aca="false">IF($C174="","","OP-"&amp;TEXT(ROW()-4,"000"))</f>
        <v/>
      </c>
      <c r="B174" s="25"/>
      <c r="C174" s="24"/>
      <c r="D174" s="24"/>
      <c r="E174" s="24"/>
      <c r="F174" s="24"/>
      <c r="G174" s="29"/>
      <c r="H174" s="24"/>
      <c r="I174" s="24"/>
      <c r="J174" s="26" t="str">
        <f aca="false">IF($D174="","",IFERROR(INDEX(LOT_PRODE,MATCH($D174,LOT_KEY,0)),"LOT NON REFERENCE"))</f>
        <v/>
      </c>
      <c r="K174" s="26" t="str">
        <f aca="false">IF($D174="","",IFERROR(INDEX(LOT_FOURNE,MATCH($D174,LOT_KEY,0)),""))</f>
        <v/>
      </c>
      <c r="L174" s="26" t="str">
        <f aca="false">IF($E174="","",IFERROR(INDEX(EMPL_CLASSE,MATCH($E174,EMPL_KEY,0)),"?"))</f>
        <v/>
      </c>
      <c r="M174" s="26" t="str">
        <f aca="false">IF($F174="","",IFERROR(INDEX(EMPL_CLASSE,MATCH($F174,EMPL_KEY,0)),"?"))</f>
        <v/>
      </c>
      <c r="N174" s="28" t="n">
        <f aca="false">IF($C174="",0,IF(OR($B174="",$D174="",NOT(ISNUMBER($G174)),$G174&lt;=0),0,IF($C174="RECEPTION",IF($F174="",0,1),IF($C174="CONSOMMATION",IF($E174="",0,1),IF(OR($E174="",$F174="",$E174=$F174),0,1)))))</f>
        <v>0</v>
      </c>
      <c r="O174" s="27" t="str">
        <f aca="false">IF(OR($N174=0,$C174="RECEPTION"),"",SUMIFS(MVT_BRUT,MVT_LOT,$D174,MVT_EMPL,$E174)+$G174)</f>
        <v/>
      </c>
      <c r="P174" s="26" t="str">
        <f aca="false">IF($C174="","",IF($N174=0,"DONNEES MANQUANTES",IF($C174="RECEPTION","OK",IF($O174&lt;=0,"EMPLACEMENT INCOHERENT",IF($G174&gt;$O174+0.001,"STOCK INSUFFISANT","OK")))))</f>
        <v/>
      </c>
      <c r="Q174" s="28" t="n">
        <f aca="false">IF($P174="OK",1,0)</f>
        <v>0</v>
      </c>
      <c r="R174" s="26" t="str">
        <f aca="false">IF($C174="","",IF($N174=0,"A COMPLETER : "&amp;IF($B174="","DATE; ","")&amp;IF($D174="","LOT; ","")&amp;IF(OR(NOT(ISNUMBER($G174)),$G174&lt;=0),"QUANTITE &gt; 0; ","")&amp;IF(AND($C174&lt;&gt;"RECEPTION",$E174=""),"EMPL. SOURCE; ","")&amp;IF(AND($C174&lt;&gt;"CONSOMMATION",$F174=""),"EMPL. DESTINATION; ","")&amp;IF(AND($C174="TRANSFERT",$E174&lt;&gt;"",$E174=$F174),"SOURCE = DESTINATION; ",""),IF($P174="EMPLACEMENT INCOHERENT","Le lot "&amp;$D174&amp;" n'existe pas sur "&amp;$E174&amp;" (stock 0). Verifier l'emplacement source.",IF($P174="STOCK INSUFFISANT","Disponible avant operation : "&amp;TEXT($O174,"#,##0.00")&amp;" kg. Ligne NON comptee en stock.",IF(COUNTIFS($B$5:$B$304,$B174,$C$5:$C$304,$C174,$D$5:$D$304,$D174,$G$5:$G$304,$G174)&gt;1,"Doublon possible (meme date, type, lot et quantite).",IF($J174="LOT NON REFERENCE","Creer d'abord la fiche du lot dans l'onglet LOTS.",""))))))</f>
        <v/>
      </c>
    </row>
    <row r="175" customFormat="false" ht="15" hidden="false" customHeight="false" outlineLevel="0" collapsed="false">
      <c r="A175" s="26" t="str">
        <f aca="false">IF($C175="","","OP-"&amp;TEXT(ROW()-4,"000"))</f>
        <v/>
      </c>
      <c r="B175" s="25"/>
      <c r="C175" s="24"/>
      <c r="D175" s="24"/>
      <c r="E175" s="24"/>
      <c r="F175" s="24"/>
      <c r="G175" s="29"/>
      <c r="H175" s="24"/>
      <c r="I175" s="24"/>
      <c r="J175" s="26" t="str">
        <f aca="false">IF($D175="","",IFERROR(INDEX(LOT_PRODE,MATCH($D175,LOT_KEY,0)),"LOT NON REFERENCE"))</f>
        <v/>
      </c>
      <c r="K175" s="26" t="str">
        <f aca="false">IF($D175="","",IFERROR(INDEX(LOT_FOURNE,MATCH($D175,LOT_KEY,0)),""))</f>
        <v/>
      </c>
      <c r="L175" s="26" t="str">
        <f aca="false">IF($E175="","",IFERROR(INDEX(EMPL_CLASSE,MATCH($E175,EMPL_KEY,0)),"?"))</f>
        <v/>
      </c>
      <c r="M175" s="26" t="str">
        <f aca="false">IF($F175="","",IFERROR(INDEX(EMPL_CLASSE,MATCH($F175,EMPL_KEY,0)),"?"))</f>
        <v/>
      </c>
      <c r="N175" s="28" t="n">
        <f aca="false">IF($C175="",0,IF(OR($B175="",$D175="",NOT(ISNUMBER($G175)),$G175&lt;=0),0,IF($C175="RECEPTION",IF($F175="",0,1),IF($C175="CONSOMMATION",IF($E175="",0,1),IF(OR($E175="",$F175="",$E175=$F175),0,1)))))</f>
        <v>0</v>
      </c>
      <c r="O175" s="27" t="str">
        <f aca="false">IF(OR($N175=0,$C175="RECEPTION"),"",SUMIFS(MVT_BRUT,MVT_LOT,$D175,MVT_EMPL,$E175)+$G175)</f>
        <v/>
      </c>
      <c r="P175" s="26" t="str">
        <f aca="false">IF($C175="","",IF($N175=0,"DONNEES MANQUANTES",IF($C175="RECEPTION","OK",IF($O175&lt;=0,"EMPLACEMENT INCOHERENT",IF($G175&gt;$O175+0.001,"STOCK INSUFFISANT","OK")))))</f>
        <v/>
      </c>
      <c r="Q175" s="28" t="n">
        <f aca="false">IF($P175="OK",1,0)</f>
        <v>0</v>
      </c>
      <c r="R175" s="26" t="str">
        <f aca="false">IF($C175="","",IF($N175=0,"A COMPLETER : "&amp;IF($B175="","DATE; ","")&amp;IF($D175="","LOT; ","")&amp;IF(OR(NOT(ISNUMBER($G175)),$G175&lt;=0),"QUANTITE &gt; 0; ","")&amp;IF(AND($C175&lt;&gt;"RECEPTION",$E175=""),"EMPL. SOURCE; ","")&amp;IF(AND($C175&lt;&gt;"CONSOMMATION",$F175=""),"EMPL. DESTINATION; ","")&amp;IF(AND($C175="TRANSFERT",$E175&lt;&gt;"",$E175=$F175),"SOURCE = DESTINATION; ",""),IF($P175="EMPLACEMENT INCOHERENT","Le lot "&amp;$D175&amp;" n'existe pas sur "&amp;$E175&amp;" (stock 0). Verifier l'emplacement source.",IF($P175="STOCK INSUFFISANT","Disponible avant operation : "&amp;TEXT($O175,"#,##0.00")&amp;" kg. Ligne NON comptee en stock.",IF(COUNTIFS($B$5:$B$304,$B175,$C$5:$C$304,$C175,$D$5:$D$304,$D175,$G$5:$G$304,$G175)&gt;1,"Doublon possible (meme date, type, lot et quantite).",IF($J175="LOT NON REFERENCE","Creer d'abord la fiche du lot dans l'onglet LOTS.",""))))))</f>
        <v/>
      </c>
    </row>
    <row r="176" customFormat="false" ht="15" hidden="false" customHeight="false" outlineLevel="0" collapsed="false">
      <c r="A176" s="26" t="str">
        <f aca="false">IF($C176="","","OP-"&amp;TEXT(ROW()-4,"000"))</f>
        <v/>
      </c>
      <c r="B176" s="25"/>
      <c r="C176" s="24"/>
      <c r="D176" s="24"/>
      <c r="E176" s="24"/>
      <c r="F176" s="24"/>
      <c r="G176" s="29"/>
      <c r="H176" s="24"/>
      <c r="I176" s="24"/>
      <c r="J176" s="26" t="str">
        <f aca="false">IF($D176="","",IFERROR(INDEX(LOT_PRODE,MATCH($D176,LOT_KEY,0)),"LOT NON REFERENCE"))</f>
        <v/>
      </c>
      <c r="K176" s="26" t="str">
        <f aca="false">IF($D176="","",IFERROR(INDEX(LOT_FOURNE,MATCH($D176,LOT_KEY,0)),""))</f>
        <v/>
      </c>
      <c r="L176" s="26" t="str">
        <f aca="false">IF($E176="","",IFERROR(INDEX(EMPL_CLASSE,MATCH($E176,EMPL_KEY,0)),"?"))</f>
        <v/>
      </c>
      <c r="M176" s="26" t="str">
        <f aca="false">IF($F176="","",IFERROR(INDEX(EMPL_CLASSE,MATCH($F176,EMPL_KEY,0)),"?"))</f>
        <v/>
      </c>
      <c r="N176" s="28" t="n">
        <f aca="false">IF($C176="",0,IF(OR($B176="",$D176="",NOT(ISNUMBER($G176)),$G176&lt;=0),0,IF($C176="RECEPTION",IF($F176="",0,1),IF($C176="CONSOMMATION",IF($E176="",0,1),IF(OR($E176="",$F176="",$E176=$F176),0,1)))))</f>
        <v>0</v>
      </c>
      <c r="O176" s="27" t="str">
        <f aca="false">IF(OR($N176=0,$C176="RECEPTION"),"",SUMIFS(MVT_BRUT,MVT_LOT,$D176,MVT_EMPL,$E176)+$G176)</f>
        <v/>
      </c>
      <c r="P176" s="26" t="str">
        <f aca="false">IF($C176="","",IF($N176=0,"DONNEES MANQUANTES",IF($C176="RECEPTION","OK",IF($O176&lt;=0,"EMPLACEMENT INCOHERENT",IF($G176&gt;$O176+0.001,"STOCK INSUFFISANT","OK")))))</f>
        <v/>
      </c>
      <c r="Q176" s="28" t="n">
        <f aca="false">IF($P176="OK",1,0)</f>
        <v>0</v>
      </c>
      <c r="R176" s="26" t="str">
        <f aca="false">IF($C176="","",IF($N176=0,"A COMPLETER : "&amp;IF($B176="","DATE; ","")&amp;IF($D176="","LOT; ","")&amp;IF(OR(NOT(ISNUMBER($G176)),$G176&lt;=0),"QUANTITE &gt; 0; ","")&amp;IF(AND($C176&lt;&gt;"RECEPTION",$E176=""),"EMPL. SOURCE; ","")&amp;IF(AND($C176&lt;&gt;"CONSOMMATION",$F176=""),"EMPL. DESTINATION; ","")&amp;IF(AND($C176="TRANSFERT",$E176&lt;&gt;"",$E176=$F176),"SOURCE = DESTINATION; ",""),IF($P176="EMPLACEMENT INCOHERENT","Le lot "&amp;$D176&amp;" n'existe pas sur "&amp;$E176&amp;" (stock 0). Verifier l'emplacement source.",IF($P176="STOCK INSUFFISANT","Disponible avant operation : "&amp;TEXT($O176,"#,##0.00")&amp;" kg. Ligne NON comptee en stock.",IF(COUNTIFS($B$5:$B$304,$B176,$C$5:$C$304,$C176,$D$5:$D$304,$D176,$G$5:$G$304,$G176)&gt;1,"Doublon possible (meme date, type, lot et quantite).",IF($J176="LOT NON REFERENCE","Creer d'abord la fiche du lot dans l'onglet LOTS.",""))))))</f>
        <v/>
      </c>
    </row>
    <row r="177" customFormat="false" ht="15" hidden="false" customHeight="false" outlineLevel="0" collapsed="false">
      <c r="A177" s="26" t="str">
        <f aca="false">IF($C177="","","OP-"&amp;TEXT(ROW()-4,"000"))</f>
        <v/>
      </c>
      <c r="B177" s="25"/>
      <c r="C177" s="24"/>
      <c r="D177" s="24"/>
      <c r="E177" s="24"/>
      <c r="F177" s="24"/>
      <c r="G177" s="29"/>
      <c r="H177" s="24"/>
      <c r="I177" s="24"/>
      <c r="J177" s="26" t="str">
        <f aca="false">IF($D177="","",IFERROR(INDEX(LOT_PRODE,MATCH($D177,LOT_KEY,0)),"LOT NON REFERENCE"))</f>
        <v/>
      </c>
      <c r="K177" s="26" t="str">
        <f aca="false">IF($D177="","",IFERROR(INDEX(LOT_FOURNE,MATCH($D177,LOT_KEY,0)),""))</f>
        <v/>
      </c>
      <c r="L177" s="26" t="str">
        <f aca="false">IF($E177="","",IFERROR(INDEX(EMPL_CLASSE,MATCH($E177,EMPL_KEY,0)),"?"))</f>
        <v/>
      </c>
      <c r="M177" s="26" t="str">
        <f aca="false">IF($F177="","",IFERROR(INDEX(EMPL_CLASSE,MATCH($F177,EMPL_KEY,0)),"?"))</f>
        <v/>
      </c>
      <c r="N177" s="28" t="n">
        <f aca="false">IF($C177="",0,IF(OR($B177="",$D177="",NOT(ISNUMBER($G177)),$G177&lt;=0),0,IF($C177="RECEPTION",IF($F177="",0,1),IF($C177="CONSOMMATION",IF($E177="",0,1),IF(OR($E177="",$F177="",$E177=$F177),0,1)))))</f>
        <v>0</v>
      </c>
      <c r="O177" s="27" t="str">
        <f aca="false">IF(OR($N177=0,$C177="RECEPTION"),"",SUMIFS(MVT_BRUT,MVT_LOT,$D177,MVT_EMPL,$E177)+$G177)</f>
        <v/>
      </c>
      <c r="P177" s="26" t="str">
        <f aca="false">IF($C177="","",IF($N177=0,"DONNEES MANQUANTES",IF($C177="RECEPTION","OK",IF($O177&lt;=0,"EMPLACEMENT INCOHERENT",IF($G177&gt;$O177+0.001,"STOCK INSUFFISANT","OK")))))</f>
        <v/>
      </c>
      <c r="Q177" s="28" t="n">
        <f aca="false">IF($P177="OK",1,0)</f>
        <v>0</v>
      </c>
      <c r="R177" s="26" t="str">
        <f aca="false">IF($C177="","",IF($N177=0,"A COMPLETER : "&amp;IF($B177="","DATE; ","")&amp;IF($D177="","LOT; ","")&amp;IF(OR(NOT(ISNUMBER($G177)),$G177&lt;=0),"QUANTITE &gt; 0; ","")&amp;IF(AND($C177&lt;&gt;"RECEPTION",$E177=""),"EMPL. SOURCE; ","")&amp;IF(AND($C177&lt;&gt;"CONSOMMATION",$F177=""),"EMPL. DESTINATION; ","")&amp;IF(AND($C177="TRANSFERT",$E177&lt;&gt;"",$E177=$F177),"SOURCE = DESTINATION; ",""),IF($P177="EMPLACEMENT INCOHERENT","Le lot "&amp;$D177&amp;" n'existe pas sur "&amp;$E177&amp;" (stock 0). Verifier l'emplacement source.",IF($P177="STOCK INSUFFISANT","Disponible avant operation : "&amp;TEXT($O177,"#,##0.00")&amp;" kg. Ligne NON comptee en stock.",IF(COUNTIFS($B$5:$B$304,$B177,$C$5:$C$304,$C177,$D$5:$D$304,$D177,$G$5:$G$304,$G177)&gt;1,"Doublon possible (meme date, type, lot et quantite).",IF($J177="LOT NON REFERENCE","Creer d'abord la fiche du lot dans l'onglet LOTS.",""))))))</f>
        <v/>
      </c>
    </row>
    <row r="178" customFormat="false" ht="15" hidden="false" customHeight="false" outlineLevel="0" collapsed="false">
      <c r="A178" s="26" t="str">
        <f aca="false">IF($C178="","","OP-"&amp;TEXT(ROW()-4,"000"))</f>
        <v/>
      </c>
      <c r="B178" s="25"/>
      <c r="C178" s="24"/>
      <c r="D178" s="24"/>
      <c r="E178" s="24"/>
      <c r="F178" s="24"/>
      <c r="G178" s="29"/>
      <c r="H178" s="24"/>
      <c r="I178" s="24"/>
      <c r="J178" s="26" t="str">
        <f aca="false">IF($D178="","",IFERROR(INDEX(LOT_PRODE,MATCH($D178,LOT_KEY,0)),"LOT NON REFERENCE"))</f>
        <v/>
      </c>
      <c r="K178" s="26" t="str">
        <f aca="false">IF($D178="","",IFERROR(INDEX(LOT_FOURNE,MATCH($D178,LOT_KEY,0)),""))</f>
        <v/>
      </c>
      <c r="L178" s="26" t="str">
        <f aca="false">IF($E178="","",IFERROR(INDEX(EMPL_CLASSE,MATCH($E178,EMPL_KEY,0)),"?"))</f>
        <v/>
      </c>
      <c r="M178" s="26" t="str">
        <f aca="false">IF($F178="","",IFERROR(INDEX(EMPL_CLASSE,MATCH($F178,EMPL_KEY,0)),"?"))</f>
        <v/>
      </c>
      <c r="N178" s="28" t="n">
        <f aca="false">IF($C178="",0,IF(OR($B178="",$D178="",NOT(ISNUMBER($G178)),$G178&lt;=0),0,IF($C178="RECEPTION",IF($F178="",0,1),IF($C178="CONSOMMATION",IF($E178="",0,1),IF(OR($E178="",$F178="",$E178=$F178),0,1)))))</f>
        <v>0</v>
      </c>
      <c r="O178" s="27" t="str">
        <f aca="false">IF(OR($N178=0,$C178="RECEPTION"),"",SUMIFS(MVT_BRUT,MVT_LOT,$D178,MVT_EMPL,$E178)+$G178)</f>
        <v/>
      </c>
      <c r="P178" s="26" t="str">
        <f aca="false">IF($C178="","",IF($N178=0,"DONNEES MANQUANTES",IF($C178="RECEPTION","OK",IF($O178&lt;=0,"EMPLACEMENT INCOHERENT",IF($G178&gt;$O178+0.001,"STOCK INSUFFISANT","OK")))))</f>
        <v/>
      </c>
      <c r="Q178" s="28" t="n">
        <f aca="false">IF($P178="OK",1,0)</f>
        <v>0</v>
      </c>
      <c r="R178" s="26" t="str">
        <f aca="false">IF($C178="","",IF($N178=0,"A COMPLETER : "&amp;IF($B178="","DATE; ","")&amp;IF($D178="","LOT; ","")&amp;IF(OR(NOT(ISNUMBER($G178)),$G178&lt;=0),"QUANTITE &gt; 0; ","")&amp;IF(AND($C178&lt;&gt;"RECEPTION",$E178=""),"EMPL. SOURCE; ","")&amp;IF(AND($C178&lt;&gt;"CONSOMMATION",$F178=""),"EMPL. DESTINATION; ","")&amp;IF(AND($C178="TRANSFERT",$E178&lt;&gt;"",$E178=$F178),"SOURCE = DESTINATION; ",""),IF($P178="EMPLACEMENT INCOHERENT","Le lot "&amp;$D178&amp;" n'existe pas sur "&amp;$E178&amp;" (stock 0). Verifier l'emplacement source.",IF($P178="STOCK INSUFFISANT","Disponible avant operation : "&amp;TEXT($O178,"#,##0.00")&amp;" kg. Ligne NON comptee en stock.",IF(COUNTIFS($B$5:$B$304,$B178,$C$5:$C$304,$C178,$D$5:$D$304,$D178,$G$5:$G$304,$G178)&gt;1,"Doublon possible (meme date, type, lot et quantite).",IF($J178="LOT NON REFERENCE","Creer d'abord la fiche du lot dans l'onglet LOTS.",""))))))</f>
        <v/>
      </c>
    </row>
    <row r="179" customFormat="false" ht="15" hidden="false" customHeight="false" outlineLevel="0" collapsed="false">
      <c r="A179" s="26" t="str">
        <f aca="false">IF($C179="","","OP-"&amp;TEXT(ROW()-4,"000"))</f>
        <v/>
      </c>
      <c r="B179" s="25"/>
      <c r="C179" s="24"/>
      <c r="D179" s="24"/>
      <c r="E179" s="24"/>
      <c r="F179" s="24"/>
      <c r="G179" s="29"/>
      <c r="H179" s="24"/>
      <c r="I179" s="24"/>
      <c r="J179" s="26" t="str">
        <f aca="false">IF($D179="","",IFERROR(INDEX(LOT_PRODE,MATCH($D179,LOT_KEY,0)),"LOT NON REFERENCE"))</f>
        <v/>
      </c>
      <c r="K179" s="26" t="str">
        <f aca="false">IF($D179="","",IFERROR(INDEX(LOT_FOURNE,MATCH($D179,LOT_KEY,0)),""))</f>
        <v/>
      </c>
      <c r="L179" s="26" t="str">
        <f aca="false">IF($E179="","",IFERROR(INDEX(EMPL_CLASSE,MATCH($E179,EMPL_KEY,0)),"?"))</f>
        <v/>
      </c>
      <c r="M179" s="26" t="str">
        <f aca="false">IF($F179="","",IFERROR(INDEX(EMPL_CLASSE,MATCH($F179,EMPL_KEY,0)),"?"))</f>
        <v/>
      </c>
      <c r="N179" s="28" t="n">
        <f aca="false">IF($C179="",0,IF(OR($B179="",$D179="",NOT(ISNUMBER($G179)),$G179&lt;=0),0,IF($C179="RECEPTION",IF($F179="",0,1),IF($C179="CONSOMMATION",IF($E179="",0,1),IF(OR($E179="",$F179="",$E179=$F179),0,1)))))</f>
        <v>0</v>
      </c>
      <c r="O179" s="27" t="str">
        <f aca="false">IF(OR($N179=0,$C179="RECEPTION"),"",SUMIFS(MVT_BRUT,MVT_LOT,$D179,MVT_EMPL,$E179)+$G179)</f>
        <v/>
      </c>
      <c r="P179" s="26" t="str">
        <f aca="false">IF($C179="","",IF($N179=0,"DONNEES MANQUANTES",IF($C179="RECEPTION","OK",IF($O179&lt;=0,"EMPLACEMENT INCOHERENT",IF($G179&gt;$O179+0.001,"STOCK INSUFFISANT","OK")))))</f>
        <v/>
      </c>
      <c r="Q179" s="28" t="n">
        <f aca="false">IF($P179="OK",1,0)</f>
        <v>0</v>
      </c>
      <c r="R179" s="26" t="str">
        <f aca="false">IF($C179="","",IF($N179=0,"A COMPLETER : "&amp;IF($B179="","DATE; ","")&amp;IF($D179="","LOT; ","")&amp;IF(OR(NOT(ISNUMBER($G179)),$G179&lt;=0),"QUANTITE &gt; 0; ","")&amp;IF(AND($C179&lt;&gt;"RECEPTION",$E179=""),"EMPL. SOURCE; ","")&amp;IF(AND($C179&lt;&gt;"CONSOMMATION",$F179=""),"EMPL. DESTINATION; ","")&amp;IF(AND($C179="TRANSFERT",$E179&lt;&gt;"",$E179=$F179),"SOURCE = DESTINATION; ",""),IF($P179="EMPLACEMENT INCOHERENT","Le lot "&amp;$D179&amp;" n'existe pas sur "&amp;$E179&amp;" (stock 0). Verifier l'emplacement source.",IF($P179="STOCK INSUFFISANT","Disponible avant operation : "&amp;TEXT($O179,"#,##0.00")&amp;" kg. Ligne NON comptee en stock.",IF(COUNTIFS($B$5:$B$304,$B179,$C$5:$C$304,$C179,$D$5:$D$304,$D179,$G$5:$G$304,$G179)&gt;1,"Doublon possible (meme date, type, lot et quantite).",IF($J179="LOT NON REFERENCE","Creer d'abord la fiche du lot dans l'onglet LOTS.",""))))))</f>
        <v/>
      </c>
    </row>
    <row r="180" customFormat="false" ht="15" hidden="false" customHeight="false" outlineLevel="0" collapsed="false">
      <c r="A180" s="26" t="str">
        <f aca="false">IF($C180="","","OP-"&amp;TEXT(ROW()-4,"000"))</f>
        <v/>
      </c>
      <c r="B180" s="25"/>
      <c r="C180" s="24"/>
      <c r="D180" s="24"/>
      <c r="E180" s="24"/>
      <c r="F180" s="24"/>
      <c r="G180" s="29"/>
      <c r="H180" s="24"/>
      <c r="I180" s="24"/>
      <c r="J180" s="26" t="str">
        <f aca="false">IF($D180="","",IFERROR(INDEX(LOT_PRODE,MATCH($D180,LOT_KEY,0)),"LOT NON REFERENCE"))</f>
        <v/>
      </c>
      <c r="K180" s="26" t="str">
        <f aca="false">IF($D180="","",IFERROR(INDEX(LOT_FOURNE,MATCH($D180,LOT_KEY,0)),""))</f>
        <v/>
      </c>
      <c r="L180" s="26" t="str">
        <f aca="false">IF($E180="","",IFERROR(INDEX(EMPL_CLASSE,MATCH($E180,EMPL_KEY,0)),"?"))</f>
        <v/>
      </c>
      <c r="M180" s="26" t="str">
        <f aca="false">IF($F180="","",IFERROR(INDEX(EMPL_CLASSE,MATCH($F180,EMPL_KEY,0)),"?"))</f>
        <v/>
      </c>
      <c r="N180" s="28" t="n">
        <f aca="false">IF($C180="",0,IF(OR($B180="",$D180="",NOT(ISNUMBER($G180)),$G180&lt;=0),0,IF($C180="RECEPTION",IF($F180="",0,1),IF($C180="CONSOMMATION",IF($E180="",0,1),IF(OR($E180="",$F180="",$E180=$F180),0,1)))))</f>
        <v>0</v>
      </c>
      <c r="O180" s="27" t="str">
        <f aca="false">IF(OR($N180=0,$C180="RECEPTION"),"",SUMIFS(MVT_BRUT,MVT_LOT,$D180,MVT_EMPL,$E180)+$G180)</f>
        <v/>
      </c>
      <c r="P180" s="26" t="str">
        <f aca="false">IF($C180="","",IF($N180=0,"DONNEES MANQUANTES",IF($C180="RECEPTION","OK",IF($O180&lt;=0,"EMPLACEMENT INCOHERENT",IF($G180&gt;$O180+0.001,"STOCK INSUFFISANT","OK")))))</f>
        <v/>
      </c>
      <c r="Q180" s="28" t="n">
        <f aca="false">IF($P180="OK",1,0)</f>
        <v>0</v>
      </c>
      <c r="R180" s="26" t="str">
        <f aca="false">IF($C180="","",IF($N180=0,"A COMPLETER : "&amp;IF($B180="","DATE; ","")&amp;IF($D180="","LOT; ","")&amp;IF(OR(NOT(ISNUMBER($G180)),$G180&lt;=0),"QUANTITE &gt; 0; ","")&amp;IF(AND($C180&lt;&gt;"RECEPTION",$E180=""),"EMPL. SOURCE; ","")&amp;IF(AND($C180&lt;&gt;"CONSOMMATION",$F180=""),"EMPL. DESTINATION; ","")&amp;IF(AND($C180="TRANSFERT",$E180&lt;&gt;"",$E180=$F180),"SOURCE = DESTINATION; ",""),IF($P180="EMPLACEMENT INCOHERENT","Le lot "&amp;$D180&amp;" n'existe pas sur "&amp;$E180&amp;" (stock 0). Verifier l'emplacement source.",IF($P180="STOCK INSUFFISANT","Disponible avant operation : "&amp;TEXT($O180,"#,##0.00")&amp;" kg. Ligne NON comptee en stock.",IF(COUNTIFS($B$5:$B$304,$B180,$C$5:$C$304,$C180,$D$5:$D$304,$D180,$G$5:$G$304,$G180)&gt;1,"Doublon possible (meme date, type, lot et quantite).",IF($J180="LOT NON REFERENCE","Creer d'abord la fiche du lot dans l'onglet LOTS.",""))))))</f>
        <v/>
      </c>
    </row>
    <row r="181" customFormat="false" ht="15" hidden="false" customHeight="false" outlineLevel="0" collapsed="false">
      <c r="A181" s="26" t="str">
        <f aca="false">IF($C181="","","OP-"&amp;TEXT(ROW()-4,"000"))</f>
        <v/>
      </c>
      <c r="B181" s="25"/>
      <c r="C181" s="24"/>
      <c r="D181" s="24"/>
      <c r="E181" s="24"/>
      <c r="F181" s="24"/>
      <c r="G181" s="29"/>
      <c r="H181" s="24"/>
      <c r="I181" s="24"/>
      <c r="J181" s="26" t="str">
        <f aca="false">IF($D181="","",IFERROR(INDEX(LOT_PRODE,MATCH($D181,LOT_KEY,0)),"LOT NON REFERENCE"))</f>
        <v/>
      </c>
      <c r="K181" s="26" t="str">
        <f aca="false">IF($D181="","",IFERROR(INDEX(LOT_FOURNE,MATCH($D181,LOT_KEY,0)),""))</f>
        <v/>
      </c>
      <c r="L181" s="26" t="str">
        <f aca="false">IF($E181="","",IFERROR(INDEX(EMPL_CLASSE,MATCH($E181,EMPL_KEY,0)),"?"))</f>
        <v/>
      </c>
      <c r="M181" s="26" t="str">
        <f aca="false">IF($F181="","",IFERROR(INDEX(EMPL_CLASSE,MATCH($F181,EMPL_KEY,0)),"?"))</f>
        <v/>
      </c>
      <c r="N181" s="28" t="n">
        <f aca="false">IF($C181="",0,IF(OR($B181="",$D181="",NOT(ISNUMBER($G181)),$G181&lt;=0),0,IF($C181="RECEPTION",IF($F181="",0,1),IF($C181="CONSOMMATION",IF($E181="",0,1),IF(OR($E181="",$F181="",$E181=$F181),0,1)))))</f>
        <v>0</v>
      </c>
      <c r="O181" s="27" t="str">
        <f aca="false">IF(OR($N181=0,$C181="RECEPTION"),"",SUMIFS(MVT_BRUT,MVT_LOT,$D181,MVT_EMPL,$E181)+$G181)</f>
        <v/>
      </c>
      <c r="P181" s="26" t="str">
        <f aca="false">IF($C181="","",IF($N181=0,"DONNEES MANQUANTES",IF($C181="RECEPTION","OK",IF($O181&lt;=0,"EMPLACEMENT INCOHERENT",IF($G181&gt;$O181+0.001,"STOCK INSUFFISANT","OK")))))</f>
        <v/>
      </c>
      <c r="Q181" s="28" t="n">
        <f aca="false">IF($P181="OK",1,0)</f>
        <v>0</v>
      </c>
      <c r="R181" s="26" t="str">
        <f aca="false">IF($C181="","",IF($N181=0,"A COMPLETER : "&amp;IF($B181="","DATE; ","")&amp;IF($D181="","LOT; ","")&amp;IF(OR(NOT(ISNUMBER($G181)),$G181&lt;=0),"QUANTITE &gt; 0; ","")&amp;IF(AND($C181&lt;&gt;"RECEPTION",$E181=""),"EMPL. SOURCE; ","")&amp;IF(AND($C181&lt;&gt;"CONSOMMATION",$F181=""),"EMPL. DESTINATION; ","")&amp;IF(AND($C181="TRANSFERT",$E181&lt;&gt;"",$E181=$F181),"SOURCE = DESTINATION; ",""),IF($P181="EMPLACEMENT INCOHERENT","Le lot "&amp;$D181&amp;" n'existe pas sur "&amp;$E181&amp;" (stock 0). Verifier l'emplacement source.",IF($P181="STOCK INSUFFISANT","Disponible avant operation : "&amp;TEXT($O181,"#,##0.00")&amp;" kg. Ligne NON comptee en stock.",IF(COUNTIFS($B$5:$B$304,$B181,$C$5:$C$304,$C181,$D$5:$D$304,$D181,$G$5:$G$304,$G181)&gt;1,"Doublon possible (meme date, type, lot et quantite).",IF($J181="LOT NON REFERENCE","Creer d'abord la fiche du lot dans l'onglet LOTS.",""))))))</f>
        <v/>
      </c>
    </row>
    <row r="182" customFormat="false" ht="15" hidden="false" customHeight="false" outlineLevel="0" collapsed="false">
      <c r="A182" s="26" t="str">
        <f aca="false">IF($C182="","","OP-"&amp;TEXT(ROW()-4,"000"))</f>
        <v/>
      </c>
      <c r="B182" s="25"/>
      <c r="C182" s="24"/>
      <c r="D182" s="24"/>
      <c r="E182" s="24"/>
      <c r="F182" s="24"/>
      <c r="G182" s="29"/>
      <c r="H182" s="24"/>
      <c r="I182" s="24"/>
      <c r="J182" s="26" t="str">
        <f aca="false">IF($D182="","",IFERROR(INDEX(LOT_PRODE,MATCH($D182,LOT_KEY,0)),"LOT NON REFERENCE"))</f>
        <v/>
      </c>
      <c r="K182" s="26" t="str">
        <f aca="false">IF($D182="","",IFERROR(INDEX(LOT_FOURNE,MATCH($D182,LOT_KEY,0)),""))</f>
        <v/>
      </c>
      <c r="L182" s="26" t="str">
        <f aca="false">IF($E182="","",IFERROR(INDEX(EMPL_CLASSE,MATCH($E182,EMPL_KEY,0)),"?"))</f>
        <v/>
      </c>
      <c r="M182" s="26" t="str">
        <f aca="false">IF($F182="","",IFERROR(INDEX(EMPL_CLASSE,MATCH($F182,EMPL_KEY,0)),"?"))</f>
        <v/>
      </c>
      <c r="N182" s="28" t="n">
        <f aca="false">IF($C182="",0,IF(OR($B182="",$D182="",NOT(ISNUMBER($G182)),$G182&lt;=0),0,IF($C182="RECEPTION",IF($F182="",0,1),IF($C182="CONSOMMATION",IF($E182="",0,1),IF(OR($E182="",$F182="",$E182=$F182),0,1)))))</f>
        <v>0</v>
      </c>
      <c r="O182" s="27" t="str">
        <f aca="false">IF(OR($N182=0,$C182="RECEPTION"),"",SUMIFS(MVT_BRUT,MVT_LOT,$D182,MVT_EMPL,$E182)+$G182)</f>
        <v/>
      </c>
      <c r="P182" s="26" t="str">
        <f aca="false">IF($C182="","",IF($N182=0,"DONNEES MANQUANTES",IF($C182="RECEPTION","OK",IF($O182&lt;=0,"EMPLACEMENT INCOHERENT",IF($G182&gt;$O182+0.001,"STOCK INSUFFISANT","OK")))))</f>
        <v/>
      </c>
      <c r="Q182" s="28" t="n">
        <f aca="false">IF($P182="OK",1,0)</f>
        <v>0</v>
      </c>
      <c r="R182" s="26" t="str">
        <f aca="false">IF($C182="","",IF($N182=0,"A COMPLETER : "&amp;IF($B182="","DATE; ","")&amp;IF($D182="","LOT; ","")&amp;IF(OR(NOT(ISNUMBER($G182)),$G182&lt;=0),"QUANTITE &gt; 0; ","")&amp;IF(AND($C182&lt;&gt;"RECEPTION",$E182=""),"EMPL. SOURCE; ","")&amp;IF(AND($C182&lt;&gt;"CONSOMMATION",$F182=""),"EMPL. DESTINATION; ","")&amp;IF(AND($C182="TRANSFERT",$E182&lt;&gt;"",$E182=$F182),"SOURCE = DESTINATION; ",""),IF($P182="EMPLACEMENT INCOHERENT","Le lot "&amp;$D182&amp;" n'existe pas sur "&amp;$E182&amp;" (stock 0). Verifier l'emplacement source.",IF($P182="STOCK INSUFFISANT","Disponible avant operation : "&amp;TEXT($O182,"#,##0.00")&amp;" kg. Ligne NON comptee en stock.",IF(COUNTIFS($B$5:$B$304,$B182,$C$5:$C$304,$C182,$D$5:$D$304,$D182,$G$5:$G$304,$G182)&gt;1,"Doublon possible (meme date, type, lot et quantite).",IF($J182="LOT NON REFERENCE","Creer d'abord la fiche du lot dans l'onglet LOTS.",""))))))</f>
        <v/>
      </c>
    </row>
    <row r="183" customFormat="false" ht="15" hidden="false" customHeight="false" outlineLevel="0" collapsed="false">
      <c r="A183" s="26" t="str">
        <f aca="false">IF($C183="","","OP-"&amp;TEXT(ROW()-4,"000"))</f>
        <v/>
      </c>
      <c r="B183" s="25"/>
      <c r="C183" s="24"/>
      <c r="D183" s="24"/>
      <c r="E183" s="24"/>
      <c r="F183" s="24"/>
      <c r="G183" s="29"/>
      <c r="H183" s="24"/>
      <c r="I183" s="24"/>
      <c r="J183" s="26" t="str">
        <f aca="false">IF($D183="","",IFERROR(INDEX(LOT_PRODE,MATCH($D183,LOT_KEY,0)),"LOT NON REFERENCE"))</f>
        <v/>
      </c>
      <c r="K183" s="26" t="str">
        <f aca="false">IF($D183="","",IFERROR(INDEX(LOT_FOURNE,MATCH($D183,LOT_KEY,0)),""))</f>
        <v/>
      </c>
      <c r="L183" s="26" t="str">
        <f aca="false">IF($E183="","",IFERROR(INDEX(EMPL_CLASSE,MATCH($E183,EMPL_KEY,0)),"?"))</f>
        <v/>
      </c>
      <c r="M183" s="26" t="str">
        <f aca="false">IF($F183="","",IFERROR(INDEX(EMPL_CLASSE,MATCH($F183,EMPL_KEY,0)),"?"))</f>
        <v/>
      </c>
      <c r="N183" s="28" t="n">
        <f aca="false">IF($C183="",0,IF(OR($B183="",$D183="",NOT(ISNUMBER($G183)),$G183&lt;=0),0,IF($C183="RECEPTION",IF($F183="",0,1),IF($C183="CONSOMMATION",IF($E183="",0,1),IF(OR($E183="",$F183="",$E183=$F183),0,1)))))</f>
        <v>0</v>
      </c>
      <c r="O183" s="27" t="str">
        <f aca="false">IF(OR($N183=0,$C183="RECEPTION"),"",SUMIFS(MVT_BRUT,MVT_LOT,$D183,MVT_EMPL,$E183)+$G183)</f>
        <v/>
      </c>
      <c r="P183" s="26" t="str">
        <f aca="false">IF($C183="","",IF($N183=0,"DONNEES MANQUANTES",IF($C183="RECEPTION","OK",IF($O183&lt;=0,"EMPLACEMENT INCOHERENT",IF($G183&gt;$O183+0.001,"STOCK INSUFFISANT","OK")))))</f>
        <v/>
      </c>
      <c r="Q183" s="28" t="n">
        <f aca="false">IF($P183="OK",1,0)</f>
        <v>0</v>
      </c>
      <c r="R183" s="26" t="str">
        <f aca="false">IF($C183="","",IF($N183=0,"A COMPLETER : "&amp;IF($B183="","DATE; ","")&amp;IF($D183="","LOT; ","")&amp;IF(OR(NOT(ISNUMBER($G183)),$G183&lt;=0),"QUANTITE &gt; 0; ","")&amp;IF(AND($C183&lt;&gt;"RECEPTION",$E183=""),"EMPL. SOURCE; ","")&amp;IF(AND($C183&lt;&gt;"CONSOMMATION",$F183=""),"EMPL. DESTINATION; ","")&amp;IF(AND($C183="TRANSFERT",$E183&lt;&gt;"",$E183=$F183),"SOURCE = DESTINATION; ",""),IF($P183="EMPLACEMENT INCOHERENT","Le lot "&amp;$D183&amp;" n'existe pas sur "&amp;$E183&amp;" (stock 0). Verifier l'emplacement source.",IF($P183="STOCK INSUFFISANT","Disponible avant operation : "&amp;TEXT($O183,"#,##0.00")&amp;" kg. Ligne NON comptee en stock.",IF(COUNTIFS($B$5:$B$304,$B183,$C$5:$C$304,$C183,$D$5:$D$304,$D183,$G$5:$G$304,$G183)&gt;1,"Doublon possible (meme date, type, lot et quantite).",IF($J183="LOT NON REFERENCE","Creer d'abord la fiche du lot dans l'onglet LOTS.",""))))))</f>
        <v/>
      </c>
    </row>
    <row r="184" customFormat="false" ht="15" hidden="false" customHeight="false" outlineLevel="0" collapsed="false">
      <c r="A184" s="26" t="str">
        <f aca="false">IF($C184="","","OP-"&amp;TEXT(ROW()-4,"000"))</f>
        <v/>
      </c>
      <c r="B184" s="25"/>
      <c r="C184" s="24"/>
      <c r="D184" s="24"/>
      <c r="E184" s="24"/>
      <c r="F184" s="24"/>
      <c r="G184" s="29"/>
      <c r="H184" s="24"/>
      <c r="I184" s="24"/>
      <c r="J184" s="26" t="str">
        <f aca="false">IF($D184="","",IFERROR(INDEX(LOT_PRODE,MATCH($D184,LOT_KEY,0)),"LOT NON REFERENCE"))</f>
        <v/>
      </c>
      <c r="K184" s="26" t="str">
        <f aca="false">IF($D184="","",IFERROR(INDEX(LOT_FOURNE,MATCH($D184,LOT_KEY,0)),""))</f>
        <v/>
      </c>
      <c r="L184" s="26" t="str">
        <f aca="false">IF($E184="","",IFERROR(INDEX(EMPL_CLASSE,MATCH($E184,EMPL_KEY,0)),"?"))</f>
        <v/>
      </c>
      <c r="M184" s="26" t="str">
        <f aca="false">IF($F184="","",IFERROR(INDEX(EMPL_CLASSE,MATCH($F184,EMPL_KEY,0)),"?"))</f>
        <v/>
      </c>
      <c r="N184" s="28" t="n">
        <f aca="false">IF($C184="",0,IF(OR($B184="",$D184="",NOT(ISNUMBER($G184)),$G184&lt;=0),0,IF($C184="RECEPTION",IF($F184="",0,1),IF($C184="CONSOMMATION",IF($E184="",0,1),IF(OR($E184="",$F184="",$E184=$F184),0,1)))))</f>
        <v>0</v>
      </c>
      <c r="O184" s="27" t="str">
        <f aca="false">IF(OR($N184=0,$C184="RECEPTION"),"",SUMIFS(MVT_BRUT,MVT_LOT,$D184,MVT_EMPL,$E184)+$G184)</f>
        <v/>
      </c>
      <c r="P184" s="26" t="str">
        <f aca="false">IF($C184="","",IF($N184=0,"DONNEES MANQUANTES",IF($C184="RECEPTION","OK",IF($O184&lt;=0,"EMPLACEMENT INCOHERENT",IF($G184&gt;$O184+0.001,"STOCK INSUFFISANT","OK")))))</f>
        <v/>
      </c>
      <c r="Q184" s="28" t="n">
        <f aca="false">IF($P184="OK",1,0)</f>
        <v>0</v>
      </c>
      <c r="R184" s="26" t="str">
        <f aca="false">IF($C184="","",IF($N184=0,"A COMPLETER : "&amp;IF($B184="","DATE; ","")&amp;IF($D184="","LOT; ","")&amp;IF(OR(NOT(ISNUMBER($G184)),$G184&lt;=0),"QUANTITE &gt; 0; ","")&amp;IF(AND($C184&lt;&gt;"RECEPTION",$E184=""),"EMPL. SOURCE; ","")&amp;IF(AND($C184&lt;&gt;"CONSOMMATION",$F184=""),"EMPL. DESTINATION; ","")&amp;IF(AND($C184="TRANSFERT",$E184&lt;&gt;"",$E184=$F184),"SOURCE = DESTINATION; ",""),IF($P184="EMPLACEMENT INCOHERENT","Le lot "&amp;$D184&amp;" n'existe pas sur "&amp;$E184&amp;" (stock 0). Verifier l'emplacement source.",IF($P184="STOCK INSUFFISANT","Disponible avant operation : "&amp;TEXT($O184,"#,##0.00")&amp;" kg. Ligne NON comptee en stock.",IF(COUNTIFS($B$5:$B$304,$B184,$C$5:$C$304,$C184,$D$5:$D$304,$D184,$G$5:$G$304,$G184)&gt;1,"Doublon possible (meme date, type, lot et quantite).",IF($J184="LOT NON REFERENCE","Creer d'abord la fiche du lot dans l'onglet LOTS.",""))))))</f>
        <v/>
      </c>
    </row>
    <row r="185" customFormat="false" ht="15" hidden="false" customHeight="false" outlineLevel="0" collapsed="false">
      <c r="A185" s="26" t="str">
        <f aca="false">IF($C185="","","OP-"&amp;TEXT(ROW()-4,"000"))</f>
        <v/>
      </c>
      <c r="B185" s="25"/>
      <c r="C185" s="24"/>
      <c r="D185" s="24"/>
      <c r="E185" s="24"/>
      <c r="F185" s="24"/>
      <c r="G185" s="29"/>
      <c r="H185" s="24"/>
      <c r="I185" s="24"/>
      <c r="J185" s="26" t="str">
        <f aca="false">IF($D185="","",IFERROR(INDEX(LOT_PRODE,MATCH($D185,LOT_KEY,0)),"LOT NON REFERENCE"))</f>
        <v/>
      </c>
      <c r="K185" s="26" t="str">
        <f aca="false">IF($D185="","",IFERROR(INDEX(LOT_FOURNE,MATCH($D185,LOT_KEY,0)),""))</f>
        <v/>
      </c>
      <c r="L185" s="26" t="str">
        <f aca="false">IF($E185="","",IFERROR(INDEX(EMPL_CLASSE,MATCH($E185,EMPL_KEY,0)),"?"))</f>
        <v/>
      </c>
      <c r="M185" s="26" t="str">
        <f aca="false">IF($F185="","",IFERROR(INDEX(EMPL_CLASSE,MATCH($F185,EMPL_KEY,0)),"?"))</f>
        <v/>
      </c>
      <c r="N185" s="28" t="n">
        <f aca="false">IF($C185="",0,IF(OR($B185="",$D185="",NOT(ISNUMBER($G185)),$G185&lt;=0),0,IF($C185="RECEPTION",IF($F185="",0,1),IF($C185="CONSOMMATION",IF($E185="",0,1),IF(OR($E185="",$F185="",$E185=$F185),0,1)))))</f>
        <v>0</v>
      </c>
      <c r="O185" s="27" t="str">
        <f aca="false">IF(OR($N185=0,$C185="RECEPTION"),"",SUMIFS(MVT_BRUT,MVT_LOT,$D185,MVT_EMPL,$E185)+$G185)</f>
        <v/>
      </c>
      <c r="P185" s="26" t="str">
        <f aca="false">IF($C185="","",IF($N185=0,"DONNEES MANQUANTES",IF($C185="RECEPTION","OK",IF($O185&lt;=0,"EMPLACEMENT INCOHERENT",IF($G185&gt;$O185+0.001,"STOCK INSUFFISANT","OK")))))</f>
        <v/>
      </c>
      <c r="Q185" s="28" t="n">
        <f aca="false">IF($P185="OK",1,0)</f>
        <v>0</v>
      </c>
      <c r="R185" s="26" t="str">
        <f aca="false">IF($C185="","",IF($N185=0,"A COMPLETER : "&amp;IF($B185="","DATE; ","")&amp;IF($D185="","LOT; ","")&amp;IF(OR(NOT(ISNUMBER($G185)),$G185&lt;=0),"QUANTITE &gt; 0; ","")&amp;IF(AND($C185&lt;&gt;"RECEPTION",$E185=""),"EMPL. SOURCE; ","")&amp;IF(AND($C185&lt;&gt;"CONSOMMATION",$F185=""),"EMPL. DESTINATION; ","")&amp;IF(AND($C185="TRANSFERT",$E185&lt;&gt;"",$E185=$F185),"SOURCE = DESTINATION; ",""),IF($P185="EMPLACEMENT INCOHERENT","Le lot "&amp;$D185&amp;" n'existe pas sur "&amp;$E185&amp;" (stock 0). Verifier l'emplacement source.",IF($P185="STOCK INSUFFISANT","Disponible avant operation : "&amp;TEXT($O185,"#,##0.00")&amp;" kg. Ligne NON comptee en stock.",IF(COUNTIFS($B$5:$B$304,$B185,$C$5:$C$304,$C185,$D$5:$D$304,$D185,$G$5:$G$304,$G185)&gt;1,"Doublon possible (meme date, type, lot et quantite).",IF($J185="LOT NON REFERENCE","Creer d'abord la fiche du lot dans l'onglet LOTS.",""))))))</f>
        <v/>
      </c>
    </row>
    <row r="186" customFormat="false" ht="15" hidden="false" customHeight="false" outlineLevel="0" collapsed="false">
      <c r="A186" s="26" t="str">
        <f aca="false">IF($C186="","","OP-"&amp;TEXT(ROW()-4,"000"))</f>
        <v/>
      </c>
      <c r="B186" s="25"/>
      <c r="C186" s="24"/>
      <c r="D186" s="24"/>
      <c r="E186" s="24"/>
      <c r="F186" s="24"/>
      <c r="G186" s="29"/>
      <c r="H186" s="24"/>
      <c r="I186" s="24"/>
      <c r="J186" s="26" t="str">
        <f aca="false">IF($D186="","",IFERROR(INDEX(LOT_PRODE,MATCH($D186,LOT_KEY,0)),"LOT NON REFERENCE"))</f>
        <v/>
      </c>
      <c r="K186" s="26" t="str">
        <f aca="false">IF($D186="","",IFERROR(INDEX(LOT_FOURNE,MATCH($D186,LOT_KEY,0)),""))</f>
        <v/>
      </c>
      <c r="L186" s="26" t="str">
        <f aca="false">IF($E186="","",IFERROR(INDEX(EMPL_CLASSE,MATCH($E186,EMPL_KEY,0)),"?"))</f>
        <v/>
      </c>
      <c r="M186" s="26" t="str">
        <f aca="false">IF($F186="","",IFERROR(INDEX(EMPL_CLASSE,MATCH($F186,EMPL_KEY,0)),"?"))</f>
        <v/>
      </c>
      <c r="N186" s="28" t="n">
        <f aca="false">IF($C186="",0,IF(OR($B186="",$D186="",NOT(ISNUMBER($G186)),$G186&lt;=0),0,IF($C186="RECEPTION",IF($F186="",0,1),IF($C186="CONSOMMATION",IF($E186="",0,1),IF(OR($E186="",$F186="",$E186=$F186),0,1)))))</f>
        <v>0</v>
      </c>
      <c r="O186" s="27" t="str">
        <f aca="false">IF(OR($N186=0,$C186="RECEPTION"),"",SUMIFS(MVT_BRUT,MVT_LOT,$D186,MVT_EMPL,$E186)+$G186)</f>
        <v/>
      </c>
      <c r="P186" s="26" t="str">
        <f aca="false">IF($C186="","",IF($N186=0,"DONNEES MANQUANTES",IF($C186="RECEPTION","OK",IF($O186&lt;=0,"EMPLACEMENT INCOHERENT",IF($G186&gt;$O186+0.001,"STOCK INSUFFISANT","OK")))))</f>
        <v/>
      </c>
      <c r="Q186" s="28" t="n">
        <f aca="false">IF($P186="OK",1,0)</f>
        <v>0</v>
      </c>
      <c r="R186" s="26" t="str">
        <f aca="false">IF($C186="","",IF($N186=0,"A COMPLETER : "&amp;IF($B186="","DATE; ","")&amp;IF($D186="","LOT; ","")&amp;IF(OR(NOT(ISNUMBER($G186)),$G186&lt;=0),"QUANTITE &gt; 0; ","")&amp;IF(AND($C186&lt;&gt;"RECEPTION",$E186=""),"EMPL. SOURCE; ","")&amp;IF(AND($C186&lt;&gt;"CONSOMMATION",$F186=""),"EMPL. DESTINATION; ","")&amp;IF(AND($C186="TRANSFERT",$E186&lt;&gt;"",$E186=$F186),"SOURCE = DESTINATION; ",""),IF($P186="EMPLACEMENT INCOHERENT","Le lot "&amp;$D186&amp;" n'existe pas sur "&amp;$E186&amp;" (stock 0). Verifier l'emplacement source.",IF($P186="STOCK INSUFFISANT","Disponible avant operation : "&amp;TEXT($O186,"#,##0.00")&amp;" kg. Ligne NON comptee en stock.",IF(COUNTIFS($B$5:$B$304,$B186,$C$5:$C$304,$C186,$D$5:$D$304,$D186,$G$5:$G$304,$G186)&gt;1,"Doublon possible (meme date, type, lot et quantite).",IF($J186="LOT NON REFERENCE","Creer d'abord la fiche du lot dans l'onglet LOTS.",""))))))</f>
        <v/>
      </c>
    </row>
    <row r="187" customFormat="false" ht="15" hidden="false" customHeight="false" outlineLevel="0" collapsed="false">
      <c r="A187" s="26" t="str">
        <f aca="false">IF($C187="","","OP-"&amp;TEXT(ROW()-4,"000"))</f>
        <v/>
      </c>
      <c r="B187" s="25"/>
      <c r="C187" s="24"/>
      <c r="D187" s="24"/>
      <c r="E187" s="24"/>
      <c r="F187" s="24"/>
      <c r="G187" s="29"/>
      <c r="H187" s="24"/>
      <c r="I187" s="24"/>
      <c r="J187" s="26" t="str">
        <f aca="false">IF($D187="","",IFERROR(INDEX(LOT_PRODE,MATCH($D187,LOT_KEY,0)),"LOT NON REFERENCE"))</f>
        <v/>
      </c>
      <c r="K187" s="26" t="str">
        <f aca="false">IF($D187="","",IFERROR(INDEX(LOT_FOURNE,MATCH($D187,LOT_KEY,0)),""))</f>
        <v/>
      </c>
      <c r="L187" s="26" t="str">
        <f aca="false">IF($E187="","",IFERROR(INDEX(EMPL_CLASSE,MATCH($E187,EMPL_KEY,0)),"?"))</f>
        <v/>
      </c>
      <c r="M187" s="26" t="str">
        <f aca="false">IF($F187="","",IFERROR(INDEX(EMPL_CLASSE,MATCH($F187,EMPL_KEY,0)),"?"))</f>
        <v/>
      </c>
      <c r="N187" s="28" t="n">
        <f aca="false">IF($C187="",0,IF(OR($B187="",$D187="",NOT(ISNUMBER($G187)),$G187&lt;=0),0,IF($C187="RECEPTION",IF($F187="",0,1),IF($C187="CONSOMMATION",IF($E187="",0,1),IF(OR($E187="",$F187="",$E187=$F187),0,1)))))</f>
        <v>0</v>
      </c>
      <c r="O187" s="27" t="str">
        <f aca="false">IF(OR($N187=0,$C187="RECEPTION"),"",SUMIFS(MVT_BRUT,MVT_LOT,$D187,MVT_EMPL,$E187)+$G187)</f>
        <v/>
      </c>
      <c r="P187" s="26" t="str">
        <f aca="false">IF($C187="","",IF($N187=0,"DONNEES MANQUANTES",IF($C187="RECEPTION","OK",IF($O187&lt;=0,"EMPLACEMENT INCOHERENT",IF($G187&gt;$O187+0.001,"STOCK INSUFFISANT","OK")))))</f>
        <v/>
      </c>
      <c r="Q187" s="28" t="n">
        <f aca="false">IF($P187="OK",1,0)</f>
        <v>0</v>
      </c>
      <c r="R187" s="26" t="str">
        <f aca="false">IF($C187="","",IF($N187=0,"A COMPLETER : "&amp;IF($B187="","DATE; ","")&amp;IF($D187="","LOT; ","")&amp;IF(OR(NOT(ISNUMBER($G187)),$G187&lt;=0),"QUANTITE &gt; 0; ","")&amp;IF(AND($C187&lt;&gt;"RECEPTION",$E187=""),"EMPL. SOURCE; ","")&amp;IF(AND($C187&lt;&gt;"CONSOMMATION",$F187=""),"EMPL. DESTINATION; ","")&amp;IF(AND($C187="TRANSFERT",$E187&lt;&gt;"",$E187=$F187),"SOURCE = DESTINATION; ",""),IF($P187="EMPLACEMENT INCOHERENT","Le lot "&amp;$D187&amp;" n'existe pas sur "&amp;$E187&amp;" (stock 0). Verifier l'emplacement source.",IF($P187="STOCK INSUFFISANT","Disponible avant operation : "&amp;TEXT($O187,"#,##0.00")&amp;" kg. Ligne NON comptee en stock.",IF(COUNTIFS($B$5:$B$304,$B187,$C$5:$C$304,$C187,$D$5:$D$304,$D187,$G$5:$G$304,$G187)&gt;1,"Doublon possible (meme date, type, lot et quantite).",IF($J187="LOT NON REFERENCE","Creer d'abord la fiche du lot dans l'onglet LOTS.",""))))))</f>
        <v/>
      </c>
    </row>
    <row r="188" customFormat="false" ht="15" hidden="false" customHeight="false" outlineLevel="0" collapsed="false">
      <c r="A188" s="26" t="str">
        <f aca="false">IF($C188="","","OP-"&amp;TEXT(ROW()-4,"000"))</f>
        <v/>
      </c>
      <c r="B188" s="25"/>
      <c r="C188" s="24"/>
      <c r="D188" s="24"/>
      <c r="E188" s="24"/>
      <c r="F188" s="24"/>
      <c r="G188" s="29"/>
      <c r="H188" s="24"/>
      <c r="I188" s="24"/>
      <c r="J188" s="26" t="str">
        <f aca="false">IF($D188="","",IFERROR(INDEX(LOT_PRODE,MATCH($D188,LOT_KEY,0)),"LOT NON REFERENCE"))</f>
        <v/>
      </c>
      <c r="K188" s="26" t="str">
        <f aca="false">IF($D188="","",IFERROR(INDEX(LOT_FOURNE,MATCH($D188,LOT_KEY,0)),""))</f>
        <v/>
      </c>
      <c r="L188" s="26" t="str">
        <f aca="false">IF($E188="","",IFERROR(INDEX(EMPL_CLASSE,MATCH($E188,EMPL_KEY,0)),"?"))</f>
        <v/>
      </c>
      <c r="M188" s="26" t="str">
        <f aca="false">IF($F188="","",IFERROR(INDEX(EMPL_CLASSE,MATCH($F188,EMPL_KEY,0)),"?"))</f>
        <v/>
      </c>
      <c r="N188" s="28" t="n">
        <f aca="false">IF($C188="",0,IF(OR($B188="",$D188="",NOT(ISNUMBER($G188)),$G188&lt;=0),0,IF($C188="RECEPTION",IF($F188="",0,1),IF($C188="CONSOMMATION",IF($E188="",0,1),IF(OR($E188="",$F188="",$E188=$F188),0,1)))))</f>
        <v>0</v>
      </c>
      <c r="O188" s="27" t="str">
        <f aca="false">IF(OR($N188=0,$C188="RECEPTION"),"",SUMIFS(MVT_BRUT,MVT_LOT,$D188,MVT_EMPL,$E188)+$G188)</f>
        <v/>
      </c>
      <c r="P188" s="26" t="str">
        <f aca="false">IF($C188="","",IF($N188=0,"DONNEES MANQUANTES",IF($C188="RECEPTION","OK",IF($O188&lt;=0,"EMPLACEMENT INCOHERENT",IF($G188&gt;$O188+0.001,"STOCK INSUFFISANT","OK")))))</f>
        <v/>
      </c>
      <c r="Q188" s="28" t="n">
        <f aca="false">IF($P188="OK",1,0)</f>
        <v>0</v>
      </c>
      <c r="R188" s="26" t="str">
        <f aca="false">IF($C188="","",IF($N188=0,"A COMPLETER : "&amp;IF($B188="","DATE; ","")&amp;IF($D188="","LOT; ","")&amp;IF(OR(NOT(ISNUMBER($G188)),$G188&lt;=0),"QUANTITE &gt; 0; ","")&amp;IF(AND($C188&lt;&gt;"RECEPTION",$E188=""),"EMPL. SOURCE; ","")&amp;IF(AND($C188&lt;&gt;"CONSOMMATION",$F188=""),"EMPL. DESTINATION; ","")&amp;IF(AND($C188="TRANSFERT",$E188&lt;&gt;"",$E188=$F188),"SOURCE = DESTINATION; ",""),IF($P188="EMPLACEMENT INCOHERENT","Le lot "&amp;$D188&amp;" n'existe pas sur "&amp;$E188&amp;" (stock 0). Verifier l'emplacement source.",IF($P188="STOCK INSUFFISANT","Disponible avant operation : "&amp;TEXT($O188,"#,##0.00")&amp;" kg. Ligne NON comptee en stock.",IF(COUNTIFS($B$5:$B$304,$B188,$C$5:$C$304,$C188,$D$5:$D$304,$D188,$G$5:$G$304,$G188)&gt;1,"Doublon possible (meme date, type, lot et quantite).",IF($J188="LOT NON REFERENCE","Creer d'abord la fiche du lot dans l'onglet LOTS.",""))))))</f>
        <v/>
      </c>
    </row>
    <row r="189" customFormat="false" ht="15" hidden="false" customHeight="false" outlineLevel="0" collapsed="false">
      <c r="A189" s="26" t="str">
        <f aca="false">IF($C189="","","OP-"&amp;TEXT(ROW()-4,"000"))</f>
        <v/>
      </c>
      <c r="B189" s="25"/>
      <c r="C189" s="24"/>
      <c r="D189" s="24"/>
      <c r="E189" s="24"/>
      <c r="F189" s="24"/>
      <c r="G189" s="29"/>
      <c r="H189" s="24"/>
      <c r="I189" s="24"/>
      <c r="J189" s="26" t="str">
        <f aca="false">IF($D189="","",IFERROR(INDEX(LOT_PRODE,MATCH($D189,LOT_KEY,0)),"LOT NON REFERENCE"))</f>
        <v/>
      </c>
      <c r="K189" s="26" t="str">
        <f aca="false">IF($D189="","",IFERROR(INDEX(LOT_FOURNE,MATCH($D189,LOT_KEY,0)),""))</f>
        <v/>
      </c>
      <c r="L189" s="26" t="str">
        <f aca="false">IF($E189="","",IFERROR(INDEX(EMPL_CLASSE,MATCH($E189,EMPL_KEY,0)),"?"))</f>
        <v/>
      </c>
      <c r="M189" s="26" t="str">
        <f aca="false">IF($F189="","",IFERROR(INDEX(EMPL_CLASSE,MATCH($F189,EMPL_KEY,0)),"?"))</f>
        <v/>
      </c>
      <c r="N189" s="28" t="n">
        <f aca="false">IF($C189="",0,IF(OR($B189="",$D189="",NOT(ISNUMBER($G189)),$G189&lt;=0),0,IF($C189="RECEPTION",IF($F189="",0,1),IF($C189="CONSOMMATION",IF($E189="",0,1),IF(OR($E189="",$F189="",$E189=$F189),0,1)))))</f>
        <v>0</v>
      </c>
      <c r="O189" s="27" t="str">
        <f aca="false">IF(OR($N189=0,$C189="RECEPTION"),"",SUMIFS(MVT_BRUT,MVT_LOT,$D189,MVT_EMPL,$E189)+$G189)</f>
        <v/>
      </c>
      <c r="P189" s="26" t="str">
        <f aca="false">IF($C189="","",IF($N189=0,"DONNEES MANQUANTES",IF($C189="RECEPTION","OK",IF($O189&lt;=0,"EMPLACEMENT INCOHERENT",IF($G189&gt;$O189+0.001,"STOCK INSUFFISANT","OK")))))</f>
        <v/>
      </c>
      <c r="Q189" s="28" t="n">
        <f aca="false">IF($P189="OK",1,0)</f>
        <v>0</v>
      </c>
      <c r="R189" s="26" t="str">
        <f aca="false">IF($C189="","",IF($N189=0,"A COMPLETER : "&amp;IF($B189="","DATE; ","")&amp;IF($D189="","LOT; ","")&amp;IF(OR(NOT(ISNUMBER($G189)),$G189&lt;=0),"QUANTITE &gt; 0; ","")&amp;IF(AND($C189&lt;&gt;"RECEPTION",$E189=""),"EMPL. SOURCE; ","")&amp;IF(AND($C189&lt;&gt;"CONSOMMATION",$F189=""),"EMPL. DESTINATION; ","")&amp;IF(AND($C189="TRANSFERT",$E189&lt;&gt;"",$E189=$F189),"SOURCE = DESTINATION; ",""),IF($P189="EMPLACEMENT INCOHERENT","Le lot "&amp;$D189&amp;" n'existe pas sur "&amp;$E189&amp;" (stock 0). Verifier l'emplacement source.",IF($P189="STOCK INSUFFISANT","Disponible avant operation : "&amp;TEXT($O189,"#,##0.00")&amp;" kg. Ligne NON comptee en stock.",IF(COUNTIFS($B$5:$B$304,$B189,$C$5:$C$304,$C189,$D$5:$D$304,$D189,$G$5:$G$304,$G189)&gt;1,"Doublon possible (meme date, type, lot et quantite).",IF($J189="LOT NON REFERENCE","Creer d'abord la fiche du lot dans l'onglet LOTS.",""))))))</f>
        <v/>
      </c>
    </row>
    <row r="190" customFormat="false" ht="15" hidden="false" customHeight="false" outlineLevel="0" collapsed="false">
      <c r="A190" s="26" t="str">
        <f aca="false">IF($C190="","","OP-"&amp;TEXT(ROW()-4,"000"))</f>
        <v/>
      </c>
      <c r="B190" s="25"/>
      <c r="C190" s="24"/>
      <c r="D190" s="24"/>
      <c r="E190" s="24"/>
      <c r="F190" s="24"/>
      <c r="G190" s="29"/>
      <c r="H190" s="24"/>
      <c r="I190" s="24"/>
      <c r="J190" s="26" t="str">
        <f aca="false">IF($D190="","",IFERROR(INDEX(LOT_PRODE,MATCH($D190,LOT_KEY,0)),"LOT NON REFERENCE"))</f>
        <v/>
      </c>
      <c r="K190" s="26" t="str">
        <f aca="false">IF($D190="","",IFERROR(INDEX(LOT_FOURNE,MATCH($D190,LOT_KEY,0)),""))</f>
        <v/>
      </c>
      <c r="L190" s="26" t="str">
        <f aca="false">IF($E190="","",IFERROR(INDEX(EMPL_CLASSE,MATCH($E190,EMPL_KEY,0)),"?"))</f>
        <v/>
      </c>
      <c r="M190" s="26" t="str">
        <f aca="false">IF($F190="","",IFERROR(INDEX(EMPL_CLASSE,MATCH($F190,EMPL_KEY,0)),"?"))</f>
        <v/>
      </c>
      <c r="N190" s="28" t="n">
        <f aca="false">IF($C190="",0,IF(OR($B190="",$D190="",NOT(ISNUMBER($G190)),$G190&lt;=0),0,IF($C190="RECEPTION",IF($F190="",0,1),IF($C190="CONSOMMATION",IF($E190="",0,1),IF(OR($E190="",$F190="",$E190=$F190),0,1)))))</f>
        <v>0</v>
      </c>
      <c r="O190" s="27" t="str">
        <f aca="false">IF(OR($N190=0,$C190="RECEPTION"),"",SUMIFS(MVT_BRUT,MVT_LOT,$D190,MVT_EMPL,$E190)+$G190)</f>
        <v/>
      </c>
      <c r="P190" s="26" t="str">
        <f aca="false">IF($C190="","",IF($N190=0,"DONNEES MANQUANTES",IF($C190="RECEPTION","OK",IF($O190&lt;=0,"EMPLACEMENT INCOHERENT",IF($G190&gt;$O190+0.001,"STOCK INSUFFISANT","OK")))))</f>
        <v/>
      </c>
      <c r="Q190" s="28" t="n">
        <f aca="false">IF($P190="OK",1,0)</f>
        <v>0</v>
      </c>
      <c r="R190" s="26" t="str">
        <f aca="false">IF($C190="","",IF($N190=0,"A COMPLETER : "&amp;IF($B190="","DATE; ","")&amp;IF($D190="","LOT; ","")&amp;IF(OR(NOT(ISNUMBER($G190)),$G190&lt;=0),"QUANTITE &gt; 0; ","")&amp;IF(AND($C190&lt;&gt;"RECEPTION",$E190=""),"EMPL. SOURCE; ","")&amp;IF(AND($C190&lt;&gt;"CONSOMMATION",$F190=""),"EMPL. DESTINATION; ","")&amp;IF(AND($C190="TRANSFERT",$E190&lt;&gt;"",$E190=$F190),"SOURCE = DESTINATION; ",""),IF($P190="EMPLACEMENT INCOHERENT","Le lot "&amp;$D190&amp;" n'existe pas sur "&amp;$E190&amp;" (stock 0). Verifier l'emplacement source.",IF($P190="STOCK INSUFFISANT","Disponible avant operation : "&amp;TEXT($O190,"#,##0.00")&amp;" kg. Ligne NON comptee en stock.",IF(COUNTIFS($B$5:$B$304,$B190,$C$5:$C$304,$C190,$D$5:$D$304,$D190,$G$5:$G$304,$G190)&gt;1,"Doublon possible (meme date, type, lot et quantite).",IF($J190="LOT NON REFERENCE","Creer d'abord la fiche du lot dans l'onglet LOTS.",""))))))</f>
        <v/>
      </c>
    </row>
    <row r="191" customFormat="false" ht="15" hidden="false" customHeight="false" outlineLevel="0" collapsed="false">
      <c r="A191" s="26" t="str">
        <f aca="false">IF($C191="","","OP-"&amp;TEXT(ROW()-4,"000"))</f>
        <v/>
      </c>
      <c r="B191" s="25"/>
      <c r="C191" s="24"/>
      <c r="D191" s="24"/>
      <c r="E191" s="24"/>
      <c r="F191" s="24"/>
      <c r="G191" s="29"/>
      <c r="H191" s="24"/>
      <c r="I191" s="24"/>
      <c r="J191" s="26" t="str">
        <f aca="false">IF($D191="","",IFERROR(INDEX(LOT_PRODE,MATCH($D191,LOT_KEY,0)),"LOT NON REFERENCE"))</f>
        <v/>
      </c>
      <c r="K191" s="26" t="str">
        <f aca="false">IF($D191="","",IFERROR(INDEX(LOT_FOURNE,MATCH($D191,LOT_KEY,0)),""))</f>
        <v/>
      </c>
      <c r="L191" s="26" t="str">
        <f aca="false">IF($E191="","",IFERROR(INDEX(EMPL_CLASSE,MATCH($E191,EMPL_KEY,0)),"?"))</f>
        <v/>
      </c>
      <c r="M191" s="26" t="str">
        <f aca="false">IF($F191="","",IFERROR(INDEX(EMPL_CLASSE,MATCH($F191,EMPL_KEY,0)),"?"))</f>
        <v/>
      </c>
      <c r="N191" s="28" t="n">
        <f aca="false">IF($C191="",0,IF(OR($B191="",$D191="",NOT(ISNUMBER($G191)),$G191&lt;=0),0,IF($C191="RECEPTION",IF($F191="",0,1),IF($C191="CONSOMMATION",IF($E191="",0,1),IF(OR($E191="",$F191="",$E191=$F191),0,1)))))</f>
        <v>0</v>
      </c>
      <c r="O191" s="27" t="str">
        <f aca="false">IF(OR($N191=0,$C191="RECEPTION"),"",SUMIFS(MVT_BRUT,MVT_LOT,$D191,MVT_EMPL,$E191)+$G191)</f>
        <v/>
      </c>
      <c r="P191" s="26" t="str">
        <f aca="false">IF($C191="","",IF($N191=0,"DONNEES MANQUANTES",IF($C191="RECEPTION","OK",IF($O191&lt;=0,"EMPLACEMENT INCOHERENT",IF($G191&gt;$O191+0.001,"STOCK INSUFFISANT","OK")))))</f>
        <v/>
      </c>
      <c r="Q191" s="28" t="n">
        <f aca="false">IF($P191="OK",1,0)</f>
        <v>0</v>
      </c>
      <c r="R191" s="26" t="str">
        <f aca="false">IF($C191="","",IF($N191=0,"A COMPLETER : "&amp;IF($B191="","DATE; ","")&amp;IF($D191="","LOT; ","")&amp;IF(OR(NOT(ISNUMBER($G191)),$G191&lt;=0),"QUANTITE &gt; 0; ","")&amp;IF(AND($C191&lt;&gt;"RECEPTION",$E191=""),"EMPL. SOURCE; ","")&amp;IF(AND($C191&lt;&gt;"CONSOMMATION",$F191=""),"EMPL. DESTINATION; ","")&amp;IF(AND($C191="TRANSFERT",$E191&lt;&gt;"",$E191=$F191),"SOURCE = DESTINATION; ",""),IF($P191="EMPLACEMENT INCOHERENT","Le lot "&amp;$D191&amp;" n'existe pas sur "&amp;$E191&amp;" (stock 0). Verifier l'emplacement source.",IF($P191="STOCK INSUFFISANT","Disponible avant operation : "&amp;TEXT($O191,"#,##0.00")&amp;" kg. Ligne NON comptee en stock.",IF(COUNTIFS($B$5:$B$304,$B191,$C$5:$C$304,$C191,$D$5:$D$304,$D191,$G$5:$G$304,$G191)&gt;1,"Doublon possible (meme date, type, lot et quantite).",IF($J191="LOT NON REFERENCE","Creer d'abord la fiche du lot dans l'onglet LOTS.",""))))))</f>
        <v/>
      </c>
    </row>
    <row r="192" customFormat="false" ht="15" hidden="false" customHeight="false" outlineLevel="0" collapsed="false">
      <c r="A192" s="26" t="str">
        <f aca="false">IF($C192="","","OP-"&amp;TEXT(ROW()-4,"000"))</f>
        <v/>
      </c>
      <c r="B192" s="25"/>
      <c r="C192" s="24"/>
      <c r="D192" s="24"/>
      <c r="E192" s="24"/>
      <c r="F192" s="24"/>
      <c r="G192" s="29"/>
      <c r="H192" s="24"/>
      <c r="I192" s="24"/>
      <c r="J192" s="26" t="str">
        <f aca="false">IF($D192="","",IFERROR(INDEX(LOT_PRODE,MATCH($D192,LOT_KEY,0)),"LOT NON REFERENCE"))</f>
        <v/>
      </c>
      <c r="K192" s="26" t="str">
        <f aca="false">IF($D192="","",IFERROR(INDEX(LOT_FOURNE,MATCH($D192,LOT_KEY,0)),""))</f>
        <v/>
      </c>
      <c r="L192" s="26" t="str">
        <f aca="false">IF($E192="","",IFERROR(INDEX(EMPL_CLASSE,MATCH($E192,EMPL_KEY,0)),"?"))</f>
        <v/>
      </c>
      <c r="M192" s="26" t="str">
        <f aca="false">IF($F192="","",IFERROR(INDEX(EMPL_CLASSE,MATCH($F192,EMPL_KEY,0)),"?"))</f>
        <v/>
      </c>
      <c r="N192" s="28" t="n">
        <f aca="false">IF($C192="",0,IF(OR($B192="",$D192="",NOT(ISNUMBER($G192)),$G192&lt;=0),0,IF($C192="RECEPTION",IF($F192="",0,1),IF($C192="CONSOMMATION",IF($E192="",0,1),IF(OR($E192="",$F192="",$E192=$F192),0,1)))))</f>
        <v>0</v>
      </c>
      <c r="O192" s="27" t="str">
        <f aca="false">IF(OR($N192=0,$C192="RECEPTION"),"",SUMIFS(MVT_BRUT,MVT_LOT,$D192,MVT_EMPL,$E192)+$G192)</f>
        <v/>
      </c>
      <c r="P192" s="26" t="str">
        <f aca="false">IF($C192="","",IF($N192=0,"DONNEES MANQUANTES",IF($C192="RECEPTION","OK",IF($O192&lt;=0,"EMPLACEMENT INCOHERENT",IF($G192&gt;$O192+0.001,"STOCK INSUFFISANT","OK")))))</f>
        <v/>
      </c>
      <c r="Q192" s="28" t="n">
        <f aca="false">IF($P192="OK",1,0)</f>
        <v>0</v>
      </c>
      <c r="R192" s="26" t="str">
        <f aca="false">IF($C192="","",IF($N192=0,"A COMPLETER : "&amp;IF($B192="","DATE; ","")&amp;IF($D192="","LOT; ","")&amp;IF(OR(NOT(ISNUMBER($G192)),$G192&lt;=0),"QUANTITE &gt; 0; ","")&amp;IF(AND($C192&lt;&gt;"RECEPTION",$E192=""),"EMPL. SOURCE; ","")&amp;IF(AND($C192&lt;&gt;"CONSOMMATION",$F192=""),"EMPL. DESTINATION; ","")&amp;IF(AND($C192="TRANSFERT",$E192&lt;&gt;"",$E192=$F192),"SOURCE = DESTINATION; ",""),IF($P192="EMPLACEMENT INCOHERENT","Le lot "&amp;$D192&amp;" n'existe pas sur "&amp;$E192&amp;" (stock 0). Verifier l'emplacement source.",IF($P192="STOCK INSUFFISANT","Disponible avant operation : "&amp;TEXT($O192,"#,##0.00")&amp;" kg. Ligne NON comptee en stock.",IF(COUNTIFS($B$5:$B$304,$B192,$C$5:$C$304,$C192,$D$5:$D$304,$D192,$G$5:$G$304,$G192)&gt;1,"Doublon possible (meme date, type, lot et quantite).",IF($J192="LOT NON REFERENCE","Creer d'abord la fiche du lot dans l'onglet LOTS.",""))))))</f>
        <v/>
      </c>
    </row>
    <row r="193" customFormat="false" ht="15" hidden="false" customHeight="false" outlineLevel="0" collapsed="false">
      <c r="A193" s="26" t="str">
        <f aca="false">IF($C193="","","OP-"&amp;TEXT(ROW()-4,"000"))</f>
        <v/>
      </c>
      <c r="B193" s="25"/>
      <c r="C193" s="24"/>
      <c r="D193" s="24"/>
      <c r="E193" s="24"/>
      <c r="F193" s="24"/>
      <c r="G193" s="29"/>
      <c r="H193" s="24"/>
      <c r="I193" s="24"/>
      <c r="J193" s="26" t="str">
        <f aca="false">IF($D193="","",IFERROR(INDEX(LOT_PRODE,MATCH($D193,LOT_KEY,0)),"LOT NON REFERENCE"))</f>
        <v/>
      </c>
      <c r="K193" s="26" t="str">
        <f aca="false">IF($D193="","",IFERROR(INDEX(LOT_FOURNE,MATCH($D193,LOT_KEY,0)),""))</f>
        <v/>
      </c>
      <c r="L193" s="26" t="str">
        <f aca="false">IF($E193="","",IFERROR(INDEX(EMPL_CLASSE,MATCH($E193,EMPL_KEY,0)),"?"))</f>
        <v/>
      </c>
      <c r="M193" s="26" t="str">
        <f aca="false">IF($F193="","",IFERROR(INDEX(EMPL_CLASSE,MATCH($F193,EMPL_KEY,0)),"?"))</f>
        <v/>
      </c>
      <c r="N193" s="28" t="n">
        <f aca="false">IF($C193="",0,IF(OR($B193="",$D193="",NOT(ISNUMBER($G193)),$G193&lt;=0),0,IF($C193="RECEPTION",IF($F193="",0,1),IF($C193="CONSOMMATION",IF($E193="",0,1),IF(OR($E193="",$F193="",$E193=$F193),0,1)))))</f>
        <v>0</v>
      </c>
      <c r="O193" s="27" t="str">
        <f aca="false">IF(OR($N193=0,$C193="RECEPTION"),"",SUMIFS(MVT_BRUT,MVT_LOT,$D193,MVT_EMPL,$E193)+$G193)</f>
        <v/>
      </c>
      <c r="P193" s="26" t="str">
        <f aca="false">IF($C193="","",IF($N193=0,"DONNEES MANQUANTES",IF($C193="RECEPTION","OK",IF($O193&lt;=0,"EMPLACEMENT INCOHERENT",IF($G193&gt;$O193+0.001,"STOCK INSUFFISANT","OK")))))</f>
        <v/>
      </c>
      <c r="Q193" s="28" t="n">
        <f aca="false">IF($P193="OK",1,0)</f>
        <v>0</v>
      </c>
      <c r="R193" s="26" t="str">
        <f aca="false">IF($C193="","",IF($N193=0,"A COMPLETER : "&amp;IF($B193="","DATE; ","")&amp;IF($D193="","LOT; ","")&amp;IF(OR(NOT(ISNUMBER($G193)),$G193&lt;=0),"QUANTITE &gt; 0; ","")&amp;IF(AND($C193&lt;&gt;"RECEPTION",$E193=""),"EMPL. SOURCE; ","")&amp;IF(AND($C193&lt;&gt;"CONSOMMATION",$F193=""),"EMPL. DESTINATION; ","")&amp;IF(AND($C193="TRANSFERT",$E193&lt;&gt;"",$E193=$F193),"SOURCE = DESTINATION; ",""),IF($P193="EMPLACEMENT INCOHERENT","Le lot "&amp;$D193&amp;" n'existe pas sur "&amp;$E193&amp;" (stock 0). Verifier l'emplacement source.",IF($P193="STOCK INSUFFISANT","Disponible avant operation : "&amp;TEXT($O193,"#,##0.00")&amp;" kg. Ligne NON comptee en stock.",IF(COUNTIFS($B$5:$B$304,$B193,$C$5:$C$304,$C193,$D$5:$D$304,$D193,$G$5:$G$304,$G193)&gt;1,"Doublon possible (meme date, type, lot et quantite).",IF($J193="LOT NON REFERENCE","Creer d'abord la fiche du lot dans l'onglet LOTS.",""))))))</f>
        <v/>
      </c>
    </row>
    <row r="194" customFormat="false" ht="15" hidden="false" customHeight="false" outlineLevel="0" collapsed="false">
      <c r="A194" s="26" t="str">
        <f aca="false">IF($C194="","","OP-"&amp;TEXT(ROW()-4,"000"))</f>
        <v/>
      </c>
      <c r="B194" s="25"/>
      <c r="C194" s="24"/>
      <c r="D194" s="24"/>
      <c r="E194" s="24"/>
      <c r="F194" s="24"/>
      <c r="G194" s="29"/>
      <c r="H194" s="24"/>
      <c r="I194" s="24"/>
      <c r="J194" s="26" t="str">
        <f aca="false">IF($D194="","",IFERROR(INDEX(LOT_PRODE,MATCH($D194,LOT_KEY,0)),"LOT NON REFERENCE"))</f>
        <v/>
      </c>
      <c r="K194" s="26" t="str">
        <f aca="false">IF($D194="","",IFERROR(INDEX(LOT_FOURNE,MATCH($D194,LOT_KEY,0)),""))</f>
        <v/>
      </c>
      <c r="L194" s="26" t="str">
        <f aca="false">IF($E194="","",IFERROR(INDEX(EMPL_CLASSE,MATCH($E194,EMPL_KEY,0)),"?"))</f>
        <v/>
      </c>
      <c r="M194" s="26" t="str">
        <f aca="false">IF($F194="","",IFERROR(INDEX(EMPL_CLASSE,MATCH($F194,EMPL_KEY,0)),"?"))</f>
        <v/>
      </c>
      <c r="N194" s="28" t="n">
        <f aca="false">IF($C194="",0,IF(OR($B194="",$D194="",NOT(ISNUMBER($G194)),$G194&lt;=0),0,IF($C194="RECEPTION",IF($F194="",0,1),IF($C194="CONSOMMATION",IF($E194="",0,1),IF(OR($E194="",$F194="",$E194=$F194),0,1)))))</f>
        <v>0</v>
      </c>
      <c r="O194" s="27" t="str">
        <f aca="false">IF(OR($N194=0,$C194="RECEPTION"),"",SUMIFS(MVT_BRUT,MVT_LOT,$D194,MVT_EMPL,$E194)+$G194)</f>
        <v/>
      </c>
      <c r="P194" s="26" t="str">
        <f aca="false">IF($C194="","",IF($N194=0,"DONNEES MANQUANTES",IF($C194="RECEPTION","OK",IF($O194&lt;=0,"EMPLACEMENT INCOHERENT",IF($G194&gt;$O194+0.001,"STOCK INSUFFISANT","OK")))))</f>
        <v/>
      </c>
      <c r="Q194" s="28" t="n">
        <f aca="false">IF($P194="OK",1,0)</f>
        <v>0</v>
      </c>
      <c r="R194" s="26" t="str">
        <f aca="false">IF($C194="","",IF($N194=0,"A COMPLETER : "&amp;IF($B194="","DATE; ","")&amp;IF($D194="","LOT; ","")&amp;IF(OR(NOT(ISNUMBER($G194)),$G194&lt;=0),"QUANTITE &gt; 0; ","")&amp;IF(AND($C194&lt;&gt;"RECEPTION",$E194=""),"EMPL. SOURCE; ","")&amp;IF(AND($C194&lt;&gt;"CONSOMMATION",$F194=""),"EMPL. DESTINATION; ","")&amp;IF(AND($C194="TRANSFERT",$E194&lt;&gt;"",$E194=$F194),"SOURCE = DESTINATION; ",""),IF($P194="EMPLACEMENT INCOHERENT","Le lot "&amp;$D194&amp;" n'existe pas sur "&amp;$E194&amp;" (stock 0). Verifier l'emplacement source.",IF($P194="STOCK INSUFFISANT","Disponible avant operation : "&amp;TEXT($O194,"#,##0.00")&amp;" kg. Ligne NON comptee en stock.",IF(COUNTIFS($B$5:$B$304,$B194,$C$5:$C$304,$C194,$D$5:$D$304,$D194,$G$5:$G$304,$G194)&gt;1,"Doublon possible (meme date, type, lot et quantite).",IF($J194="LOT NON REFERENCE","Creer d'abord la fiche du lot dans l'onglet LOTS.",""))))))</f>
        <v/>
      </c>
    </row>
    <row r="195" customFormat="false" ht="15" hidden="false" customHeight="false" outlineLevel="0" collapsed="false">
      <c r="A195" s="26" t="str">
        <f aca="false">IF($C195="","","OP-"&amp;TEXT(ROW()-4,"000"))</f>
        <v/>
      </c>
      <c r="B195" s="25"/>
      <c r="C195" s="24"/>
      <c r="D195" s="24"/>
      <c r="E195" s="24"/>
      <c r="F195" s="24"/>
      <c r="G195" s="29"/>
      <c r="H195" s="24"/>
      <c r="I195" s="24"/>
      <c r="J195" s="26" t="str">
        <f aca="false">IF($D195="","",IFERROR(INDEX(LOT_PRODE,MATCH($D195,LOT_KEY,0)),"LOT NON REFERENCE"))</f>
        <v/>
      </c>
      <c r="K195" s="26" t="str">
        <f aca="false">IF($D195="","",IFERROR(INDEX(LOT_FOURNE,MATCH($D195,LOT_KEY,0)),""))</f>
        <v/>
      </c>
      <c r="L195" s="26" t="str">
        <f aca="false">IF($E195="","",IFERROR(INDEX(EMPL_CLASSE,MATCH($E195,EMPL_KEY,0)),"?"))</f>
        <v/>
      </c>
      <c r="M195" s="26" t="str">
        <f aca="false">IF($F195="","",IFERROR(INDEX(EMPL_CLASSE,MATCH($F195,EMPL_KEY,0)),"?"))</f>
        <v/>
      </c>
      <c r="N195" s="28" t="n">
        <f aca="false">IF($C195="",0,IF(OR($B195="",$D195="",NOT(ISNUMBER($G195)),$G195&lt;=0),0,IF($C195="RECEPTION",IF($F195="",0,1),IF($C195="CONSOMMATION",IF($E195="",0,1),IF(OR($E195="",$F195="",$E195=$F195),0,1)))))</f>
        <v>0</v>
      </c>
      <c r="O195" s="27" t="str">
        <f aca="false">IF(OR($N195=0,$C195="RECEPTION"),"",SUMIFS(MVT_BRUT,MVT_LOT,$D195,MVT_EMPL,$E195)+$G195)</f>
        <v/>
      </c>
      <c r="P195" s="26" t="str">
        <f aca="false">IF($C195="","",IF($N195=0,"DONNEES MANQUANTES",IF($C195="RECEPTION","OK",IF($O195&lt;=0,"EMPLACEMENT INCOHERENT",IF($G195&gt;$O195+0.001,"STOCK INSUFFISANT","OK")))))</f>
        <v/>
      </c>
      <c r="Q195" s="28" t="n">
        <f aca="false">IF($P195="OK",1,0)</f>
        <v>0</v>
      </c>
      <c r="R195" s="26" t="str">
        <f aca="false">IF($C195="","",IF($N195=0,"A COMPLETER : "&amp;IF($B195="","DATE; ","")&amp;IF($D195="","LOT; ","")&amp;IF(OR(NOT(ISNUMBER($G195)),$G195&lt;=0),"QUANTITE &gt; 0; ","")&amp;IF(AND($C195&lt;&gt;"RECEPTION",$E195=""),"EMPL. SOURCE; ","")&amp;IF(AND($C195&lt;&gt;"CONSOMMATION",$F195=""),"EMPL. DESTINATION; ","")&amp;IF(AND($C195="TRANSFERT",$E195&lt;&gt;"",$E195=$F195),"SOURCE = DESTINATION; ",""),IF($P195="EMPLACEMENT INCOHERENT","Le lot "&amp;$D195&amp;" n'existe pas sur "&amp;$E195&amp;" (stock 0). Verifier l'emplacement source.",IF($P195="STOCK INSUFFISANT","Disponible avant operation : "&amp;TEXT($O195,"#,##0.00")&amp;" kg. Ligne NON comptee en stock.",IF(COUNTIFS($B$5:$B$304,$B195,$C$5:$C$304,$C195,$D$5:$D$304,$D195,$G$5:$G$304,$G195)&gt;1,"Doublon possible (meme date, type, lot et quantite).",IF($J195="LOT NON REFERENCE","Creer d'abord la fiche du lot dans l'onglet LOTS.",""))))))</f>
        <v/>
      </c>
    </row>
    <row r="196" customFormat="false" ht="15" hidden="false" customHeight="false" outlineLevel="0" collapsed="false">
      <c r="A196" s="26" t="str">
        <f aca="false">IF($C196="","","OP-"&amp;TEXT(ROW()-4,"000"))</f>
        <v/>
      </c>
      <c r="B196" s="25"/>
      <c r="C196" s="24"/>
      <c r="D196" s="24"/>
      <c r="E196" s="24"/>
      <c r="F196" s="24"/>
      <c r="G196" s="29"/>
      <c r="H196" s="24"/>
      <c r="I196" s="24"/>
      <c r="J196" s="26" t="str">
        <f aca="false">IF($D196="","",IFERROR(INDEX(LOT_PRODE,MATCH($D196,LOT_KEY,0)),"LOT NON REFERENCE"))</f>
        <v/>
      </c>
      <c r="K196" s="26" t="str">
        <f aca="false">IF($D196="","",IFERROR(INDEX(LOT_FOURNE,MATCH($D196,LOT_KEY,0)),""))</f>
        <v/>
      </c>
      <c r="L196" s="26" t="str">
        <f aca="false">IF($E196="","",IFERROR(INDEX(EMPL_CLASSE,MATCH($E196,EMPL_KEY,0)),"?"))</f>
        <v/>
      </c>
      <c r="M196" s="26" t="str">
        <f aca="false">IF($F196="","",IFERROR(INDEX(EMPL_CLASSE,MATCH($F196,EMPL_KEY,0)),"?"))</f>
        <v/>
      </c>
      <c r="N196" s="28" t="n">
        <f aca="false">IF($C196="",0,IF(OR($B196="",$D196="",NOT(ISNUMBER($G196)),$G196&lt;=0),0,IF($C196="RECEPTION",IF($F196="",0,1),IF($C196="CONSOMMATION",IF($E196="",0,1),IF(OR($E196="",$F196="",$E196=$F196),0,1)))))</f>
        <v>0</v>
      </c>
      <c r="O196" s="27" t="str">
        <f aca="false">IF(OR($N196=0,$C196="RECEPTION"),"",SUMIFS(MVT_BRUT,MVT_LOT,$D196,MVT_EMPL,$E196)+$G196)</f>
        <v/>
      </c>
      <c r="P196" s="26" t="str">
        <f aca="false">IF($C196="","",IF($N196=0,"DONNEES MANQUANTES",IF($C196="RECEPTION","OK",IF($O196&lt;=0,"EMPLACEMENT INCOHERENT",IF($G196&gt;$O196+0.001,"STOCK INSUFFISANT","OK")))))</f>
        <v/>
      </c>
      <c r="Q196" s="28" t="n">
        <f aca="false">IF($P196="OK",1,0)</f>
        <v>0</v>
      </c>
      <c r="R196" s="26" t="str">
        <f aca="false">IF($C196="","",IF($N196=0,"A COMPLETER : "&amp;IF($B196="","DATE; ","")&amp;IF($D196="","LOT; ","")&amp;IF(OR(NOT(ISNUMBER($G196)),$G196&lt;=0),"QUANTITE &gt; 0; ","")&amp;IF(AND($C196&lt;&gt;"RECEPTION",$E196=""),"EMPL. SOURCE; ","")&amp;IF(AND($C196&lt;&gt;"CONSOMMATION",$F196=""),"EMPL. DESTINATION; ","")&amp;IF(AND($C196="TRANSFERT",$E196&lt;&gt;"",$E196=$F196),"SOURCE = DESTINATION; ",""),IF($P196="EMPLACEMENT INCOHERENT","Le lot "&amp;$D196&amp;" n'existe pas sur "&amp;$E196&amp;" (stock 0). Verifier l'emplacement source.",IF($P196="STOCK INSUFFISANT","Disponible avant operation : "&amp;TEXT($O196,"#,##0.00")&amp;" kg. Ligne NON comptee en stock.",IF(COUNTIFS($B$5:$B$304,$B196,$C$5:$C$304,$C196,$D$5:$D$304,$D196,$G$5:$G$304,$G196)&gt;1,"Doublon possible (meme date, type, lot et quantite).",IF($J196="LOT NON REFERENCE","Creer d'abord la fiche du lot dans l'onglet LOTS.",""))))))</f>
        <v/>
      </c>
    </row>
    <row r="197" customFormat="false" ht="15" hidden="false" customHeight="false" outlineLevel="0" collapsed="false">
      <c r="A197" s="26" t="str">
        <f aca="false">IF($C197="","","OP-"&amp;TEXT(ROW()-4,"000"))</f>
        <v/>
      </c>
      <c r="B197" s="25"/>
      <c r="C197" s="24"/>
      <c r="D197" s="24"/>
      <c r="E197" s="24"/>
      <c r="F197" s="24"/>
      <c r="G197" s="29"/>
      <c r="H197" s="24"/>
      <c r="I197" s="24"/>
      <c r="J197" s="26" t="str">
        <f aca="false">IF($D197="","",IFERROR(INDEX(LOT_PRODE,MATCH($D197,LOT_KEY,0)),"LOT NON REFERENCE"))</f>
        <v/>
      </c>
      <c r="K197" s="26" t="str">
        <f aca="false">IF($D197="","",IFERROR(INDEX(LOT_FOURNE,MATCH($D197,LOT_KEY,0)),""))</f>
        <v/>
      </c>
      <c r="L197" s="26" t="str">
        <f aca="false">IF($E197="","",IFERROR(INDEX(EMPL_CLASSE,MATCH($E197,EMPL_KEY,0)),"?"))</f>
        <v/>
      </c>
      <c r="M197" s="26" t="str">
        <f aca="false">IF($F197="","",IFERROR(INDEX(EMPL_CLASSE,MATCH($F197,EMPL_KEY,0)),"?"))</f>
        <v/>
      </c>
      <c r="N197" s="28" t="n">
        <f aca="false">IF($C197="",0,IF(OR($B197="",$D197="",NOT(ISNUMBER($G197)),$G197&lt;=0),0,IF($C197="RECEPTION",IF($F197="",0,1),IF($C197="CONSOMMATION",IF($E197="",0,1),IF(OR($E197="",$F197="",$E197=$F197),0,1)))))</f>
        <v>0</v>
      </c>
      <c r="O197" s="27" t="str">
        <f aca="false">IF(OR($N197=0,$C197="RECEPTION"),"",SUMIFS(MVT_BRUT,MVT_LOT,$D197,MVT_EMPL,$E197)+$G197)</f>
        <v/>
      </c>
      <c r="P197" s="26" t="str">
        <f aca="false">IF($C197="","",IF($N197=0,"DONNEES MANQUANTES",IF($C197="RECEPTION","OK",IF($O197&lt;=0,"EMPLACEMENT INCOHERENT",IF($G197&gt;$O197+0.001,"STOCK INSUFFISANT","OK")))))</f>
        <v/>
      </c>
      <c r="Q197" s="28" t="n">
        <f aca="false">IF($P197="OK",1,0)</f>
        <v>0</v>
      </c>
      <c r="R197" s="26" t="str">
        <f aca="false">IF($C197="","",IF($N197=0,"A COMPLETER : "&amp;IF($B197="","DATE; ","")&amp;IF($D197="","LOT; ","")&amp;IF(OR(NOT(ISNUMBER($G197)),$G197&lt;=0),"QUANTITE &gt; 0; ","")&amp;IF(AND($C197&lt;&gt;"RECEPTION",$E197=""),"EMPL. SOURCE; ","")&amp;IF(AND($C197&lt;&gt;"CONSOMMATION",$F197=""),"EMPL. DESTINATION; ","")&amp;IF(AND($C197="TRANSFERT",$E197&lt;&gt;"",$E197=$F197),"SOURCE = DESTINATION; ",""),IF($P197="EMPLACEMENT INCOHERENT","Le lot "&amp;$D197&amp;" n'existe pas sur "&amp;$E197&amp;" (stock 0). Verifier l'emplacement source.",IF($P197="STOCK INSUFFISANT","Disponible avant operation : "&amp;TEXT($O197,"#,##0.00")&amp;" kg. Ligne NON comptee en stock.",IF(COUNTIFS($B$5:$B$304,$B197,$C$5:$C$304,$C197,$D$5:$D$304,$D197,$G$5:$G$304,$G197)&gt;1,"Doublon possible (meme date, type, lot et quantite).",IF($J197="LOT NON REFERENCE","Creer d'abord la fiche du lot dans l'onglet LOTS.",""))))))</f>
        <v/>
      </c>
    </row>
    <row r="198" customFormat="false" ht="15" hidden="false" customHeight="false" outlineLevel="0" collapsed="false">
      <c r="A198" s="26" t="str">
        <f aca="false">IF($C198="","","OP-"&amp;TEXT(ROW()-4,"000"))</f>
        <v/>
      </c>
      <c r="B198" s="25"/>
      <c r="C198" s="24"/>
      <c r="D198" s="24"/>
      <c r="E198" s="24"/>
      <c r="F198" s="24"/>
      <c r="G198" s="29"/>
      <c r="H198" s="24"/>
      <c r="I198" s="24"/>
      <c r="J198" s="26" t="str">
        <f aca="false">IF($D198="","",IFERROR(INDEX(LOT_PRODE,MATCH($D198,LOT_KEY,0)),"LOT NON REFERENCE"))</f>
        <v/>
      </c>
      <c r="K198" s="26" t="str">
        <f aca="false">IF($D198="","",IFERROR(INDEX(LOT_FOURNE,MATCH($D198,LOT_KEY,0)),""))</f>
        <v/>
      </c>
      <c r="L198" s="26" t="str">
        <f aca="false">IF($E198="","",IFERROR(INDEX(EMPL_CLASSE,MATCH($E198,EMPL_KEY,0)),"?"))</f>
        <v/>
      </c>
      <c r="M198" s="26" t="str">
        <f aca="false">IF($F198="","",IFERROR(INDEX(EMPL_CLASSE,MATCH($F198,EMPL_KEY,0)),"?"))</f>
        <v/>
      </c>
      <c r="N198" s="28" t="n">
        <f aca="false">IF($C198="",0,IF(OR($B198="",$D198="",NOT(ISNUMBER($G198)),$G198&lt;=0),0,IF($C198="RECEPTION",IF($F198="",0,1),IF($C198="CONSOMMATION",IF($E198="",0,1),IF(OR($E198="",$F198="",$E198=$F198),0,1)))))</f>
        <v>0</v>
      </c>
      <c r="O198" s="27" t="str">
        <f aca="false">IF(OR($N198=0,$C198="RECEPTION"),"",SUMIFS(MVT_BRUT,MVT_LOT,$D198,MVT_EMPL,$E198)+$G198)</f>
        <v/>
      </c>
      <c r="P198" s="26" t="str">
        <f aca="false">IF($C198="","",IF($N198=0,"DONNEES MANQUANTES",IF($C198="RECEPTION","OK",IF($O198&lt;=0,"EMPLACEMENT INCOHERENT",IF($G198&gt;$O198+0.001,"STOCK INSUFFISANT","OK")))))</f>
        <v/>
      </c>
      <c r="Q198" s="28" t="n">
        <f aca="false">IF($P198="OK",1,0)</f>
        <v>0</v>
      </c>
      <c r="R198" s="26" t="str">
        <f aca="false">IF($C198="","",IF($N198=0,"A COMPLETER : "&amp;IF($B198="","DATE; ","")&amp;IF($D198="","LOT; ","")&amp;IF(OR(NOT(ISNUMBER($G198)),$G198&lt;=0),"QUANTITE &gt; 0; ","")&amp;IF(AND($C198&lt;&gt;"RECEPTION",$E198=""),"EMPL. SOURCE; ","")&amp;IF(AND($C198&lt;&gt;"CONSOMMATION",$F198=""),"EMPL. DESTINATION; ","")&amp;IF(AND($C198="TRANSFERT",$E198&lt;&gt;"",$E198=$F198),"SOURCE = DESTINATION; ",""),IF($P198="EMPLACEMENT INCOHERENT","Le lot "&amp;$D198&amp;" n'existe pas sur "&amp;$E198&amp;" (stock 0). Verifier l'emplacement source.",IF($P198="STOCK INSUFFISANT","Disponible avant operation : "&amp;TEXT($O198,"#,##0.00")&amp;" kg. Ligne NON comptee en stock.",IF(COUNTIFS($B$5:$B$304,$B198,$C$5:$C$304,$C198,$D$5:$D$304,$D198,$G$5:$G$304,$G198)&gt;1,"Doublon possible (meme date, type, lot et quantite).",IF($J198="LOT NON REFERENCE","Creer d'abord la fiche du lot dans l'onglet LOTS.",""))))))</f>
        <v/>
      </c>
    </row>
    <row r="199" customFormat="false" ht="15" hidden="false" customHeight="false" outlineLevel="0" collapsed="false">
      <c r="A199" s="26" t="str">
        <f aca="false">IF($C199="","","OP-"&amp;TEXT(ROW()-4,"000"))</f>
        <v/>
      </c>
      <c r="B199" s="25"/>
      <c r="C199" s="24"/>
      <c r="D199" s="24"/>
      <c r="E199" s="24"/>
      <c r="F199" s="24"/>
      <c r="G199" s="29"/>
      <c r="H199" s="24"/>
      <c r="I199" s="24"/>
      <c r="J199" s="26" t="str">
        <f aca="false">IF($D199="","",IFERROR(INDEX(LOT_PRODE,MATCH($D199,LOT_KEY,0)),"LOT NON REFERENCE"))</f>
        <v/>
      </c>
      <c r="K199" s="26" t="str">
        <f aca="false">IF($D199="","",IFERROR(INDEX(LOT_FOURNE,MATCH($D199,LOT_KEY,0)),""))</f>
        <v/>
      </c>
      <c r="L199" s="26" t="str">
        <f aca="false">IF($E199="","",IFERROR(INDEX(EMPL_CLASSE,MATCH($E199,EMPL_KEY,0)),"?"))</f>
        <v/>
      </c>
      <c r="M199" s="26" t="str">
        <f aca="false">IF($F199="","",IFERROR(INDEX(EMPL_CLASSE,MATCH($F199,EMPL_KEY,0)),"?"))</f>
        <v/>
      </c>
      <c r="N199" s="28" t="n">
        <f aca="false">IF($C199="",0,IF(OR($B199="",$D199="",NOT(ISNUMBER($G199)),$G199&lt;=0),0,IF($C199="RECEPTION",IF($F199="",0,1),IF($C199="CONSOMMATION",IF($E199="",0,1),IF(OR($E199="",$F199="",$E199=$F199),0,1)))))</f>
        <v>0</v>
      </c>
      <c r="O199" s="27" t="str">
        <f aca="false">IF(OR($N199=0,$C199="RECEPTION"),"",SUMIFS(MVT_BRUT,MVT_LOT,$D199,MVT_EMPL,$E199)+$G199)</f>
        <v/>
      </c>
      <c r="P199" s="26" t="str">
        <f aca="false">IF($C199="","",IF($N199=0,"DONNEES MANQUANTES",IF($C199="RECEPTION","OK",IF($O199&lt;=0,"EMPLACEMENT INCOHERENT",IF($G199&gt;$O199+0.001,"STOCK INSUFFISANT","OK")))))</f>
        <v/>
      </c>
      <c r="Q199" s="28" t="n">
        <f aca="false">IF($P199="OK",1,0)</f>
        <v>0</v>
      </c>
      <c r="R199" s="26" t="str">
        <f aca="false">IF($C199="","",IF($N199=0,"A COMPLETER : "&amp;IF($B199="","DATE; ","")&amp;IF($D199="","LOT; ","")&amp;IF(OR(NOT(ISNUMBER($G199)),$G199&lt;=0),"QUANTITE &gt; 0; ","")&amp;IF(AND($C199&lt;&gt;"RECEPTION",$E199=""),"EMPL. SOURCE; ","")&amp;IF(AND($C199&lt;&gt;"CONSOMMATION",$F199=""),"EMPL. DESTINATION; ","")&amp;IF(AND($C199="TRANSFERT",$E199&lt;&gt;"",$E199=$F199),"SOURCE = DESTINATION; ",""),IF($P199="EMPLACEMENT INCOHERENT","Le lot "&amp;$D199&amp;" n'existe pas sur "&amp;$E199&amp;" (stock 0). Verifier l'emplacement source.",IF($P199="STOCK INSUFFISANT","Disponible avant operation : "&amp;TEXT($O199,"#,##0.00")&amp;" kg. Ligne NON comptee en stock.",IF(COUNTIFS($B$5:$B$304,$B199,$C$5:$C$304,$C199,$D$5:$D$304,$D199,$G$5:$G$304,$G199)&gt;1,"Doublon possible (meme date, type, lot et quantite).",IF($J199="LOT NON REFERENCE","Creer d'abord la fiche du lot dans l'onglet LOTS.",""))))))</f>
        <v/>
      </c>
    </row>
    <row r="200" customFormat="false" ht="15" hidden="false" customHeight="false" outlineLevel="0" collapsed="false">
      <c r="A200" s="26" t="str">
        <f aca="false">IF($C200="","","OP-"&amp;TEXT(ROW()-4,"000"))</f>
        <v/>
      </c>
      <c r="B200" s="25"/>
      <c r="C200" s="24"/>
      <c r="D200" s="24"/>
      <c r="E200" s="24"/>
      <c r="F200" s="24"/>
      <c r="G200" s="29"/>
      <c r="H200" s="24"/>
      <c r="I200" s="24"/>
      <c r="J200" s="26" t="str">
        <f aca="false">IF($D200="","",IFERROR(INDEX(LOT_PRODE,MATCH($D200,LOT_KEY,0)),"LOT NON REFERENCE"))</f>
        <v/>
      </c>
      <c r="K200" s="26" t="str">
        <f aca="false">IF($D200="","",IFERROR(INDEX(LOT_FOURNE,MATCH($D200,LOT_KEY,0)),""))</f>
        <v/>
      </c>
      <c r="L200" s="26" t="str">
        <f aca="false">IF($E200="","",IFERROR(INDEX(EMPL_CLASSE,MATCH($E200,EMPL_KEY,0)),"?"))</f>
        <v/>
      </c>
      <c r="M200" s="26" t="str">
        <f aca="false">IF($F200="","",IFERROR(INDEX(EMPL_CLASSE,MATCH($F200,EMPL_KEY,0)),"?"))</f>
        <v/>
      </c>
      <c r="N200" s="28" t="n">
        <f aca="false">IF($C200="",0,IF(OR($B200="",$D200="",NOT(ISNUMBER($G200)),$G200&lt;=0),0,IF($C200="RECEPTION",IF($F200="",0,1),IF($C200="CONSOMMATION",IF($E200="",0,1),IF(OR($E200="",$F200="",$E200=$F200),0,1)))))</f>
        <v>0</v>
      </c>
      <c r="O200" s="27" t="str">
        <f aca="false">IF(OR($N200=0,$C200="RECEPTION"),"",SUMIFS(MVT_BRUT,MVT_LOT,$D200,MVT_EMPL,$E200)+$G200)</f>
        <v/>
      </c>
      <c r="P200" s="26" t="str">
        <f aca="false">IF($C200="","",IF($N200=0,"DONNEES MANQUANTES",IF($C200="RECEPTION","OK",IF($O200&lt;=0,"EMPLACEMENT INCOHERENT",IF($G200&gt;$O200+0.001,"STOCK INSUFFISANT","OK")))))</f>
        <v/>
      </c>
      <c r="Q200" s="28" t="n">
        <f aca="false">IF($P200="OK",1,0)</f>
        <v>0</v>
      </c>
      <c r="R200" s="26" t="str">
        <f aca="false">IF($C200="","",IF($N200=0,"A COMPLETER : "&amp;IF($B200="","DATE; ","")&amp;IF($D200="","LOT; ","")&amp;IF(OR(NOT(ISNUMBER($G200)),$G200&lt;=0),"QUANTITE &gt; 0; ","")&amp;IF(AND($C200&lt;&gt;"RECEPTION",$E200=""),"EMPL. SOURCE; ","")&amp;IF(AND($C200&lt;&gt;"CONSOMMATION",$F200=""),"EMPL. DESTINATION; ","")&amp;IF(AND($C200="TRANSFERT",$E200&lt;&gt;"",$E200=$F200),"SOURCE = DESTINATION; ",""),IF($P200="EMPLACEMENT INCOHERENT","Le lot "&amp;$D200&amp;" n'existe pas sur "&amp;$E200&amp;" (stock 0). Verifier l'emplacement source.",IF($P200="STOCK INSUFFISANT","Disponible avant operation : "&amp;TEXT($O200,"#,##0.00")&amp;" kg. Ligne NON comptee en stock.",IF(COUNTIFS($B$5:$B$304,$B200,$C$5:$C$304,$C200,$D$5:$D$304,$D200,$G$5:$G$304,$G200)&gt;1,"Doublon possible (meme date, type, lot et quantite).",IF($J200="LOT NON REFERENCE","Creer d'abord la fiche du lot dans l'onglet LOTS.",""))))))</f>
        <v/>
      </c>
    </row>
    <row r="201" customFormat="false" ht="15" hidden="false" customHeight="false" outlineLevel="0" collapsed="false">
      <c r="A201" s="26" t="str">
        <f aca="false">IF($C201="","","OP-"&amp;TEXT(ROW()-4,"000"))</f>
        <v/>
      </c>
      <c r="B201" s="25"/>
      <c r="C201" s="24"/>
      <c r="D201" s="24"/>
      <c r="E201" s="24"/>
      <c r="F201" s="24"/>
      <c r="G201" s="29"/>
      <c r="H201" s="24"/>
      <c r="I201" s="24"/>
      <c r="J201" s="26" t="str">
        <f aca="false">IF($D201="","",IFERROR(INDEX(LOT_PRODE,MATCH($D201,LOT_KEY,0)),"LOT NON REFERENCE"))</f>
        <v/>
      </c>
      <c r="K201" s="26" t="str">
        <f aca="false">IF($D201="","",IFERROR(INDEX(LOT_FOURNE,MATCH($D201,LOT_KEY,0)),""))</f>
        <v/>
      </c>
      <c r="L201" s="26" t="str">
        <f aca="false">IF($E201="","",IFERROR(INDEX(EMPL_CLASSE,MATCH($E201,EMPL_KEY,0)),"?"))</f>
        <v/>
      </c>
      <c r="M201" s="26" t="str">
        <f aca="false">IF($F201="","",IFERROR(INDEX(EMPL_CLASSE,MATCH($F201,EMPL_KEY,0)),"?"))</f>
        <v/>
      </c>
      <c r="N201" s="28" t="n">
        <f aca="false">IF($C201="",0,IF(OR($B201="",$D201="",NOT(ISNUMBER($G201)),$G201&lt;=0),0,IF($C201="RECEPTION",IF($F201="",0,1),IF($C201="CONSOMMATION",IF($E201="",0,1),IF(OR($E201="",$F201="",$E201=$F201),0,1)))))</f>
        <v>0</v>
      </c>
      <c r="O201" s="27" t="str">
        <f aca="false">IF(OR($N201=0,$C201="RECEPTION"),"",SUMIFS(MVT_BRUT,MVT_LOT,$D201,MVT_EMPL,$E201)+$G201)</f>
        <v/>
      </c>
      <c r="P201" s="26" t="str">
        <f aca="false">IF($C201="","",IF($N201=0,"DONNEES MANQUANTES",IF($C201="RECEPTION","OK",IF($O201&lt;=0,"EMPLACEMENT INCOHERENT",IF($G201&gt;$O201+0.001,"STOCK INSUFFISANT","OK")))))</f>
        <v/>
      </c>
      <c r="Q201" s="28" t="n">
        <f aca="false">IF($P201="OK",1,0)</f>
        <v>0</v>
      </c>
      <c r="R201" s="26" t="str">
        <f aca="false">IF($C201="","",IF($N201=0,"A COMPLETER : "&amp;IF($B201="","DATE; ","")&amp;IF($D201="","LOT; ","")&amp;IF(OR(NOT(ISNUMBER($G201)),$G201&lt;=0),"QUANTITE &gt; 0; ","")&amp;IF(AND($C201&lt;&gt;"RECEPTION",$E201=""),"EMPL. SOURCE; ","")&amp;IF(AND($C201&lt;&gt;"CONSOMMATION",$F201=""),"EMPL. DESTINATION; ","")&amp;IF(AND($C201="TRANSFERT",$E201&lt;&gt;"",$E201=$F201),"SOURCE = DESTINATION; ",""),IF($P201="EMPLACEMENT INCOHERENT","Le lot "&amp;$D201&amp;" n'existe pas sur "&amp;$E201&amp;" (stock 0). Verifier l'emplacement source.",IF($P201="STOCK INSUFFISANT","Disponible avant operation : "&amp;TEXT($O201,"#,##0.00")&amp;" kg. Ligne NON comptee en stock.",IF(COUNTIFS($B$5:$B$304,$B201,$C$5:$C$304,$C201,$D$5:$D$304,$D201,$G$5:$G$304,$G201)&gt;1,"Doublon possible (meme date, type, lot et quantite).",IF($J201="LOT NON REFERENCE","Creer d'abord la fiche du lot dans l'onglet LOTS.",""))))))</f>
        <v/>
      </c>
    </row>
    <row r="202" customFormat="false" ht="15" hidden="false" customHeight="false" outlineLevel="0" collapsed="false">
      <c r="A202" s="26" t="str">
        <f aca="false">IF($C202="","","OP-"&amp;TEXT(ROW()-4,"000"))</f>
        <v/>
      </c>
      <c r="B202" s="25"/>
      <c r="C202" s="24"/>
      <c r="D202" s="24"/>
      <c r="E202" s="24"/>
      <c r="F202" s="24"/>
      <c r="G202" s="29"/>
      <c r="H202" s="24"/>
      <c r="I202" s="24"/>
      <c r="J202" s="26" t="str">
        <f aca="false">IF($D202="","",IFERROR(INDEX(LOT_PRODE,MATCH($D202,LOT_KEY,0)),"LOT NON REFERENCE"))</f>
        <v/>
      </c>
      <c r="K202" s="26" t="str">
        <f aca="false">IF($D202="","",IFERROR(INDEX(LOT_FOURNE,MATCH($D202,LOT_KEY,0)),""))</f>
        <v/>
      </c>
      <c r="L202" s="26" t="str">
        <f aca="false">IF($E202="","",IFERROR(INDEX(EMPL_CLASSE,MATCH($E202,EMPL_KEY,0)),"?"))</f>
        <v/>
      </c>
      <c r="M202" s="26" t="str">
        <f aca="false">IF($F202="","",IFERROR(INDEX(EMPL_CLASSE,MATCH($F202,EMPL_KEY,0)),"?"))</f>
        <v/>
      </c>
      <c r="N202" s="28" t="n">
        <f aca="false">IF($C202="",0,IF(OR($B202="",$D202="",NOT(ISNUMBER($G202)),$G202&lt;=0),0,IF($C202="RECEPTION",IF($F202="",0,1),IF($C202="CONSOMMATION",IF($E202="",0,1),IF(OR($E202="",$F202="",$E202=$F202),0,1)))))</f>
        <v>0</v>
      </c>
      <c r="O202" s="27" t="str">
        <f aca="false">IF(OR($N202=0,$C202="RECEPTION"),"",SUMIFS(MVT_BRUT,MVT_LOT,$D202,MVT_EMPL,$E202)+$G202)</f>
        <v/>
      </c>
      <c r="P202" s="26" t="str">
        <f aca="false">IF($C202="","",IF($N202=0,"DONNEES MANQUANTES",IF($C202="RECEPTION","OK",IF($O202&lt;=0,"EMPLACEMENT INCOHERENT",IF($G202&gt;$O202+0.001,"STOCK INSUFFISANT","OK")))))</f>
        <v/>
      </c>
      <c r="Q202" s="28" t="n">
        <f aca="false">IF($P202="OK",1,0)</f>
        <v>0</v>
      </c>
      <c r="R202" s="26" t="str">
        <f aca="false">IF($C202="","",IF($N202=0,"A COMPLETER : "&amp;IF($B202="","DATE; ","")&amp;IF($D202="","LOT; ","")&amp;IF(OR(NOT(ISNUMBER($G202)),$G202&lt;=0),"QUANTITE &gt; 0; ","")&amp;IF(AND($C202&lt;&gt;"RECEPTION",$E202=""),"EMPL. SOURCE; ","")&amp;IF(AND($C202&lt;&gt;"CONSOMMATION",$F202=""),"EMPL. DESTINATION; ","")&amp;IF(AND($C202="TRANSFERT",$E202&lt;&gt;"",$E202=$F202),"SOURCE = DESTINATION; ",""),IF($P202="EMPLACEMENT INCOHERENT","Le lot "&amp;$D202&amp;" n'existe pas sur "&amp;$E202&amp;" (stock 0). Verifier l'emplacement source.",IF($P202="STOCK INSUFFISANT","Disponible avant operation : "&amp;TEXT($O202,"#,##0.00")&amp;" kg. Ligne NON comptee en stock.",IF(COUNTIFS($B$5:$B$304,$B202,$C$5:$C$304,$C202,$D$5:$D$304,$D202,$G$5:$G$304,$G202)&gt;1,"Doublon possible (meme date, type, lot et quantite).",IF($J202="LOT NON REFERENCE","Creer d'abord la fiche du lot dans l'onglet LOTS.",""))))))</f>
        <v/>
      </c>
    </row>
    <row r="203" customFormat="false" ht="15" hidden="false" customHeight="false" outlineLevel="0" collapsed="false">
      <c r="A203" s="26" t="str">
        <f aca="false">IF($C203="","","OP-"&amp;TEXT(ROW()-4,"000"))</f>
        <v/>
      </c>
      <c r="B203" s="25"/>
      <c r="C203" s="24"/>
      <c r="D203" s="24"/>
      <c r="E203" s="24"/>
      <c r="F203" s="24"/>
      <c r="G203" s="29"/>
      <c r="H203" s="24"/>
      <c r="I203" s="24"/>
      <c r="J203" s="26" t="str">
        <f aca="false">IF($D203="","",IFERROR(INDEX(LOT_PRODE,MATCH($D203,LOT_KEY,0)),"LOT NON REFERENCE"))</f>
        <v/>
      </c>
      <c r="K203" s="26" t="str">
        <f aca="false">IF($D203="","",IFERROR(INDEX(LOT_FOURNE,MATCH($D203,LOT_KEY,0)),""))</f>
        <v/>
      </c>
      <c r="L203" s="26" t="str">
        <f aca="false">IF($E203="","",IFERROR(INDEX(EMPL_CLASSE,MATCH($E203,EMPL_KEY,0)),"?"))</f>
        <v/>
      </c>
      <c r="M203" s="26" t="str">
        <f aca="false">IF($F203="","",IFERROR(INDEX(EMPL_CLASSE,MATCH($F203,EMPL_KEY,0)),"?"))</f>
        <v/>
      </c>
      <c r="N203" s="28" t="n">
        <f aca="false">IF($C203="",0,IF(OR($B203="",$D203="",NOT(ISNUMBER($G203)),$G203&lt;=0),0,IF($C203="RECEPTION",IF($F203="",0,1),IF($C203="CONSOMMATION",IF($E203="",0,1),IF(OR($E203="",$F203="",$E203=$F203),0,1)))))</f>
        <v>0</v>
      </c>
      <c r="O203" s="27" t="str">
        <f aca="false">IF(OR($N203=0,$C203="RECEPTION"),"",SUMIFS(MVT_BRUT,MVT_LOT,$D203,MVT_EMPL,$E203)+$G203)</f>
        <v/>
      </c>
      <c r="P203" s="26" t="str">
        <f aca="false">IF($C203="","",IF($N203=0,"DONNEES MANQUANTES",IF($C203="RECEPTION","OK",IF($O203&lt;=0,"EMPLACEMENT INCOHERENT",IF($G203&gt;$O203+0.001,"STOCK INSUFFISANT","OK")))))</f>
        <v/>
      </c>
      <c r="Q203" s="28" t="n">
        <f aca="false">IF($P203="OK",1,0)</f>
        <v>0</v>
      </c>
      <c r="R203" s="26" t="str">
        <f aca="false">IF($C203="","",IF($N203=0,"A COMPLETER : "&amp;IF($B203="","DATE; ","")&amp;IF($D203="","LOT; ","")&amp;IF(OR(NOT(ISNUMBER($G203)),$G203&lt;=0),"QUANTITE &gt; 0; ","")&amp;IF(AND($C203&lt;&gt;"RECEPTION",$E203=""),"EMPL. SOURCE; ","")&amp;IF(AND($C203&lt;&gt;"CONSOMMATION",$F203=""),"EMPL. DESTINATION; ","")&amp;IF(AND($C203="TRANSFERT",$E203&lt;&gt;"",$E203=$F203),"SOURCE = DESTINATION; ",""),IF($P203="EMPLACEMENT INCOHERENT","Le lot "&amp;$D203&amp;" n'existe pas sur "&amp;$E203&amp;" (stock 0). Verifier l'emplacement source.",IF($P203="STOCK INSUFFISANT","Disponible avant operation : "&amp;TEXT($O203,"#,##0.00")&amp;" kg. Ligne NON comptee en stock.",IF(COUNTIFS($B$5:$B$304,$B203,$C$5:$C$304,$C203,$D$5:$D$304,$D203,$G$5:$G$304,$G203)&gt;1,"Doublon possible (meme date, type, lot et quantite).",IF($J203="LOT NON REFERENCE","Creer d'abord la fiche du lot dans l'onglet LOTS.",""))))))</f>
        <v/>
      </c>
    </row>
    <row r="204" customFormat="false" ht="15" hidden="false" customHeight="false" outlineLevel="0" collapsed="false">
      <c r="A204" s="26" t="str">
        <f aca="false">IF($C204="","","OP-"&amp;TEXT(ROW()-4,"000"))</f>
        <v/>
      </c>
      <c r="B204" s="25"/>
      <c r="C204" s="24"/>
      <c r="D204" s="24"/>
      <c r="E204" s="24"/>
      <c r="F204" s="24"/>
      <c r="G204" s="29"/>
      <c r="H204" s="24"/>
      <c r="I204" s="24"/>
      <c r="J204" s="26" t="str">
        <f aca="false">IF($D204="","",IFERROR(INDEX(LOT_PRODE,MATCH($D204,LOT_KEY,0)),"LOT NON REFERENCE"))</f>
        <v/>
      </c>
      <c r="K204" s="26" t="str">
        <f aca="false">IF($D204="","",IFERROR(INDEX(LOT_FOURNE,MATCH($D204,LOT_KEY,0)),""))</f>
        <v/>
      </c>
      <c r="L204" s="26" t="str">
        <f aca="false">IF($E204="","",IFERROR(INDEX(EMPL_CLASSE,MATCH($E204,EMPL_KEY,0)),"?"))</f>
        <v/>
      </c>
      <c r="M204" s="26" t="str">
        <f aca="false">IF($F204="","",IFERROR(INDEX(EMPL_CLASSE,MATCH($F204,EMPL_KEY,0)),"?"))</f>
        <v/>
      </c>
      <c r="N204" s="28" t="n">
        <f aca="false">IF($C204="",0,IF(OR($B204="",$D204="",NOT(ISNUMBER($G204)),$G204&lt;=0),0,IF($C204="RECEPTION",IF($F204="",0,1),IF($C204="CONSOMMATION",IF($E204="",0,1),IF(OR($E204="",$F204="",$E204=$F204),0,1)))))</f>
        <v>0</v>
      </c>
      <c r="O204" s="27" t="str">
        <f aca="false">IF(OR($N204=0,$C204="RECEPTION"),"",SUMIFS(MVT_BRUT,MVT_LOT,$D204,MVT_EMPL,$E204)+$G204)</f>
        <v/>
      </c>
      <c r="P204" s="26" t="str">
        <f aca="false">IF($C204="","",IF($N204=0,"DONNEES MANQUANTES",IF($C204="RECEPTION","OK",IF($O204&lt;=0,"EMPLACEMENT INCOHERENT",IF($G204&gt;$O204+0.001,"STOCK INSUFFISANT","OK")))))</f>
        <v/>
      </c>
      <c r="Q204" s="28" t="n">
        <f aca="false">IF($P204="OK",1,0)</f>
        <v>0</v>
      </c>
      <c r="R204" s="26" t="str">
        <f aca="false">IF($C204="","",IF($N204=0,"A COMPLETER : "&amp;IF($B204="","DATE; ","")&amp;IF($D204="","LOT; ","")&amp;IF(OR(NOT(ISNUMBER($G204)),$G204&lt;=0),"QUANTITE &gt; 0; ","")&amp;IF(AND($C204&lt;&gt;"RECEPTION",$E204=""),"EMPL. SOURCE; ","")&amp;IF(AND($C204&lt;&gt;"CONSOMMATION",$F204=""),"EMPL. DESTINATION; ","")&amp;IF(AND($C204="TRANSFERT",$E204&lt;&gt;"",$E204=$F204),"SOURCE = DESTINATION; ",""),IF($P204="EMPLACEMENT INCOHERENT","Le lot "&amp;$D204&amp;" n'existe pas sur "&amp;$E204&amp;" (stock 0). Verifier l'emplacement source.",IF($P204="STOCK INSUFFISANT","Disponible avant operation : "&amp;TEXT($O204,"#,##0.00")&amp;" kg. Ligne NON comptee en stock.",IF(COUNTIFS($B$5:$B$304,$B204,$C$5:$C$304,$C204,$D$5:$D$304,$D204,$G$5:$G$304,$G204)&gt;1,"Doublon possible (meme date, type, lot et quantite).",IF($J204="LOT NON REFERENCE","Creer d'abord la fiche du lot dans l'onglet LOTS.",""))))))</f>
        <v/>
      </c>
    </row>
    <row r="205" customFormat="false" ht="15" hidden="false" customHeight="false" outlineLevel="0" collapsed="false">
      <c r="A205" s="26" t="str">
        <f aca="false">IF($C205="","","OP-"&amp;TEXT(ROW()-4,"000"))</f>
        <v/>
      </c>
      <c r="B205" s="25"/>
      <c r="C205" s="24"/>
      <c r="D205" s="24"/>
      <c r="E205" s="24"/>
      <c r="F205" s="24"/>
      <c r="G205" s="29"/>
      <c r="H205" s="24"/>
      <c r="I205" s="24"/>
      <c r="J205" s="26" t="str">
        <f aca="false">IF($D205="","",IFERROR(INDEX(LOT_PRODE,MATCH($D205,LOT_KEY,0)),"LOT NON REFERENCE"))</f>
        <v/>
      </c>
      <c r="K205" s="26" t="str">
        <f aca="false">IF($D205="","",IFERROR(INDEX(LOT_FOURNE,MATCH($D205,LOT_KEY,0)),""))</f>
        <v/>
      </c>
      <c r="L205" s="26" t="str">
        <f aca="false">IF($E205="","",IFERROR(INDEX(EMPL_CLASSE,MATCH($E205,EMPL_KEY,0)),"?"))</f>
        <v/>
      </c>
      <c r="M205" s="26" t="str">
        <f aca="false">IF($F205="","",IFERROR(INDEX(EMPL_CLASSE,MATCH($F205,EMPL_KEY,0)),"?"))</f>
        <v/>
      </c>
      <c r="N205" s="28" t="n">
        <f aca="false">IF($C205="",0,IF(OR($B205="",$D205="",NOT(ISNUMBER($G205)),$G205&lt;=0),0,IF($C205="RECEPTION",IF($F205="",0,1),IF($C205="CONSOMMATION",IF($E205="",0,1),IF(OR($E205="",$F205="",$E205=$F205),0,1)))))</f>
        <v>0</v>
      </c>
      <c r="O205" s="27" t="str">
        <f aca="false">IF(OR($N205=0,$C205="RECEPTION"),"",SUMIFS(MVT_BRUT,MVT_LOT,$D205,MVT_EMPL,$E205)+$G205)</f>
        <v/>
      </c>
      <c r="P205" s="26" t="str">
        <f aca="false">IF($C205="","",IF($N205=0,"DONNEES MANQUANTES",IF($C205="RECEPTION","OK",IF($O205&lt;=0,"EMPLACEMENT INCOHERENT",IF($G205&gt;$O205+0.001,"STOCK INSUFFISANT","OK")))))</f>
        <v/>
      </c>
      <c r="Q205" s="28" t="n">
        <f aca="false">IF($P205="OK",1,0)</f>
        <v>0</v>
      </c>
      <c r="R205" s="26" t="str">
        <f aca="false">IF($C205="","",IF($N205=0,"A COMPLETER : "&amp;IF($B205="","DATE; ","")&amp;IF($D205="","LOT; ","")&amp;IF(OR(NOT(ISNUMBER($G205)),$G205&lt;=0),"QUANTITE &gt; 0; ","")&amp;IF(AND($C205&lt;&gt;"RECEPTION",$E205=""),"EMPL. SOURCE; ","")&amp;IF(AND($C205&lt;&gt;"CONSOMMATION",$F205=""),"EMPL. DESTINATION; ","")&amp;IF(AND($C205="TRANSFERT",$E205&lt;&gt;"",$E205=$F205),"SOURCE = DESTINATION; ",""),IF($P205="EMPLACEMENT INCOHERENT","Le lot "&amp;$D205&amp;" n'existe pas sur "&amp;$E205&amp;" (stock 0). Verifier l'emplacement source.",IF($P205="STOCK INSUFFISANT","Disponible avant operation : "&amp;TEXT($O205,"#,##0.00")&amp;" kg. Ligne NON comptee en stock.",IF(COUNTIFS($B$5:$B$304,$B205,$C$5:$C$304,$C205,$D$5:$D$304,$D205,$G$5:$G$304,$G205)&gt;1,"Doublon possible (meme date, type, lot et quantite).",IF($J205="LOT NON REFERENCE","Creer d'abord la fiche du lot dans l'onglet LOTS.",""))))))</f>
        <v/>
      </c>
    </row>
    <row r="206" customFormat="false" ht="15" hidden="false" customHeight="false" outlineLevel="0" collapsed="false">
      <c r="A206" s="26" t="str">
        <f aca="false">IF($C206="","","OP-"&amp;TEXT(ROW()-4,"000"))</f>
        <v/>
      </c>
      <c r="B206" s="25"/>
      <c r="C206" s="24"/>
      <c r="D206" s="24"/>
      <c r="E206" s="24"/>
      <c r="F206" s="24"/>
      <c r="G206" s="29"/>
      <c r="H206" s="24"/>
      <c r="I206" s="24"/>
      <c r="J206" s="26" t="str">
        <f aca="false">IF($D206="","",IFERROR(INDEX(LOT_PRODE,MATCH($D206,LOT_KEY,0)),"LOT NON REFERENCE"))</f>
        <v/>
      </c>
      <c r="K206" s="26" t="str">
        <f aca="false">IF($D206="","",IFERROR(INDEX(LOT_FOURNE,MATCH($D206,LOT_KEY,0)),""))</f>
        <v/>
      </c>
      <c r="L206" s="26" t="str">
        <f aca="false">IF($E206="","",IFERROR(INDEX(EMPL_CLASSE,MATCH($E206,EMPL_KEY,0)),"?"))</f>
        <v/>
      </c>
      <c r="M206" s="26" t="str">
        <f aca="false">IF($F206="","",IFERROR(INDEX(EMPL_CLASSE,MATCH($F206,EMPL_KEY,0)),"?"))</f>
        <v/>
      </c>
      <c r="N206" s="28" t="n">
        <f aca="false">IF($C206="",0,IF(OR($B206="",$D206="",NOT(ISNUMBER($G206)),$G206&lt;=0),0,IF($C206="RECEPTION",IF($F206="",0,1),IF($C206="CONSOMMATION",IF($E206="",0,1),IF(OR($E206="",$F206="",$E206=$F206),0,1)))))</f>
        <v>0</v>
      </c>
      <c r="O206" s="27" t="str">
        <f aca="false">IF(OR($N206=0,$C206="RECEPTION"),"",SUMIFS(MVT_BRUT,MVT_LOT,$D206,MVT_EMPL,$E206)+$G206)</f>
        <v/>
      </c>
      <c r="P206" s="26" t="str">
        <f aca="false">IF($C206="","",IF($N206=0,"DONNEES MANQUANTES",IF($C206="RECEPTION","OK",IF($O206&lt;=0,"EMPLACEMENT INCOHERENT",IF($G206&gt;$O206+0.001,"STOCK INSUFFISANT","OK")))))</f>
        <v/>
      </c>
      <c r="Q206" s="28" t="n">
        <f aca="false">IF($P206="OK",1,0)</f>
        <v>0</v>
      </c>
      <c r="R206" s="26" t="str">
        <f aca="false">IF($C206="","",IF($N206=0,"A COMPLETER : "&amp;IF($B206="","DATE; ","")&amp;IF($D206="","LOT; ","")&amp;IF(OR(NOT(ISNUMBER($G206)),$G206&lt;=0),"QUANTITE &gt; 0; ","")&amp;IF(AND($C206&lt;&gt;"RECEPTION",$E206=""),"EMPL. SOURCE; ","")&amp;IF(AND($C206&lt;&gt;"CONSOMMATION",$F206=""),"EMPL. DESTINATION; ","")&amp;IF(AND($C206="TRANSFERT",$E206&lt;&gt;"",$E206=$F206),"SOURCE = DESTINATION; ",""),IF($P206="EMPLACEMENT INCOHERENT","Le lot "&amp;$D206&amp;" n'existe pas sur "&amp;$E206&amp;" (stock 0). Verifier l'emplacement source.",IF($P206="STOCK INSUFFISANT","Disponible avant operation : "&amp;TEXT($O206,"#,##0.00")&amp;" kg. Ligne NON comptee en stock.",IF(COUNTIFS($B$5:$B$304,$B206,$C$5:$C$304,$C206,$D$5:$D$304,$D206,$G$5:$G$304,$G206)&gt;1,"Doublon possible (meme date, type, lot et quantite).",IF($J206="LOT NON REFERENCE","Creer d'abord la fiche du lot dans l'onglet LOTS.",""))))))</f>
        <v/>
      </c>
    </row>
    <row r="207" customFormat="false" ht="15" hidden="false" customHeight="false" outlineLevel="0" collapsed="false">
      <c r="A207" s="26" t="str">
        <f aca="false">IF($C207="","","OP-"&amp;TEXT(ROW()-4,"000"))</f>
        <v/>
      </c>
      <c r="B207" s="25"/>
      <c r="C207" s="24"/>
      <c r="D207" s="24"/>
      <c r="E207" s="24"/>
      <c r="F207" s="24"/>
      <c r="G207" s="29"/>
      <c r="H207" s="24"/>
      <c r="I207" s="24"/>
      <c r="J207" s="26" t="str">
        <f aca="false">IF($D207="","",IFERROR(INDEX(LOT_PRODE,MATCH($D207,LOT_KEY,0)),"LOT NON REFERENCE"))</f>
        <v/>
      </c>
      <c r="K207" s="26" t="str">
        <f aca="false">IF($D207="","",IFERROR(INDEX(LOT_FOURNE,MATCH($D207,LOT_KEY,0)),""))</f>
        <v/>
      </c>
      <c r="L207" s="26" t="str">
        <f aca="false">IF($E207="","",IFERROR(INDEX(EMPL_CLASSE,MATCH($E207,EMPL_KEY,0)),"?"))</f>
        <v/>
      </c>
      <c r="M207" s="26" t="str">
        <f aca="false">IF($F207="","",IFERROR(INDEX(EMPL_CLASSE,MATCH($F207,EMPL_KEY,0)),"?"))</f>
        <v/>
      </c>
      <c r="N207" s="28" t="n">
        <f aca="false">IF($C207="",0,IF(OR($B207="",$D207="",NOT(ISNUMBER($G207)),$G207&lt;=0),0,IF($C207="RECEPTION",IF($F207="",0,1),IF($C207="CONSOMMATION",IF($E207="",0,1),IF(OR($E207="",$F207="",$E207=$F207),0,1)))))</f>
        <v>0</v>
      </c>
      <c r="O207" s="27" t="str">
        <f aca="false">IF(OR($N207=0,$C207="RECEPTION"),"",SUMIFS(MVT_BRUT,MVT_LOT,$D207,MVT_EMPL,$E207)+$G207)</f>
        <v/>
      </c>
      <c r="P207" s="26" t="str">
        <f aca="false">IF($C207="","",IF($N207=0,"DONNEES MANQUANTES",IF($C207="RECEPTION","OK",IF($O207&lt;=0,"EMPLACEMENT INCOHERENT",IF($G207&gt;$O207+0.001,"STOCK INSUFFISANT","OK")))))</f>
        <v/>
      </c>
      <c r="Q207" s="28" t="n">
        <f aca="false">IF($P207="OK",1,0)</f>
        <v>0</v>
      </c>
      <c r="R207" s="26" t="str">
        <f aca="false">IF($C207="","",IF($N207=0,"A COMPLETER : "&amp;IF($B207="","DATE; ","")&amp;IF($D207="","LOT; ","")&amp;IF(OR(NOT(ISNUMBER($G207)),$G207&lt;=0),"QUANTITE &gt; 0; ","")&amp;IF(AND($C207&lt;&gt;"RECEPTION",$E207=""),"EMPL. SOURCE; ","")&amp;IF(AND($C207&lt;&gt;"CONSOMMATION",$F207=""),"EMPL. DESTINATION; ","")&amp;IF(AND($C207="TRANSFERT",$E207&lt;&gt;"",$E207=$F207),"SOURCE = DESTINATION; ",""),IF($P207="EMPLACEMENT INCOHERENT","Le lot "&amp;$D207&amp;" n'existe pas sur "&amp;$E207&amp;" (stock 0). Verifier l'emplacement source.",IF($P207="STOCK INSUFFISANT","Disponible avant operation : "&amp;TEXT($O207,"#,##0.00")&amp;" kg. Ligne NON comptee en stock.",IF(COUNTIFS($B$5:$B$304,$B207,$C$5:$C$304,$C207,$D$5:$D$304,$D207,$G$5:$G$304,$G207)&gt;1,"Doublon possible (meme date, type, lot et quantite).",IF($J207="LOT NON REFERENCE","Creer d'abord la fiche du lot dans l'onglet LOTS.",""))))))</f>
        <v/>
      </c>
    </row>
    <row r="208" customFormat="false" ht="15" hidden="false" customHeight="false" outlineLevel="0" collapsed="false">
      <c r="A208" s="26" t="str">
        <f aca="false">IF($C208="","","OP-"&amp;TEXT(ROW()-4,"000"))</f>
        <v/>
      </c>
      <c r="B208" s="25"/>
      <c r="C208" s="24"/>
      <c r="D208" s="24"/>
      <c r="E208" s="24"/>
      <c r="F208" s="24"/>
      <c r="G208" s="29"/>
      <c r="H208" s="24"/>
      <c r="I208" s="24"/>
      <c r="J208" s="26" t="str">
        <f aca="false">IF($D208="","",IFERROR(INDEX(LOT_PRODE,MATCH($D208,LOT_KEY,0)),"LOT NON REFERENCE"))</f>
        <v/>
      </c>
      <c r="K208" s="26" t="str">
        <f aca="false">IF($D208="","",IFERROR(INDEX(LOT_FOURNE,MATCH($D208,LOT_KEY,0)),""))</f>
        <v/>
      </c>
      <c r="L208" s="26" t="str">
        <f aca="false">IF($E208="","",IFERROR(INDEX(EMPL_CLASSE,MATCH($E208,EMPL_KEY,0)),"?"))</f>
        <v/>
      </c>
      <c r="M208" s="26" t="str">
        <f aca="false">IF($F208="","",IFERROR(INDEX(EMPL_CLASSE,MATCH($F208,EMPL_KEY,0)),"?"))</f>
        <v/>
      </c>
      <c r="N208" s="28" t="n">
        <f aca="false">IF($C208="",0,IF(OR($B208="",$D208="",NOT(ISNUMBER($G208)),$G208&lt;=0),0,IF($C208="RECEPTION",IF($F208="",0,1),IF($C208="CONSOMMATION",IF($E208="",0,1),IF(OR($E208="",$F208="",$E208=$F208),0,1)))))</f>
        <v>0</v>
      </c>
      <c r="O208" s="27" t="str">
        <f aca="false">IF(OR($N208=0,$C208="RECEPTION"),"",SUMIFS(MVT_BRUT,MVT_LOT,$D208,MVT_EMPL,$E208)+$G208)</f>
        <v/>
      </c>
      <c r="P208" s="26" t="str">
        <f aca="false">IF($C208="","",IF($N208=0,"DONNEES MANQUANTES",IF($C208="RECEPTION","OK",IF($O208&lt;=0,"EMPLACEMENT INCOHERENT",IF($G208&gt;$O208+0.001,"STOCK INSUFFISANT","OK")))))</f>
        <v/>
      </c>
      <c r="Q208" s="28" t="n">
        <f aca="false">IF($P208="OK",1,0)</f>
        <v>0</v>
      </c>
      <c r="R208" s="26" t="str">
        <f aca="false">IF($C208="","",IF($N208=0,"A COMPLETER : "&amp;IF($B208="","DATE; ","")&amp;IF($D208="","LOT; ","")&amp;IF(OR(NOT(ISNUMBER($G208)),$G208&lt;=0),"QUANTITE &gt; 0; ","")&amp;IF(AND($C208&lt;&gt;"RECEPTION",$E208=""),"EMPL. SOURCE; ","")&amp;IF(AND($C208&lt;&gt;"CONSOMMATION",$F208=""),"EMPL. DESTINATION; ","")&amp;IF(AND($C208="TRANSFERT",$E208&lt;&gt;"",$E208=$F208),"SOURCE = DESTINATION; ",""),IF($P208="EMPLACEMENT INCOHERENT","Le lot "&amp;$D208&amp;" n'existe pas sur "&amp;$E208&amp;" (stock 0). Verifier l'emplacement source.",IF($P208="STOCK INSUFFISANT","Disponible avant operation : "&amp;TEXT($O208,"#,##0.00")&amp;" kg. Ligne NON comptee en stock.",IF(COUNTIFS($B$5:$B$304,$B208,$C$5:$C$304,$C208,$D$5:$D$304,$D208,$G$5:$G$304,$G208)&gt;1,"Doublon possible (meme date, type, lot et quantite).",IF($J208="LOT NON REFERENCE","Creer d'abord la fiche du lot dans l'onglet LOTS.",""))))))</f>
        <v/>
      </c>
    </row>
    <row r="209" customFormat="false" ht="15" hidden="false" customHeight="false" outlineLevel="0" collapsed="false">
      <c r="A209" s="26" t="str">
        <f aca="false">IF($C209="","","OP-"&amp;TEXT(ROW()-4,"000"))</f>
        <v/>
      </c>
      <c r="B209" s="25"/>
      <c r="C209" s="24"/>
      <c r="D209" s="24"/>
      <c r="E209" s="24"/>
      <c r="F209" s="24"/>
      <c r="G209" s="29"/>
      <c r="H209" s="24"/>
      <c r="I209" s="24"/>
      <c r="J209" s="26" t="str">
        <f aca="false">IF($D209="","",IFERROR(INDEX(LOT_PRODE,MATCH($D209,LOT_KEY,0)),"LOT NON REFERENCE"))</f>
        <v/>
      </c>
      <c r="K209" s="26" t="str">
        <f aca="false">IF($D209="","",IFERROR(INDEX(LOT_FOURNE,MATCH($D209,LOT_KEY,0)),""))</f>
        <v/>
      </c>
      <c r="L209" s="26" t="str">
        <f aca="false">IF($E209="","",IFERROR(INDEX(EMPL_CLASSE,MATCH($E209,EMPL_KEY,0)),"?"))</f>
        <v/>
      </c>
      <c r="M209" s="26" t="str">
        <f aca="false">IF($F209="","",IFERROR(INDEX(EMPL_CLASSE,MATCH($F209,EMPL_KEY,0)),"?"))</f>
        <v/>
      </c>
      <c r="N209" s="28" t="n">
        <f aca="false">IF($C209="",0,IF(OR($B209="",$D209="",NOT(ISNUMBER($G209)),$G209&lt;=0),0,IF($C209="RECEPTION",IF($F209="",0,1),IF($C209="CONSOMMATION",IF($E209="",0,1),IF(OR($E209="",$F209="",$E209=$F209),0,1)))))</f>
        <v>0</v>
      </c>
      <c r="O209" s="27" t="str">
        <f aca="false">IF(OR($N209=0,$C209="RECEPTION"),"",SUMIFS(MVT_BRUT,MVT_LOT,$D209,MVT_EMPL,$E209)+$G209)</f>
        <v/>
      </c>
      <c r="P209" s="26" t="str">
        <f aca="false">IF($C209="","",IF($N209=0,"DONNEES MANQUANTES",IF($C209="RECEPTION","OK",IF($O209&lt;=0,"EMPLACEMENT INCOHERENT",IF($G209&gt;$O209+0.001,"STOCK INSUFFISANT","OK")))))</f>
        <v/>
      </c>
      <c r="Q209" s="28" t="n">
        <f aca="false">IF($P209="OK",1,0)</f>
        <v>0</v>
      </c>
      <c r="R209" s="26" t="str">
        <f aca="false">IF($C209="","",IF($N209=0,"A COMPLETER : "&amp;IF($B209="","DATE; ","")&amp;IF($D209="","LOT; ","")&amp;IF(OR(NOT(ISNUMBER($G209)),$G209&lt;=0),"QUANTITE &gt; 0; ","")&amp;IF(AND($C209&lt;&gt;"RECEPTION",$E209=""),"EMPL. SOURCE; ","")&amp;IF(AND($C209&lt;&gt;"CONSOMMATION",$F209=""),"EMPL. DESTINATION; ","")&amp;IF(AND($C209="TRANSFERT",$E209&lt;&gt;"",$E209=$F209),"SOURCE = DESTINATION; ",""),IF($P209="EMPLACEMENT INCOHERENT","Le lot "&amp;$D209&amp;" n'existe pas sur "&amp;$E209&amp;" (stock 0). Verifier l'emplacement source.",IF($P209="STOCK INSUFFISANT","Disponible avant operation : "&amp;TEXT($O209,"#,##0.00")&amp;" kg. Ligne NON comptee en stock.",IF(COUNTIFS($B$5:$B$304,$B209,$C$5:$C$304,$C209,$D$5:$D$304,$D209,$G$5:$G$304,$G209)&gt;1,"Doublon possible (meme date, type, lot et quantite).",IF($J209="LOT NON REFERENCE","Creer d'abord la fiche du lot dans l'onglet LOTS.",""))))))</f>
        <v/>
      </c>
    </row>
    <row r="210" customFormat="false" ht="15" hidden="false" customHeight="false" outlineLevel="0" collapsed="false">
      <c r="A210" s="26" t="str">
        <f aca="false">IF($C210="","","OP-"&amp;TEXT(ROW()-4,"000"))</f>
        <v/>
      </c>
      <c r="B210" s="25"/>
      <c r="C210" s="24"/>
      <c r="D210" s="24"/>
      <c r="E210" s="24"/>
      <c r="F210" s="24"/>
      <c r="G210" s="29"/>
      <c r="H210" s="24"/>
      <c r="I210" s="24"/>
      <c r="J210" s="26" t="str">
        <f aca="false">IF($D210="","",IFERROR(INDEX(LOT_PRODE,MATCH($D210,LOT_KEY,0)),"LOT NON REFERENCE"))</f>
        <v/>
      </c>
      <c r="K210" s="26" t="str">
        <f aca="false">IF($D210="","",IFERROR(INDEX(LOT_FOURNE,MATCH($D210,LOT_KEY,0)),""))</f>
        <v/>
      </c>
      <c r="L210" s="26" t="str">
        <f aca="false">IF($E210="","",IFERROR(INDEX(EMPL_CLASSE,MATCH($E210,EMPL_KEY,0)),"?"))</f>
        <v/>
      </c>
      <c r="M210" s="26" t="str">
        <f aca="false">IF($F210="","",IFERROR(INDEX(EMPL_CLASSE,MATCH($F210,EMPL_KEY,0)),"?"))</f>
        <v/>
      </c>
      <c r="N210" s="28" t="n">
        <f aca="false">IF($C210="",0,IF(OR($B210="",$D210="",NOT(ISNUMBER($G210)),$G210&lt;=0),0,IF($C210="RECEPTION",IF($F210="",0,1),IF($C210="CONSOMMATION",IF($E210="",0,1),IF(OR($E210="",$F210="",$E210=$F210),0,1)))))</f>
        <v>0</v>
      </c>
      <c r="O210" s="27" t="str">
        <f aca="false">IF(OR($N210=0,$C210="RECEPTION"),"",SUMIFS(MVT_BRUT,MVT_LOT,$D210,MVT_EMPL,$E210)+$G210)</f>
        <v/>
      </c>
      <c r="P210" s="26" t="str">
        <f aca="false">IF($C210="","",IF($N210=0,"DONNEES MANQUANTES",IF($C210="RECEPTION","OK",IF($O210&lt;=0,"EMPLACEMENT INCOHERENT",IF($G210&gt;$O210+0.001,"STOCK INSUFFISANT","OK")))))</f>
        <v/>
      </c>
      <c r="Q210" s="28" t="n">
        <f aca="false">IF($P210="OK",1,0)</f>
        <v>0</v>
      </c>
      <c r="R210" s="26" t="str">
        <f aca="false">IF($C210="","",IF($N210=0,"A COMPLETER : "&amp;IF($B210="","DATE; ","")&amp;IF($D210="","LOT; ","")&amp;IF(OR(NOT(ISNUMBER($G210)),$G210&lt;=0),"QUANTITE &gt; 0; ","")&amp;IF(AND($C210&lt;&gt;"RECEPTION",$E210=""),"EMPL. SOURCE; ","")&amp;IF(AND($C210&lt;&gt;"CONSOMMATION",$F210=""),"EMPL. DESTINATION; ","")&amp;IF(AND($C210="TRANSFERT",$E210&lt;&gt;"",$E210=$F210),"SOURCE = DESTINATION; ",""),IF($P210="EMPLACEMENT INCOHERENT","Le lot "&amp;$D210&amp;" n'existe pas sur "&amp;$E210&amp;" (stock 0). Verifier l'emplacement source.",IF($P210="STOCK INSUFFISANT","Disponible avant operation : "&amp;TEXT($O210,"#,##0.00")&amp;" kg. Ligne NON comptee en stock.",IF(COUNTIFS($B$5:$B$304,$B210,$C$5:$C$304,$C210,$D$5:$D$304,$D210,$G$5:$G$304,$G210)&gt;1,"Doublon possible (meme date, type, lot et quantite).",IF($J210="LOT NON REFERENCE","Creer d'abord la fiche du lot dans l'onglet LOTS.",""))))))</f>
        <v/>
      </c>
    </row>
    <row r="211" customFormat="false" ht="15" hidden="false" customHeight="false" outlineLevel="0" collapsed="false">
      <c r="A211" s="26" t="str">
        <f aca="false">IF($C211="","","OP-"&amp;TEXT(ROW()-4,"000"))</f>
        <v/>
      </c>
      <c r="B211" s="25"/>
      <c r="C211" s="24"/>
      <c r="D211" s="24"/>
      <c r="E211" s="24"/>
      <c r="F211" s="24"/>
      <c r="G211" s="29"/>
      <c r="H211" s="24"/>
      <c r="I211" s="24"/>
      <c r="J211" s="26" t="str">
        <f aca="false">IF($D211="","",IFERROR(INDEX(LOT_PRODE,MATCH($D211,LOT_KEY,0)),"LOT NON REFERENCE"))</f>
        <v/>
      </c>
      <c r="K211" s="26" t="str">
        <f aca="false">IF($D211="","",IFERROR(INDEX(LOT_FOURNE,MATCH($D211,LOT_KEY,0)),""))</f>
        <v/>
      </c>
      <c r="L211" s="26" t="str">
        <f aca="false">IF($E211="","",IFERROR(INDEX(EMPL_CLASSE,MATCH($E211,EMPL_KEY,0)),"?"))</f>
        <v/>
      </c>
      <c r="M211" s="26" t="str">
        <f aca="false">IF($F211="","",IFERROR(INDEX(EMPL_CLASSE,MATCH($F211,EMPL_KEY,0)),"?"))</f>
        <v/>
      </c>
      <c r="N211" s="28" t="n">
        <f aca="false">IF($C211="",0,IF(OR($B211="",$D211="",NOT(ISNUMBER($G211)),$G211&lt;=0),0,IF($C211="RECEPTION",IF($F211="",0,1),IF($C211="CONSOMMATION",IF($E211="",0,1),IF(OR($E211="",$F211="",$E211=$F211),0,1)))))</f>
        <v>0</v>
      </c>
      <c r="O211" s="27" t="str">
        <f aca="false">IF(OR($N211=0,$C211="RECEPTION"),"",SUMIFS(MVT_BRUT,MVT_LOT,$D211,MVT_EMPL,$E211)+$G211)</f>
        <v/>
      </c>
      <c r="P211" s="26" t="str">
        <f aca="false">IF($C211="","",IF($N211=0,"DONNEES MANQUANTES",IF($C211="RECEPTION","OK",IF($O211&lt;=0,"EMPLACEMENT INCOHERENT",IF($G211&gt;$O211+0.001,"STOCK INSUFFISANT","OK")))))</f>
        <v/>
      </c>
      <c r="Q211" s="28" t="n">
        <f aca="false">IF($P211="OK",1,0)</f>
        <v>0</v>
      </c>
      <c r="R211" s="26" t="str">
        <f aca="false">IF($C211="","",IF($N211=0,"A COMPLETER : "&amp;IF($B211="","DATE; ","")&amp;IF($D211="","LOT; ","")&amp;IF(OR(NOT(ISNUMBER($G211)),$G211&lt;=0),"QUANTITE &gt; 0; ","")&amp;IF(AND($C211&lt;&gt;"RECEPTION",$E211=""),"EMPL. SOURCE; ","")&amp;IF(AND($C211&lt;&gt;"CONSOMMATION",$F211=""),"EMPL. DESTINATION; ","")&amp;IF(AND($C211="TRANSFERT",$E211&lt;&gt;"",$E211=$F211),"SOURCE = DESTINATION; ",""),IF($P211="EMPLACEMENT INCOHERENT","Le lot "&amp;$D211&amp;" n'existe pas sur "&amp;$E211&amp;" (stock 0). Verifier l'emplacement source.",IF($P211="STOCK INSUFFISANT","Disponible avant operation : "&amp;TEXT($O211,"#,##0.00")&amp;" kg. Ligne NON comptee en stock.",IF(COUNTIFS($B$5:$B$304,$B211,$C$5:$C$304,$C211,$D$5:$D$304,$D211,$G$5:$G$304,$G211)&gt;1,"Doublon possible (meme date, type, lot et quantite).",IF($J211="LOT NON REFERENCE","Creer d'abord la fiche du lot dans l'onglet LOTS.",""))))))</f>
        <v/>
      </c>
    </row>
    <row r="212" customFormat="false" ht="15" hidden="false" customHeight="false" outlineLevel="0" collapsed="false">
      <c r="A212" s="26" t="str">
        <f aca="false">IF($C212="","","OP-"&amp;TEXT(ROW()-4,"000"))</f>
        <v/>
      </c>
      <c r="B212" s="25"/>
      <c r="C212" s="24"/>
      <c r="D212" s="24"/>
      <c r="E212" s="24"/>
      <c r="F212" s="24"/>
      <c r="G212" s="29"/>
      <c r="H212" s="24"/>
      <c r="I212" s="24"/>
      <c r="J212" s="26" t="str">
        <f aca="false">IF($D212="","",IFERROR(INDEX(LOT_PRODE,MATCH($D212,LOT_KEY,0)),"LOT NON REFERENCE"))</f>
        <v/>
      </c>
      <c r="K212" s="26" t="str">
        <f aca="false">IF($D212="","",IFERROR(INDEX(LOT_FOURNE,MATCH($D212,LOT_KEY,0)),""))</f>
        <v/>
      </c>
      <c r="L212" s="26" t="str">
        <f aca="false">IF($E212="","",IFERROR(INDEX(EMPL_CLASSE,MATCH($E212,EMPL_KEY,0)),"?"))</f>
        <v/>
      </c>
      <c r="M212" s="26" t="str">
        <f aca="false">IF($F212="","",IFERROR(INDEX(EMPL_CLASSE,MATCH($F212,EMPL_KEY,0)),"?"))</f>
        <v/>
      </c>
      <c r="N212" s="28" t="n">
        <f aca="false">IF($C212="",0,IF(OR($B212="",$D212="",NOT(ISNUMBER($G212)),$G212&lt;=0),0,IF($C212="RECEPTION",IF($F212="",0,1),IF($C212="CONSOMMATION",IF($E212="",0,1),IF(OR($E212="",$F212="",$E212=$F212),0,1)))))</f>
        <v>0</v>
      </c>
      <c r="O212" s="27" t="str">
        <f aca="false">IF(OR($N212=0,$C212="RECEPTION"),"",SUMIFS(MVT_BRUT,MVT_LOT,$D212,MVT_EMPL,$E212)+$G212)</f>
        <v/>
      </c>
      <c r="P212" s="26" t="str">
        <f aca="false">IF($C212="","",IF($N212=0,"DONNEES MANQUANTES",IF($C212="RECEPTION","OK",IF($O212&lt;=0,"EMPLACEMENT INCOHERENT",IF($G212&gt;$O212+0.001,"STOCK INSUFFISANT","OK")))))</f>
        <v/>
      </c>
      <c r="Q212" s="28" t="n">
        <f aca="false">IF($P212="OK",1,0)</f>
        <v>0</v>
      </c>
      <c r="R212" s="26" t="str">
        <f aca="false">IF($C212="","",IF($N212=0,"A COMPLETER : "&amp;IF($B212="","DATE; ","")&amp;IF($D212="","LOT; ","")&amp;IF(OR(NOT(ISNUMBER($G212)),$G212&lt;=0),"QUANTITE &gt; 0; ","")&amp;IF(AND($C212&lt;&gt;"RECEPTION",$E212=""),"EMPL. SOURCE; ","")&amp;IF(AND($C212&lt;&gt;"CONSOMMATION",$F212=""),"EMPL. DESTINATION; ","")&amp;IF(AND($C212="TRANSFERT",$E212&lt;&gt;"",$E212=$F212),"SOURCE = DESTINATION; ",""),IF($P212="EMPLACEMENT INCOHERENT","Le lot "&amp;$D212&amp;" n'existe pas sur "&amp;$E212&amp;" (stock 0). Verifier l'emplacement source.",IF($P212="STOCK INSUFFISANT","Disponible avant operation : "&amp;TEXT($O212,"#,##0.00")&amp;" kg. Ligne NON comptee en stock.",IF(COUNTIFS($B$5:$B$304,$B212,$C$5:$C$304,$C212,$D$5:$D$304,$D212,$G$5:$G$304,$G212)&gt;1,"Doublon possible (meme date, type, lot et quantite).",IF($J212="LOT NON REFERENCE","Creer d'abord la fiche du lot dans l'onglet LOTS.",""))))))</f>
        <v/>
      </c>
    </row>
    <row r="213" customFormat="false" ht="15" hidden="false" customHeight="false" outlineLevel="0" collapsed="false">
      <c r="A213" s="26" t="str">
        <f aca="false">IF($C213="","","OP-"&amp;TEXT(ROW()-4,"000"))</f>
        <v/>
      </c>
      <c r="B213" s="25"/>
      <c r="C213" s="24"/>
      <c r="D213" s="24"/>
      <c r="E213" s="24"/>
      <c r="F213" s="24"/>
      <c r="G213" s="29"/>
      <c r="H213" s="24"/>
      <c r="I213" s="24"/>
      <c r="J213" s="26" t="str">
        <f aca="false">IF($D213="","",IFERROR(INDEX(LOT_PRODE,MATCH($D213,LOT_KEY,0)),"LOT NON REFERENCE"))</f>
        <v/>
      </c>
      <c r="K213" s="26" t="str">
        <f aca="false">IF($D213="","",IFERROR(INDEX(LOT_FOURNE,MATCH($D213,LOT_KEY,0)),""))</f>
        <v/>
      </c>
      <c r="L213" s="26" t="str">
        <f aca="false">IF($E213="","",IFERROR(INDEX(EMPL_CLASSE,MATCH($E213,EMPL_KEY,0)),"?"))</f>
        <v/>
      </c>
      <c r="M213" s="26" t="str">
        <f aca="false">IF($F213="","",IFERROR(INDEX(EMPL_CLASSE,MATCH($F213,EMPL_KEY,0)),"?"))</f>
        <v/>
      </c>
      <c r="N213" s="28" t="n">
        <f aca="false">IF($C213="",0,IF(OR($B213="",$D213="",NOT(ISNUMBER($G213)),$G213&lt;=0),0,IF($C213="RECEPTION",IF($F213="",0,1),IF($C213="CONSOMMATION",IF($E213="",0,1),IF(OR($E213="",$F213="",$E213=$F213),0,1)))))</f>
        <v>0</v>
      </c>
      <c r="O213" s="27" t="str">
        <f aca="false">IF(OR($N213=0,$C213="RECEPTION"),"",SUMIFS(MVT_BRUT,MVT_LOT,$D213,MVT_EMPL,$E213)+$G213)</f>
        <v/>
      </c>
      <c r="P213" s="26" t="str">
        <f aca="false">IF($C213="","",IF($N213=0,"DONNEES MANQUANTES",IF($C213="RECEPTION","OK",IF($O213&lt;=0,"EMPLACEMENT INCOHERENT",IF($G213&gt;$O213+0.001,"STOCK INSUFFISANT","OK")))))</f>
        <v/>
      </c>
      <c r="Q213" s="28" t="n">
        <f aca="false">IF($P213="OK",1,0)</f>
        <v>0</v>
      </c>
      <c r="R213" s="26" t="str">
        <f aca="false">IF($C213="","",IF($N213=0,"A COMPLETER : "&amp;IF($B213="","DATE; ","")&amp;IF($D213="","LOT; ","")&amp;IF(OR(NOT(ISNUMBER($G213)),$G213&lt;=0),"QUANTITE &gt; 0; ","")&amp;IF(AND($C213&lt;&gt;"RECEPTION",$E213=""),"EMPL. SOURCE; ","")&amp;IF(AND($C213&lt;&gt;"CONSOMMATION",$F213=""),"EMPL. DESTINATION; ","")&amp;IF(AND($C213="TRANSFERT",$E213&lt;&gt;"",$E213=$F213),"SOURCE = DESTINATION; ",""),IF($P213="EMPLACEMENT INCOHERENT","Le lot "&amp;$D213&amp;" n'existe pas sur "&amp;$E213&amp;" (stock 0). Verifier l'emplacement source.",IF($P213="STOCK INSUFFISANT","Disponible avant operation : "&amp;TEXT($O213,"#,##0.00")&amp;" kg. Ligne NON comptee en stock.",IF(COUNTIFS($B$5:$B$304,$B213,$C$5:$C$304,$C213,$D$5:$D$304,$D213,$G$5:$G$304,$G213)&gt;1,"Doublon possible (meme date, type, lot et quantite).",IF($J213="LOT NON REFERENCE","Creer d'abord la fiche du lot dans l'onglet LOTS.",""))))))</f>
        <v/>
      </c>
    </row>
    <row r="214" customFormat="false" ht="15" hidden="false" customHeight="false" outlineLevel="0" collapsed="false">
      <c r="A214" s="26" t="str">
        <f aca="false">IF($C214="","","OP-"&amp;TEXT(ROW()-4,"000"))</f>
        <v/>
      </c>
      <c r="B214" s="25"/>
      <c r="C214" s="24"/>
      <c r="D214" s="24"/>
      <c r="E214" s="24"/>
      <c r="F214" s="24"/>
      <c r="G214" s="29"/>
      <c r="H214" s="24"/>
      <c r="I214" s="24"/>
      <c r="J214" s="26" t="str">
        <f aca="false">IF($D214="","",IFERROR(INDEX(LOT_PRODE,MATCH($D214,LOT_KEY,0)),"LOT NON REFERENCE"))</f>
        <v/>
      </c>
      <c r="K214" s="26" t="str">
        <f aca="false">IF($D214="","",IFERROR(INDEX(LOT_FOURNE,MATCH($D214,LOT_KEY,0)),""))</f>
        <v/>
      </c>
      <c r="L214" s="26" t="str">
        <f aca="false">IF($E214="","",IFERROR(INDEX(EMPL_CLASSE,MATCH($E214,EMPL_KEY,0)),"?"))</f>
        <v/>
      </c>
      <c r="M214" s="26" t="str">
        <f aca="false">IF($F214="","",IFERROR(INDEX(EMPL_CLASSE,MATCH($F214,EMPL_KEY,0)),"?"))</f>
        <v/>
      </c>
      <c r="N214" s="28" t="n">
        <f aca="false">IF($C214="",0,IF(OR($B214="",$D214="",NOT(ISNUMBER($G214)),$G214&lt;=0),0,IF($C214="RECEPTION",IF($F214="",0,1),IF($C214="CONSOMMATION",IF($E214="",0,1),IF(OR($E214="",$F214="",$E214=$F214),0,1)))))</f>
        <v>0</v>
      </c>
      <c r="O214" s="27" t="str">
        <f aca="false">IF(OR($N214=0,$C214="RECEPTION"),"",SUMIFS(MVT_BRUT,MVT_LOT,$D214,MVT_EMPL,$E214)+$G214)</f>
        <v/>
      </c>
      <c r="P214" s="26" t="str">
        <f aca="false">IF($C214="","",IF($N214=0,"DONNEES MANQUANTES",IF($C214="RECEPTION","OK",IF($O214&lt;=0,"EMPLACEMENT INCOHERENT",IF($G214&gt;$O214+0.001,"STOCK INSUFFISANT","OK")))))</f>
        <v/>
      </c>
      <c r="Q214" s="28" t="n">
        <f aca="false">IF($P214="OK",1,0)</f>
        <v>0</v>
      </c>
      <c r="R214" s="26" t="str">
        <f aca="false">IF($C214="","",IF($N214=0,"A COMPLETER : "&amp;IF($B214="","DATE; ","")&amp;IF($D214="","LOT; ","")&amp;IF(OR(NOT(ISNUMBER($G214)),$G214&lt;=0),"QUANTITE &gt; 0; ","")&amp;IF(AND($C214&lt;&gt;"RECEPTION",$E214=""),"EMPL. SOURCE; ","")&amp;IF(AND($C214&lt;&gt;"CONSOMMATION",$F214=""),"EMPL. DESTINATION; ","")&amp;IF(AND($C214="TRANSFERT",$E214&lt;&gt;"",$E214=$F214),"SOURCE = DESTINATION; ",""),IF($P214="EMPLACEMENT INCOHERENT","Le lot "&amp;$D214&amp;" n'existe pas sur "&amp;$E214&amp;" (stock 0). Verifier l'emplacement source.",IF($P214="STOCK INSUFFISANT","Disponible avant operation : "&amp;TEXT($O214,"#,##0.00")&amp;" kg. Ligne NON comptee en stock.",IF(COUNTIFS($B$5:$B$304,$B214,$C$5:$C$304,$C214,$D$5:$D$304,$D214,$G$5:$G$304,$G214)&gt;1,"Doublon possible (meme date, type, lot et quantite).",IF($J214="LOT NON REFERENCE","Creer d'abord la fiche du lot dans l'onglet LOTS.",""))))))</f>
        <v/>
      </c>
    </row>
    <row r="215" customFormat="false" ht="15" hidden="false" customHeight="false" outlineLevel="0" collapsed="false">
      <c r="A215" s="26" t="str">
        <f aca="false">IF($C215="","","OP-"&amp;TEXT(ROW()-4,"000"))</f>
        <v/>
      </c>
      <c r="B215" s="25"/>
      <c r="C215" s="24"/>
      <c r="D215" s="24"/>
      <c r="E215" s="24"/>
      <c r="F215" s="24"/>
      <c r="G215" s="29"/>
      <c r="H215" s="24"/>
      <c r="I215" s="24"/>
      <c r="J215" s="26" t="str">
        <f aca="false">IF($D215="","",IFERROR(INDEX(LOT_PRODE,MATCH($D215,LOT_KEY,0)),"LOT NON REFERENCE"))</f>
        <v/>
      </c>
      <c r="K215" s="26" t="str">
        <f aca="false">IF($D215="","",IFERROR(INDEX(LOT_FOURNE,MATCH($D215,LOT_KEY,0)),""))</f>
        <v/>
      </c>
      <c r="L215" s="26" t="str">
        <f aca="false">IF($E215="","",IFERROR(INDEX(EMPL_CLASSE,MATCH($E215,EMPL_KEY,0)),"?"))</f>
        <v/>
      </c>
      <c r="M215" s="26" t="str">
        <f aca="false">IF($F215="","",IFERROR(INDEX(EMPL_CLASSE,MATCH($F215,EMPL_KEY,0)),"?"))</f>
        <v/>
      </c>
      <c r="N215" s="28" t="n">
        <f aca="false">IF($C215="",0,IF(OR($B215="",$D215="",NOT(ISNUMBER($G215)),$G215&lt;=0),0,IF($C215="RECEPTION",IF($F215="",0,1),IF($C215="CONSOMMATION",IF($E215="",0,1),IF(OR($E215="",$F215="",$E215=$F215),0,1)))))</f>
        <v>0</v>
      </c>
      <c r="O215" s="27" t="str">
        <f aca="false">IF(OR($N215=0,$C215="RECEPTION"),"",SUMIFS(MVT_BRUT,MVT_LOT,$D215,MVT_EMPL,$E215)+$G215)</f>
        <v/>
      </c>
      <c r="P215" s="26" t="str">
        <f aca="false">IF($C215="","",IF($N215=0,"DONNEES MANQUANTES",IF($C215="RECEPTION","OK",IF($O215&lt;=0,"EMPLACEMENT INCOHERENT",IF($G215&gt;$O215+0.001,"STOCK INSUFFISANT","OK")))))</f>
        <v/>
      </c>
      <c r="Q215" s="28" t="n">
        <f aca="false">IF($P215="OK",1,0)</f>
        <v>0</v>
      </c>
      <c r="R215" s="26" t="str">
        <f aca="false">IF($C215="","",IF($N215=0,"A COMPLETER : "&amp;IF($B215="","DATE; ","")&amp;IF($D215="","LOT; ","")&amp;IF(OR(NOT(ISNUMBER($G215)),$G215&lt;=0),"QUANTITE &gt; 0; ","")&amp;IF(AND($C215&lt;&gt;"RECEPTION",$E215=""),"EMPL. SOURCE; ","")&amp;IF(AND($C215&lt;&gt;"CONSOMMATION",$F215=""),"EMPL. DESTINATION; ","")&amp;IF(AND($C215="TRANSFERT",$E215&lt;&gt;"",$E215=$F215),"SOURCE = DESTINATION; ",""),IF($P215="EMPLACEMENT INCOHERENT","Le lot "&amp;$D215&amp;" n'existe pas sur "&amp;$E215&amp;" (stock 0). Verifier l'emplacement source.",IF($P215="STOCK INSUFFISANT","Disponible avant operation : "&amp;TEXT($O215,"#,##0.00")&amp;" kg. Ligne NON comptee en stock.",IF(COUNTIFS($B$5:$B$304,$B215,$C$5:$C$304,$C215,$D$5:$D$304,$D215,$G$5:$G$304,$G215)&gt;1,"Doublon possible (meme date, type, lot et quantite).",IF($J215="LOT NON REFERENCE","Creer d'abord la fiche du lot dans l'onglet LOTS.",""))))))</f>
        <v/>
      </c>
    </row>
    <row r="216" customFormat="false" ht="15" hidden="false" customHeight="false" outlineLevel="0" collapsed="false">
      <c r="A216" s="26" t="str">
        <f aca="false">IF($C216="","","OP-"&amp;TEXT(ROW()-4,"000"))</f>
        <v/>
      </c>
      <c r="B216" s="25"/>
      <c r="C216" s="24"/>
      <c r="D216" s="24"/>
      <c r="E216" s="24"/>
      <c r="F216" s="24"/>
      <c r="G216" s="29"/>
      <c r="H216" s="24"/>
      <c r="I216" s="24"/>
      <c r="J216" s="26" t="str">
        <f aca="false">IF($D216="","",IFERROR(INDEX(LOT_PRODE,MATCH($D216,LOT_KEY,0)),"LOT NON REFERENCE"))</f>
        <v/>
      </c>
      <c r="K216" s="26" t="str">
        <f aca="false">IF($D216="","",IFERROR(INDEX(LOT_FOURNE,MATCH($D216,LOT_KEY,0)),""))</f>
        <v/>
      </c>
      <c r="L216" s="26" t="str">
        <f aca="false">IF($E216="","",IFERROR(INDEX(EMPL_CLASSE,MATCH($E216,EMPL_KEY,0)),"?"))</f>
        <v/>
      </c>
      <c r="M216" s="26" t="str">
        <f aca="false">IF($F216="","",IFERROR(INDEX(EMPL_CLASSE,MATCH($F216,EMPL_KEY,0)),"?"))</f>
        <v/>
      </c>
      <c r="N216" s="28" t="n">
        <f aca="false">IF($C216="",0,IF(OR($B216="",$D216="",NOT(ISNUMBER($G216)),$G216&lt;=0),0,IF($C216="RECEPTION",IF($F216="",0,1),IF($C216="CONSOMMATION",IF($E216="",0,1),IF(OR($E216="",$F216="",$E216=$F216),0,1)))))</f>
        <v>0</v>
      </c>
      <c r="O216" s="27" t="str">
        <f aca="false">IF(OR($N216=0,$C216="RECEPTION"),"",SUMIFS(MVT_BRUT,MVT_LOT,$D216,MVT_EMPL,$E216)+$G216)</f>
        <v/>
      </c>
      <c r="P216" s="26" t="str">
        <f aca="false">IF($C216="","",IF($N216=0,"DONNEES MANQUANTES",IF($C216="RECEPTION","OK",IF($O216&lt;=0,"EMPLACEMENT INCOHERENT",IF($G216&gt;$O216+0.001,"STOCK INSUFFISANT","OK")))))</f>
        <v/>
      </c>
      <c r="Q216" s="28" t="n">
        <f aca="false">IF($P216="OK",1,0)</f>
        <v>0</v>
      </c>
      <c r="R216" s="26" t="str">
        <f aca="false">IF($C216="","",IF($N216=0,"A COMPLETER : "&amp;IF($B216="","DATE; ","")&amp;IF($D216="","LOT; ","")&amp;IF(OR(NOT(ISNUMBER($G216)),$G216&lt;=0),"QUANTITE &gt; 0; ","")&amp;IF(AND($C216&lt;&gt;"RECEPTION",$E216=""),"EMPL. SOURCE; ","")&amp;IF(AND($C216&lt;&gt;"CONSOMMATION",$F216=""),"EMPL. DESTINATION; ","")&amp;IF(AND($C216="TRANSFERT",$E216&lt;&gt;"",$E216=$F216),"SOURCE = DESTINATION; ",""),IF($P216="EMPLACEMENT INCOHERENT","Le lot "&amp;$D216&amp;" n'existe pas sur "&amp;$E216&amp;" (stock 0). Verifier l'emplacement source.",IF($P216="STOCK INSUFFISANT","Disponible avant operation : "&amp;TEXT($O216,"#,##0.00")&amp;" kg. Ligne NON comptee en stock.",IF(COUNTIFS($B$5:$B$304,$B216,$C$5:$C$304,$C216,$D$5:$D$304,$D216,$G$5:$G$304,$G216)&gt;1,"Doublon possible (meme date, type, lot et quantite).",IF($J216="LOT NON REFERENCE","Creer d'abord la fiche du lot dans l'onglet LOTS.",""))))))</f>
        <v/>
      </c>
    </row>
    <row r="217" customFormat="false" ht="15" hidden="false" customHeight="false" outlineLevel="0" collapsed="false">
      <c r="A217" s="26" t="str">
        <f aca="false">IF($C217="","","OP-"&amp;TEXT(ROW()-4,"000"))</f>
        <v/>
      </c>
      <c r="B217" s="25"/>
      <c r="C217" s="24"/>
      <c r="D217" s="24"/>
      <c r="E217" s="24"/>
      <c r="F217" s="24"/>
      <c r="G217" s="29"/>
      <c r="H217" s="24"/>
      <c r="I217" s="24"/>
      <c r="J217" s="26" t="str">
        <f aca="false">IF($D217="","",IFERROR(INDEX(LOT_PRODE,MATCH($D217,LOT_KEY,0)),"LOT NON REFERENCE"))</f>
        <v/>
      </c>
      <c r="K217" s="26" t="str">
        <f aca="false">IF($D217="","",IFERROR(INDEX(LOT_FOURNE,MATCH($D217,LOT_KEY,0)),""))</f>
        <v/>
      </c>
      <c r="L217" s="26" t="str">
        <f aca="false">IF($E217="","",IFERROR(INDEX(EMPL_CLASSE,MATCH($E217,EMPL_KEY,0)),"?"))</f>
        <v/>
      </c>
      <c r="M217" s="26" t="str">
        <f aca="false">IF($F217="","",IFERROR(INDEX(EMPL_CLASSE,MATCH($F217,EMPL_KEY,0)),"?"))</f>
        <v/>
      </c>
      <c r="N217" s="28" t="n">
        <f aca="false">IF($C217="",0,IF(OR($B217="",$D217="",NOT(ISNUMBER($G217)),$G217&lt;=0),0,IF($C217="RECEPTION",IF($F217="",0,1),IF($C217="CONSOMMATION",IF($E217="",0,1),IF(OR($E217="",$F217="",$E217=$F217),0,1)))))</f>
        <v>0</v>
      </c>
      <c r="O217" s="27" t="str">
        <f aca="false">IF(OR($N217=0,$C217="RECEPTION"),"",SUMIFS(MVT_BRUT,MVT_LOT,$D217,MVT_EMPL,$E217)+$G217)</f>
        <v/>
      </c>
      <c r="P217" s="26" t="str">
        <f aca="false">IF($C217="","",IF($N217=0,"DONNEES MANQUANTES",IF($C217="RECEPTION","OK",IF($O217&lt;=0,"EMPLACEMENT INCOHERENT",IF($G217&gt;$O217+0.001,"STOCK INSUFFISANT","OK")))))</f>
        <v/>
      </c>
      <c r="Q217" s="28" t="n">
        <f aca="false">IF($P217="OK",1,0)</f>
        <v>0</v>
      </c>
      <c r="R217" s="26" t="str">
        <f aca="false">IF($C217="","",IF($N217=0,"A COMPLETER : "&amp;IF($B217="","DATE; ","")&amp;IF($D217="","LOT; ","")&amp;IF(OR(NOT(ISNUMBER($G217)),$G217&lt;=0),"QUANTITE &gt; 0; ","")&amp;IF(AND($C217&lt;&gt;"RECEPTION",$E217=""),"EMPL. SOURCE; ","")&amp;IF(AND($C217&lt;&gt;"CONSOMMATION",$F217=""),"EMPL. DESTINATION; ","")&amp;IF(AND($C217="TRANSFERT",$E217&lt;&gt;"",$E217=$F217),"SOURCE = DESTINATION; ",""),IF($P217="EMPLACEMENT INCOHERENT","Le lot "&amp;$D217&amp;" n'existe pas sur "&amp;$E217&amp;" (stock 0). Verifier l'emplacement source.",IF($P217="STOCK INSUFFISANT","Disponible avant operation : "&amp;TEXT($O217,"#,##0.00")&amp;" kg. Ligne NON comptee en stock.",IF(COUNTIFS($B$5:$B$304,$B217,$C$5:$C$304,$C217,$D$5:$D$304,$D217,$G$5:$G$304,$G217)&gt;1,"Doublon possible (meme date, type, lot et quantite).",IF($J217="LOT NON REFERENCE","Creer d'abord la fiche du lot dans l'onglet LOTS.",""))))))</f>
        <v/>
      </c>
    </row>
    <row r="218" customFormat="false" ht="15" hidden="false" customHeight="false" outlineLevel="0" collapsed="false">
      <c r="A218" s="26" t="str">
        <f aca="false">IF($C218="","","OP-"&amp;TEXT(ROW()-4,"000"))</f>
        <v/>
      </c>
      <c r="B218" s="25"/>
      <c r="C218" s="24"/>
      <c r="D218" s="24"/>
      <c r="E218" s="24"/>
      <c r="F218" s="24"/>
      <c r="G218" s="29"/>
      <c r="H218" s="24"/>
      <c r="I218" s="24"/>
      <c r="J218" s="26" t="str">
        <f aca="false">IF($D218="","",IFERROR(INDEX(LOT_PRODE,MATCH($D218,LOT_KEY,0)),"LOT NON REFERENCE"))</f>
        <v/>
      </c>
      <c r="K218" s="26" t="str">
        <f aca="false">IF($D218="","",IFERROR(INDEX(LOT_FOURNE,MATCH($D218,LOT_KEY,0)),""))</f>
        <v/>
      </c>
      <c r="L218" s="26" t="str">
        <f aca="false">IF($E218="","",IFERROR(INDEX(EMPL_CLASSE,MATCH($E218,EMPL_KEY,0)),"?"))</f>
        <v/>
      </c>
      <c r="M218" s="26" t="str">
        <f aca="false">IF($F218="","",IFERROR(INDEX(EMPL_CLASSE,MATCH($F218,EMPL_KEY,0)),"?"))</f>
        <v/>
      </c>
      <c r="N218" s="28" t="n">
        <f aca="false">IF($C218="",0,IF(OR($B218="",$D218="",NOT(ISNUMBER($G218)),$G218&lt;=0),0,IF($C218="RECEPTION",IF($F218="",0,1),IF($C218="CONSOMMATION",IF($E218="",0,1),IF(OR($E218="",$F218="",$E218=$F218),0,1)))))</f>
        <v>0</v>
      </c>
      <c r="O218" s="27" t="str">
        <f aca="false">IF(OR($N218=0,$C218="RECEPTION"),"",SUMIFS(MVT_BRUT,MVT_LOT,$D218,MVT_EMPL,$E218)+$G218)</f>
        <v/>
      </c>
      <c r="P218" s="26" t="str">
        <f aca="false">IF($C218="","",IF($N218=0,"DONNEES MANQUANTES",IF($C218="RECEPTION","OK",IF($O218&lt;=0,"EMPLACEMENT INCOHERENT",IF($G218&gt;$O218+0.001,"STOCK INSUFFISANT","OK")))))</f>
        <v/>
      </c>
      <c r="Q218" s="28" t="n">
        <f aca="false">IF($P218="OK",1,0)</f>
        <v>0</v>
      </c>
      <c r="R218" s="26" t="str">
        <f aca="false">IF($C218="","",IF($N218=0,"A COMPLETER : "&amp;IF($B218="","DATE; ","")&amp;IF($D218="","LOT; ","")&amp;IF(OR(NOT(ISNUMBER($G218)),$G218&lt;=0),"QUANTITE &gt; 0; ","")&amp;IF(AND($C218&lt;&gt;"RECEPTION",$E218=""),"EMPL. SOURCE; ","")&amp;IF(AND($C218&lt;&gt;"CONSOMMATION",$F218=""),"EMPL. DESTINATION; ","")&amp;IF(AND($C218="TRANSFERT",$E218&lt;&gt;"",$E218=$F218),"SOURCE = DESTINATION; ",""),IF($P218="EMPLACEMENT INCOHERENT","Le lot "&amp;$D218&amp;" n'existe pas sur "&amp;$E218&amp;" (stock 0). Verifier l'emplacement source.",IF($P218="STOCK INSUFFISANT","Disponible avant operation : "&amp;TEXT($O218,"#,##0.00")&amp;" kg. Ligne NON comptee en stock.",IF(COUNTIFS($B$5:$B$304,$B218,$C$5:$C$304,$C218,$D$5:$D$304,$D218,$G$5:$G$304,$G218)&gt;1,"Doublon possible (meme date, type, lot et quantite).",IF($J218="LOT NON REFERENCE","Creer d'abord la fiche du lot dans l'onglet LOTS.",""))))))</f>
        <v/>
      </c>
    </row>
    <row r="219" customFormat="false" ht="15" hidden="false" customHeight="false" outlineLevel="0" collapsed="false">
      <c r="A219" s="26" t="str">
        <f aca="false">IF($C219="","","OP-"&amp;TEXT(ROW()-4,"000"))</f>
        <v/>
      </c>
      <c r="B219" s="25"/>
      <c r="C219" s="24"/>
      <c r="D219" s="24"/>
      <c r="E219" s="24"/>
      <c r="F219" s="24"/>
      <c r="G219" s="29"/>
      <c r="H219" s="24"/>
      <c r="I219" s="24"/>
      <c r="J219" s="26" t="str">
        <f aca="false">IF($D219="","",IFERROR(INDEX(LOT_PRODE,MATCH($D219,LOT_KEY,0)),"LOT NON REFERENCE"))</f>
        <v/>
      </c>
      <c r="K219" s="26" t="str">
        <f aca="false">IF($D219="","",IFERROR(INDEX(LOT_FOURNE,MATCH($D219,LOT_KEY,0)),""))</f>
        <v/>
      </c>
      <c r="L219" s="26" t="str">
        <f aca="false">IF($E219="","",IFERROR(INDEX(EMPL_CLASSE,MATCH($E219,EMPL_KEY,0)),"?"))</f>
        <v/>
      </c>
      <c r="M219" s="26" t="str">
        <f aca="false">IF($F219="","",IFERROR(INDEX(EMPL_CLASSE,MATCH($F219,EMPL_KEY,0)),"?"))</f>
        <v/>
      </c>
      <c r="N219" s="28" t="n">
        <f aca="false">IF($C219="",0,IF(OR($B219="",$D219="",NOT(ISNUMBER($G219)),$G219&lt;=0),0,IF($C219="RECEPTION",IF($F219="",0,1),IF($C219="CONSOMMATION",IF($E219="",0,1),IF(OR($E219="",$F219="",$E219=$F219),0,1)))))</f>
        <v>0</v>
      </c>
      <c r="O219" s="27" t="str">
        <f aca="false">IF(OR($N219=0,$C219="RECEPTION"),"",SUMIFS(MVT_BRUT,MVT_LOT,$D219,MVT_EMPL,$E219)+$G219)</f>
        <v/>
      </c>
      <c r="P219" s="26" t="str">
        <f aca="false">IF($C219="","",IF($N219=0,"DONNEES MANQUANTES",IF($C219="RECEPTION","OK",IF($O219&lt;=0,"EMPLACEMENT INCOHERENT",IF($G219&gt;$O219+0.001,"STOCK INSUFFISANT","OK")))))</f>
        <v/>
      </c>
      <c r="Q219" s="28" t="n">
        <f aca="false">IF($P219="OK",1,0)</f>
        <v>0</v>
      </c>
      <c r="R219" s="26" t="str">
        <f aca="false">IF($C219="","",IF($N219=0,"A COMPLETER : "&amp;IF($B219="","DATE; ","")&amp;IF($D219="","LOT; ","")&amp;IF(OR(NOT(ISNUMBER($G219)),$G219&lt;=0),"QUANTITE &gt; 0; ","")&amp;IF(AND($C219&lt;&gt;"RECEPTION",$E219=""),"EMPL. SOURCE; ","")&amp;IF(AND($C219&lt;&gt;"CONSOMMATION",$F219=""),"EMPL. DESTINATION; ","")&amp;IF(AND($C219="TRANSFERT",$E219&lt;&gt;"",$E219=$F219),"SOURCE = DESTINATION; ",""),IF($P219="EMPLACEMENT INCOHERENT","Le lot "&amp;$D219&amp;" n'existe pas sur "&amp;$E219&amp;" (stock 0). Verifier l'emplacement source.",IF($P219="STOCK INSUFFISANT","Disponible avant operation : "&amp;TEXT($O219,"#,##0.00")&amp;" kg. Ligne NON comptee en stock.",IF(COUNTIFS($B$5:$B$304,$B219,$C$5:$C$304,$C219,$D$5:$D$304,$D219,$G$5:$G$304,$G219)&gt;1,"Doublon possible (meme date, type, lot et quantite).",IF($J219="LOT NON REFERENCE","Creer d'abord la fiche du lot dans l'onglet LOTS.",""))))))</f>
        <v/>
      </c>
    </row>
    <row r="220" customFormat="false" ht="15" hidden="false" customHeight="false" outlineLevel="0" collapsed="false">
      <c r="A220" s="26" t="str">
        <f aca="false">IF($C220="","","OP-"&amp;TEXT(ROW()-4,"000"))</f>
        <v/>
      </c>
      <c r="B220" s="25"/>
      <c r="C220" s="24"/>
      <c r="D220" s="24"/>
      <c r="E220" s="24"/>
      <c r="F220" s="24"/>
      <c r="G220" s="29"/>
      <c r="H220" s="24"/>
      <c r="I220" s="24"/>
      <c r="J220" s="26" t="str">
        <f aca="false">IF($D220="","",IFERROR(INDEX(LOT_PRODE,MATCH($D220,LOT_KEY,0)),"LOT NON REFERENCE"))</f>
        <v/>
      </c>
      <c r="K220" s="26" t="str">
        <f aca="false">IF($D220="","",IFERROR(INDEX(LOT_FOURNE,MATCH($D220,LOT_KEY,0)),""))</f>
        <v/>
      </c>
      <c r="L220" s="26" t="str">
        <f aca="false">IF($E220="","",IFERROR(INDEX(EMPL_CLASSE,MATCH($E220,EMPL_KEY,0)),"?"))</f>
        <v/>
      </c>
      <c r="M220" s="26" t="str">
        <f aca="false">IF($F220="","",IFERROR(INDEX(EMPL_CLASSE,MATCH($F220,EMPL_KEY,0)),"?"))</f>
        <v/>
      </c>
      <c r="N220" s="28" t="n">
        <f aca="false">IF($C220="",0,IF(OR($B220="",$D220="",NOT(ISNUMBER($G220)),$G220&lt;=0),0,IF($C220="RECEPTION",IF($F220="",0,1),IF($C220="CONSOMMATION",IF($E220="",0,1),IF(OR($E220="",$F220="",$E220=$F220),0,1)))))</f>
        <v>0</v>
      </c>
      <c r="O220" s="27" t="str">
        <f aca="false">IF(OR($N220=0,$C220="RECEPTION"),"",SUMIFS(MVT_BRUT,MVT_LOT,$D220,MVT_EMPL,$E220)+$G220)</f>
        <v/>
      </c>
      <c r="P220" s="26" t="str">
        <f aca="false">IF($C220="","",IF($N220=0,"DONNEES MANQUANTES",IF($C220="RECEPTION","OK",IF($O220&lt;=0,"EMPLACEMENT INCOHERENT",IF($G220&gt;$O220+0.001,"STOCK INSUFFISANT","OK")))))</f>
        <v/>
      </c>
      <c r="Q220" s="28" t="n">
        <f aca="false">IF($P220="OK",1,0)</f>
        <v>0</v>
      </c>
      <c r="R220" s="26" t="str">
        <f aca="false">IF($C220="","",IF($N220=0,"A COMPLETER : "&amp;IF($B220="","DATE; ","")&amp;IF($D220="","LOT; ","")&amp;IF(OR(NOT(ISNUMBER($G220)),$G220&lt;=0),"QUANTITE &gt; 0; ","")&amp;IF(AND($C220&lt;&gt;"RECEPTION",$E220=""),"EMPL. SOURCE; ","")&amp;IF(AND($C220&lt;&gt;"CONSOMMATION",$F220=""),"EMPL. DESTINATION; ","")&amp;IF(AND($C220="TRANSFERT",$E220&lt;&gt;"",$E220=$F220),"SOURCE = DESTINATION; ",""),IF($P220="EMPLACEMENT INCOHERENT","Le lot "&amp;$D220&amp;" n'existe pas sur "&amp;$E220&amp;" (stock 0). Verifier l'emplacement source.",IF($P220="STOCK INSUFFISANT","Disponible avant operation : "&amp;TEXT($O220,"#,##0.00")&amp;" kg. Ligne NON comptee en stock.",IF(COUNTIFS($B$5:$B$304,$B220,$C$5:$C$304,$C220,$D$5:$D$304,$D220,$G$5:$G$304,$G220)&gt;1,"Doublon possible (meme date, type, lot et quantite).",IF($J220="LOT NON REFERENCE","Creer d'abord la fiche du lot dans l'onglet LOTS.",""))))))</f>
        <v/>
      </c>
    </row>
    <row r="221" customFormat="false" ht="15" hidden="false" customHeight="false" outlineLevel="0" collapsed="false">
      <c r="A221" s="26" t="str">
        <f aca="false">IF($C221="","","OP-"&amp;TEXT(ROW()-4,"000"))</f>
        <v/>
      </c>
      <c r="B221" s="25"/>
      <c r="C221" s="24"/>
      <c r="D221" s="24"/>
      <c r="E221" s="24"/>
      <c r="F221" s="24"/>
      <c r="G221" s="29"/>
      <c r="H221" s="24"/>
      <c r="I221" s="24"/>
      <c r="J221" s="26" t="str">
        <f aca="false">IF($D221="","",IFERROR(INDEX(LOT_PRODE,MATCH($D221,LOT_KEY,0)),"LOT NON REFERENCE"))</f>
        <v/>
      </c>
      <c r="K221" s="26" t="str">
        <f aca="false">IF($D221="","",IFERROR(INDEX(LOT_FOURNE,MATCH($D221,LOT_KEY,0)),""))</f>
        <v/>
      </c>
      <c r="L221" s="26" t="str">
        <f aca="false">IF($E221="","",IFERROR(INDEX(EMPL_CLASSE,MATCH($E221,EMPL_KEY,0)),"?"))</f>
        <v/>
      </c>
      <c r="M221" s="26" t="str">
        <f aca="false">IF($F221="","",IFERROR(INDEX(EMPL_CLASSE,MATCH($F221,EMPL_KEY,0)),"?"))</f>
        <v/>
      </c>
      <c r="N221" s="28" t="n">
        <f aca="false">IF($C221="",0,IF(OR($B221="",$D221="",NOT(ISNUMBER($G221)),$G221&lt;=0),0,IF($C221="RECEPTION",IF($F221="",0,1),IF($C221="CONSOMMATION",IF($E221="",0,1),IF(OR($E221="",$F221="",$E221=$F221),0,1)))))</f>
        <v>0</v>
      </c>
      <c r="O221" s="27" t="str">
        <f aca="false">IF(OR($N221=0,$C221="RECEPTION"),"",SUMIFS(MVT_BRUT,MVT_LOT,$D221,MVT_EMPL,$E221)+$G221)</f>
        <v/>
      </c>
      <c r="P221" s="26" t="str">
        <f aca="false">IF($C221="","",IF($N221=0,"DONNEES MANQUANTES",IF($C221="RECEPTION","OK",IF($O221&lt;=0,"EMPLACEMENT INCOHERENT",IF($G221&gt;$O221+0.001,"STOCK INSUFFISANT","OK")))))</f>
        <v/>
      </c>
      <c r="Q221" s="28" t="n">
        <f aca="false">IF($P221="OK",1,0)</f>
        <v>0</v>
      </c>
      <c r="R221" s="26" t="str">
        <f aca="false">IF($C221="","",IF($N221=0,"A COMPLETER : "&amp;IF($B221="","DATE; ","")&amp;IF($D221="","LOT; ","")&amp;IF(OR(NOT(ISNUMBER($G221)),$G221&lt;=0),"QUANTITE &gt; 0; ","")&amp;IF(AND($C221&lt;&gt;"RECEPTION",$E221=""),"EMPL. SOURCE; ","")&amp;IF(AND($C221&lt;&gt;"CONSOMMATION",$F221=""),"EMPL. DESTINATION; ","")&amp;IF(AND($C221="TRANSFERT",$E221&lt;&gt;"",$E221=$F221),"SOURCE = DESTINATION; ",""),IF($P221="EMPLACEMENT INCOHERENT","Le lot "&amp;$D221&amp;" n'existe pas sur "&amp;$E221&amp;" (stock 0). Verifier l'emplacement source.",IF($P221="STOCK INSUFFISANT","Disponible avant operation : "&amp;TEXT($O221,"#,##0.00")&amp;" kg. Ligne NON comptee en stock.",IF(COUNTIFS($B$5:$B$304,$B221,$C$5:$C$304,$C221,$D$5:$D$304,$D221,$G$5:$G$304,$G221)&gt;1,"Doublon possible (meme date, type, lot et quantite).",IF($J221="LOT NON REFERENCE","Creer d'abord la fiche du lot dans l'onglet LOTS.",""))))))</f>
        <v/>
      </c>
    </row>
    <row r="222" customFormat="false" ht="15" hidden="false" customHeight="false" outlineLevel="0" collapsed="false">
      <c r="A222" s="26" t="str">
        <f aca="false">IF($C222="","","OP-"&amp;TEXT(ROW()-4,"000"))</f>
        <v/>
      </c>
      <c r="B222" s="25"/>
      <c r="C222" s="24"/>
      <c r="D222" s="24"/>
      <c r="E222" s="24"/>
      <c r="F222" s="24"/>
      <c r="G222" s="29"/>
      <c r="H222" s="24"/>
      <c r="I222" s="24"/>
      <c r="J222" s="26" t="str">
        <f aca="false">IF($D222="","",IFERROR(INDEX(LOT_PRODE,MATCH($D222,LOT_KEY,0)),"LOT NON REFERENCE"))</f>
        <v/>
      </c>
      <c r="K222" s="26" t="str">
        <f aca="false">IF($D222="","",IFERROR(INDEX(LOT_FOURNE,MATCH($D222,LOT_KEY,0)),""))</f>
        <v/>
      </c>
      <c r="L222" s="26" t="str">
        <f aca="false">IF($E222="","",IFERROR(INDEX(EMPL_CLASSE,MATCH($E222,EMPL_KEY,0)),"?"))</f>
        <v/>
      </c>
      <c r="M222" s="26" t="str">
        <f aca="false">IF($F222="","",IFERROR(INDEX(EMPL_CLASSE,MATCH($F222,EMPL_KEY,0)),"?"))</f>
        <v/>
      </c>
      <c r="N222" s="28" t="n">
        <f aca="false">IF($C222="",0,IF(OR($B222="",$D222="",NOT(ISNUMBER($G222)),$G222&lt;=0),0,IF($C222="RECEPTION",IF($F222="",0,1),IF($C222="CONSOMMATION",IF($E222="",0,1),IF(OR($E222="",$F222="",$E222=$F222),0,1)))))</f>
        <v>0</v>
      </c>
      <c r="O222" s="27" t="str">
        <f aca="false">IF(OR($N222=0,$C222="RECEPTION"),"",SUMIFS(MVT_BRUT,MVT_LOT,$D222,MVT_EMPL,$E222)+$G222)</f>
        <v/>
      </c>
      <c r="P222" s="26" t="str">
        <f aca="false">IF($C222="","",IF($N222=0,"DONNEES MANQUANTES",IF($C222="RECEPTION","OK",IF($O222&lt;=0,"EMPLACEMENT INCOHERENT",IF($G222&gt;$O222+0.001,"STOCK INSUFFISANT","OK")))))</f>
        <v/>
      </c>
      <c r="Q222" s="28" t="n">
        <f aca="false">IF($P222="OK",1,0)</f>
        <v>0</v>
      </c>
      <c r="R222" s="26" t="str">
        <f aca="false">IF($C222="","",IF($N222=0,"A COMPLETER : "&amp;IF($B222="","DATE; ","")&amp;IF($D222="","LOT; ","")&amp;IF(OR(NOT(ISNUMBER($G222)),$G222&lt;=0),"QUANTITE &gt; 0; ","")&amp;IF(AND($C222&lt;&gt;"RECEPTION",$E222=""),"EMPL. SOURCE; ","")&amp;IF(AND($C222&lt;&gt;"CONSOMMATION",$F222=""),"EMPL. DESTINATION; ","")&amp;IF(AND($C222="TRANSFERT",$E222&lt;&gt;"",$E222=$F222),"SOURCE = DESTINATION; ",""),IF($P222="EMPLACEMENT INCOHERENT","Le lot "&amp;$D222&amp;" n'existe pas sur "&amp;$E222&amp;" (stock 0). Verifier l'emplacement source.",IF($P222="STOCK INSUFFISANT","Disponible avant operation : "&amp;TEXT($O222,"#,##0.00")&amp;" kg. Ligne NON comptee en stock.",IF(COUNTIFS($B$5:$B$304,$B222,$C$5:$C$304,$C222,$D$5:$D$304,$D222,$G$5:$G$304,$G222)&gt;1,"Doublon possible (meme date, type, lot et quantite).",IF($J222="LOT NON REFERENCE","Creer d'abord la fiche du lot dans l'onglet LOTS.",""))))))</f>
        <v/>
      </c>
    </row>
    <row r="223" customFormat="false" ht="15" hidden="false" customHeight="false" outlineLevel="0" collapsed="false">
      <c r="A223" s="26" t="str">
        <f aca="false">IF($C223="","","OP-"&amp;TEXT(ROW()-4,"000"))</f>
        <v/>
      </c>
      <c r="B223" s="25"/>
      <c r="C223" s="24"/>
      <c r="D223" s="24"/>
      <c r="E223" s="24"/>
      <c r="F223" s="24"/>
      <c r="G223" s="29"/>
      <c r="H223" s="24"/>
      <c r="I223" s="24"/>
      <c r="J223" s="26" t="str">
        <f aca="false">IF($D223="","",IFERROR(INDEX(LOT_PRODE,MATCH($D223,LOT_KEY,0)),"LOT NON REFERENCE"))</f>
        <v/>
      </c>
      <c r="K223" s="26" t="str">
        <f aca="false">IF($D223="","",IFERROR(INDEX(LOT_FOURNE,MATCH($D223,LOT_KEY,0)),""))</f>
        <v/>
      </c>
      <c r="L223" s="26" t="str">
        <f aca="false">IF($E223="","",IFERROR(INDEX(EMPL_CLASSE,MATCH($E223,EMPL_KEY,0)),"?"))</f>
        <v/>
      </c>
      <c r="M223" s="26" t="str">
        <f aca="false">IF($F223="","",IFERROR(INDEX(EMPL_CLASSE,MATCH($F223,EMPL_KEY,0)),"?"))</f>
        <v/>
      </c>
      <c r="N223" s="28" t="n">
        <f aca="false">IF($C223="",0,IF(OR($B223="",$D223="",NOT(ISNUMBER($G223)),$G223&lt;=0),0,IF($C223="RECEPTION",IF($F223="",0,1),IF($C223="CONSOMMATION",IF($E223="",0,1),IF(OR($E223="",$F223="",$E223=$F223),0,1)))))</f>
        <v>0</v>
      </c>
      <c r="O223" s="27" t="str">
        <f aca="false">IF(OR($N223=0,$C223="RECEPTION"),"",SUMIFS(MVT_BRUT,MVT_LOT,$D223,MVT_EMPL,$E223)+$G223)</f>
        <v/>
      </c>
      <c r="P223" s="26" t="str">
        <f aca="false">IF($C223="","",IF($N223=0,"DONNEES MANQUANTES",IF($C223="RECEPTION","OK",IF($O223&lt;=0,"EMPLACEMENT INCOHERENT",IF($G223&gt;$O223+0.001,"STOCK INSUFFISANT","OK")))))</f>
        <v/>
      </c>
      <c r="Q223" s="28" t="n">
        <f aca="false">IF($P223="OK",1,0)</f>
        <v>0</v>
      </c>
      <c r="R223" s="26" t="str">
        <f aca="false">IF($C223="","",IF($N223=0,"A COMPLETER : "&amp;IF($B223="","DATE; ","")&amp;IF($D223="","LOT; ","")&amp;IF(OR(NOT(ISNUMBER($G223)),$G223&lt;=0),"QUANTITE &gt; 0; ","")&amp;IF(AND($C223&lt;&gt;"RECEPTION",$E223=""),"EMPL. SOURCE; ","")&amp;IF(AND($C223&lt;&gt;"CONSOMMATION",$F223=""),"EMPL. DESTINATION; ","")&amp;IF(AND($C223="TRANSFERT",$E223&lt;&gt;"",$E223=$F223),"SOURCE = DESTINATION; ",""),IF($P223="EMPLACEMENT INCOHERENT","Le lot "&amp;$D223&amp;" n'existe pas sur "&amp;$E223&amp;" (stock 0). Verifier l'emplacement source.",IF($P223="STOCK INSUFFISANT","Disponible avant operation : "&amp;TEXT($O223,"#,##0.00")&amp;" kg. Ligne NON comptee en stock.",IF(COUNTIFS($B$5:$B$304,$B223,$C$5:$C$304,$C223,$D$5:$D$304,$D223,$G$5:$G$304,$G223)&gt;1,"Doublon possible (meme date, type, lot et quantite).",IF($J223="LOT NON REFERENCE","Creer d'abord la fiche du lot dans l'onglet LOTS.",""))))))</f>
        <v/>
      </c>
    </row>
    <row r="224" customFormat="false" ht="15" hidden="false" customHeight="false" outlineLevel="0" collapsed="false">
      <c r="A224" s="26" t="str">
        <f aca="false">IF($C224="","","OP-"&amp;TEXT(ROW()-4,"000"))</f>
        <v/>
      </c>
      <c r="B224" s="25"/>
      <c r="C224" s="24"/>
      <c r="D224" s="24"/>
      <c r="E224" s="24"/>
      <c r="F224" s="24"/>
      <c r="G224" s="29"/>
      <c r="H224" s="24"/>
      <c r="I224" s="24"/>
      <c r="J224" s="26" t="str">
        <f aca="false">IF($D224="","",IFERROR(INDEX(LOT_PRODE,MATCH($D224,LOT_KEY,0)),"LOT NON REFERENCE"))</f>
        <v/>
      </c>
      <c r="K224" s="26" t="str">
        <f aca="false">IF($D224="","",IFERROR(INDEX(LOT_FOURNE,MATCH($D224,LOT_KEY,0)),""))</f>
        <v/>
      </c>
      <c r="L224" s="26" t="str">
        <f aca="false">IF($E224="","",IFERROR(INDEX(EMPL_CLASSE,MATCH($E224,EMPL_KEY,0)),"?"))</f>
        <v/>
      </c>
      <c r="M224" s="26" t="str">
        <f aca="false">IF($F224="","",IFERROR(INDEX(EMPL_CLASSE,MATCH($F224,EMPL_KEY,0)),"?"))</f>
        <v/>
      </c>
      <c r="N224" s="28" t="n">
        <f aca="false">IF($C224="",0,IF(OR($B224="",$D224="",NOT(ISNUMBER($G224)),$G224&lt;=0),0,IF($C224="RECEPTION",IF($F224="",0,1),IF($C224="CONSOMMATION",IF($E224="",0,1),IF(OR($E224="",$F224="",$E224=$F224),0,1)))))</f>
        <v>0</v>
      </c>
      <c r="O224" s="27" t="str">
        <f aca="false">IF(OR($N224=0,$C224="RECEPTION"),"",SUMIFS(MVT_BRUT,MVT_LOT,$D224,MVT_EMPL,$E224)+$G224)</f>
        <v/>
      </c>
      <c r="P224" s="26" t="str">
        <f aca="false">IF($C224="","",IF($N224=0,"DONNEES MANQUANTES",IF($C224="RECEPTION","OK",IF($O224&lt;=0,"EMPLACEMENT INCOHERENT",IF($G224&gt;$O224+0.001,"STOCK INSUFFISANT","OK")))))</f>
        <v/>
      </c>
      <c r="Q224" s="28" t="n">
        <f aca="false">IF($P224="OK",1,0)</f>
        <v>0</v>
      </c>
      <c r="R224" s="26" t="str">
        <f aca="false">IF($C224="","",IF($N224=0,"A COMPLETER : "&amp;IF($B224="","DATE; ","")&amp;IF($D224="","LOT; ","")&amp;IF(OR(NOT(ISNUMBER($G224)),$G224&lt;=0),"QUANTITE &gt; 0; ","")&amp;IF(AND($C224&lt;&gt;"RECEPTION",$E224=""),"EMPL. SOURCE; ","")&amp;IF(AND($C224&lt;&gt;"CONSOMMATION",$F224=""),"EMPL. DESTINATION; ","")&amp;IF(AND($C224="TRANSFERT",$E224&lt;&gt;"",$E224=$F224),"SOURCE = DESTINATION; ",""),IF($P224="EMPLACEMENT INCOHERENT","Le lot "&amp;$D224&amp;" n'existe pas sur "&amp;$E224&amp;" (stock 0). Verifier l'emplacement source.",IF($P224="STOCK INSUFFISANT","Disponible avant operation : "&amp;TEXT($O224,"#,##0.00")&amp;" kg. Ligne NON comptee en stock.",IF(COUNTIFS($B$5:$B$304,$B224,$C$5:$C$304,$C224,$D$5:$D$304,$D224,$G$5:$G$304,$G224)&gt;1,"Doublon possible (meme date, type, lot et quantite).",IF($J224="LOT NON REFERENCE","Creer d'abord la fiche du lot dans l'onglet LOTS.",""))))))</f>
        <v/>
      </c>
    </row>
    <row r="225" customFormat="false" ht="15" hidden="false" customHeight="false" outlineLevel="0" collapsed="false">
      <c r="A225" s="26" t="str">
        <f aca="false">IF($C225="","","OP-"&amp;TEXT(ROW()-4,"000"))</f>
        <v/>
      </c>
      <c r="B225" s="25"/>
      <c r="C225" s="24"/>
      <c r="D225" s="24"/>
      <c r="E225" s="24"/>
      <c r="F225" s="24"/>
      <c r="G225" s="29"/>
      <c r="H225" s="24"/>
      <c r="I225" s="24"/>
      <c r="J225" s="26" t="str">
        <f aca="false">IF($D225="","",IFERROR(INDEX(LOT_PRODE,MATCH($D225,LOT_KEY,0)),"LOT NON REFERENCE"))</f>
        <v/>
      </c>
      <c r="K225" s="26" t="str">
        <f aca="false">IF($D225="","",IFERROR(INDEX(LOT_FOURNE,MATCH($D225,LOT_KEY,0)),""))</f>
        <v/>
      </c>
      <c r="L225" s="26" t="str">
        <f aca="false">IF($E225="","",IFERROR(INDEX(EMPL_CLASSE,MATCH($E225,EMPL_KEY,0)),"?"))</f>
        <v/>
      </c>
      <c r="M225" s="26" t="str">
        <f aca="false">IF($F225="","",IFERROR(INDEX(EMPL_CLASSE,MATCH($F225,EMPL_KEY,0)),"?"))</f>
        <v/>
      </c>
      <c r="N225" s="28" t="n">
        <f aca="false">IF($C225="",0,IF(OR($B225="",$D225="",NOT(ISNUMBER($G225)),$G225&lt;=0),0,IF($C225="RECEPTION",IF($F225="",0,1),IF($C225="CONSOMMATION",IF($E225="",0,1),IF(OR($E225="",$F225="",$E225=$F225),0,1)))))</f>
        <v>0</v>
      </c>
      <c r="O225" s="27" t="str">
        <f aca="false">IF(OR($N225=0,$C225="RECEPTION"),"",SUMIFS(MVT_BRUT,MVT_LOT,$D225,MVT_EMPL,$E225)+$G225)</f>
        <v/>
      </c>
      <c r="P225" s="26" t="str">
        <f aca="false">IF($C225="","",IF($N225=0,"DONNEES MANQUANTES",IF($C225="RECEPTION","OK",IF($O225&lt;=0,"EMPLACEMENT INCOHERENT",IF($G225&gt;$O225+0.001,"STOCK INSUFFISANT","OK")))))</f>
        <v/>
      </c>
      <c r="Q225" s="28" t="n">
        <f aca="false">IF($P225="OK",1,0)</f>
        <v>0</v>
      </c>
      <c r="R225" s="26" t="str">
        <f aca="false">IF($C225="","",IF($N225=0,"A COMPLETER : "&amp;IF($B225="","DATE; ","")&amp;IF($D225="","LOT; ","")&amp;IF(OR(NOT(ISNUMBER($G225)),$G225&lt;=0),"QUANTITE &gt; 0; ","")&amp;IF(AND($C225&lt;&gt;"RECEPTION",$E225=""),"EMPL. SOURCE; ","")&amp;IF(AND($C225&lt;&gt;"CONSOMMATION",$F225=""),"EMPL. DESTINATION; ","")&amp;IF(AND($C225="TRANSFERT",$E225&lt;&gt;"",$E225=$F225),"SOURCE = DESTINATION; ",""),IF($P225="EMPLACEMENT INCOHERENT","Le lot "&amp;$D225&amp;" n'existe pas sur "&amp;$E225&amp;" (stock 0). Verifier l'emplacement source.",IF($P225="STOCK INSUFFISANT","Disponible avant operation : "&amp;TEXT($O225,"#,##0.00")&amp;" kg. Ligne NON comptee en stock.",IF(COUNTIFS($B$5:$B$304,$B225,$C$5:$C$304,$C225,$D$5:$D$304,$D225,$G$5:$G$304,$G225)&gt;1,"Doublon possible (meme date, type, lot et quantite).",IF($J225="LOT NON REFERENCE","Creer d'abord la fiche du lot dans l'onglet LOTS.",""))))))</f>
        <v/>
      </c>
    </row>
    <row r="226" customFormat="false" ht="15" hidden="false" customHeight="false" outlineLevel="0" collapsed="false">
      <c r="A226" s="26" t="str">
        <f aca="false">IF($C226="","","OP-"&amp;TEXT(ROW()-4,"000"))</f>
        <v/>
      </c>
      <c r="B226" s="25"/>
      <c r="C226" s="24"/>
      <c r="D226" s="24"/>
      <c r="E226" s="24"/>
      <c r="F226" s="24"/>
      <c r="G226" s="29"/>
      <c r="H226" s="24"/>
      <c r="I226" s="24"/>
      <c r="J226" s="26" t="str">
        <f aca="false">IF($D226="","",IFERROR(INDEX(LOT_PRODE,MATCH($D226,LOT_KEY,0)),"LOT NON REFERENCE"))</f>
        <v/>
      </c>
      <c r="K226" s="26" t="str">
        <f aca="false">IF($D226="","",IFERROR(INDEX(LOT_FOURNE,MATCH($D226,LOT_KEY,0)),""))</f>
        <v/>
      </c>
      <c r="L226" s="26" t="str">
        <f aca="false">IF($E226="","",IFERROR(INDEX(EMPL_CLASSE,MATCH($E226,EMPL_KEY,0)),"?"))</f>
        <v/>
      </c>
      <c r="M226" s="26" t="str">
        <f aca="false">IF($F226="","",IFERROR(INDEX(EMPL_CLASSE,MATCH($F226,EMPL_KEY,0)),"?"))</f>
        <v/>
      </c>
      <c r="N226" s="28" t="n">
        <f aca="false">IF($C226="",0,IF(OR($B226="",$D226="",NOT(ISNUMBER($G226)),$G226&lt;=0),0,IF($C226="RECEPTION",IF($F226="",0,1),IF($C226="CONSOMMATION",IF($E226="",0,1),IF(OR($E226="",$F226="",$E226=$F226),0,1)))))</f>
        <v>0</v>
      </c>
      <c r="O226" s="27" t="str">
        <f aca="false">IF(OR($N226=0,$C226="RECEPTION"),"",SUMIFS(MVT_BRUT,MVT_LOT,$D226,MVT_EMPL,$E226)+$G226)</f>
        <v/>
      </c>
      <c r="P226" s="26" t="str">
        <f aca="false">IF($C226="","",IF($N226=0,"DONNEES MANQUANTES",IF($C226="RECEPTION","OK",IF($O226&lt;=0,"EMPLACEMENT INCOHERENT",IF($G226&gt;$O226+0.001,"STOCK INSUFFISANT","OK")))))</f>
        <v/>
      </c>
      <c r="Q226" s="28" t="n">
        <f aca="false">IF($P226="OK",1,0)</f>
        <v>0</v>
      </c>
      <c r="R226" s="26" t="str">
        <f aca="false">IF($C226="","",IF($N226=0,"A COMPLETER : "&amp;IF($B226="","DATE; ","")&amp;IF($D226="","LOT; ","")&amp;IF(OR(NOT(ISNUMBER($G226)),$G226&lt;=0),"QUANTITE &gt; 0; ","")&amp;IF(AND($C226&lt;&gt;"RECEPTION",$E226=""),"EMPL. SOURCE; ","")&amp;IF(AND($C226&lt;&gt;"CONSOMMATION",$F226=""),"EMPL. DESTINATION; ","")&amp;IF(AND($C226="TRANSFERT",$E226&lt;&gt;"",$E226=$F226),"SOURCE = DESTINATION; ",""),IF($P226="EMPLACEMENT INCOHERENT","Le lot "&amp;$D226&amp;" n'existe pas sur "&amp;$E226&amp;" (stock 0). Verifier l'emplacement source.",IF($P226="STOCK INSUFFISANT","Disponible avant operation : "&amp;TEXT($O226,"#,##0.00")&amp;" kg. Ligne NON comptee en stock.",IF(COUNTIFS($B$5:$B$304,$B226,$C$5:$C$304,$C226,$D$5:$D$304,$D226,$G$5:$G$304,$G226)&gt;1,"Doublon possible (meme date, type, lot et quantite).",IF($J226="LOT NON REFERENCE","Creer d'abord la fiche du lot dans l'onglet LOTS.",""))))))</f>
        <v/>
      </c>
    </row>
    <row r="227" customFormat="false" ht="15" hidden="false" customHeight="false" outlineLevel="0" collapsed="false">
      <c r="A227" s="26" t="str">
        <f aca="false">IF($C227="","","OP-"&amp;TEXT(ROW()-4,"000"))</f>
        <v/>
      </c>
      <c r="B227" s="25"/>
      <c r="C227" s="24"/>
      <c r="D227" s="24"/>
      <c r="E227" s="24"/>
      <c r="F227" s="24"/>
      <c r="G227" s="29"/>
      <c r="H227" s="24"/>
      <c r="I227" s="24"/>
      <c r="J227" s="26" t="str">
        <f aca="false">IF($D227="","",IFERROR(INDEX(LOT_PRODE,MATCH($D227,LOT_KEY,0)),"LOT NON REFERENCE"))</f>
        <v/>
      </c>
      <c r="K227" s="26" t="str">
        <f aca="false">IF($D227="","",IFERROR(INDEX(LOT_FOURNE,MATCH($D227,LOT_KEY,0)),""))</f>
        <v/>
      </c>
      <c r="L227" s="26" t="str">
        <f aca="false">IF($E227="","",IFERROR(INDEX(EMPL_CLASSE,MATCH($E227,EMPL_KEY,0)),"?"))</f>
        <v/>
      </c>
      <c r="M227" s="26" t="str">
        <f aca="false">IF($F227="","",IFERROR(INDEX(EMPL_CLASSE,MATCH($F227,EMPL_KEY,0)),"?"))</f>
        <v/>
      </c>
      <c r="N227" s="28" t="n">
        <f aca="false">IF($C227="",0,IF(OR($B227="",$D227="",NOT(ISNUMBER($G227)),$G227&lt;=0),0,IF($C227="RECEPTION",IF($F227="",0,1),IF($C227="CONSOMMATION",IF($E227="",0,1),IF(OR($E227="",$F227="",$E227=$F227),0,1)))))</f>
        <v>0</v>
      </c>
      <c r="O227" s="27" t="str">
        <f aca="false">IF(OR($N227=0,$C227="RECEPTION"),"",SUMIFS(MVT_BRUT,MVT_LOT,$D227,MVT_EMPL,$E227)+$G227)</f>
        <v/>
      </c>
      <c r="P227" s="26" t="str">
        <f aca="false">IF($C227="","",IF($N227=0,"DONNEES MANQUANTES",IF($C227="RECEPTION","OK",IF($O227&lt;=0,"EMPLACEMENT INCOHERENT",IF($G227&gt;$O227+0.001,"STOCK INSUFFISANT","OK")))))</f>
        <v/>
      </c>
      <c r="Q227" s="28" t="n">
        <f aca="false">IF($P227="OK",1,0)</f>
        <v>0</v>
      </c>
      <c r="R227" s="26" t="str">
        <f aca="false">IF($C227="","",IF($N227=0,"A COMPLETER : "&amp;IF($B227="","DATE; ","")&amp;IF($D227="","LOT; ","")&amp;IF(OR(NOT(ISNUMBER($G227)),$G227&lt;=0),"QUANTITE &gt; 0; ","")&amp;IF(AND($C227&lt;&gt;"RECEPTION",$E227=""),"EMPL. SOURCE; ","")&amp;IF(AND($C227&lt;&gt;"CONSOMMATION",$F227=""),"EMPL. DESTINATION; ","")&amp;IF(AND($C227="TRANSFERT",$E227&lt;&gt;"",$E227=$F227),"SOURCE = DESTINATION; ",""),IF($P227="EMPLACEMENT INCOHERENT","Le lot "&amp;$D227&amp;" n'existe pas sur "&amp;$E227&amp;" (stock 0). Verifier l'emplacement source.",IF($P227="STOCK INSUFFISANT","Disponible avant operation : "&amp;TEXT($O227,"#,##0.00")&amp;" kg. Ligne NON comptee en stock.",IF(COUNTIFS($B$5:$B$304,$B227,$C$5:$C$304,$C227,$D$5:$D$304,$D227,$G$5:$G$304,$G227)&gt;1,"Doublon possible (meme date, type, lot et quantite).",IF($J227="LOT NON REFERENCE","Creer d'abord la fiche du lot dans l'onglet LOTS.",""))))))</f>
        <v/>
      </c>
    </row>
    <row r="228" customFormat="false" ht="15" hidden="false" customHeight="false" outlineLevel="0" collapsed="false">
      <c r="A228" s="26" t="str">
        <f aca="false">IF($C228="","","OP-"&amp;TEXT(ROW()-4,"000"))</f>
        <v/>
      </c>
      <c r="B228" s="25"/>
      <c r="C228" s="24"/>
      <c r="D228" s="24"/>
      <c r="E228" s="24"/>
      <c r="F228" s="24"/>
      <c r="G228" s="29"/>
      <c r="H228" s="24"/>
      <c r="I228" s="24"/>
      <c r="J228" s="26" t="str">
        <f aca="false">IF($D228="","",IFERROR(INDEX(LOT_PRODE,MATCH($D228,LOT_KEY,0)),"LOT NON REFERENCE"))</f>
        <v/>
      </c>
      <c r="K228" s="26" t="str">
        <f aca="false">IF($D228="","",IFERROR(INDEX(LOT_FOURNE,MATCH($D228,LOT_KEY,0)),""))</f>
        <v/>
      </c>
      <c r="L228" s="26" t="str">
        <f aca="false">IF($E228="","",IFERROR(INDEX(EMPL_CLASSE,MATCH($E228,EMPL_KEY,0)),"?"))</f>
        <v/>
      </c>
      <c r="M228" s="26" t="str">
        <f aca="false">IF($F228="","",IFERROR(INDEX(EMPL_CLASSE,MATCH($F228,EMPL_KEY,0)),"?"))</f>
        <v/>
      </c>
      <c r="N228" s="28" t="n">
        <f aca="false">IF($C228="",0,IF(OR($B228="",$D228="",NOT(ISNUMBER($G228)),$G228&lt;=0),0,IF($C228="RECEPTION",IF($F228="",0,1),IF($C228="CONSOMMATION",IF($E228="",0,1),IF(OR($E228="",$F228="",$E228=$F228),0,1)))))</f>
        <v>0</v>
      </c>
      <c r="O228" s="27" t="str">
        <f aca="false">IF(OR($N228=0,$C228="RECEPTION"),"",SUMIFS(MVT_BRUT,MVT_LOT,$D228,MVT_EMPL,$E228)+$G228)</f>
        <v/>
      </c>
      <c r="P228" s="26" t="str">
        <f aca="false">IF($C228="","",IF($N228=0,"DONNEES MANQUANTES",IF($C228="RECEPTION","OK",IF($O228&lt;=0,"EMPLACEMENT INCOHERENT",IF($G228&gt;$O228+0.001,"STOCK INSUFFISANT","OK")))))</f>
        <v/>
      </c>
      <c r="Q228" s="28" t="n">
        <f aca="false">IF($P228="OK",1,0)</f>
        <v>0</v>
      </c>
      <c r="R228" s="26" t="str">
        <f aca="false">IF($C228="","",IF($N228=0,"A COMPLETER : "&amp;IF($B228="","DATE; ","")&amp;IF($D228="","LOT; ","")&amp;IF(OR(NOT(ISNUMBER($G228)),$G228&lt;=0),"QUANTITE &gt; 0; ","")&amp;IF(AND($C228&lt;&gt;"RECEPTION",$E228=""),"EMPL. SOURCE; ","")&amp;IF(AND($C228&lt;&gt;"CONSOMMATION",$F228=""),"EMPL. DESTINATION; ","")&amp;IF(AND($C228="TRANSFERT",$E228&lt;&gt;"",$E228=$F228),"SOURCE = DESTINATION; ",""),IF($P228="EMPLACEMENT INCOHERENT","Le lot "&amp;$D228&amp;" n'existe pas sur "&amp;$E228&amp;" (stock 0). Verifier l'emplacement source.",IF($P228="STOCK INSUFFISANT","Disponible avant operation : "&amp;TEXT($O228,"#,##0.00")&amp;" kg. Ligne NON comptee en stock.",IF(COUNTIFS($B$5:$B$304,$B228,$C$5:$C$304,$C228,$D$5:$D$304,$D228,$G$5:$G$304,$G228)&gt;1,"Doublon possible (meme date, type, lot et quantite).",IF($J228="LOT NON REFERENCE","Creer d'abord la fiche du lot dans l'onglet LOTS.",""))))))</f>
        <v/>
      </c>
    </row>
    <row r="229" customFormat="false" ht="15" hidden="false" customHeight="false" outlineLevel="0" collapsed="false">
      <c r="A229" s="26" t="str">
        <f aca="false">IF($C229="","","OP-"&amp;TEXT(ROW()-4,"000"))</f>
        <v/>
      </c>
      <c r="B229" s="25"/>
      <c r="C229" s="24"/>
      <c r="D229" s="24"/>
      <c r="E229" s="24"/>
      <c r="F229" s="24"/>
      <c r="G229" s="29"/>
      <c r="H229" s="24"/>
      <c r="I229" s="24"/>
      <c r="J229" s="26" t="str">
        <f aca="false">IF($D229="","",IFERROR(INDEX(LOT_PRODE,MATCH($D229,LOT_KEY,0)),"LOT NON REFERENCE"))</f>
        <v/>
      </c>
      <c r="K229" s="26" t="str">
        <f aca="false">IF($D229="","",IFERROR(INDEX(LOT_FOURNE,MATCH($D229,LOT_KEY,0)),""))</f>
        <v/>
      </c>
      <c r="L229" s="26" t="str">
        <f aca="false">IF($E229="","",IFERROR(INDEX(EMPL_CLASSE,MATCH($E229,EMPL_KEY,0)),"?"))</f>
        <v/>
      </c>
      <c r="M229" s="26" t="str">
        <f aca="false">IF($F229="","",IFERROR(INDEX(EMPL_CLASSE,MATCH($F229,EMPL_KEY,0)),"?"))</f>
        <v/>
      </c>
      <c r="N229" s="28" t="n">
        <f aca="false">IF($C229="",0,IF(OR($B229="",$D229="",NOT(ISNUMBER($G229)),$G229&lt;=0),0,IF($C229="RECEPTION",IF($F229="",0,1),IF($C229="CONSOMMATION",IF($E229="",0,1),IF(OR($E229="",$F229="",$E229=$F229),0,1)))))</f>
        <v>0</v>
      </c>
      <c r="O229" s="27" t="str">
        <f aca="false">IF(OR($N229=0,$C229="RECEPTION"),"",SUMIFS(MVT_BRUT,MVT_LOT,$D229,MVT_EMPL,$E229)+$G229)</f>
        <v/>
      </c>
      <c r="P229" s="26" t="str">
        <f aca="false">IF($C229="","",IF($N229=0,"DONNEES MANQUANTES",IF($C229="RECEPTION","OK",IF($O229&lt;=0,"EMPLACEMENT INCOHERENT",IF($G229&gt;$O229+0.001,"STOCK INSUFFISANT","OK")))))</f>
        <v/>
      </c>
      <c r="Q229" s="28" t="n">
        <f aca="false">IF($P229="OK",1,0)</f>
        <v>0</v>
      </c>
      <c r="R229" s="26" t="str">
        <f aca="false">IF($C229="","",IF($N229=0,"A COMPLETER : "&amp;IF($B229="","DATE; ","")&amp;IF($D229="","LOT; ","")&amp;IF(OR(NOT(ISNUMBER($G229)),$G229&lt;=0),"QUANTITE &gt; 0; ","")&amp;IF(AND($C229&lt;&gt;"RECEPTION",$E229=""),"EMPL. SOURCE; ","")&amp;IF(AND($C229&lt;&gt;"CONSOMMATION",$F229=""),"EMPL. DESTINATION; ","")&amp;IF(AND($C229="TRANSFERT",$E229&lt;&gt;"",$E229=$F229),"SOURCE = DESTINATION; ",""),IF($P229="EMPLACEMENT INCOHERENT","Le lot "&amp;$D229&amp;" n'existe pas sur "&amp;$E229&amp;" (stock 0). Verifier l'emplacement source.",IF($P229="STOCK INSUFFISANT","Disponible avant operation : "&amp;TEXT($O229,"#,##0.00")&amp;" kg. Ligne NON comptee en stock.",IF(COUNTIFS($B$5:$B$304,$B229,$C$5:$C$304,$C229,$D$5:$D$304,$D229,$G$5:$G$304,$G229)&gt;1,"Doublon possible (meme date, type, lot et quantite).",IF($J229="LOT NON REFERENCE","Creer d'abord la fiche du lot dans l'onglet LOTS.",""))))))</f>
        <v/>
      </c>
    </row>
    <row r="230" customFormat="false" ht="15" hidden="false" customHeight="false" outlineLevel="0" collapsed="false">
      <c r="A230" s="26" t="str">
        <f aca="false">IF($C230="","","OP-"&amp;TEXT(ROW()-4,"000"))</f>
        <v/>
      </c>
      <c r="B230" s="25"/>
      <c r="C230" s="24"/>
      <c r="D230" s="24"/>
      <c r="E230" s="24"/>
      <c r="F230" s="24"/>
      <c r="G230" s="29"/>
      <c r="H230" s="24"/>
      <c r="I230" s="24"/>
      <c r="J230" s="26" t="str">
        <f aca="false">IF($D230="","",IFERROR(INDEX(LOT_PRODE,MATCH($D230,LOT_KEY,0)),"LOT NON REFERENCE"))</f>
        <v/>
      </c>
      <c r="K230" s="26" t="str">
        <f aca="false">IF($D230="","",IFERROR(INDEX(LOT_FOURNE,MATCH($D230,LOT_KEY,0)),""))</f>
        <v/>
      </c>
      <c r="L230" s="26" t="str">
        <f aca="false">IF($E230="","",IFERROR(INDEX(EMPL_CLASSE,MATCH($E230,EMPL_KEY,0)),"?"))</f>
        <v/>
      </c>
      <c r="M230" s="26" t="str">
        <f aca="false">IF($F230="","",IFERROR(INDEX(EMPL_CLASSE,MATCH($F230,EMPL_KEY,0)),"?"))</f>
        <v/>
      </c>
      <c r="N230" s="28" t="n">
        <f aca="false">IF($C230="",0,IF(OR($B230="",$D230="",NOT(ISNUMBER($G230)),$G230&lt;=0),0,IF($C230="RECEPTION",IF($F230="",0,1),IF($C230="CONSOMMATION",IF($E230="",0,1),IF(OR($E230="",$F230="",$E230=$F230),0,1)))))</f>
        <v>0</v>
      </c>
      <c r="O230" s="27" t="str">
        <f aca="false">IF(OR($N230=0,$C230="RECEPTION"),"",SUMIFS(MVT_BRUT,MVT_LOT,$D230,MVT_EMPL,$E230)+$G230)</f>
        <v/>
      </c>
      <c r="P230" s="26" t="str">
        <f aca="false">IF($C230="","",IF($N230=0,"DONNEES MANQUANTES",IF($C230="RECEPTION","OK",IF($O230&lt;=0,"EMPLACEMENT INCOHERENT",IF($G230&gt;$O230+0.001,"STOCK INSUFFISANT","OK")))))</f>
        <v/>
      </c>
      <c r="Q230" s="28" t="n">
        <f aca="false">IF($P230="OK",1,0)</f>
        <v>0</v>
      </c>
      <c r="R230" s="26" t="str">
        <f aca="false">IF($C230="","",IF($N230=0,"A COMPLETER : "&amp;IF($B230="","DATE; ","")&amp;IF($D230="","LOT; ","")&amp;IF(OR(NOT(ISNUMBER($G230)),$G230&lt;=0),"QUANTITE &gt; 0; ","")&amp;IF(AND($C230&lt;&gt;"RECEPTION",$E230=""),"EMPL. SOURCE; ","")&amp;IF(AND($C230&lt;&gt;"CONSOMMATION",$F230=""),"EMPL. DESTINATION; ","")&amp;IF(AND($C230="TRANSFERT",$E230&lt;&gt;"",$E230=$F230),"SOURCE = DESTINATION; ",""),IF($P230="EMPLACEMENT INCOHERENT","Le lot "&amp;$D230&amp;" n'existe pas sur "&amp;$E230&amp;" (stock 0). Verifier l'emplacement source.",IF($P230="STOCK INSUFFISANT","Disponible avant operation : "&amp;TEXT($O230,"#,##0.00")&amp;" kg. Ligne NON comptee en stock.",IF(COUNTIFS($B$5:$B$304,$B230,$C$5:$C$304,$C230,$D$5:$D$304,$D230,$G$5:$G$304,$G230)&gt;1,"Doublon possible (meme date, type, lot et quantite).",IF($J230="LOT NON REFERENCE","Creer d'abord la fiche du lot dans l'onglet LOTS.",""))))))</f>
        <v/>
      </c>
    </row>
    <row r="231" customFormat="false" ht="15" hidden="false" customHeight="false" outlineLevel="0" collapsed="false">
      <c r="A231" s="26" t="str">
        <f aca="false">IF($C231="","","OP-"&amp;TEXT(ROW()-4,"000"))</f>
        <v/>
      </c>
      <c r="B231" s="25"/>
      <c r="C231" s="24"/>
      <c r="D231" s="24"/>
      <c r="E231" s="24"/>
      <c r="F231" s="24"/>
      <c r="G231" s="29"/>
      <c r="H231" s="24"/>
      <c r="I231" s="24"/>
      <c r="J231" s="26" t="str">
        <f aca="false">IF($D231="","",IFERROR(INDEX(LOT_PRODE,MATCH($D231,LOT_KEY,0)),"LOT NON REFERENCE"))</f>
        <v/>
      </c>
      <c r="K231" s="26" t="str">
        <f aca="false">IF($D231="","",IFERROR(INDEX(LOT_FOURNE,MATCH($D231,LOT_KEY,0)),""))</f>
        <v/>
      </c>
      <c r="L231" s="26" t="str">
        <f aca="false">IF($E231="","",IFERROR(INDEX(EMPL_CLASSE,MATCH($E231,EMPL_KEY,0)),"?"))</f>
        <v/>
      </c>
      <c r="M231" s="26" t="str">
        <f aca="false">IF($F231="","",IFERROR(INDEX(EMPL_CLASSE,MATCH($F231,EMPL_KEY,0)),"?"))</f>
        <v/>
      </c>
      <c r="N231" s="28" t="n">
        <f aca="false">IF($C231="",0,IF(OR($B231="",$D231="",NOT(ISNUMBER($G231)),$G231&lt;=0),0,IF($C231="RECEPTION",IF($F231="",0,1),IF($C231="CONSOMMATION",IF($E231="",0,1),IF(OR($E231="",$F231="",$E231=$F231),0,1)))))</f>
        <v>0</v>
      </c>
      <c r="O231" s="27" t="str">
        <f aca="false">IF(OR($N231=0,$C231="RECEPTION"),"",SUMIFS(MVT_BRUT,MVT_LOT,$D231,MVT_EMPL,$E231)+$G231)</f>
        <v/>
      </c>
      <c r="P231" s="26" t="str">
        <f aca="false">IF($C231="","",IF($N231=0,"DONNEES MANQUANTES",IF($C231="RECEPTION","OK",IF($O231&lt;=0,"EMPLACEMENT INCOHERENT",IF($G231&gt;$O231+0.001,"STOCK INSUFFISANT","OK")))))</f>
        <v/>
      </c>
      <c r="Q231" s="28" t="n">
        <f aca="false">IF($P231="OK",1,0)</f>
        <v>0</v>
      </c>
      <c r="R231" s="26" t="str">
        <f aca="false">IF($C231="","",IF($N231=0,"A COMPLETER : "&amp;IF($B231="","DATE; ","")&amp;IF($D231="","LOT; ","")&amp;IF(OR(NOT(ISNUMBER($G231)),$G231&lt;=0),"QUANTITE &gt; 0; ","")&amp;IF(AND($C231&lt;&gt;"RECEPTION",$E231=""),"EMPL. SOURCE; ","")&amp;IF(AND($C231&lt;&gt;"CONSOMMATION",$F231=""),"EMPL. DESTINATION; ","")&amp;IF(AND($C231="TRANSFERT",$E231&lt;&gt;"",$E231=$F231),"SOURCE = DESTINATION; ",""),IF($P231="EMPLACEMENT INCOHERENT","Le lot "&amp;$D231&amp;" n'existe pas sur "&amp;$E231&amp;" (stock 0). Verifier l'emplacement source.",IF($P231="STOCK INSUFFISANT","Disponible avant operation : "&amp;TEXT($O231,"#,##0.00")&amp;" kg. Ligne NON comptee en stock.",IF(COUNTIFS($B$5:$B$304,$B231,$C$5:$C$304,$C231,$D$5:$D$304,$D231,$G$5:$G$304,$G231)&gt;1,"Doublon possible (meme date, type, lot et quantite).",IF($J231="LOT NON REFERENCE","Creer d'abord la fiche du lot dans l'onglet LOTS.",""))))))</f>
        <v/>
      </c>
    </row>
    <row r="232" customFormat="false" ht="15" hidden="false" customHeight="false" outlineLevel="0" collapsed="false">
      <c r="A232" s="26" t="str">
        <f aca="false">IF($C232="","","OP-"&amp;TEXT(ROW()-4,"000"))</f>
        <v/>
      </c>
      <c r="B232" s="25"/>
      <c r="C232" s="24"/>
      <c r="D232" s="24"/>
      <c r="E232" s="24"/>
      <c r="F232" s="24"/>
      <c r="G232" s="29"/>
      <c r="H232" s="24"/>
      <c r="I232" s="24"/>
      <c r="J232" s="26" t="str">
        <f aca="false">IF($D232="","",IFERROR(INDEX(LOT_PRODE,MATCH($D232,LOT_KEY,0)),"LOT NON REFERENCE"))</f>
        <v/>
      </c>
      <c r="K232" s="26" t="str">
        <f aca="false">IF($D232="","",IFERROR(INDEX(LOT_FOURNE,MATCH($D232,LOT_KEY,0)),""))</f>
        <v/>
      </c>
      <c r="L232" s="26" t="str">
        <f aca="false">IF($E232="","",IFERROR(INDEX(EMPL_CLASSE,MATCH($E232,EMPL_KEY,0)),"?"))</f>
        <v/>
      </c>
      <c r="M232" s="26" t="str">
        <f aca="false">IF($F232="","",IFERROR(INDEX(EMPL_CLASSE,MATCH($F232,EMPL_KEY,0)),"?"))</f>
        <v/>
      </c>
      <c r="N232" s="28" t="n">
        <f aca="false">IF($C232="",0,IF(OR($B232="",$D232="",NOT(ISNUMBER($G232)),$G232&lt;=0),0,IF($C232="RECEPTION",IF($F232="",0,1),IF($C232="CONSOMMATION",IF($E232="",0,1),IF(OR($E232="",$F232="",$E232=$F232),0,1)))))</f>
        <v>0</v>
      </c>
      <c r="O232" s="27" t="str">
        <f aca="false">IF(OR($N232=0,$C232="RECEPTION"),"",SUMIFS(MVT_BRUT,MVT_LOT,$D232,MVT_EMPL,$E232)+$G232)</f>
        <v/>
      </c>
      <c r="P232" s="26" t="str">
        <f aca="false">IF($C232="","",IF($N232=0,"DONNEES MANQUANTES",IF($C232="RECEPTION","OK",IF($O232&lt;=0,"EMPLACEMENT INCOHERENT",IF($G232&gt;$O232+0.001,"STOCK INSUFFISANT","OK")))))</f>
        <v/>
      </c>
      <c r="Q232" s="28" t="n">
        <f aca="false">IF($P232="OK",1,0)</f>
        <v>0</v>
      </c>
      <c r="R232" s="26" t="str">
        <f aca="false">IF($C232="","",IF($N232=0,"A COMPLETER : "&amp;IF($B232="","DATE; ","")&amp;IF($D232="","LOT; ","")&amp;IF(OR(NOT(ISNUMBER($G232)),$G232&lt;=0),"QUANTITE &gt; 0; ","")&amp;IF(AND($C232&lt;&gt;"RECEPTION",$E232=""),"EMPL. SOURCE; ","")&amp;IF(AND($C232&lt;&gt;"CONSOMMATION",$F232=""),"EMPL. DESTINATION; ","")&amp;IF(AND($C232="TRANSFERT",$E232&lt;&gt;"",$E232=$F232),"SOURCE = DESTINATION; ",""),IF($P232="EMPLACEMENT INCOHERENT","Le lot "&amp;$D232&amp;" n'existe pas sur "&amp;$E232&amp;" (stock 0). Verifier l'emplacement source.",IF($P232="STOCK INSUFFISANT","Disponible avant operation : "&amp;TEXT($O232,"#,##0.00")&amp;" kg. Ligne NON comptee en stock.",IF(COUNTIFS($B$5:$B$304,$B232,$C$5:$C$304,$C232,$D$5:$D$304,$D232,$G$5:$G$304,$G232)&gt;1,"Doublon possible (meme date, type, lot et quantite).",IF($J232="LOT NON REFERENCE","Creer d'abord la fiche du lot dans l'onglet LOTS.",""))))))</f>
        <v/>
      </c>
    </row>
    <row r="233" customFormat="false" ht="15" hidden="false" customHeight="false" outlineLevel="0" collapsed="false">
      <c r="A233" s="26" t="str">
        <f aca="false">IF($C233="","","OP-"&amp;TEXT(ROW()-4,"000"))</f>
        <v/>
      </c>
      <c r="B233" s="25"/>
      <c r="C233" s="24"/>
      <c r="D233" s="24"/>
      <c r="E233" s="24"/>
      <c r="F233" s="24"/>
      <c r="G233" s="29"/>
      <c r="H233" s="24"/>
      <c r="I233" s="24"/>
      <c r="J233" s="26" t="str">
        <f aca="false">IF($D233="","",IFERROR(INDEX(LOT_PRODE,MATCH($D233,LOT_KEY,0)),"LOT NON REFERENCE"))</f>
        <v/>
      </c>
      <c r="K233" s="26" t="str">
        <f aca="false">IF($D233="","",IFERROR(INDEX(LOT_FOURNE,MATCH($D233,LOT_KEY,0)),""))</f>
        <v/>
      </c>
      <c r="L233" s="26" t="str">
        <f aca="false">IF($E233="","",IFERROR(INDEX(EMPL_CLASSE,MATCH($E233,EMPL_KEY,0)),"?"))</f>
        <v/>
      </c>
      <c r="M233" s="26" t="str">
        <f aca="false">IF($F233="","",IFERROR(INDEX(EMPL_CLASSE,MATCH($F233,EMPL_KEY,0)),"?"))</f>
        <v/>
      </c>
      <c r="N233" s="28" t="n">
        <f aca="false">IF($C233="",0,IF(OR($B233="",$D233="",NOT(ISNUMBER($G233)),$G233&lt;=0),0,IF($C233="RECEPTION",IF($F233="",0,1),IF($C233="CONSOMMATION",IF($E233="",0,1),IF(OR($E233="",$F233="",$E233=$F233),0,1)))))</f>
        <v>0</v>
      </c>
      <c r="O233" s="27" t="str">
        <f aca="false">IF(OR($N233=0,$C233="RECEPTION"),"",SUMIFS(MVT_BRUT,MVT_LOT,$D233,MVT_EMPL,$E233)+$G233)</f>
        <v/>
      </c>
      <c r="P233" s="26" t="str">
        <f aca="false">IF($C233="","",IF($N233=0,"DONNEES MANQUANTES",IF($C233="RECEPTION","OK",IF($O233&lt;=0,"EMPLACEMENT INCOHERENT",IF($G233&gt;$O233+0.001,"STOCK INSUFFISANT","OK")))))</f>
        <v/>
      </c>
      <c r="Q233" s="28" t="n">
        <f aca="false">IF($P233="OK",1,0)</f>
        <v>0</v>
      </c>
      <c r="R233" s="26" t="str">
        <f aca="false">IF($C233="","",IF($N233=0,"A COMPLETER : "&amp;IF($B233="","DATE; ","")&amp;IF($D233="","LOT; ","")&amp;IF(OR(NOT(ISNUMBER($G233)),$G233&lt;=0),"QUANTITE &gt; 0; ","")&amp;IF(AND($C233&lt;&gt;"RECEPTION",$E233=""),"EMPL. SOURCE; ","")&amp;IF(AND($C233&lt;&gt;"CONSOMMATION",$F233=""),"EMPL. DESTINATION; ","")&amp;IF(AND($C233="TRANSFERT",$E233&lt;&gt;"",$E233=$F233),"SOURCE = DESTINATION; ",""),IF($P233="EMPLACEMENT INCOHERENT","Le lot "&amp;$D233&amp;" n'existe pas sur "&amp;$E233&amp;" (stock 0). Verifier l'emplacement source.",IF($P233="STOCK INSUFFISANT","Disponible avant operation : "&amp;TEXT($O233,"#,##0.00")&amp;" kg. Ligne NON comptee en stock.",IF(COUNTIFS($B$5:$B$304,$B233,$C$5:$C$304,$C233,$D$5:$D$304,$D233,$G$5:$G$304,$G233)&gt;1,"Doublon possible (meme date, type, lot et quantite).",IF($J233="LOT NON REFERENCE","Creer d'abord la fiche du lot dans l'onglet LOTS.",""))))))</f>
        <v/>
      </c>
    </row>
    <row r="234" customFormat="false" ht="15" hidden="false" customHeight="false" outlineLevel="0" collapsed="false">
      <c r="A234" s="26" t="str">
        <f aca="false">IF($C234="","","OP-"&amp;TEXT(ROW()-4,"000"))</f>
        <v/>
      </c>
      <c r="B234" s="25"/>
      <c r="C234" s="24"/>
      <c r="D234" s="24"/>
      <c r="E234" s="24"/>
      <c r="F234" s="24"/>
      <c r="G234" s="29"/>
      <c r="H234" s="24"/>
      <c r="I234" s="24"/>
      <c r="J234" s="26" t="str">
        <f aca="false">IF($D234="","",IFERROR(INDEX(LOT_PRODE,MATCH($D234,LOT_KEY,0)),"LOT NON REFERENCE"))</f>
        <v/>
      </c>
      <c r="K234" s="26" t="str">
        <f aca="false">IF($D234="","",IFERROR(INDEX(LOT_FOURNE,MATCH($D234,LOT_KEY,0)),""))</f>
        <v/>
      </c>
      <c r="L234" s="26" t="str">
        <f aca="false">IF($E234="","",IFERROR(INDEX(EMPL_CLASSE,MATCH($E234,EMPL_KEY,0)),"?"))</f>
        <v/>
      </c>
      <c r="M234" s="26" t="str">
        <f aca="false">IF($F234="","",IFERROR(INDEX(EMPL_CLASSE,MATCH($F234,EMPL_KEY,0)),"?"))</f>
        <v/>
      </c>
      <c r="N234" s="28" t="n">
        <f aca="false">IF($C234="",0,IF(OR($B234="",$D234="",NOT(ISNUMBER($G234)),$G234&lt;=0),0,IF($C234="RECEPTION",IF($F234="",0,1),IF($C234="CONSOMMATION",IF($E234="",0,1),IF(OR($E234="",$F234="",$E234=$F234),0,1)))))</f>
        <v>0</v>
      </c>
      <c r="O234" s="27" t="str">
        <f aca="false">IF(OR($N234=0,$C234="RECEPTION"),"",SUMIFS(MVT_BRUT,MVT_LOT,$D234,MVT_EMPL,$E234)+$G234)</f>
        <v/>
      </c>
      <c r="P234" s="26" t="str">
        <f aca="false">IF($C234="","",IF($N234=0,"DONNEES MANQUANTES",IF($C234="RECEPTION","OK",IF($O234&lt;=0,"EMPLACEMENT INCOHERENT",IF($G234&gt;$O234+0.001,"STOCK INSUFFISANT","OK")))))</f>
        <v/>
      </c>
      <c r="Q234" s="28" t="n">
        <f aca="false">IF($P234="OK",1,0)</f>
        <v>0</v>
      </c>
      <c r="R234" s="26" t="str">
        <f aca="false">IF($C234="","",IF($N234=0,"A COMPLETER : "&amp;IF($B234="","DATE; ","")&amp;IF($D234="","LOT; ","")&amp;IF(OR(NOT(ISNUMBER($G234)),$G234&lt;=0),"QUANTITE &gt; 0; ","")&amp;IF(AND($C234&lt;&gt;"RECEPTION",$E234=""),"EMPL. SOURCE; ","")&amp;IF(AND($C234&lt;&gt;"CONSOMMATION",$F234=""),"EMPL. DESTINATION; ","")&amp;IF(AND($C234="TRANSFERT",$E234&lt;&gt;"",$E234=$F234),"SOURCE = DESTINATION; ",""),IF($P234="EMPLACEMENT INCOHERENT","Le lot "&amp;$D234&amp;" n'existe pas sur "&amp;$E234&amp;" (stock 0). Verifier l'emplacement source.",IF($P234="STOCK INSUFFISANT","Disponible avant operation : "&amp;TEXT($O234,"#,##0.00")&amp;" kg. Ligne NON comptee en stock.",IF(COUNTIFS($B$5:$B$304,$B234,$C$5:$C$304,$C234,$D$5:$D$304,$D234,$G$5:$G$304,$G234)&gt;1,"Doublon possible (meme date, type, lot et quantite).",IF($J234="LOT NON REFERENCE","Creer d'abord la fiche du lot dans l'onglet LOTS.",""))))))</f>
        <v/>
      </c>
    </row>
    <row r="235" customFormat="false" ht="15" hidden="false" customHeight="false" outlineLevel="0" collapsed="false">
      <c r="A235" s="26" t="str">
        <f aca="false">IF($C235="","","OP-"&amp;TEXT(ROW()-4,"000"))</f>
        <v/>
      </c>
      <c r="B235" s="25"/>
      <c r="C235" s="24"/>
      <c r="D235" s="24"/>
      <c r="E235" s="24"/>
      <c r="F235" s="24"/>
      <c r="G235" s="29"/>
      <c r="H235" s="24"/>
      <c r="I235" s="24"/>
      <c r="J235" s="26" t="str">
        <f aca="false">IF($D235="","",IFERROR(INDEX(LOT_PRODE,MATCH($D235,LOT_KEY,0)),"LOT NON REFERENCE"))</f>
        <v/>
      </c>
      <c r="K235" s="26" t="str">
        <f aca="false">IF($D235="","",IFERROR(INDEX(LOT_FOURNE,MATCH($D235,LOT_KEY,0)),""))</f>
        <v/>
      </c>
      <c r="L235" s="26" t="str">
        <f aca="false">IF($E235="","",IFERROR(INDEX(EMPL_CLASSE,MATCH($E235,EMPL_KEY,0)),"?"))</f>
        <v/>
      </c>
      <c r="M235" s="26" t="str">
        <f aca="false">IF($F235="","",IFERROR(INDEX(EMPL_CLASSE,MATCH($F235,EMPL_KEY,0)),"?"))</f>
        <v/>
      </c>
      <c r="N235" s="28" t="n">
        <f aca="false">IF($C235="",0,IF(OR($B235="",$D235="",NOT(ISNUMBER($G235)),$G235&lt;=0),0,IF($C235="RECEPTION",IF($F235="",0,1),IF($C235="CONSOMMATION",IF($E235="",0,1),IF(OR($E235="",$F235="",$E235=$F235),0,1)))))</f>
        <v>0</v>
      </c>
      <c r="O235" s="27" t="str">
        <f aca="false">IF(OR($N235=0,$C235="RECEPTION"),"",SUMIFS(MVT_BRUT,MVT_LOT,$D235,MVT_EMPL,$E235)+$G235)</f>
        <v/>
      </c>
      <c r="P235" s="26" t="str">
        <f aca="false">IF($C235="","",IF($N235=0,"DONNEES MANQUANTES",IF($C235="RECEPTION","OK",IF($O235&lt;=0,"EMPLACEMENT INCOHERENT",IF($G235&gt;$O235+0.001,"STOCK INSUFFISANT","OK")))))</f>
        <v/>
      </c>
      <c r="Q235" s="28" t="n">
        <f aca="false">IF($P235="OK",1,0)</f>
        <v>0</v>
      </c>
      <c r="R235" s="26" t="str">
        <f aca="false">IF($C235="","",IF($N235=0,"A COMPLETER : "&amp;IF($B235="","DATE; ","")&amp;IF($D235="","LOT; ","")&amp;IF(OR(NOT(ISNUMBER($G235)),$G235&lt;=0),"QUANTITE &gt; 0; ","")&amp;IF(AND($C235&lt;&gt;"RECEPTION",$E235=""),"EMPL. SOURCE; ","")&amp;IF(AND($C235&lt;&gt;"CONSOMMATION",$F235=""),"EMPL. DESTINATION; ","")&amp;IF(AND($C235="TRANSFERT",$E235&lt;&gt;"",$E235=$F235),"SOURCE = DESTINATION; ",""),IF($P235="EMPLACEMENT INCOHERENT","Le lot "&amp;$D235&amp;" n'existe pas sur "&amp;$E235&amp;" (stock 0). Verifier l'emplacement source.",IF($P235="STOCK INSUFFISANT","Disponible avant operation : "&amp;TEXT($O235,"#,##0.00")&amp;" kg. Ligne NON comptee en stock.",IF(COUNTIFS($B$5:$B$304,$B235,$C$5:$C$304,$C235,$D$5:$D$304,$D235,$G$5:$G$304,$G235)&gt;1,"Doublon possible (meme date, type, lot et quantite).",IF($J235="LOT NON REFERENCE","Creer d'abord la fiche du lot dans l'onglet LOTS.",""))))))</f>
        <v/>
      </c>
    </row>
    <row r="236" customFormat="false" ht="15" hidden="false" customHeight="false" outlineLevel="0" collapsed="false">
      <c r="A236" s="26" t="str">
        <f aca="false">IF($C236="","","OP-"&amp;TEXT(ROW()-4,"000"))</f>
        <v/>
      </c>
      <c r="B236" s="25"/>
      <c r="C236" s="24"/>
      <c r="D236" s="24"/>
      <c r="E236" s="24"/>
      <c r="F236" s="24"/>
      <c r="G236" s="29"/>
      <c r="H236" s="24"/>
      <c r="I236" s="24"/>
      <c r="J236" s="26" t="str">
        <f aca="false">IF($D236="","",IFERROR(INDEX(LOT_PRODE,MATCH($D236,LOT_KEY,0)),"LOT NON REFERENCE"))</f>
        <v/>
      </c>
      <c r="K236" s="26" t="str">
        <f aca="false">IF($D236="","",IFERROR(INDEX(LOT_FOURNE,MATCH($D236,LOT_KEY,0)),""))</f>
        <v/>
      </c>
      <c r="L236" s="26" t="str">
        <f aca="false">IF($E236="","",IFERROR(INDEX(EMPL_CLASSE,MATCH($E236,EMPL_KEY,0)),"?"))</f>
        <v/>
      </c>
      <c r="M236" s="26" t="str">
        <f aca="false">IF($F236="","",IFERROR(INDEX(EMPL_CLASSE,MATCH($F236,EMPL_KEY,0)),"?"))</f>
        <v/>
      </c>
      <c r="N236" s="28" t="n">
        <f aca="false">IF($C236="",0,IF(OR($B236="",$D236="",NOT(ISNUMBER($G236)),$G236&lt;=0),0,IF($C236="RECEPTION",IF($F236="",0,1),IF($C236="CONSOMMATION",IF($E236="",0,1),IF(OR($E236="",$F236="",$E236=$F236),0,1)))))</f>
        <v>0</v>
      </c>
      <c r="O236" s="27" t="str">
        <f aca="false">IF(OR($N236=0,$C236="RECEPTION"),"",SUMIFS(MVT_BRUT,MVT_LOT,$D236,MVT_EMPL,$E236)+$G236)</f>
        <v/>
      </c>
      <c r="P236" s="26" t="str">
        <f aca="false">IF($C236="","",IF($N236=0,"DONNEES MANQUANTES",IF($C236="RECEPTION","OK",IF($O236&lt;=0,"EMPLACEMENT INCOHERENT",IF($G236&gt;$O236+0.001,"STOCK INSUFFISANT","OK")))))</f>
        <v/>
      </c>
      <c r="Q236" s="28" t="n">
        <f aca="false">IF($P236="OK",1,0)</f>
        <v>0</v>
      </c>
      <c r="R236" s="26" t="str">
        <f aca="false">IF($C236="","",IF($N236=0,"A COMPLETER : "&amp;IF($B236="","DATE; ","")&amp;IF($D236="","LOT; ","")&amp;IF(OR(NOT(ISNUMBER($G236)),$G236&lt;=0),"QUANTITE &gt; 0; ","")&amp;IF(AND($C236&lt;&gt;"RECEPTION",$E236=""),"EMPL. SOURCE; ","")&amp;IF(AND($C236&lt;&gt;"CONSOMMATION",$F236=""),"EMPL. DESTINATION; ","")&amp;IF(AND($C236="TRANSFERT",$E236&lt;&gt;"",$E236=$F236),"SOURCE = DESTINATION; ",""),IF($P236="EMPLACEMENT INCOHERENT","Le lot "&amp;$D236&amp;" n'existe pas sur "&amp;$E236&amp;" (stock 0). Verifier l'emplacement source.",IF($P236="STOCK INSUFFISANT","Disponible avant operation : "&amp;TEXT($O236,"#,##0.00")&amp;" kg. Ligne NON comptee en stock.",IF(COUNTIFS($B$5:$B$304,$B236,$C$5:$C$304,$C236,$D$5:$D$304,$D236,$G$5:$G$304,$G236)&gt;1,"Doublon possible (meme date, type, lot et quantite).",IF($J236="LOT NON REFERENCE","Creer d'abord la fiche du lot dans l'onglet LOTS.",""))))))</f>
        <v/>
      </c>
    </row>
    <row r="237" customFormat="false" ht="15" hidden="false" customHeight="false" outlineLevel="0" collapsed="false">
      <c r="A237" s="26" t="str">
        <f aca="false">IF($C237="","","OP-"&amp;TEXT(ROW()-4,"000"))</f>
        <v/>
      </c>
      <c r="B237" s="25"/>
      <c r="C237" s="24"/>
      <c r="D237" s="24"/>
      <c r="E237" s="24"/>
      <c r="F237" s="24"/>
      <c r="G237" s="29"/>
      <c r="H237" s="24"/>
      <c r="I237" s="24"/>
      <c r="J237" s="26" t="str">
        <f aca="false">IF($D237="","",IFERROR(INDEX(LOT_PRODE,MATCH($D237,LOT_KEY,0)),"LOT NON REFERENCE"))</f>
        <v/>
      </c>
      <c r="K237" s="26" t="str">
        <f aca="false">IF($D237="","",IFERROR(INDEX(LOT_FOURNE,MATCH($D237,LOT_KEY,0)),""))</f>
        <v/>
      </c>
      <c r="L237" s="26" t="str">
        <f aca="false">IF($E237="","",IFERROR(INDEX(EMPL_CLASSE,MATCH($E237,EMPL_KEY,0)),"?"))</f>
        <v/>
      </c>
      <c r="M237" s="26" t="str">
        <f aca="false">IF($F237="","",IFERROR(INDEX(EMPL_CLASSE,MATCH($F237,EMPL_KEY,0)),"?"))</f>
        <v/>
      </c>
      <c r="N237" s="28" t="n">
        <f aca="false">IF($C237="",0,IF(OR($B237="",$D237="",NOT(ISNUMBER($G237)),$G237&lt;=0),0,IF($C237="RECEPTION",IF($F237="",0,1),IF($C237="CONSOMMATION",IF($E237="",0,1),IF(OR($E237="",$F237="",$E237=$F237),0,1)))))</f>
        <v>0</v>
      </c>
      <c r="O237" s="27" t="str">
        <f aca="false">IF(OR($N237=0,$C237="RECEPTION"),"",SUMIFS(MVT_BRUT,MVT_LOT,$D237,MVT_EMPL,$E237)+$G237)</f>
        <v/>
      </c>
      <c r="P237" s="26" t="str">
        <f aca="false">IF($C237="","",IF($N237=0,"DONNEES MANQUANTES",IF($C237="RECEPTION","OK",IF($O237&lt;=0,"EMPLACEMENT INCOHERENT",IF($G237&gt;$O237+0.001,"STOCK INSUFFISANT","OK")))))</f>
        <v/>
      </c>
      <c r="Q237" s="28" t="n">
        <f aca="false">IF($P237="OK",1,0)</f>
        <v>0</v>
      </c>
      <c r="R237" s="26" t="str">
        <f aca="false">IF($C237="","",IF($N237=0,"A COMPLETER : "&amp;IF($B237="","DATE; ","")&amp;IF($D237="","LOT; ","")&amp;IF(OR(NOT(ISNUMBER($G237)),$G237&lt;=0),"QUANTITE &gt; 0; ","")&amp;IF(AND($C237&lt;&gt;"RECEPTION",$E237=""),"EMPL. SOURCE; ","")&amp;IF(AND($C237&lt;&gt;"CONSOMMATION",$F237=""),"EMPL. DESTINATION; ","")&amp;IF(AND($C237="TRANSFERT",$E237&lt;&gt;"",$E237=$F237),"SOURCE = DESTINATION; ",""),IF($P237="EMPLACEMENT INCOHERENT","Le lot "&amp;$D237&amp;" n'existe pas sur "&amp;$E237&amp;" (stock 0). Verifier l'emplacement source.",IF($P237="STOCK INSUFFISANT","Disponible avant operation : "&amp;TEXT($O237,"#,##0.00")&amp;" kg. Ligne NON comptee en stock.",IF(COUNTIFS($B$5:$B$304,$B237,$C$5:$C$304,$C237,$D$5:$D$304,$D237,$G$5:$G$304,$G237)&gt;1,"Doublon possible (meme date, type, lot et quantite).",IF($J237="LOT NON REFERENCE","Creer d'abord la fiche du lot dans l'onglet LOTS.",""))))))</f>
        <v/>
      </c>
    </row>
    <row r="238" customFormat="false" ht="15" hidden="false" customHeight="false" outlineLevel="0" collapsed="false">
      <c r="A238" s="26" t="str">
        <f aca="false">IF($C238="","","OP-"&amp;TEXT(ROW()-4,"000"))</f>
        <v/>
      </c>
      <c r="B238" s="25"/>
      <c r="C238" s="24"/>
      <c r="D238" s="24"/>
      <c r="E238" s="24"/>
      <c r="F238" s="24"/>
      <c r="G238" s="29"/>
      <c r="H238" s="24"/>
      <c r="I238" s="24"/>
      <c r="J238" s="26" t="str">
        <f aca="false">IF($D238="","",IFERROR(INDEX(LOT_PRODE,MATCH($D238,LOT_KEY,0)),"LOT NON REFERENCE"))</f>
        <v/>
      </c>
      <c r="K238" s="26" t="str">
        <f aca="false">IF($D238="","",IFERROR(INDEX(LOT_FOURNE,MATCH($D238,LOT_KEY,0)),""))</f>
        <v/>
      </c>
      <c r="L238" s="26" t="str">
        <f aca="false">IF($E238="","",IFERROR(INDEX(EMPL_CLASSE,MATCH($E238,EMPL_KEY,0)),"?"))</f>
        <v/>
      </c>
      <c r="M238" s="26" t="str">
        <f aca="false">IF($F238="","",IFERROR(INDEX(EMPL_CLASSE,MATCH($F238,EMPL_KEY,0)),"?"))</f>
        <v/>
      </c>
      <c r="N238" s="28" t="n">
        <f aca="false">IF($C238="",0,IF(OR($B238="",$D238="",NOT(ISNUMBER($G238)),$G238&lt;=0),0,IF($C238="RECEPTION",IF($F238="",0,1),IF($C238="CONSOMMATION",IF($E238="",0,1),IF(OR($E238="",$F238="",$E238=$F238),0,1)))))</f>
        <v>0</v>
      </c>
      <c r="O238" s="27" t="str">
        <f aca="false">IF(OR($N238=0,$C238="RECEPTION"),"",SUMIFS(MVT_BRUT,MVT_LOT,$D238,MVT_EMPL,$E238)+$G238)</f>
        <v/>
      </c>
      <c r="P238" s="26" t="str">
        <f aca="false">IF($C238="","",IF($N238=0,"DONNEES MANQUANTES",IF($C238="RECEPTION","OK",IF($O238&lt;=0,"EMPLACEMENT INCOHERENT",IF($G238&gt;$O238+0.001,"STOCK INSUFFISANT","OK")))))</f>
        <v/>
      </c>
      <c r="Q238" s="28" t="n">
        <f aca="false">IF($P238="OK",1,0)</f>
        <v>0</v>
      </c>
      <c r="R238" s="26" t="str">
        <f aca="false">IF($C238="","",IF($N238=0,"A COMPLETER : "&amp;IF($B238="","DATE; ","")&amp;IF($D238="","LOT; ","")&amp;IF(OR(NOT(ISNUMBER($G238)),$G238&lt;=0),"QUANTITE &gt; 0; ","")&amp;IF(AND($C238&lt;&gt;"RECEPTION",$E238=""),"EMPL. SOURCE; ","")&amp;IF(AND($C238&lt;&gt;"CONSOMMATION",$F238=""),"EMPL. DESTINATION; ","")&amp;IF(AND($C238="TRANSFERT",$E238&lt;&gt;"",$E238=$F238),"SOURCE = DESTINATION; ",""),IF($P238="EMPLACEMENT INCOHERENT","Le lot "&amp;$D238&amp;" n'existe pas sur "&amp;$E238&amp;" (stock 0). Verifier l'emplacement source.",IF($P238="STOCK INSUFFISANT","Disponible avant operation : "&amp;TEXT($O238,"#,##0.00")&amp;" kg. Ligne NON comptee en stock.",IF(COUNTIFS($B$5:$B$304,$B238,$C$5:$C$304,$C238,$D$5:$D$304,$D238,$G$5:$G$304,$G238)&gt;1,"Doublon possible (meme date, type, lot et quantite).",IF($J238="LOT NON REFERENCE","Creer d'abord la fiche du lot dans l'onglet LOTS.",""))))))</f>
        <v/>
      </c>
    </row>
    <row r="239" customFormat="false" ht="15" hidden="false" customHeight="false" outlineLevel="0" collapsed="false">
      <c r="A239" s="26" t="str">
        <f aca="false">IF($C239="","","OP-"&amp;TEXT(ROW()-4,"000"))</f>
        <v/>
      </c>
      <c r="B239" s="25"/>
      <c r="C239" s="24"/>
      <c r="D239" s="24"/>
      <c r="E239" s="24"/>
      <c r="F239" s="24"/>
      <c r="G239" s="29"/>
      <c r="H239" s="24"/>
      <c r="I239" s="24"/>
      <c r="J239" s="26" t="str">
        <f aca="false">IF($D239="","",IFERROR(INDEX(LOT_PRODE,MATCH($D239,LOT_KEY,0)),"LOT NON REFERENCE"))</f>
        <v/>
      </c>
      <c r="K239" s="26" t="str">
        <f aca="false">IF($D239="","",IFERROR(INDEX(LOT_FOURNE,MATCH($D239,LOT_KEY,0)),""))</f>
        <v/>
      </c>
      <c r="L239" s="26" t="str">
        <f aca="false">IF($E239="","",IFERROR(INDEX(EMPL_CLASSE,MATCH($E239,EMPL_KEY,0)),"?"))</f>
        <v/>
      </c>
      <c r="M239" s="26" t="str">
        <f aca="false">IF($F239="","",IFERROR(INDEX(EMPL_CLASSE,MATCH($F239,EMPL_KEY,0)),"?"))</f>
        <v/>
      </c>
      <c r="N239" s="28" t="n">
        <f aca="false">IF($C239="",0,IF(OR($B239="",$D239="",NOT(ISNUMBER($G239)),$G239&lt;=0),0,IF($C239="RECEPTION",IF($F239="",0,1),IF($C239="CONSOMMATION",IF($E239="",0,1),IF(OR($E239="",$F239="",$E239=$F239),0,1)))))</f>
        <v>0</v>
      </c>
      <c r="O239" s="27" t="str">
        <f aca="false">IF(OR($N239=0,$C239="RECEPTION"),"",SUMIFS(MVT_BRUT,MVT_LOT,$D239,MVT_EMPL,$E239)+$G239)</f>
        <v/>
      </c>
      <c r="P239" s="26" t="str">
        <f aca="false">IF($C239="","",IF($N239=0,"DONNEES MANQUANTES",IF($C239="RECEPTION","OK",IF($O239&lt;=0,"EMPLACEMENT INCOHERENT",IF($G239&gt;$O239+0.001,"STOCK INSUFFISANT","OK")))))</f>
        <v/>
      </c>
      <c r="Q239" s="28" t="n">
        <f aca="false">IF($P239="OK",1,0)</f>
        <v>0</v>
      </c>
      <c r="R239" s="26" t="str">
        <f aca="false">IF($C239="","",IF($N239=0,"A COMPLETER : "&amp;IF($B239="","DATE; ","")&amp;IF($D239="","LOT; ","")&amp;IF(OR(NOT(ISNUMBER($G239)),$G239&lt;=0),"QUANTITE &gt; 0; ","")&amp;IF(AND($C239&lt;&gt;"RECEPTION",$E239=""),"EMPL. SOURCE; ","")&amp;IF(AND($C239&lt;&gt;"CONSOMMATION",$F239=""),"EMPL. DESTINATION; ","")&amp;IF(AND($C239="TRANSFERT",$E239&lt;&gt;"",$E239=$F239),"SOURCE = DESTINATION; ",""),IF($P239="EMPLACEMENT INCOHERENT","Le lot "&amp;$D239&amp;" n'existe pas sur "&amp;$E239&amp;" (stock 0). Verifier l'emplacement source.",IF($P239="STOCK INSUFFISANT","Disponible avant operation : "&amp;TEXT($O239,"#,##0.00")&amp;" kg. Ligne NON comptee en stock.",IF(COUNTIFS($B$5:$B$304,$B239,$C$5:$C$304,$C239,$D$5:$D$304,$D239,$G$5:$G$304,$G239)&gt;1,"Doublon possible (meme date, type, lot et quantite).",IF($J239="LOT NON REFERENCE","Creer d'abord la fiche du lot dans l'onglet LOTS.",""))))))</f>
        <v/>
      </c>
    </row>
    <row r="240" customFormat="false" ht="15" hidden="false" customHeight="false" outlineLevel="0" collapsed="false">
      <c r="A240" s="26" t="str">
        <f aca="false">IF($C240="","","OP-"&amp;TEXT(ROW()-4,"000"))</f>
        <v/>
      </c>
      <c r="B240" s="25"/>
      <c r="C240" s="24"/>
      <c r="D240" s="24"/>
      <c r="E240" s="24"/>
      <c r="F240" s="24"/>
      <c r="G240" s="29"/>
      <c r="H240" s="24"/>
      <c r="I240" s="24"/>
      <c r="J240" s="26" t="str">
        <f aca="false">IF($D240="","",IFERROR(INDEX(LOT_PRODE,MATCH($D240,LOT_KEY,0)),"LOT NON REFERENCE"))</f>
        <v/>
      </c>
      <c r="K240" s="26" t="str">
        <f aca="false">IF($D240="","",IFERROR(INDEX(LOT_FOURNE,MATCH($D240,LOT_KEY,0)),""))</f>
        <v/>
      </c>
      <c r="L240" s="26" t="str">
        <f aca="false">IF($E240="","",IFERROR(INDEX(EMPL_CLASSE,MATCH($E240,EMPL_KEY,0)),"?"))</f>
        <v/>
      </c>
      <c r="M240" s="26" t="str">
        <f aca="false">IF($F240="","",IFERROR(INDEX(EMPL_CLASSE,MATCH($F240,EMPL_KEY,0)),"?"))</f>
        <v/>
      </c>
      <c r="N240" s="28" t="n">
        <f aca="false">IF($C240="",0,IF(OR($B240="",$D240="",NOT(ISNUMBER($G240)),$G240&lt;=0),0,IF($C240="RECEPTION",IF($F240="",0,1),IF($C240="CONSOMMATION",IF($E240="",0,1),IF(OR($E240="",$F240="",$E240=$F240),0,1)))))</f>
        <v>0</v>
      </c>
      <c r="O240" s="27" t="str">
        <f aca="false">IF(OR($N240=0,$C240="RECEPTION"),"",SUMIFS(MVT_BRUT,MVT_LOT,$D240,MVT_EMPL,$E240)+$G240)</f>
        <v/>
      </c>
      <c r="P240" s="26" t="str">
        <f aca="false">IF($C240="","",IF($N240=0,"DONNEES MANQUANTES",IF($C240="RECEPTION","OK",IF($O240&lt;=0,"EMPLACEMENT INCOHERENT",IF($G240&gt;$O240+0.001,"STOCK INSUFFISANT","OK")))))</f>
        <v/>
      </c>
      <c r="Q240" s="28" t="n">
        <f aca="false">IF($P240="OK",1,0)</f>
        <v>0</v>
      </c>
      <c r="R240" s="26" t="str">
        <f aca="false">IF($C240="","",IF($N240=0,"A COMPLETER : "&amp;IF($B240="","DATE; ","")&amp;IF($D240="","LOT; ","")&amp;IF(OR(NOT(ISNUMBER($G240)),$G240&lt;=0),"QUANTITE &gt; 0; ","")&amp;IF(AND($C240&lt;&gt;"RECEPTION",$E240=""),"EMPL. SOURCE; ","")&amp;IF(AND($C240&lt;&gt;"CONSOMMATION",$F240=""),"EMPL. DESTINATION; ","")&amp;IF(AND($C240="TRANSFERT",$E240&lt;&gt;"",$E240=$F240),"SOURCE = DESTINATION; ",""),IF($P240="EMPLACEMENT INCOHERENT","Le lot "&amp;$D240&amp;" n'existe pas sur "&amp;$E240&amp;" (stock 0). Verifier l'emplacement source.",IF($P240="STOCK INSUFFISANT","Disponible avant operation : "&amp;TEXT($O240,"#,##0.00")&amp;" kg. Ligne NON comptee en stock.",IF(COUNTIFS($B$5:$B$304,$B240,$C$5:$C$304,$C240,$D$5:$D$304,$D240,$G$5:$G$304,$G240)&gt;1,"Doublon possible (meme date, type, lot et quantite).",IF($J240="LOT NON REFERENCE","Creer d'abord la fiche du lot dans l'onglet LOTS.",""))))))</f>
        <v/>
      </c>
    </row>
    <row r="241" customFormat="false" ht="15" hidden="false" customHeight="false" outlineLevel="0" collapsed="false">
      <c r="A241" s="26" t="str">
        <f aca="false">IF($C241="","","OP-"&amp;TEXT(ROW()-4,"000"))</f>
        <v/>
      </c>
      <c r="B241" s="25"/>
      <c r="C241" s="24"/>
      <c r="D241" s="24"/>
      <c r="E241" s="24"/>
      <c r="F241" s="24"/>
      <c r="G241" s="29"/>
      <c r="H241" s="24"/>
      <c r="I241" s="24"/>
      <c r="J241" s="26" t="str">
        <f aca="false">IF($D241="","",IFERROR(INDEX(LOT_PRODE,MATCH($D241,LOT_KEY,0)),"LOT NON REFERENCE"))</f>
        <v/>
      </c>
      <c r="K241" s="26" t="str">
        <f aca="false">IF($D241="","",IFERROR(INDEX(LOT_FOURNE,MATCH($D241,LOT_KEY,0)),""))</f>
        <v/>
      </c>
      <c r="L241" s="26" t="str">
        <f aca="false">IF($E241="","",IFERROR(INDEX(EMPL_CLASSE,MATCH($E241,EMPL_KEY,0)),"?"))</f>
        <v/>
      </c>
      <c r="M241" s="26" t="str">
        <f aca="false">IF($F241="","",IFERROR(INDEX(EMPL_CLASSE,MATCH($F241,EMPL_KEY,0)),"?"))</f>
        <v/>
      </c>
      <c r="N241" s="28" t="n">
        <f aca="false">IF($C241="",0,IF(OR($B241="",$D241="",NOT(ISNUMBER($G241)),$G241&lt;=0),0,IF($C241="RECEPTION",IF($F241="",0,1),IF($C241="CONSOMMATION",IF($E241="",0,1),IF(OR($E241="",$F241="",$E241=$F241),0,1)))))</f>
        <v>0</v>
      </c>
      <c r="O241" s="27" t="str">
        <f aca="false">IF(OR($N241=0,$C241="RECEPTION"),"",SUMIFS(MVT_BRUT,MVT_LOT,$D241,MVT_EMPL,$E241)+$G241)</f>
        <v/>
      </c>
      <c r="P241" s="26" t="str">
        <f aca="false">IF($C241="","",IF($N241=0,"DONNEES MANQUANTES",IF($C241="RECEPTION","OK",IF($O241&lt;=0,"EMPLACEMENT INCOHERENT",IF($G241&gt;$O241+0.001,"STOCK INSUFFISANT","OK")))))</f>
        <v/>
      </c>
      <c r="Q241" s="28" t="n">
        <f aca="false">IF($P241="OK",1,0)</f>
        <v>0</v>
      </c>
      <c r="R241" s="26" t="str">
        <f aca="false">IF($C241="","",IF($N241=0,"A COMPLETER : "&amp;IF($B241="","DATE; ","")&amp;IF($D241="","LOT; ","")&amp;IF(OR(NOT(ISNUMBER($G241)),$G241&lt;=0),"QUANTITE &gt; 0; ","")&amp;IF(AND($C241&lt;&gt;"RECEPTION",$E241=""),"EMPL. SOURCE; ","")&amp;IF(AND($C241&lt;&gt;"CONSOMMATION",$F241=""),"EMPL. DESTINATION; ","")&amp;IF(AND($C241="TRANSFERT",$E241&lt;&gt;"",$E241=$F241),"SOURCE = DESTINATION; ",""),IF($P241="EMPLACEMENT INCOHERENT","Le lot "&amp;$D241&amp;" n'existe pas sur "&amp;$E241&amp;" (stock 0). Verifier l'emplacement source.",IF($P241="STOCK INSUFFISANT","Disponible avant operation : "&amp;TEXT($O241,"#,##0.00")&amp;" kg. Ligne NON comptee en stock.",IF(COUNTIFS($B$5:$B$304,$B241,$C$5:$C$304,$C241,$D$5:$D$304,$D241,$G$5:$G$304,$G241)&gt;1,"Doublon possible (meme date, type, lot et quantite).",IF($J241="LOT NON REFERENCE","Creer d'abord la fiche du lot dans l'onglet LOTS.",""))))))</f>
        <v/>
      </c>
    </row>
    <row r="242" customFormat="false" ht="15" hidden="false" customHeight="false" outlineLevel="0" collapsed="false">
      <c r="A242" s="26" t="str">
        <f aca="false">IF($C242="","","OP-"&amp;TEXT(ROW()-4,"000"))</f>
        <v/>
      </c>
      <c r="B242" s="25"/>
      <c r="C242" s="24"/>
      <c r="D242" s="24"/>
      <c r="E242" s="24"/>
      <c r="F242" s="24"/>
      <c r="G242" s="29"/>
      <c r="H242" s="24"/>
      <c r="I242" s="24"/>
      <c r="J242" s="26" t="str">
        <f aca="false">IF($D242="","",IFERROR(INDEX(LOT_PRODE,MATCH($D242,LOT_KEY,0)),"LOT NON REFERENCE"))</f>
        <v/>
      </c>
      <c r="K242" s="26" t="str">
        <f aca="false">IF($D242="","",IFERROR(INDEX(LOT_FOURNE,MATCH($D242,LOT_KEY,0)),""))</f>
        <v/>
      </c>
      <c r="L242" s="26" t="str">
        <f aca="false">IF($E242="","",IFERROR(INDEX(EMPL_CLASSE,MATCH($E242,EMPL_KEY,0)),"?"))</f>
        <v/>
      </c>
      <c r="M242" s="26" t="str">
        <f aca="false">IF($F242="","",IFERROR(INDEX(EMPL_CLASSE,MATCH($F242,EMPL_KEY,0)),"?"))</f>
        <v/>
      </c>
      <c r="N242" s="28" t="n">
        <f aca="false">IF($C242="",0,IF(OR($B242="",$D242="",NOT(ISNUMBER($G242)),$G242&lt;=0),0,IF($C242="RECEPTION",IF($F242="",0,1),IF($C242="CONSOMMATION",IF($E242="",0,1),IF(OR($E242="",$F242="",$E242=$F242),0,1)))))</f>
        <v>0</v>
      </c>
      <c r="O242" s="27" t="str">
        <f aca="false">IF(OR($N242=0,$C242="RECEPTION"),"",SUMIFS(MVT_BRUT,MVT_LOT,$D242,MVT_EMPL,$E242)+$G242)</f>
        <v/>
      </c>
      <c r="P242" s="26" t="str">
        <f aca="false">IF($C242="","",IF($N242=0,"DONNEES MANQUANTES",IF($C242="RECEPTION","OK",IF($O242&lt;=0,"EMPLACEMENT INCOHERENT",IF($G242&gt;$O242+0.001,"STOCK INSUFFISANT","OK")))))</f>
        <v/>
      </c>
      <c r="Q242" s="28" t="n">
        <f aca="false">IF($P242="OK",1,0)</f>
        <v>0</v>
      </c>
      <c r="R242" s="26" t="str">
        <f aca="false">IF($C242="","",IF($N242=0,"A COMPLETER : "&amp;IF($B242="","DATE; ","")&amp;IF($D242="","LOT; ","")&amp;IF(OR(NOT(ISNUMBER($G242)),$G242&lt;=0),"QUANTITE &gt; 0; ","")&amp;IF(AND($C242&lt;&gt;"RECEPTION",$E242=""),"EMPL. SOURCE; ","")&amp;IF(AND($C242&lt;&gt;"CONSOMMATION",$F242=""),"EMPL. DESTINATION; ","")&amp;IF(AND($C242="TRANSFERT",$E242&lt;&gt;"",$E242=$F242),"SOURCE = DESTINATION; ",""),IF($P242="EMPLACEMENT INCOHERENT","Le lot "&amp;$D242&amp;" n'existe pas sur "&amp;$E242&amp;" (stock 0). Verifier l'emplacement source.",IF($P242="STOCK INSUFFISANT","Disponible avant operation : "&amp;TEXT($O242,"#,##0.00")&amp;" kg. Ligne NON comptee en stock.",IF(COUNTIFS($B$5:$B$304,$B242,$C$5:$C$304,$C242,$D$5:$D$304,$D242,$G$5:$G$304,$G242)&gt;1,"Doublon possible (meme date, type, lot et quantite).",IF($J242="LOT NON REFERENCE","Creer d'abord la fiche du lot dans l'onglet LOTS.",""))))))</f>
        <v/>
      </c>
    </row>
    <row r="243" customFormat="false" ht="15" hidden="false" customHeight="false" outlineLevel="0" collapsed="false">
      <c r="A243" s="26" t="str">
        <f aca="false">IF($C243="","","OP-"&amp;TEXT(ROW()-4,"000"))</f>
        <v/>
      </c>
      <c r="B243" s="25"/>
      <c r="C243" s="24"/>
      <c r="D243" s="24"/>
      <c r="E243" s="24"/>
      <c r="F243" s="24"/>
      <c r="G243" s="29"/>
      <c r="H243" s="24"/>
      <c r="I243" s="24"/>
      <c r="J243" s="26" t="str">
        <f aca="false">IF($D243="","",IFERROR(INDEX(LOT_PRODE,MATCH($D243,LOT_KEY,0)),"LOT NON REFERENCE"))</f>
        <v/>
      </c>
      <c r="K243" s="26" t="str">
        <f aca="false">IF($D243="","",IFERROR(INDEX(LOT_FOURNE,MATCH($D243,LOT_KEY,0)),""))</f>
        <v/>
      </c>
      <c r="L243" s="26" t="str">
        <f aca="false">IF($E243="","",IFERROR(INDEX(EMPL_CLASSE,MATCH($E243,EMPL_KEY,0)),"?"))</f>
        <v/>
      </c>
      <c r="M243" s="26" t="str">
        <f aca="false">IF($F243="","",IFERROR(INDEX(EMPL_CLASSE,MATCH($F243,EMPL_KEY,0)),"?"))</f>
        <v/>
      </c>
      <c r="N243" s="28" t="n">
        <f aca="false">IF($C243="",0,IF(OR($B243="",$D243="",NOT(ISNUMBER($G243)),$G243&lt;=0),0,IF($C243="RECEPTION",IF($F243="",0,1),IF($C243="CONSOMMATION",IF($E243="",0,1),IF(OR($E243="",$F243="",$E243=$F243),0,1)))))</f>
        <v>0</v>
      </c>
      <c r="O243" s="27" t="str">
        <f aca="false">IF(OR($N243=0,$C243="RECEPTION"),"",SUMIFS(MVT_BRUT,MVT_LOT,$D243,MVT_EMPL,$E243)+$G243)</f>
        <v/>
      </c>
      <c r="P243" s="26" t="str">
        <f aca="false">IF($C243="","",IF($N243=0,"DONNEES MANQUANTES",IF($C243="RECEPTION","OK",IF($O243&lt;=0,"EMPLACEMENT INCOHERENT",IF($G243&gt;$O243+0.001,"STOCK INSUFFISANT","OK")))))</f>
        <v/>
      </c>
      <c r="Q243" s="28" t="n">
        <f aca="false">IF($P243="OK",1,0)</f>
        <v>0</v>
      </c>
      <c r="R243" s="26" t="str">
        <f aca="false">IF($C243="","",IF($N243=0,"A COMPLETER : "&amp;IF($B243="","DATE; ","")&amp;IF($D243="","LOT; ","")&amp;IF(OR(NOT(ISNUMBER($G243)),$G243&lt;=0),"QUANTITE &gt; 0; ","")&amp;IF(AND($C243&lt;&gt;"RECEPTION",$E243=""),"EMPL. SOURCE; ","")&amp;IF(AND($C243&lt;&gt;"CONSOMMATION",$F243=""),"EMPL. DESTINATION; ","")&amp;IF(AND($C243="TRANSFERT",$E243&lt;&gt;"",$E243=$F243),"SOURCE = DESTINATION; ",""),IF($P243="EMPLACEMENT INCOHERENT","Le lot "&amp;$D243&amp;" n'existe pas sur "&amp;$E243&amp;" (stock 0). Verifier l'emplacement source.",IF($P243="STOCK INSUFFISANT","Disponible avant operation : "&amp;TEXT($O243,"#,##0.00")&amp;" kg. Ligne NON comptee en stock.",IF(COUNTIFS($B$5:$B$304,$B243,$C$5:$C$304,$C243,$D$5:$D$304,$D243,$G$5:$G$304,$G243)&gt;1,"Doublon possible (meme date, type, lot et quantite).",IF($J243="LOT NON REFERENCE","Creer d'abord la fiche du lot dans l'onglet LOTS.",""))))))</f>
        <v/>
      </c>
    </row>
    <row r="244" customFormat="false" ht="15" hidden="false" customHeight="false" outlineLevel="0" collapsed="false">
      <c r="A244" s="26" t="str">
        <f aca="false">IF($C244="","","OP-"&amp;TEXT(ROW()-4,"000"))</f>
        <v/>
      </c>
      <c r="B244" s="25"/>
      <c r="C244" s="24"/>
      <c r="D244" s="24"/>
      <c r="E244" s="24"/>
      <c r="F244" s="24"/>
      <c r="G244" s="29"/>
      <c r="H244" s="24"/>
      <c r="I244" s="24"/>
      <c r="J244" s="26" t="str">
        <f aca="false">IF($D244="","",IFERROR(INDEX(LOT_PRODE,MATCH($D244,LOT_KEY,0)),"LOT NON REFERENCE"))</f>
        <v/>
      </c>
      <c r="K244" s="26" t="str">
        <f aca="false">IF($D244="","",IFERROR(INDEX(LOT_FOURNE,MATCH($D244,LOT_KEY,0)),""))</f>
        <v/>
      </c>
      <c r="L244" s="26" t="str">
        <f aca="false">IF($E244="","",IFERROR(INDEX(EMPL_CLASSE,MATCH($E244,EMPL_KEY,0)),"?"))</f>
        <v/>
      </c>
      <c r="M244" s="26" t="str">
        <f aca="false">IF($F244="","",IFERROR(INDEX(EMPL_CLASSE,MATCH($F244,EMPL_KEY,0)),"?"))</f>
        <v/>
      </c>
      <c r="N244" s="28" t="n">
        <f aca="false">IF($C244="",0,IF(OR($B244="",$D244="",NOT(ISNUMBER($G244)),$G244&lt;=0),0,IF($C244="RECEPTION",IF($F244="",0,1),IF($C244="CONSOMMATION",IF($E244="",0,1),IF(OR($E244="",$F244="",$E244=$F244),0,1)))))</f>
        <v>0</v>
      </c>
      <c r="O244" s="27" t="str">
        <f aca="false">IF(OR($N244=0,$C244="RECEPTION"),"",SUMIFS(MVT_BRUT,MVT_LOT,$D244,MVT_EMPL,$E244)+$G244)</f>
        <v/>
      </c>
      <c r="P244" s="26" t="str">
        <f aca="false">IF($C244="","",IF($N244=0,"DONNEES MANQUANTES",IF($C244="RECEPTION","OK",IF($O244&lt;=0,"EMPLACEMENT INCOHERENT",IF($G244&gt;$O244+0.001,"STOCK INSUFFISANT","OK")))))</f>
        <v/>
      </c>
      <c r="Q244" s="28" t="n">
        <f aca="false">IF($P244="OK",1,0)</f>
        <v>0</v>
      </c>
      <c r="R244" s="26" t="str">
        <f aca="false">IF($C244="","",IF($N244=0,"A COMPLETER : "&amp;IF($B244="","DATE; ","")&amp;IF($D244="","LOT; ","")&amp;IF(OR(NOT(ISNUMBER($G244)),$G244&lt;=0),"QUANTITE &gt; 0; ","")&amp;IF(AND($C244&lt;&gt;"RECEPTION",$E244=""),"EMPL. SOURCE; ","")&amp;IF(AND($C244&lt;&gt;"CONSOMMATION",$F244=""),"EMPL. DESTINATION; ","")&amp;IF(AND($C244="TRANSFERT",$E244&lt;&gt;"",$E244=$F244),"SOURCE = DESTINATION; ",""),IF($P244="EMPLACEMENT INCOHERENT","Le lot "&amp;$D244&amp;" n'existe pas sur "&amp;$E244&amp;" (stock 0). Verifier l'emplacement source.",IF($P244="STOCK INSUFFISANT","Disponible avant operation : "&amp;TEXT($O244,"#,##0.00")&amp;" kg. Ligne NON comptee en stock.",IF(COUNTIFS($B$5:$B$304,$B244,$C$5:$C$304,$C244,$D$5:$D$304,$D244,$G$5:$G$304,$G244)&gt;1,"Doublon possible (meme date, type, lot et quantite).",IF($J244="LOT NON REFERENCE","Creer d'abord la fiche du lot dans l'onglet LOTS.",""))))))</f>
        <v/>
      </c>
    </row>
    <row r="245" customFormat="false" ht="15" hidden="false" customHeight="false" outlineLevel="0" collapsed="false">
      <c r="A245" s="26" t="str">
        <f aca="false">IF($C245="","","OP-"&amp;TEXT(ROW()-4,"000"))</f>
        <v/>
      </c>
      <c r="B245" s="25"/>
      <c r="C245" s="24"/>
      <c r="D245" s="24"/>
      <c r="E245" s="24"/>
      <c r="F245" s="24"/>
      <c r="G245" s="29"/>
      <c r="H245" s="24"/>
      <c r="I245" s="24"/>
      <c r="J245" s="26" t="str">
        <f aca="false">IF($D245="","",IFERROR(INDEX(LOT_PRODE,MATCH($D245,LOT_KEY,0)),"LOT NON REFERENCE"))</f>
        <v/>
      </c>
      <c r="K245" s="26" t="str">
        <f aca="false">IF($D245="","",IFERROR(INDEX(LOT_FOURNE,MATCH($D245,LOT_KEY,0)),""))</f>
        <v/>
      </c>
      <c r="L245" s="26" t="str">
        <f aca="false">IF($E245="","",IFERROR(INDEX(EMPL_CLASSE,MATCH($E245,EMPL_KEY,0)),"?"))</f>
        <v/>
      </c>
      <c r="M245" s="26" t="str">
        <f aca="false">IF($F245="","",IFERROR(INDEX(EMPL_CLASSE,MATCH($F245,EMPL_KEY,0)),"?"))</f>
        <v/>
      </c>
      <c r="N245" s="28" t="n">
        <f aca="false">IF($C245="",0,IF(OR($B245="",$D245="",NOT(ISNUMBER($G245)),$G245&lt;=0),0,IF($C245="RECEPTION",IF($F245="",0,1),IF($C245="CONSOMMATION",IF($E245="",0,1),IF(OR($E245="",$F245="",$E245=$F245),0,1)))))</f>
        <v>0</v>
      </c>
      <c r="O245" s="27" t="str">
        <f aca="false">IF(OR($N245=0,$C245="RECEPTION"),"",SUMIFS(MVT_BRUT,MVT_LOT,$D245,MVT_EMPL,$E245)+$G245)</f>
        <v/>
      </c>
      <c r="P245" s="26" t="str">
        <f aca="false">IF($C245="","",IF($N245=0,"DONNEES MANQUANTES",IF($C245="RECEPTION","OK",IF($O245&lt;=0,"EMPLACEMENT INCOHERENT",IF($G245&gt;$O245+0.001,"STOCK INSUFFISANT","OK")))))</f>
        <v/>
      </c>
      <c r="Q245" s="28" t="n">
        <f aca="false">IF($P245="OK",1,0)</f>
        <v>0</v>
      </c>
      <c r="R245" s="26" t="str">
        <f aca="false">IF($C245="","",IF($N245=0,"A COMPLETER : "&amp;IF($B245="","DATE; ","")&amp;IF($D245="","LOT; ","")&amp;IF(OR(NOT(ISNUMBER($G245)),$G245&lt;=0),"QUANTITE &gt; 0; ","")&amp;IF(AND($C245&lt;&gt;"RECEPTION",$E245=""),"EMPL. SOURCE; ","")&amp;IF(AND($C245&lt;&gt;"CONSOMMATION",$F245=""),"EMPL. DESTINATION; ","")&amp;IF(AND($C245="TRANSFERT",$E245&lt;&gt;"",$E245=$F245),"SOURCE = DESTINATION; ",""),IF($P245="EMPLACEMENT INCOHERENT","Le lot "&amp;$D245&amp;" n'existe pas sur "&amp;$E245&amp;" (stock 0). Verifier l'emplacement source.",IF($P245="STOCK INSUFFISANT","Disponible avant operation : "&amp;TEXT($O245,"#,##0.00")&amp;" kg. Ligne NON comptee en stock.",IF(COUNTIFS($B$5:$B$304,$B245,$C$5:$C$304,$C245,$D$5:$D$304,$D245,$G$5:$G$304,$G245)&gt;1,"Doublon possible (meme date, type, lot et quantite).",IF($J245="LOT NON REFERENCE","Creer d'abord la fiche du lot dans l'onglet LOTS.",""))))))</f>
        <v/>
      </c>
    </row>
    <row r="246" customFormat="false" ht="15" hidden="false" customHeight="false" outlineLevel="0" collapsed="false">
      <c r="A246" s="26" t="str">
        <f aca="false">IF($C246="","","OP-"&amp;TEXT(ROW()-4,"000"))</f>
        <v/>
      </c>
      <c r="B246" s="25"/>
      <c r="C246" s="24"/>
      <c r="D246" s="24"/>
      <c r="E246" s="24"/>
      <c r="F246" s="24"/>
      <c r="G246" s="29"/>
      <c r="H246" s="24"/>
      <c r="I246" s="24"/>
      <c r="J246" s="26" t="str">
        <f aca="false">IF($D246="","",IFERROR(INDEX(LOT_PRODE,MATCH($D246,LOT_KEY,0)),"LOT NON REFERENCE"))</f>
        <v/>
      </c>
      <c r="K246" s="26" t="str">
        <f aca="false">IF($D246="","",IFERROR(INDEX(LOT_FOURNE,MATCH($D246,LOT_KEY,0)),""))</f>
        <v/>
      </c>
      <c r="L246" s="26" t="str">
        <f aca="false">IF($E246="","",IFERROR(INDEX(EMPL_CLASSE,MATCH($E246,EMPL_KEY,0)),"?"))</f>
        <v/>
      </c>
      <c r="M246" s="26" t="str">
        <f aca="false">IF($F246="","",IFERROR(INDEX(EMPL_CLASSE,MATCH($F246,EMPL_KEY,0)),"?"))</f>
        <v/>
      </c>
      <c r="N246" s="28" t="n">
        <f aca="false">IF($C246="",0,IF(OR($B246="",$D246="",NOT(ISNUMBER($G246)),$G246&lt;=0),0,IF($C246="RECEPTION",IF($F246="",0,1),IF($C246="CONSOMMATION",IF($E246="",0,1),IF(OR($E246="",$F246="",$E246=$F246),0,1)))))</f>
        <v>0</v>
      </c>
      <c r="O246" s="27" t="str">
        <f aca="false">IF(OR($N246=0,$C246="RECEPTION"),"",SUMIFS(MVT_BRUT,MVT_LOT,$D246,MVT_EMPL,$E246)+$G246)</f>
        <v/>
      </c>
      <c r="P246" s="26" t="str">
        <f aca="false">IF($C246="","",IF($N246=0,"DONNEES MANQUANTES",IF($C246="RECEPTION","OK",IF($O246&lt;=0,"EMPLACEMENT INCOHERENT",IF($G246&gt;$O246+0.001,"STOCK INSUFFISANT","OK")))))</f>
        <v/>
      </c>
      <c r="Q246" s="28" t="n">
        <f aca="false">IF($P246="OK",1,0)</f>
        <v>0</v>
      </c>
      <c r="R246" s="26" t="str">
        <f aca="false">IF($C246="","",IF($N246=0,"A COMPLETER : "&amp;IF($B246="","DATE; ","")&amp;IF($D246="","LOT; ","")&amp;IF(OR(NOT(ISNUMBER($G246)),$G246&lt;=0),"QUANTITE &gt; 0; ","")&amp;IF(AND($C246&lt;&gt;"RECEPTION",$E246=""),"EMPL. SOURCE; ","")&amp;IF(AND($C246&lt;&gt;"CONSOMMATION",$F246=""),"EMPL. DESTINATION; ","")&amp;IF(AND($C246="TRANSFERT",$E246&lt;&gt;"",$E246=$F246),"SOURCE = DESTINATION; ",""),IF($P246="EMPLACEMENT INCOHERENT","Le lot "&amp;$D246&amp;" n'existe pas sur "&amp;$E246&amp;" (stock 0). Verifier l'emplacement source.",IF($P246="STOCK INSUFFISANT","Disponible avant operation : "&amp;TEXT($O246,"#,##0.00")&amp;" kg. Ligne NON comptee en stock.",IF(COUNTIFS($B$5:$B$304,$B246,$C$5:$C$304,$C246,$D$5:$D$304,$D246,$G$5:$G$304,$G246)&gt;1,"Doublon possible (meme date, type, lot et quantite).",IF($J246="LOT NON REFERENCE","Creer d'abord la fiche du lot dans l'onglet LOTS.",""))))))</f>
        <v/>
      </c>
    </row>
    <row r="247" customFormat="false" ht="15" hidden="false" customHeight="false" outlineLevel="0" collapsed="false">
      <c r="A247" s="26" t="str">
        <f aca="false">IF($C247="","","OP-"&amp;TEXT(ROW()-4,"000"))</f>
        <v/>
      </c>
      <c r="B247" s="25"/>
      <c r="C247" s="24"/>
      <c r="D247" s="24"/>
      <c r="E247" s="24"/>
      <c r="F247" s="24"/>
      <c r="G247" s="29"/>
      <c r="H247" s="24"/>
      <c r="I247" s="24"/>
      <c r="J247" s="26" t="str">
        <f aca="false">IF($D247="","",IFERROR(INDEX(LOT_PRODE,MATCH($D247,LOT_KEY,0)),"LOT NON REFERENCE"))</f>
        <v/>
      </c>
      <c r="K247" s="26" t="str">
        <f aca="false">IF($D247="","",IFERROR(INDEX(LOT_FOURNE,MATCH($D247,LOT_KEY,0)),""))</f>
        <v/>
      </c>
      <c r="L247" s="26" t="str">
        <f aca="false">IF($E247="","",IFERROR(INDEX(EMPL_CLASSE,MATCH($E247,EMPL_KEY,0)),"?"))</f>
        <v/>
      </c>
      <c r="M247" s="26" t="str">
        <f aca="false">IF($F247="","",IFERROR(INDEX(EMPL_CLASSE,MATCH($F247,EMPL_KEY,0)),"?"))</f>
        <v/>
      </c>
      <c r="N247" s="28" t="n">
        <f aca="false">IF($C247="",0,IF(OR($B247="",$D247="",NOT(ISNUMBER($G247)),$G247&lt;=0),0,IF($C247="RECEPTION",IF($F247="",0,1),IF($C247="CONSOMMATION",IF($E247="",0,1),IF(OR($E247="",$F247="",$E247=$F247),0,1)))))</f>
        <v>0</v>
      </c>
      <c r="O247" s="27" t="str">
        <f aca="false">IF(OR($N247=0,$C247="RECEPTION"),"",SUMIFS(MVT_BRUT,MVT_LOT,$D247,MVT_EMPL,$E247)+$G247)</f>
        <v/>
      </c>
      <c r="P247" s="26" t="str">
        <f aca="false">IF($C247="","",IF($N247=0,"DONNEES MANQUANTES",IF($C247="RECEPTION","OK",IF($O247&lt;=0,"EMPLACEMENT INCOHERENT",IF($G247&gt;$O247+0.001,"STOCK INSUFFISANT","OK")))))</f>
        <v/>
      </c>
      <c r="Q247" s="28" t="n">
        <f aca="false">IF($P247="OK",1,0)</f>
        <v>0</v>
      </c>
      <c r="R247" s="26" t="str">
        <f aca="false">IF($C247="","",IF($N247=0,"A COMPLETER : "&amp;IF($B247="","DATE; ","")&amp;IF($D247="","LOT; ","")&amp;IF(OR(NOT(ISNUMBER($G247)),$G247&lt;=0),"QUANTITE &gt; 0; ","")&amp;IF(AND($C247&lt;&gt;"RECEPTION",$E247=""),"EMPL. SOURCE; ","")&amp;IF(AND($C247&lt;&gt;"CONSOMMATION",$F247=""),"EMPL. DESTINATION; ","")&amp;IF(AND($C247="TRANSFERT",$E247&lt;&gt;"",$E247=$F247),"SOURCE = DESTINATION; ",""),IF($P247="EMPLACEMENT INCOHERENT","Le lot "&amp;$D247&amp;" n'existe pas sur "&amp;$E247&amp;" (stock 0). Verifier l'emplacement source.",IF($P247="STOCK INSUFFISANT","Disponible avant operation : "&amp;TEXT($O247,"#,##0.00")&amp;" kg. Ligne NON comptee en stock.",IF(COUNTIFS($B$5:$B$304,$B247,$C$5:$C$304,$C247,$D$5:$D$304,$D247,$G$5:$G$304,$G247)&gt;1,"Doublon possible (meme date, type, lot et quantite).",IF($J247="LOT NON REFERENCE","Creer d'abord la fiche du lot dans l'onglet LOTS.",""))))))</f>
        <v/>
      </c>
    </row>
    <row r="248" customFormat="false" ht="15" hidden="false" customHeight="false" outlineLevel="0" collapsed="false">
      <c r="A248" s="26" t="str">
        <f aca="false">IF($C248="","","OP-"&amp;TEXT(ROW()-4,"000"))</f>
        <v/>
      </c>
      <c r="B248" s="25"/>
      <c r="C248" s="24"/>
      <c r="D248" s="24"/>
      <c r="E248" s="24"/>
      <c r="F248" s="24"/>
      <c r="G248" s="29"/>
      <c r="H248" s="24"/>
      <c r="I248" s="24"/>
      <c r="J248" s="26" t="str">
        <f aca="false">IF($D248="","",IFERROR(INDEX(LOT_PRODE,MATCH($D248,LOT_KEY,0)),"LOT NON REFERENCE"))</f>
        <v/>
      </c>
      <c r="K248" s="26" t="str">
        <f aca="false">IF($D248="","",IFERROR(INDEX(LOT_FOURNE,MATCH($D248,LOT_KEY,0)),""))</f>
        <v/>
      </c>
      <c r="L248" s="26" t="str">
        <f aca="false">IF($E248="","",IFERROR(INDEX(EMPL_CLASSE,MATCH($E248,EMPL_KEY,0)),"?"))</f>
        <v/>
      </c>
      <c r="M248" s="26" t="str">
        <f aca="false">IF($F248="","",IFERROR(INDEX(EMPL_CLASSE,MATCH($F248,EMPL_KEY,0)),"?"))</f>
        <v/>
      </c>
      <c r="N248" s="28" t="n">
        <f aca="false">IF($C248="",0,IF(OR($B248="",$D248="",NOT(ISNUMBER($G248)),$G248&lt;=0),0,IF($C248="RECEPTION",IF($F248="",0,1),IF($C248="CONSOMMATION",IF($E248="",0,1),IF(OR($E248="",$F248="",$E248=$F248),0,1)))))</f>
        <v>0</v>
      </c>
      <c r="O248" s="27" t="str">
        <f aca="false">IF(OR($N248=0,$C248="RECEPTION"),"",SUMIFS(MVT_BRUT,MVT_LOT,$D248,MVT_EMPL,$E248)+$G248)</f>
        <v/>
      </c>
      <c r="P248" s="26" t="str">
        <f aca="false">IF($C248="","",IF($N248=0,"DONNEES MANQUANTES",IF($C248="RECEPTION","OK",IF($O248&lt;=0,"EMPLACEMENT INCOHERENT",IF($G248&gt;$O248+0.001,"STOCK INSUFFISANT","OK")))))</f>
        <v/>
      </c>
      <c r="Q248" s="28" t="n">
        <f aca="false">IF($P248="OK",1,0)</f>
        <v>0</v>
      </c>
      <c r="R248" s="26" t="str">
        <f aca="false">IF($C248="","",IF($N248=0,"A COMPLETER : "&amp;IF($B248="","DATE; ","")&amp;IF($D248="","LOT; ","")&amp;IF(OR(NOT(ISNUMBER($G248)),$G248&lt;=0),"QUANTITE &gt; 0; ","")&amp;IF(AND($C248&lt;&gt;"RECEPTION",$E248=""),"EMPL. SOURCE; ","")&amp;IF(AND($C248&lt;&gt;"CONSOMMATION",$F248=""),"EMPL. DESTINATION; ","")&amp;IF(AND($C248="TRANSFERT",$E248&lt;&gt;"",$E248=$F248),"SOURCE = DESTINATION; ",""),IF($P248="EMPLACEMENT INCOHERENT","Le lot "&amp;$D248&amp;" n'existe pas sur "&amp;$E248&amp;" (stock 0). Verifier l'emplacement source.",IF($P248="STOCK INSUFFISANT","Disponible avant operation : "&amp;TEXT($O248,"#,##0.00")&amp;" kg. Ligne NON comptee en stock.",IF(COUNTIFS($B$5:$B$304,$B248,$C$5:$C$304,$C248,$D$5:$D$304,$D248,$G$5:$G$304,$G248)&gt;1,"Doublon possible (meme date, type, lot et quantite).",IF($J248="LOT NON REFERENCE","Creer d'abord la fiche du lot dans l'onglet LOTS.",""))))))</f>
        <v/>
      </c>
    </row>
    <row r="249" customFormat="false" ht="15" hidden="false" customHeight="false" outlineLevel="0" collapsed="false">
      <c r="A249" s="26" t="str">
        <f aca="false">IF($C249="","","OP-"&amp;TEXT(ROW()-4,"000"))</f>
        <v/>
      </c>
      <c r="B249" s="25"/>
      <c r="C249" s="24"/>
      <c r="D249" s="24"/>
      <c r="E249" s="24"/>
      <c r="F249" s="24"/>
      <c r="G249" s="29"/>
      <c r="H249" s="24"/>
      <c r="I249" s="24"/>
      <c r="J249" s="26" t="str">
        <f aca="false">IF($D249="","",IFERROR(INDEX(LOT_PRODE,MATCH($D249,LOT_KEY,0)),"LOT NON REFERENCE"))</f>
        <v/>
      </c>
      <c r="K249" s="26" t="str">
        <f aca="false">IF($D249="","",IFERROR(INDEX(LOT_FOURNE,MATCH($D249,LOT_KEY,0)),""))</f>
        <v/>
      </c>
      <c r="L249" s="26" t="str">
        <f aca="false">IF($E249="","",IFERROR(INDEX(EMPL_CLASSE,MATCH($E249,EMPL_KEY,0)),"?"))</f>
        <v/>
      </c>
      <c r="M249" s="26" t="str">
        <f aca="false">IF($F249="","",IFERROR(INDEX(EMPL_CLASSE,MATCH($F249,EMPL_KEY,0)),"?"))</f>
        <v/>
      </c>
      <c r="N249" s="28" t="n">
        <f aca="false">IF($C249="",0,IF(OR($B249="",$D249="",NOT(ISNUMBER($G249)),$G249&lt;=0),0,IF($C249="RECEPTION",IF($F249="",0,1),IF($C249="CONSOMMATION",IF($E249="",0,1),IF(OR($E249="",$F249="",$E249=$F249),0,1)))))</f>
        <v>0</v>
      </c>
      <c r="O249" s="27" t="str">
        <f aca="false">IF(OR($N249=0,$C249="RECEPTION"),"",SUMIFS(MVT_BRUT,MVT_LOT,$D249,MVT_EMPL,$E249)+$G249)</f>
        <v/>
      </c>
      <c r="P249" s="26" t="str">
        <f aca="false">IF($C249="","",IF($N249=0,"DONNEES MANQUANTES",IF($C249="RECEPTION","OK",IF($O249&lt;=0,"EMPLACEMENT INCOHERENT",IF($G249&gt;$O249+0.001,"STOCK INSUFFISANT","OK")))))</f>
        <v/>
      </c>
      <c r="Q249" s="28" t="n">
        <f aca="false">IF($P249="OK",1,0)</f>
        <v>0</v>
      </c>
      <c r="R249" s="26" t="str">
        <f aca="false">IF($C249="","",IF($N249=0,"A COMPLETER : "&amp;IF($B249="","DATE; ","")&amp;IF($D249="","LOT; ","")&amp;IF(OR(NOT(ISNUMBER($G249)),$G249&lt;=0),"QUANTITE &gt; 0; ","")&amp;IF(AND($C249&lt;&gt;"RECEPTION",$E249=""),"EMPL. SOURCE; ","")&amp;IF(AND($C249&lt;&gt;"CONSOMMATION",$F249=""),"EMPL. DESTINATION; ","")&amp;IF(AND($C249="TRANSFERT",$E249&lt;&gt;"",$E249=$F249),"SOURCE = DESTINATION; ",""),IF($P249="EMPLACEMENT INCOHERENT","Le lot "&amp;$D249&amp;" n'existe pas sur "&amp;$E249&amp;" (stock 0). Verifier l'emplacement source.",IF($P249="STOCK INSUFFISANT","Disponible avant operation : "&amp;TEXT($O249,"#,##0.00")&amp;" kg. Ligne NON comptee en stock.",IF(COUNTIFS($B$5:$B$304,$B249,$C$5:$C$304,$C249,$D$5:$D$304,$D249,$G$5:$G$304,$G249)&gt;1,"Doublon possible (meme date, type, lot et quantite).",IF($J249="LOT NON REFERENCE","Creer d'abord la fiche du lot dans l'onglet LOTS.",""))))))</f>
        <v/>
      </c>
    </row>
    <row r="250" customFormat="false" ht="15" hidden="false" customHeight="false" outlineLevel="0" collapsed="false">
      <c r="A250" s="26" t="str">
        <f aca="false">IF($C250="","","OP-"&amp;TEXT(ROW()-4,"000"))</f>
        <v/>
      </c>
      <c r="B250" s="25"/>
      <c r="C250" s="24"/>
      <c r="D250" s="24"/>
      <c r="E250" s="24"/>
      <c r="F250" s="24"/>
      <c r="G250" s="29"/>
      <c r="H250" s="24"/>
      <c r="I250" s="24"/>
      <c r="J250" s="26" t="str">
        <f aca="false">IF($D250="","",IFERROR(INDEX(LOT_PRODE,MATCH($D250,LOT_KEY,0)),"LOT NON REFERENCE"))</f>
        <v/>
      </c>
      <c r="K250" s="26" t="str">
        <f aca="false">IF($D250="","",IFERROR(INDEX(LOT_FOURNE,MATCH($D250,LOT_KEY,0)),""))</f>
        <v/>
      </c>
      <c r="L250" s="26" t="str">
        <f aca="false">IF($E250="","",IFERROR(INDEX(EMPL_CLASSE,MATCH($E250,EMPL_KEY,0)),"?"))</f>
        <v/>
      </c>
      <c r="M250" s="26" t="str">
        <f aca="false">IF($F250="","",IFERROR(INDEX(EMPL_CLASSE,MATCH($F250,EMPL_KEY,0)),"?"))</f>
        <v/>
      </c>
      <c r="N250" s="28" t="n">
        <f aca="false">IF($C250="",0,IF(OR($B250="",$D250="",NOT(ISNUMBER($G250)),$G250&lt;=0),0,IF($C250="RECEPTION",IF($F250="",0,1),IF($C250="CONSOMMATION",IF($E250="",0,1),IF(OR($E250="",$F250="",$E250=$F250),0,1)))))</f>
        <v>0</v>
      </c>
      <c r="O250" s="27" t="str">
        <f aca="false">IF(OR($N250=0,$C250="RECEPTION"),"",SUMIFS(MVT_BRUT,MVT_LOT,$D250,MVT_EMPL,$E250)+$G250)</f>
        <v/>
      </c>
      <c r="P250" s="26" t="str">
        <f aca="false">IF($C250="","",IF($N250=0,"DONNEES MANQUANTES",IF($C250="RECEPTION","OK",IF($O250&lt;=0,"EMPLACEMENT INCOHERENT",IF($G250&gt;$O250+0.001,"STOCK INSUFFISANT","OK")))))</f>
        <v/>
      </c>
      <c r="Q250" s="28" t="n">
        <f aca="false">IF($P250="OK",1,0)</f>
        <v>0</v>
      </c>
      <c r="R250" s="26" t="str">
        <f aca="false">IF($C250="","",IF($N250=0,"A COMPLETER : "&amp;IF($B250="","DATE; ","")&amp;IF($D250="","LOT; ","")&amp;IF(OR(NOT(ISNUMBER($G250)),$G250&lt;=0),"QUANTITE &gt; 0; ","")&amp;IF(AND($C250&lt;&gt;"RECEPTION",$E250=""),"EMPL. SOURCE; ","")&amp;IF(AND($C250&lt;&gt;"CONSOMMATION",$F250=""),"EMPL. DESTINATION; ","")&amp;IF(AND($C250="TRANSFERT",$E250&lt;&gt;"",$E250=$F250),"SOURCE = DESTINATION; ",""),IF($P250="EMPLACEMENT INCOHERENT","Le lot "&amp;$D250&amp;" n'existe pas sur "&amp;$E250&amp;" (stock 0). Verifier l'emplacement source.",IF($P250="STOCK INSUFFISANT","Disponible avant operation : "&amp;TEXT($O250,"#,##0.00")&amp;" kg. Ligne NON comptee en stock.",IF(COUNTIFS($B$5:$B$304,$B250,$C$5:$C$304,$C250,$D$5:$D$304,$D250,$G$5:$G$304,$G250)&gt;1,"Doublon possible (meme date, type, lot et quantite).",IF($J250="LOT NON REFERENCE","Creer d'abord la fiche du lot dans l'onglet LOTS.",""))))))</f>
        <v/>
      </c>
    </row>
    <row r="251" customFormat="false" ht="15" hidden="false" customHeight="false" outlineLevel="0" collapsed="false">
      <c r="A251" s="26" t="str">
        <f aca="false">IF($C251="","","OP-"&amp;TEXT(ROW()-4,"000"))</f>
        <v/>
      </c>
      <c r="B251" s="25"/>
      <c r="C251" s="24"/>
      <c r="D251" s="24"/>
      <c r="E251" s="24"/>
      <c r="F251" s="24"/>
      <c r="G251" s="29"/>
      <c r="H251" s="24"/>
      <c r="I251" s="24"/>
      <c r="J251" s="26" t="str">
        <f aca="false">IF($D251="","",IFERROR(INDEX(LOT_PRODE,MATCH($D251,LOT_KEY,0)),"LOT NON REFERENCE"))</f>
        <v/>
      </c>
      <c r="K251" s="26" t="str">
        <f aca="false">IF($D251="","",IFERROR(INDEX(LOT_FOURNE,MATCH($D251,LOT_KEY,0)),""))</f>
        <v/>
      </c>
      <c r="L251" s="26" t="str">
        <f aca="false">IF($E251="","",IFERROR(INDEX(EMPL_CLASSE,MATCH($E251,EMPL_KEY,0)),"?"))</f>
        <v/>
      </c>
      <c r="M251" s="26" t="str">
        <f aca="false">IF($F251="","",IFERROR(INDEX(EMPL_CLASSE,MATCH($F251,EMPL_KEY,0)),"?"))</f>
        <v/>
      </c>
      <c r="N251" s="28" t="n">
        <f aca="false">IF($C251="",0,IF(OR($B251="",$D251="",NOT(ISNUMBER($G251)),$G251&lt;=0),0,IF($C251="RECEPTION",IF($F251="",0,1),IF($C251="CONSOMMATION",IF($E251="",0,1),IF(OR($E251="",$F251="",$E251=$F251),0,1)))))</f>
        <v>0</v>
      </c>
      <c r="O251" s="27" t="str">
        <f aca="false">IF(OR($N251=0,$C251="RECEPTION"),"",SUMIFS(MVT_BRUT,MVT_LOT,$D251,MVT_EMPL,$E251)+$G251)</f>
        <v/>
      </c>
      <c r="P251" s="26" t="str">
        <f aca="false">IF($C251="","",IF($N251=0,"DONNEES MANQUANTES",IF($C251="RECEPTION","OK",IF($O251&lt;=0,"EMPLACEMENT INCOHERENT",IF($G251&gt;$O251+0.001,"STOCK INSUFFISANT","OK")))))</f>
        <v/>
      </c>
      <c r="Q251" s="28" t="n">
        <f aca="false">IF($P251="OK",1,0)</f>
        <v>0</v>
      </c>
      <c r="R251" s="26" t="str">
        <f aca="false">IF($C251="","",IF($N251=0,"A COMPLETER : "&amp;IF($B251="","DATE; ","")&amp;IF($D251="","LOT; ","")&amp;IF(OR(NOT(ISNUMBER($G251)),$G251&lt;=0),"QUANTITE &gt; 0; ","")&amp;IF(AND($C251&lt;&gt;"RECEPTION",$E251=""),"EMPL. SOURCE; ","")&amp;IF(AND($C251&lt;&gt;"CONSOMMATION",$F251=""),"EMPL. DESTINATION; ","")&amp;IF(AND($C251="TRANSFERT",$E251&lt;&gt;"",$E251=$F251),"SOURCE = DESTINATION; ",""),IF($P251="EMPLACEMENT INCOHERENT","Le lot "&amp;$D251&amp;" n'existe pas sur "&amp;$E251&amp;" (stock 0). Verifier l'emplacement source.",IF($P251="STOCK INSUFFISANT","Disponible avant operation : "&amp;TEXT($O251,"#,##0.00")&amp;" kg. Ligne NON comptee en stock.",IF(COUNTIFS($B$5:$B$304,$B251,$C$5:$C$304,$C251,$D$5:$D$304,$D251,$G$5:$G$304,$G251)&gt;1,"Doublon possible (meme date, type, lot et quantite).",IF($J251="LOT NON REFERENCE","Creer d'abord la fiche du lot dans l'onglet LOTS.",""))))))</f>
        <v/>
      </c>
    </row>
    <row r="252" customFormat="false" ht="15" hidden="false" customHeight="false" outlineLevel="0" collapsed="false">
      <c r="A252" s="26" t="str">
        <f aca="false">IF($C252="","","OP-"&amp;TEXT(ROW()-4,"000"))</f>
        <v/>
      </c>
      <c r="B252" s="25"/>
      <c r="C252" s="24"/>
      <c r="D252" s="24"/>
      <c r="E252" s="24"/>
      <c r="F252" s="24"/>
      <c r="G252" s="29"/>
      <c r="H252" s="24"/>
      <c r="I252" s="24"/>
      <c r="J252" s="26" t="str">
        <f aca="false">IF($D252="","",IFERROR(INDEX(LOT_PRODE,MATCH($D252,LOT_KEY,0)),"LOT NON REFERENCE"))</f>
        <v/>
      </c>
      <c r="K252" s="26" t="str">
        <f aca="false">IF($D252="","",IFERROR(INDEX(LOT_FOURNE,MATCH($D252,LOT_KEY,0)),""))</f>
        <v/>
      </c>
      <c r="L252" s="26" t="str">
        <f aca="false">IF($E252="","",IFERROR(INDEX(EMPL_CLASSE,MATCH($E252,EMPL_KEY,0)),"?"))</f>
        <v/>
      </c>
      <c r="M252" s="26" t="str">
        <f aca="false">IF($F252="","",IFERROR(INDEX(EMPL_CLASSE,MATCH($F252,EMPL_KEY,0)),"?"))</f>
        <v/>
      </c>
      <c r="N252" s="28" t="n">
        <f aca="false">IF($C252="",0,IF(OR($B252="",$D252="",NOT(ISNUMBER($G252)),$G252&lt;=0),0,IF($C252="RECEPTION",IF($F252="",0,1),IF($C252="CONSOMMATION",IF($E252="",0,1),IF(OR($E252="",$F252="",$E252=$F252),0,1)))))</f>
        <v>0</v>
      </c>
      <c r="O252" s="27" t="str">
        <f aca="false">IF(OR($N252=0,$C252="RECEPTION"),"",SUMIFS(MVT_BRUT,MVT_LOT,$D252,MVT_EMPL,$E252)+$G252)</f>
        <v/>
      </c>
      <c r="P252" s="26" t="str">
        <f aca="false">IF($C252="","",IF($N252=0,"DONNEES MANQUANTES",IF($C252="RECEPTION","OK",IF($O252&lt;=0,"EMPLACEMENT INCOHERENT",IF($G252&gt;$O252+0.001,"STOCK INSUFFISANT","OK")))))</f>
        <v/>
      </c>
      <c r="Q252" s="28" t="n">
        <f aca="false">IF($P252="OK",1,0)</f>
        <v>0</v>
      </c>
      <c r="R252" s="26" t="str">
        <f aca="false">IF($C252="","",IF($N252=0,"A COMPLETER : "&amp;IF($B252="","DATE; ","")&amp;IF($D252="","LOT; ","")&amp;IF(OR(NOT(ISNUMBER($G252)),$G252&lt;=0),"QUANTITE &gt; 0; ","")&amp;IF(AND($C252&lt;&gt;"RECEPTION",$E252=""),"EMPL. SOURCE; ","")&amp;IF(AND($C252&lt;&gt;"CONSOMMATION",$F252=""),"EMPL. DESTINATION; ","")&amp;IF(AND($C252="TRANSFERT",$E252&lt;&gt;"",$E252=$F252),"SOURCE = DESTINATION; ",""),IF($P252="EMPLACEMENT INCOHERENT","Le lot "&amp;$D252&amp;" n'existe pas sur "&amp;$E252&amp;" (stock 0). Verifier l'emplacement source.",IF($P252="STOCK INSUFFISANT","Disponible avant operation : "&amp;TEXT($O252,"#,##0.00")&amp;" kg. Ligne NON comptee en stock.",IF(COUNTIFS($B$5:$B$304,$B252,$C$5:$C$304,$C252,$D$5:$D$304,$D252,$G$5:$G$304,$G252)&gt;1,"Doublon possible (meme date, type, lot et quantite).",IF($J252="LOT NON REFERENCE","Creer d'abord la fiche du lot dans l'onglet LOTS.",""))))))</f>
        <v/>
      </c>
    </row>
    <row r="253" customFormat="false" ht="15" hidden="false" customHeight="false" outlineLevel="0" collapsed="false">
      <c r="A253" s="26" t="str">
        <f aca="false">IF($C253="","","OP-"&amp;TEXT(ROW()-4,"000"))</f>
        <v/>
      </c>
      <c r="B253" s="25"/>
      <c r="C253" s="24"/>
      <c r="D253" s="24"/>
      <c r="E253" s="24"/>
      <c r="F253" s="24"/>
      <c r="G253" s="29"/>
      <c r="H253" s="24"/>
      <c r="I253" s="24"/>
      <c r="J253" s="26" t="str">
        <f aca="false">IF($D253="","",IFERROR(INDEX(LOT_PRODE,MATCH($D253,LOT_KEY,0)),"LOT NON REFERENCE"))</f>
        <v/>
      </c>
      <c r="K253" s="26" t="str">
        <f aca="false">IF($D253="","",IFERROR(INDEX(LOT_FOURNE,MATCH($D253,LOT_KEY,0)),""))</f>
        <v/>
      </c>
      <c r="L253" s="26" t="str">
        <f aca="false">IF($E253="","",IFERROR(INDEX(EMPL_CLASSE,MATCH($E253,EMPL_KEY,0)),"?"))</f>
        <v/>
      </c>
      <c r="M253" s="26" t="str">
        <f aca="false">IF($F253="","",IFERROR(INDEX(EMPL_CLASSE,MATCH($F253,EMPL_KEY,0)),"?"))</f>
        <v/>
      </c>
      <c r="N253" s="28" t="n">
        <f aca="false">IF($C253="",0,IF(OR($B253="",$D253="",NOT(ISNUMBER($G253)),$G253&lt;=0),0,IF($C253="RECEPTION",IF($F253="",0,1),IF($C253="CONSOMMATION",IF($E253="",0,1),IF(OR($E253="",$F253="",$E253=$F253),0,1)))))</f>
        <v>0</v>
      </c>
      <c r="O253" s="27" t="str">
        <f aca="false">IF(OR($N253=0,$C253="RECEPTION"),"",SUMIFS(MVT_BRUT,MVT_LOT,$D253,MVT_EMPL,$E253)+$G253)</f>
        <v/>
      </c>
      <c r="P253" s="26" t="str">
        <f aca="false">IF($C253="","",IF($N253=0,"DONNEES MANQUANTES",IF($C253="RECEPTION","OK",IF($O253&lt;=0,"EMPLACEMENT INCOHERENT",IF($G253&gt;$O253+0.001,"STOCK INSUFFISANT","OK")))))</f>
        <v/>
      </c>
      <c r="Q253" s="28" t="n">
        <f aca="false">IF($P253="OK",1,0)</f>
        <v>0</v>
      </c>
      <c r="R253" s="26" t="str">
        <f aca="false">IF($C253="","",IF($N253=0,"A COMPLETER : "&amp;IF($B253="","DATE; ","")&amp;IF($D253="","LOT; ","")&amp;IF(OR(NOT(ISNUMBER($G253)),$G253&lt;=0),"QUANTITE &gt; 0; ","")&amp;IF(AND($C253&lt;&gt;"RECEPTION",$E253=""),"EMPL. SOURCE; ","")&amp;IF(AND($C253&lt;&gt;"CONSOMMATION",$F253=""),"EMPL. DESTINATION; ","")&amp;IF(AND($C253="TRANSFERT",$E253&lt;&gt;"",$E253=$F253),"SOURCE = DESTINATION; ",""),IF($P253="EMPLACEMENT INCOHERENT","Le lot "&amp;$D253&amp;" n'existe pas sur "&amp;$E253&amp;" (stock 0). Verifier l'emplacement source.",IF($P253="STOCK INSUFFISANT","Disponible avant operation : "&amp;TEXT($O253,"#,##0.00")&amp;" kg. Ligne NON comptee en stock.",IF(COUNTIFS($B$5:$B$304,$B253,$C$5:$C$304,$C253,$D$5:$D$304,$D253,$G$5:$G$304,$G253)&gt;1,"Doublon possible (meme date, type, lot et quantite).",IF($J253="LOT NON REFERENCE","Creer d'abord la fiche du lot dans l'onglet LOTS.",""))))))</f>
        <v/>
      </c>
    </row>
    <row r="254" customFormat="false" ht="15" hidden="false" customHeight="false" outlineLevel="0" collapsed="false">
      <c r="A254" s="26" t="str">
        <f aca="false">IF($C254="","","OP-"&amp;TEXT(ROW()-4,"000"))</f>
        <v/>
      </c>
      <c r="B254" s="25"/>
      <c r="C254" s="24"/>
      <c r="D254" s="24"/>
      <c r="E254" s="24"/>
      <c r="F254" s="24"/>
      <c r="G254" s="29"/>
      <c r="H254" s="24"/>
      <c r="I254" s="24"/>
      <c r="J254" s="26" t="str">
        <f aca="false">IF($D254="","",IFERROR(INDEX(LOT_PRODE,MATCH($D254,LOT_KEY,0)),"LOT NON REFERENCE"))</f>
        <v/>
      </c>
      <c r="K254" s="26" t="str">
        <f aca="false">IF($D254="","",IFERROR(INDEX(LOT_FOURNE,MATCH($D254,LOT_KEY,0)),""))</f>
        <v/>
      </c>
      <c r="L254" s="26" t="str">
        <f aca="false">IF($E254="","",IFERROR(INDEX(EMPL_CLASSE,MATCH($E254,EMPL_KEY,0)),"?"))</f>
        <v/>
      </c>
      <c r="M254" s="26" t="str">
        <f aca="false">IF($F254="","",IFERROR(INDEX(EMPL_CLASSE,MATCH($F254,EMPL_KEY,0)),"?"))</f>
        <v/>
      </c>
      <c r="N254" s="28" t="n">
        <f aca="false">IF($C254="",0,IF(OR($B254="",$D254="",NOT(ISNUMBER($G254)),$G254&lt;=0),0,IF($C254="RECEPTION",IF($F254="",0,1),IF($C254="CONSOMMATION",IF($E254="",0,1),IF(OR($E254="",$F254="",$E254=$F254),0,1)))))</f>
        <v>0</v>
      </c>
      <c r="O254" s="27" t="str">
        <f aca="false">IF(OR($N254=0,$C254="RECEPTION"),"",SUMIFS(MVT_BRUT,MVT_LOT,$D254,MVT_EMPL,$E254)+$G254)</f>
        <v/>
      </c>
      <c r="P254" s="26" t="str">
        <f aca="false">IF($C254="","",IF($N254=0,"DONNEES MANQUANTES",IF($C254="RECEPTION","OK",IF($O254&lt;=0,"EMPLACEMENT INCOHERENT",IF($G254&gt;$O254+0.001,"STOCK INSUFFISANT","OK")))))</f>
        <v/>
      </c>
      <c r="Q254" s="28" t="n">
        <f aca="false">IF($P254="OK",1,0)</f>
        <v>0</v>
      </c>
      <c r="R254" s="26" t="str">
        <f aca="false">IF($C254="","",IF($N254=0,"A COMPLETER : "&amp;IF($B254="","DATE; ","")&amp;IF($D254="","LOT; ","")&amp;IF(OR(NOT(ISNUMBER($G254)),$G254&lt;=0),"QUANTITE &gt; 0; ","")&amp;IF(AND($C254&lt;&gt;"RECEPTION",$E254=""),"EMPL. SOURCE; ","")&amp;IF(AND($C254&lt;&gt;"CONSOMMATION",$F254=""),"EMPL. DESTINATION; ","")&amp;IF(AND($C254="TRANSFERT",$E254&lt;&gt;"",$E254=$F254),"SOURCE = DESTINATION; ",""),IF($P254="EMPLACEMENT INCOHERENT","Le lot "&amp;$D254&amp;" n'existe pas sur "&amp;$E254&amp;" (stock 0). Verifier l'emplacement source.",IF($P254="STOCK INSUFFISANT","Disponible avant operation : "&amp;TEXT($O254,"#,##0.00")&amp;" kg. Ligne NON comptee en stock.",IF(COUNTIFS($B$5:$B$304,$B254,$C$5:$C$304,$C254,$D$5:$D$304,$D254,$G$5:$G$304,$G254)&gt;1,"Doublon possible (meme date, type, lot et quantite).",IF($J254="LOT NON REFERENCE","Creer d'abord la fiche du lot dans l'onglet LOTS.",""))))))</f>
        <v/>
      </c>
    </row>
    <row r="255" customFormat="false" ht="15" hidden="false" customHeight="false" outlineLevel="0" collapsed="false">
      <c r="A255" s="26" t="str">
        <f aca="false">IF($C255="","","OP-"&amp;TEXT(ROW()-4,"000"))</f>
        <v/>
      </c>
      <c r="B255" s="25"/>
      <c r="C255" s="24"/>
      <c r="D255" s="24"/>
      <c r="E255" s="24"/>
      <c r="F255" s="24"/>
      <c r="G255" s="29"/>
      <c r="H255" s="24"/>
      <c r="I255" s="24"/>
      <c r="J255" s="26" t="str">
        <f aca="false">IF($D255="","",IFERROR(INDEX(LOT_PRODE,MATCH($D255,LOT_KEY,0)),"LOT NON REFERENCE"))</f>
        <v/>
      </c>
      <c r="K255" s="26" t="str">
        <f aca="false">IF($D255="","",IFERROR(INDEX(LOT_FOURNE,MATCH($D255,LOT_KEY,0)),""))</f>
        <v/>
      </c>
      <c r="L255" s="26" t="str">
        <f aca="false">IF($E255="","",IFERROR(INDEX(EMPL_CLASSE,MATCH($E255,EMPL_KEY,0)),"?"))</f>
        <v/>
      </c>
      <c r="M255" s="26" t="str">
        <f aca="false">IF($F255="","",IFERROR(INDEX(EMPL_CLASSE,MATCH($F255,EMPL_KEY,0)),"?"))</f>
        <v/>
      </c>
      <c r="N255" s="28" t="n">
        <f aca="false">IF($C255="",0,IF(OR($B255="",$D255="",NOT(ISNUMBER($G255)),$G255&lt;=0),0,IF($C255="RECEPTION",IF($F255="",0,1),IF($C255="CONSOMMATION",IF($E255="",0,1),IF(OR($E255="",$F255="",$E255=$F255),0,1)))))</f>
        <v>0</v>
      </c>
      <c r="O255" s="27" t="str">
        <f aca="false">IF(OR($N255=0,$C255="RECEPTION"),"",SUMIFS(MVT_BRUT,MVT_LOT,$D255,MVT_EMPL,$E255)+$G255)</f>
        <v/>
      </c>
      <c r="P255" s="26" t="str">
        <f aca="false">IF($C255="","",IF($N255=0,"DONNEES MANQUANTES",IF($C255="RECEPTION","OK",IF($O255&lt;=0,"EMPLACEMENT INCOHERENT",IF($G255&gt;$O255+0.001,"STOCK INSUFFISANT","OK")))))</f>
        <v/>
      </c>
      <c r="Q255" s="28" t="n">
        <f aca="false">IF($P255="OK",1,0)</f>
        <v>0</v>
      </c>
      <c r="R255" s="26" t="str">
        <f aca="false">IF($C255="","",IF($N255=0,"A COMPLETER : "&amp;IF($B255="","DATE; ","")&amp;IF($D255="","LOT; ","")&amp;IF(OR(NOT(ISNUMBER($G255)),$G255&lt;=0),"QUANTITE &gt; 0; ","")&amp;IF(AND($C255&lt;&gt;"RECEPTION",$E255=""),"EMPL. SOURCE; ","")&amp;IF(AND($C255&lt;&gt;"CONSOMMATION",$F255=""),"EMPL. DESTINATION; ","")&amp;IF(AND($C255="TRANSFERT",$E255&lt;&gt;"",$E255=$F255),"SOURCE = DESTINATION; ",""),IF($P255="EMPLACEMENT INCOHERENT","Le lot "&amp;$D255&amp;" n'existe pas sur "&amp;$E255&amp;" (stock 0). Verifier l'emplacement source.",IF($P255="STOCK INSUFFISANT","Disponible avant operation : "&amp;TEXT($O255,"#,##0.00")&amp;" kg. Ligne NON comptee en stock.",IF(COUNTIFS($B$5:$B$304,$B255,$C$5:$C$304,$C255,$D$5:$D$304,$D255,$G$5:$G$304,$G255)&gt;1,"Doublon possible (meme date, type, lot et quantite).",IF($J255="LOT NON REFERENCE","Creer d'abord la fiche du lot dans l'onglet LOTS.",""))))))</f>
        <v/>
      </c>
    </row>
    <row r="256" customFormat="false" ht="15" hidden="false" customHeight="false" outlineLevel="0" collapsed="false">
      <c r="A256" s="26" t="str">
        <f aca="false">IF($C256="","","OP-"&amp;TEXT(ROW()-4,"000"))</f>
        <v/>
      </c>
      <c r="B256" s="25"/>
      <c r="C256" s="24"/>
      <c r="D256" s="24"/>
      <c r="E256" s="24"/>
      <c r="F256" s="24"/>
      <c r="G256" s="29"/>
      <c r="H256" s="24"/>
      <c r="I256" s="24"/>
      <c r="J256" s="26" t="str">
        <f aca="false">IF($D256="","",IFERROR(INDEX(LOT_PRODE,MATCH($D256,LOT_KEY,0)),"LOT NON REFERENCE"))</f>
        <v/>
      </c>
      <c r="K256" s="26" t="str">
        <f aca="false">IF($D256="","",IFERROR(INDEX(LOT_FOURNE,MATCH($D256,LOT_KEY,0)),""))</f>
        <v/>
      </c>
      <c r="L256" s="26" t="str">
        <f aca="false">IF($E256="","",IFERROR(INDEX(EMPL_CLASSE,MATCH($E256,EMPL_KEY,0)),"?"))</f>
        <v/>
      </c>
      <c r="M256" s="26" t="str">
        <f aca="false">IF($F256="","",IFERROR(INDEX(EMPL_CLASSE,MATCH($F256,EMPL_KEY,0)),"?"))</f>
        <v/>
      </c>
      <c r="N256" s="28" t="n">
        <f aca="false">IF($C256="",0,IF(OR($B256="",$D256="",NOT(ISNUMBER($G256)),$G256&lt;=0),0,IF($C256="RECEPTION",IF($F256="",0,1),IF($C256="CONSOMMATION",IF($E256="",0,1),IF(OR($E256="",$F256="",$E256=$F256),0,1)))))</f>
        <v>0</v>
      </c>
      <c r="O256" s="27" t="str">
        <f aca="false">IF(OR($N256=0,$C256="RECEPTION"),"",SUMIFS(MVT_BRUT,MVT_LOT,$D256,MVT_EMPL,$E256)+$G256)</f>
        <v/>
      </c>
      <c r="P256" s="26" t="str">
        <f aca="false">IF($C256="","",IF($N256=0,"DONNEES MANQUANTES",IF($C256="RECEPTION","OK",IF($O256&lt;=0,"EMPLACEMENT INCOHERENT",IF($G256&gt;$O256+0.001,"STOCK INSUFFISANT","OK")))))</f>
        <v/>
      </c>
      <c r="Q256" s="28" t="n">
        <f aca="false">IF($P256="OK",1,0)</f>
        <v>0</v>
      </c>
      <c r="R256" s="26" t="str">
        <f aca="false">IF($C256="","",IF($N256=0,"A COMPLETER : "&amp;IF($B256="","DATE; ","")&amp;IF($D256="","LOT; ","")&amp;IF(OR(NOT(ISNUMBER($G256)),$G256&lt;=0),"QUANTITE &gt; 0; ","")&amp;IF(AND($C256&lt;&gt;"RECEPTION",$E256=""),"EMPL. SOURCE; ","")&amp;IF(AND($C256&lt;&gt;"CONSOMMATION",$F256=""),"EMPL. DESTINATION; ","")&amp;IF(AND($C256="TRANSFERT",$E256&lt;&gt;"",$E256=$F256),"SOURCE = DESTINATION; ",""),IF($P256="EMPLACEMENT INCOHERENT","Le lot "&amp;$D256&amp;" n'existe pas sur "&amp;$E256&amp;" (stock 0). Verifier l'emplacement source.",IF($P256="STOCK INSUFFISANT","Disponible avant operation : "&amp;TEXT($O256,"#,##0.00")&amp;" kg. Ligne NON comptee en stock.",IF(COUNTIFS($B$5:$B$304,$B256,$C$5:$C$304,$C256,$D$5:$D$304,$D256,$G$5:$G$304,$G256)&gt;1,"Doublon possible (meme date, type, lot et quantite).",IF($J256="LOT NON REFERENCE","Creer d'abord la fiche du lot dans l'onglet LOTS.",""))))))</f>
        <v/>
      </c>
    </row>
    <row r="257" customFormat="false" ht="15" hidden="false" customHeight="false" outlineLevel="0" collapsed="false">
      <c r="A257" s="26" t="str">
        <f aca="false">IF($C257="","","OP-"&amp;TEXT(ROW()-4,"000"))</f>
        <v/>
      </c>
      <c r="B257" s="25"/>
      <c r="C257" s="24"/>
      <c r="D257" s="24"/>
      <c r="E257" s="24"/>
      <c r="F257" s="24"/>
      <c r="G257" s="29"/>
      <c r="H257" s="24"/>
      <c r="I257" s="24"/>
      <c r="J257" s="26" t="str">
        <f aca="false">IF($D257="","",IFERROR(INDEX(LOT_PRODE,MATCH($D257,LOT_KEY,0)),"LOT NON REFERENCE"))</f>
        <v/>
      </c>
      <c r="K257" s="26" t="str">
        <f aca="false">IF($D257="","",IFERROR(INDEX(LOT_FOURNE,MATCH($D257,LOT_KEY,0)),""))</f>
        <v/>
      </c>
      <c r="L257" s="26" t="str">
        <f aca="false">IF($E257="","",IFERROR(INDEX(EMPL_CLASSE,MATCH($E257,EMPL_KEY,0)),"?"))</f>
        <v/>
      </c>
      <c r="M257" s="26" t="str">
        <f aca="false">IF($F257="","",IFERROR(INDEX(EMPL_CLASSE,MATCH($F257,EMPL_KEY,0)),"?"))</f>
        <v/>
      </c>
      <c r="N257" s="28" t="n">
        <f aca="false">IF($C257="",0,IF(OR($B257="",$D257="",NOT(ISNUMBER($G257)),$G257&lt;=0),0,IF($C257="RECEPTION",IF($F257="",0,1),IF($C257="CONSOMMATION",IF($E257="",0,1),IF(OR($E257="",$F257="",$E257=$F257),0,1)))))</f>
        <v>0</v>
      </c>
      <c r="O257" s="27" t="str">
        <f aca="false">IF(OR($N257=0,$C257="RECEPTION"),"",SUMIFS(MVT_BRUT,MVT_LOT,$D257,MVT_EMPL,$E257)+$G257)</f>
        <v/>
      </c>
      <c r="P257" s="26" t="str">
        <f aca="false">IF($C257="","",IF($N257=0,"DONNEES MANQUANTES",IF($C257="RECEPTION","OK",IF($O257&lt;=0,"EMPLACEMENT INCOHERENT",IF($G257&gt;$O257+0.001,"STOCK INSUFFISANT","OK")))))</f>
        <v/>
      </c>
      <c r="Q257" s="28" t="n">
        <f aca="false">IF($P257="OK",1,0)</f>
        <v>0</v>
      </c>
      <c r="R257" s="26" t="str">
        <f aca="false">IF($C257="","",IF($N257=0,"A COMPLETER : "&amp;IF($B257="","DATE; ","")&amp;IF($D257="","LOT; ","")&amp;IF(OR(NOT(ISNUMBER($G257)),$G257&lt;=0),"QUANTITE &gt; 0; ","")&amp;IF(AND($C257&lt;&gt;"RECEPTION",$E257=""),"EMPL. SOURCE; ","")&amp;IF(AND($C257&lt;&gt;"CONSOMMATION",$F257=""),"EMPL. DESTINATION; ","")&amp;IF(AND($C257="TRANSFERT",$E257&lt;&gt;"",$E257=$F257),"SOURCE = DESTINATION; ",""),IF($P257="EMPLACEMENT INCOHERENT","Le lot "&amp;$D257&amp;" n'existe pas sur "&amp;$E257&amp;" (stock 0). Verifier l'emplacement source.",IF($P257="STOCK INSUFFISANT","Disponible avant operation : "&amp;TEXT($O257,"#,##0.00")&amp;" kg. Ligne NON comptee en stock.",IF(COUNTIFS($B$5:$B$304,$B257,$C$5:$C$304,$C257,$D$5:$D$304,$D257,$G$5:$G$304,$G257)&gt;1,"Doublon possible (meme date, type, lot et quantite).",IF($J257="LOT NON REFERENCE","Creer d'abord la fiche du lot dans l'onglet LOTS.",""))))))</f>
        <v/>
      </c>
    </row>
    <row r="258" customFormat="false" ht="15" hidden="false" customHeight="false" outlineLevel="0" collapsed="false">
      <c r="A258" s="26" t="str">
        <f aca="false">IF($C258="","","OP-"&amp;TEXT(ROW()-4,"000"))</f>
        <v/>
      </c>
      <c r="B258" s="25"/>
      <c r="C258" s="24"/>
      <c r="D258" s="24"/>
      <c r="E258" s="24"/>
      <c r="F258" s="24"/>
      <c r="G258" s="29"/>
      <c r="H258" s="24"/>
      <c r="I258" s="24"/>
      <c r="J258" s="26" t="str">
        <f aca="false">IF($D258="","",IFERROR(INDEX(LOT_PRODE,MATCH($D258,LOT_KEY,0)),"LOT NON REFERENCE"))</f>
        <v/>
      </c>
      <c r="K258" s="26" t="str">
        <f aca="false">IF($D258="","",IFERROR(INDEX(LOT_FOURNE,MATCH($D258,LOT_KEY,0)),""))</f>
        <v/>
      </c>
      <c r="L258" s="26" t="str">
        <f aca="false">IF($E258="","",IFERROR(INDEX(EMPL_CLASSE,MATCH($E258,EMPL_KEY,0)),"?"))</f>
        <v/>
      </c>
      <c r="M258" s="26" t="str">
        <f aca="false">IF($F258="","",IFERROR(INDEX(EMPL_CLASSE,MATCH($F258,EMPL_KEY,0)),"?"))</f>
        <v/>
      </c>
      <c r="N258" s="28" t="n">
        <f aca="false">IF($C258="",0,IF(OR($B258="",$D258="",NOT(ISNUMBER($G258)),$G258&lt;=0),0,IF($C258="RECEPTION",IF($F258="",0,1),IF($C258="CONSOMMATION",IF($E258="",0,1),IF(OR($E258="",$F258="",$E258=$F258),0,1)))))</f>
        <v>0</v>
      </c>
      <c r="O258" s="27" t="str">
        <f aca="false">IF(OR($N258=0,$C258="RECEPTION"),"",SUMIFS(MVT_BRUT,MVT_LOT,$D258,MVT_EMPL,$E258)+$G258)</f>
        <v/>
      </c>
      <c r="P258" s="26" t="str">
        <f aca="false">IF($C258="","",IF($N258=0,"DONNEES MANQUANTES",IF($C258="RECEPTION","OK",IF($O258&lt;=0,"EMPLACEMENT INCOHERENT",IF($G258&gt;$O258+0.001,"STOCK INSUFFISANT","OK")))))</f>
        <v/>
      </c>
      <c r="Q258" s="28" t="n">
        <f aca="false">IF($P258="OK",1,0)</f>
        <v>0</v>
      </c>
      <c r="R258" s="26" t="str">
        <f aca="false">IF($C258="","",IF($N258=0,"A COMPLETER : "&amp;IF($B258="","DATE; ","")&amp;IF($D258="","LOT; ","")&amp;IF(OR(NOT(ISNUMBER($G258)),$G258&lt;=0),"QUANTITE &gt; 0; ","")&amp;IF(AND($C258&lt;&gt;"RECEPTION",$E258=""),"EMPL. SOURCE; ","")&amp;IF(AND($C258&lt;&gt;"CONSOMMATION",$F258=""),"EMPL. DESTINATION; ","")&amp;IF(AND($C258="TRANSFERT",$E258&lt;&gt;"",$E258=$F258),"SOURCE = DESTINATION; ",""),IF($P258="EMPLACEMENT INCOHERENT","Le lot "&amp;$D258&amp;" n'existe pas sur "&amp;$E258&amp;" (stock 0). Verifier l'emplacement source.",IF($P258="STOCK INSUFFISANT","Disponible avant operation : "&amp;TEXT($O258,"#,##0.00")&amp;" kg. Ligne NON comptee en stock.",IF(COUNTIFS($B$5:$B$304,$B258,$C$5:$C$304,$C258,$D$5:$D$304,$D258,$G$5:$G$304,$G258)&gt;1,"Doublon possible (meme date, type, lot et quantite).",IF($J258="LOT NON REFERENCE","Creer d'abord la fiche du lot dans l'onglet LOTS.",""))))))</f>
        <v/>
      </c>
    </row>
    <row r="259" customFormat="false" ht="15" hidden="false" customHeight="false" outlineLevel="0" collapsed="false">
      <c r="A259" s="26" t="str">
        <f aca="false">IF($C259="","","OP-"&amp;TEXT(ROW()-4,"000"))</f>
        <v/>
      </c>
      <c r="B259" s="25"/>
      <c r="C259" s="24"/>
      <c r="D259" s="24"/>
      <c r="E259" s="24"/>
      <c r="F259" s="24"/>
      <c r="G259" s="29"/>
      <c r="H259" s="24"/>
      <c r="I259" s="24"/>
      <c r="J259" s="26" t="str">
        <f aca="false">IF($D259="","",IFERROR(INDEX(LOT_PRODE,MATCH($D259,LOT_KEY,0)),"LOT NON REFERENCE"))</f>
        <v/>
      </c>
      <c r="K259" s="26" t="str">
        <f aca="false">IF($D259="","",IFERROR(INDEX(LOT_FOURNE,MATCH($D259,LOT_KEY,0)),""))</f>
        <v/>
      </c>
      <c r="L259" s="26" t="str">
        <f aca="false">IF($E259="","",IFERROR(INDEX(EMPL_CLASSE,MATCH($E259,EMPL_KEY,0)),"?"))</f>
        <v/>
      </c>
      <c r="M259" s="26" t="str">
        <f aca="false">IF($F259="","",IFERROR(INDEX(EMPL_CLASSE,MATCH($F259,EMPL_KEY,0)),"?"))</f>
        <v/>
      </c>
      <c r="N259" s="28" t="n">
        <f aca="false">IF($C259="",0,IF(OR($B259="",$D259="",NOT(ISNUMBER($G259)),$G259&lt;=0),0,IF($C259="RECEPTION",IF($F259="",0,1),IF($C259="CONSOMMATION",IF($E259="",0,1),IF(OR($E259="",$F259="",$E259=$F259),0,1)))))</f>
        <v>0</v>
      </c>
      <c r="O259" s="27" t="str">
        <f aca="false">IF(OR($N259=0,$C259="RECEPTION"),"",SUMIFS(MVT_BRUT,MVT_LOT,$D259,MVT_EMPL,$E259)+$G259)</f>
        <v/>
      </c>
      <c r="P259" s="26" t="str">
        <f aca="false">IF($C259="","",IF($N259=0,"DONNEES MANQUANTES",IF($C259="RECEPTION","OK",IF($O259&lt;=0,"EMPLACEMENT INCOHERENT",IF($G259&gt;$O259+0.001,"STOCK INSUFFISANT","OK")))))</f>
        <v/>
      </c>
      <c r="Q259" s="28" t="n">
        <f aca="false">IF($P259="OK",1,0)</f>
        <v>0</v>
      </c>
      <c r="R259" s="26" t="str">
        <f aca="false">IF($C259="","",IF($N259=0,"A COMPLETER : "&amp;IF($B259="","DATE; ","")&amp;IF($D259="","LOT; ","")&amp;IF(OR(NOT(ISNUMBER($G259)),$G259&lt;=0),"QUANTITE &gt; 0; ","")&amp;IF(AND($C259&lt;&gt;"RECEPTION",$E259=""),"EMPL. SOURCE; ","")&amp;IF(AND($C259&lt;&gt;"CONSOMMATION",$F259=""),"EMPL. DESTINATION; ","")&amp;IF(AND($C259="TRANSFERT",$E259&lt;&gt;"",$E259=$F259),"SOURCE = DESTINATION; ",""),IF($P259="EMPLACEMENT INCOHERENT","Le lot "&amp;$D259&amp;" n'existe pas sur "&amp;$E259&amp;" (stock 0). Verifier l'emplacement source.",IF($P259="STOCK INSUFFISANT","Disponible avant operation : "&amp;TEXT($O259,"#,##0.00")&amp;" kg. Ligne NON comptee en stock.",IF(COUNTIFS($B$5:$B$304,$B259,$C$5:$C$304,$C259,$D$5:$D$304,$D259,$G$5:$G$304,$G259)&gt;1,"Doublon possible (meme date, type, lot et quantite).",IF($J259="LOT NON REFERENCE","Creer d'abord la fiche du lot dans l'onglet LOTS.",""))))))</f>
        <v/>
      </c>
    </row>
    <row r="260" customFormat="false" ht="15" hidden="false" customHeight="false" outlineLevel="0" collapsed="false">
      <c r="A260" s="26" t="str">
        <f aca="false">IF($C260="","","OP-"&amp;TEXT(ROW()-4,"000"))</f>
        <v/>
      </c>
      <c r="B260" s="25"/>
      <c r="C260" s="24"/>
      <c r="D260" s="24"/>
      <c r="E260" s="24"/>
      <c r="F260" s="24"/>
      <c r="G260" s="29"/>
      <c r="H260" s="24"/>
      <c r="I260" s="24"/>
      <c r="J260" s="26" t="str">
        <f aca="false">IF($D260="","",IFERROR(INDEX(LOT_PRODE,MATCH($D260,LOT_KEY,0)),"LOT NON REFERENCE"))</f>
        <v/>
      </c>
      <c r="K260" s="26" t="str">
        <f aca="false">IF($D260="","",IFERROR(INDEX(LOT_FOURNE,MATCH($D260,LOT_KEY,0)),""))</f>
        <v/>
      </c>
      <c r="L260" s="26" t="str">
        <f aca="false">IF($E260="","",IFERROR(INDEX(EMPL_CLASSE,MATCH($E260,EMPL_KEY,0)),"?"))</f>
        <v/>
      </c>
      <c r="M260" s="26" t="str">
        <f aca="false">IF($F260="","",IFERROR(INDEX(EMPL_CLASSE,MATCH($F260,EMPL_KEY,0)),"?"))</f>
        <v/>
      </c>
      <c r="N260" s="28" t="n">
        <f aca="false">IF($C260="",0,IF(OR($B260="",$D260="",NOT(ISNUMBER($G260)),$G260&lt;=0),0,IF($C260="RECEPTION",IF($F260="",0,1),IF($C260="CONSOMMATION",IF($E260="",0,1),IF(OR($E260="",$F260="",$E260=$F260),0,1)))))</f>
        <v>0</v>
      </c>
      <c r="O260" s="27" t="str">
        <f aca="false">IF(OR($N260=0,$C260="RECEPTION"),"",SUMIFS(MVT_BRUT,MVT_LOT,$D260,MVT_EMPL,$E260)+$G260)</f>
        <v/>
      </c>
      <c r="P260" s="26" t="str">
        <f aca="false">IF($C260="","",IF($N260=0,"DONNEES MANQUANTES",IF($C260="RECEPTION","OK",IF($O260&lt;=0,"EMPLACEMENT INCOHERENT",IF($G260&gt;$O260+0.001,"STOCK INSUFFISANT","OK")))))</f>
        <v/>
      </c>
      <c r="Q260" s="28" t="n">
        <f aca="false">IF($P260="OK",1,0)</f>
        <v>0</v>
      </c>
      <c r="R260" s="26" t="str">
        <f aca="false">IF($C260="","",IF($N260=0,"A COMPLETER : "&amp;IF($B260="","DATE; ","")&amp;IF($D260="","LOT; ","")&amp;IF(OR(NOT(ISNUMBER($G260)),$G260&lt;=0),"QUANTITE &gt; 0; ","")&amp;IF(AND($C260&lt;&gt;"RECEPTION",$E260=""),"EMPL. SOURCE; ","")&amp;IF(AND($C260&lt;&gt;"CONSOMMATION",$F260=""),"EMPL. DESTINATION; ","")&amp;IF(AND($C260="TRANSFERT",$E260&lt;&gt;"",$E260=$F260),"SOURCE = DESTINATION; ",""),IF($P260="EMPLACEMENT INCOHERENT","Le lot "&amp;$D260&amp;" n'existe pas sur "&amp;$E260&amp;" (stock 0). Verifier l'emplacement source.",IF($P260="STOCK INSUFFISANT","Disponible avant operation : "&amp;TEXT($O260,"#,##0.00")&amp;" kg. Ligne NON comptee en stock.",IF(COUNTIFS($B$5:$B$304,$B260,$C$5:$C$304,$C260,$D$5:$D$304,$D260,$G$5:$G$304,$G260)&gt;1,"Doublon possible (meme date, type, lot et quantite).",IF($J260="LOT NON REFERENCE","Creer d'abord la fiche du lot dans l'onglet LOTS.",""))))))</f>
        <v/>
      </c>
    </row>
    <row r="261" customFormat="false" ht="15" hidden="false" customHeight="false" outlineLevel="0" collapsed="false">
      <c r="A261" s="26" t="str">
        <f aca="false">IF($C261="","","OP-"&amp;TEXT(ROW()-4,"000"))</f>
        <v/>
      </c>
      <c r="B261" s="25"/>
      <c r="C261" s="24"/>
      <c r="D261" s="24"/>
      <c r="E261" s="24"/>
      <c r="F261" s="24"/>
      <c r="G261" s="29"/>
      <c r="H261" s="24"/>
      <c r="I261" s="24"/>
      <c r="J261" s="26" t="str">
        <f aca="false">IF($D261="","",IFERROR(INDEX(LOT_PRODE,MATCH($D261,LOT_KEY,0)),"LOT NON REFERENCE"))</f>
        <v/>
      </c>
      <c r="K261" s="26" t="str">
        <f aca="false">IF($D261="","",IFERROR(INDEX(LOT_FOURNE,MATCH($D261,LOT_KEY,0)),""))</f>
        <v/>
      </c>
      <c r="L261" s="26" t="str">
        <f aca="false">IF($E261="","",IFERROR(INDEX(EMPL_CLASSE,MATCH($E261,EMPL_KEY,0)),"?"))</f>
        <v/>
      </c>
      <c r="M261" s="26" t="str">
        <f aca="false">IF($F261="","",IFERROR(INDEX(EMPL_CLASSE,MATCH($F261,EMPL_KEY,0)),"?"))</f>
        <v/>
      </c>
      <c r="N261" s="28" t="n">
        <f aca="false">IF($C261="",0,IF(OR($B261="",$D261="",NOT(ISNUMBER($G261)),$G261&lt;=0),0,IF($C261="RECEPTION",IF($F261="",0,1),IF($C261="CONSOMMATION",IF($E261="",0,1),IF(OR($E261="",$F261="",$E261=$F261),0,1)))))</f>
        <v>0</v>
      </c>
      <c r="O261" s="27" t="str">
        <f aca="false">IF(OR($N261=0,$C261="RECEPTION"),"",SUMIFS(MVT_BRUT,MVT_LOT,$D261,MVT_EMPL,$E261)+$G261)</f>
        <v/>
      </c>
      <c r="P261" s="26" t="str">
        <f aca="false">IF($C261="","",IF($N261=0,"DONNEES MANQUANTES",IF($C261="RECEPTION","OK",IF($O261&lt;=0,"EMPLACEMENT INCOHERENT",IF($G261&gt;$O261+0.001,"STOCK INSUFFISANT","OK")))))</f>
        <v/>
      </c>
      <c r="Q261" s="28" t="n">
        <f aca="false">IF($P261="OK",1,0)</f>
        <v>0</v>
      </c>
      <c r="R261" s="26" t="str">
        <f aca="false">IF($C261="","",IF($N261=0,"A COMPLETER : "&amp;IF($B261="","DATE; ","")&amp;IF($D261="","LOT; ","")&amp;IF(OR(NOT(ISNUMBER($G261)),$G261&lt;=0),"QUANTITE &gt; 0; ","")&amp;IF(AND($C261&lt;&gt;"RECEPTION",$E261=""),"EMPL. SOURCE; ","")&amp;IF(AND($C261&lt;&gt;"CONSOMMATION",$F261=""),"EMPL. DESTINATION; ","")&amp;IF(AND($C261="TRANSFERT",$E261&lt;&gt;"",$E261=$F261),"SOURCE = DESTINATION; ",""),IF($P261="EMPLACEMENT INCOHERENT","Le lot "&amp;$D261&amp;" n'existe pas sur "&amp;$E261&amp;" (stock 0). Verifier l'emplacement source.",IF($P261="STOCK INSUFFISANT","Disponible avant operation : "&amp;TEXT($O261,"#,##0.00")&amp;" kg. Ligne NON comptee en stock.",IF(COUNTIFS($B$5:$B$304,$B261,$C$5:$C$304,$C261,$D$5:$D$304,$D261,$G$5:$G$304,$G261)&gt;1,"Doublon possible (meme date, type, lot et quantite).",IF($J261="LOT NON REFERENCE","Creer d'abord la fiche du lot dans l'onglet LOTS.",""))))))</f>
        <v/>
      </c>
    </row>
    <row r="262" customFormat="false" ht="15" hidden="false" customHeight="false" outlineLevel="0" collapsed="false">
      <c r="A262" s="26" t="str">
        <f aca="false">IF($C262="","","OP-"&amp;TEXT(ROW()-4,"000"))</f>
        <v/>
      </c>
      <c r="B262" s="25"/>
      <c r="C262" s="24"/>
      <c r="D262" s="24"/>
      <c r="E262" s="24"/>
      <c r="F262" s="24"/>
      <c r="G262" s="29"/>
      <c r="H262" s="24"/>
      <c r="I262" s="24"/>
      <c r="J262" s="26" t="str">
        <f aca="false">IF($D262="","",IFERROR(INDEX(LOT_PRODE,MATCH($D262,LOT_KEY,0)),"LOT NON REFERENCE"))</f>
        <v/>
      </c>
      <c r="K262" s="26" t="str">
        <f aca="false">IF($D262="","",IFERROR(INDEX(LOT_FOURNE,MATCH($D262,LOT_KEY,0)),""))</f>
        <v/>
      </c>
      <c r="L262" s="26" t="str">
        <f aca="false">IF($E262="","",IFERROR(INDEX(EMPL_CLASSE,MATCH($E262,EMPL_KEY,0)),"?"))</f>
        <v/>
      </c>
      <c r="M262" s="26" t="str">
        <f aca="false">IF($F262="","",IFERROR(INDEX(EMPL_CLASSE,MATCH($F262,EMPL_KEY,0)),"?"))</f>
        <v/>
      </c>
      <c r="N262" s="28" t="n">
        <f aca="false">IF($C262="",0,IF(OR($B262="",$D262="",NOT(ISNUMBER($G262)),$G262&lt;=0),0,IF($C262="RECEPTION",IF($F262="",0,1),IF($C262="CONSOMMATION",IF($E262="",0,1),IF(OR($E262="",$F262="",$E262=$F262),0,1)))))</f>
        <v>0</v>
      </c>
      <c r="O262" s="27" t="str">
        <f aca="false">IF(OR($N262=0,$C262="RECEPTION"),"",SUMIFS(MVT_BRUT,MVT_LOT,$D262,MVT_EMPL,$E262)+$G262)</f>
        <v/>
      </c>
      <c r="P262" s="26" t="str">
        <f aca="false">IF($C262="","",IF($N262=0,"DONNEES MANQUANTES",IF($C262="RECEPTION","OK",IF($O262&lt;=0,"EMPLACEMENT INCOHERENT",IF($G262&gt;$O262+0.001,"STOCK INSUFFISANT","OK")))))</f>
        <v/>
      </c>
      <c r="Q262" s="28" t="n">
        <f aca="false">IF($P262="OK",1,0)</f>
        <v>0</v>
      </c>
      <c r="R262" s="26" t="str">
        <f aca="false">IF($C262="","",IF($N262=0,"A COMPLETER : "&amp;IF($B262="","DATE; ","")&amp;IF($D262="","LOT; ","")&amp;IF(OR(NOT(ISNUMBER($G262)),$G262&lt;=0),"QUANTITE &gt; 0; ","")&amp;IF(AND($C262&lt;&gt;"RECEPTION",$E262=""),"EMPL. SOURCE; ","")&amp;IF(AND($C262&lt;&gt;"CONSOMMATION",$F262=""),"EMPL. DESTINATION; ","")&amp;IF(AND($C262="TRANSFERT",$E262&lt;&gt;"",$E262=$F262),"SOURCE = DESTINATION; ",""),IF($P262="EMPLACEMENT INCOHERENT","Le lot "&amp;$D262&amp;" n'existe pas sur "&amp;$E262&amp;" (stock 0). Verifier l'emplacement source.",IF($P262="STOCK INSUFFISANT","Disponible avant operation : "&amp;TEXT($O262,"#,##0.00")&amp;" kg. Ligne NON comptee en stock.",IF(COUNTIFS($B$5:$B$304,$B262,$C$5:$C$304,$C262,$D$5:$D$304,$D262,$G$5:$G$304,$G262)&gt;1,"Doublon possible (meme date, type, lot et quantite).",IF($J262="LOT NON REFERENCE","Creer d'abord la fiche du lot dans l'onglet LOTS.",""))))))</f>
        <v/>
      </c>
    </row>
    <row r="263" customFormat="false" ht="15" hidden="false" customHeight="false" outlineLevel="0" collapsed="false">
      <c r="A263" s="26" t="str">
        <f aca="false">IF($C263="","","OP-"&amp;TEXT(ROW()-4,"000"))</f>
        <v/>
      </c>
      <c r="B263" s="25"/>
      <c r="C263" s="24"/>
      <c r="D263" s="24"/>
      <c r="E263" s="24"/>
      <c r="F263" s="24"/>
      <c r="G263" s="29"/>
      <c r="H263" s="24"/>
      <c r="I263" s="24"/>
      <c r="J263" s="26" t="str">
        <f aca="false">IF($D263="","",IFERROR(INDEX(LOT_PRODE,MATCH($D263,LOT_KEY,0)),"LOT NON REFERENCE"))</f>
        <v/>
      </c>
      <c r="K263" s="26" t="str">
        <f aca="false">IF($D263="","",IFERROR(INDEX(LOT_FOURNE,MATCH($D263,LOT_KEY,0)),""))</f>
        <v/>
      </c>
      <c r="L263" s="26" t="str">
        <f aca="false">IF($E263="","",IFERROR(INDEX(EMPL_CLASSE,MATCH($E263,EMPL_KEY,0)),"?"))</f>
        <v/>
      </c>
      <c r="M263" s="26" t="str">
        <f aca="false">IF($F263="","",IFERROR(INDEX(EMPL_CLASSE,MATCH($F263,EMPL_KEY,0)),"?"))</f>
        <v/>
      </c>
      <c r="N263" s="28" t="n">
        <f aca="false">IF($C263="",0,IF(OR($B263="",$D263="",NOT(ISNUMBER($G263)),$G263&lt;=0),0,IF($C263="RECEPTION",IF($F263="",0,1),IF($C263="CONSOMMATION",IF($E263="",0,1),IF(OR($E263="",$F263="",$E263=$F263),0,1)))))</f>
        <v>0</v>
      </c>
      <c r="O263" s="27" t="str">
        <f aca="false">IF(OR($N263=0,$C263="RECEPTION"),"",SUMIFS(MVT_BRUT,MVT_LOT,$D263,MVT_EMPL,$E263)+$G263)</f>
        <v/>
      </c>
      <c r="P263" s="26" t="str">
        <f aca="false">IF($C263="","",IF($N263=0,"DONNEES MANQUANTES",IF($C263="RECEPTION","OK",IF($O263&lt;=0,"EMPLACEMENT INCOHERENT",IF($G263&gt;$O263+0.001,"STOCK INSUFFISANT","OK")))))</f>
        <v/>
      </c>
      <c r="Q263" s="28" t="n">
        <f aca="false">IF($P263="OK",1,0)</f>
        <v>0</v>
      </c>
      <c r="R263" s="26" t="str">
        <f aca="false">IF($C263="","",IF($N263=0,"A COMPLETER : "&amp;IF($B263="","DATE; ","")&amp;IF($D263="","LOT; ","")&amp;IF(OR(NOT(ISNUMBER($G263)),$G263&lt;=0),"QUANTITE &gt; 0; ","")&amp;IF(AND($C263&lt;&gt;"RECEPTION",$E263=""),"EMPL. SOURCE; ","")&amp;IF(AND($C263&lt;&gt;"CONSOMMATION",$F263=""),"EMPL. DESTINATION; ","")&amp;IF(AND($C263="TRANSFERT",$E263&lt;&gt;"",$E263=$F263),"SOURCE = DESTINATION; ",""),IF($P263="EMPLACEMENT INCOHERENT","Le lot "&amp;$D263&amp;" n'existe pas sur "&amp;$E263&amp;" (stock 0). Verifier l'emplacement source.",IF($P263="STOCK INSUFFISANT","Disponible avant operation : "&amp;TEXT($O263,"#,##0.00")&amp;" kg. Ligne NON comptee en stock.",IF(COUNTIFS($B$5:$B$304,$B263,$C$5:$C$304,$C263,$D$5:$D$304,$D263,$G$5:$G$304,$G263)&gt;1,"Doublon possible (meme date, type, lot et quantite).",IF($J263="LOT NON REFERENCE","Creer d'abord la fiche du lot dans l'onglet LOTS.",""))))))</f>
        <v/>
      </c>
    </row>
    <row r="264" customFormat="false" ht="15" hidden="false" customHeight="false" outlineLevel="0" collapsed="false">
      <c r="A264" s="26" t="str">
        <f aca="false">IF($C264="","","OP-"&amp;TEXT(ROW()-4,"000"))</f>
        <v/>
      </c>
      <c r="B264" s="25"/>
      <c r="C264" s="24"/>
      <c r="D264" s="24"/>
      <c r="E264" s="24"/>
      <c r="F264" s="24"/>
      <c r="G264" s="29"/>
      <c r="H264" s="24"/>
      <c r="I264" s="24"/>
      <c r="J264" s="26" t="str">
        <f aca="false">IF($D264="","",IFERROR(INDEX(LOT_PRODE,MATCH($D264,LOT_KEY,0)),"LOT NON REFERENCE"))</f>
        <v/>
      </c>
      <c r="K264" s="26" t="str">
        <f aca="false">IF($D264="","",IFERROR(INDEX(LOT_FOURNE,MATCH($D264,LOT_KEY,0)),""))</f>
        <v/>
      </c>
      <c r="L264" s="26" t="str">
        <f aca="false">IF($E264="","",IFERROR(INDEX(EMPL_CLASSE,MATCH($E264,EMPL_KEY,0)),"?"))</f>
        <v/>
      </c>
      <c r="M264" s="26" t="str">
        <f aca="false">IF($F264="","",IFERROR(INDEX(EMPL_CLASSE,MATCH($F264,EMPL_KEY,0)),"?"))</f>
        <v/>
      </c>
      <c r="N264" s="28" t="n">
        <f aca="false">IF($C264="",0,IF(OR($B264="",$D264="",NOT(ISNUMBER($G264)),$G264&lt;=0),0,IF($C264="RECEPTION",IF($F264="",0,1),IF($C264="CONSOMMATION",IF($E264="",0,1),IF(OR($E264="",$F264="",$E264=$F264),0,1)))))</f>
        <v>0</v>
      </c>
      <c r="O264" s="27" t="str">
        <f aca="false">IF(OR($N264=0,$C264="RECEPTION"),"",SUMIFS(MVT_BRUT,MVT_LOT,$D264,MVT_EMPL,$E264)+$G264)</f>
        <v/>
      </c>
      <c r="P264" s="26" t="str">
        <f aca="false">IF($C264="","",IF($N264=0,"DONNEES MANQUANTES",IF($C264="RECEPTION","OK",IF($O264&lt;=0,"EMPLACEMENT INCOHERENT",IF($G264&gt;$O264+0.001,"STOCK INSUFFISANT","OK")))))</f>
        <v/>
      </c>
      <c r="Q264" s="28" t="n">
        <f aca="false">IF($P264="OK",1,0)</f>
        <v>0</v>
      </c>
      <c r="R264" s="26" t="str">
        <f aca="false">IF($C264="","",IF($N264=0,"A COMPLETER : "&amp;IF($B264="","DATE; ","")&amp;IF($D264="","LOT; ","")&amp;IF(OR(NOT(ISNUMBER($G264)),$G264&lt;=0),"QUANTITE &gt; 0; ","")&amp;IF(AND($C264&lt;&gt;"RECEPTION",$E264=""),"EMPL. SOURCE; ","")&amp;IF(AND($C264&lt;&gt;"CONSOMMATION",$F264=""),"EMPL. DESTINATION; ","")&amp;IF(AND($C264="TRANSFERT",$E264&lt;&gt;"",$E264=$F264),"SOURCE = DESTINATION; ",""),IF($P264="EMPLACEMENT INCOHERENT","Le lot "&amp;$D264&amp;" n'existe pas sur "&amp;$E264&amp;" (stock 0). Verifier l'emplacement source.",IF($P264="STOCK INSUFFISANT","Disponible avant operation : "&amp;TEXT($O264,"#,##0.00")&amp;" kg. Ligne NON comptee en stock.",IF(COUNTIFS($B$5:$B$304,$B264,$C$5:$C$304,$C264,$D$5:$D$304,$D264,$G$5:$G$304,$G264)&gt;1,"Doublon possible (meme date, type, lot et quantite).",IF($J264="LOT NON REFERENCE","Creer d'abord la fiche du lot dans l'onglet LOTS.",""))))))</f>
        <v/>
      </c>
    </row>
    <row r="265" customFormat="false" ht="15" hidden="false" customHeight="false" outlineLevel="0" collapsed="false">
      <c r="A265" s="26" t="str">
        <f aca="false">IF($C265="","","OP-"&amp;TEXT(ROW()-4,"000"))</f>
        <v/>
      </c>
      <c r="B265" s="25"/>
      <c r="C265" s="24"/>
      <c r="D265" s="24"/>
      <c r="E265" s="24"/>
      <c r="F265" s="24"/>
      <c r="G265" s="29"/>
      <c r="H265" s="24"/>
      <c r="I265" s="24"/>
      <c r="J265" s="26" t="str">
        <f aca="false">IF($D265="","",IFERROR(INDEX(LOT_PRODE,MATCH($D265,LOT_KEY,0)),"LOT NON REFERENCE"))</f>
        <v/>
      </c>
      <c r="K265" s="26" t="str">
        <f aca="false">IF($D265="","",IFERROR(INDEX(LOT_FOURNE,MATCH($D265,LOT_KEY,0)),""))</f>
        <v/>
      </c>
      <c r="L265" s="26" t="str">
        <f aca="false">IF($E265="","",IFERROR(INDEX(EMPL_CLASSE,MATCH($E265,EMPL_KEY,0)),"?"))</f>
        <v/>
      </c>
      <c r="M265" s="26" t="str">
        <f aca="false">IF($F265="","",IFERROR(INDEX(EMPL_CLASSE,MATCH($F265,EMPL_KEY,0)),"?"))</f>
        <v/>
      </c>
      <c r="N265" s="28" t="n">
        <f aca="false">IF($C265="",0,IF(OR($B265="",$D265="",NOT(ISNUMBER($G265)),$G265&lt;=0),0,IF($C265="RECEPTION",IF($F265="",0,1),IF($C265="CONSOMMATION",IF($E265="",0,1),IF(OR($E265="",$F265="",$E265=$F265),0,1)))))</f>
        <v>0</v>
      </c>
      <c r="O265" s="27" t="str">
        <f aca="false">IF(OR($N265=0,$C265="RECEPTION"),"",SUMIFS(MVT_BRUT,MVT_LOT,$D265,MVT_EMPL,$E265)+$G265)</f>
        <v/>
      </c>
      <c r="P265" s="26" t="str">
        <f aca="false">IF($C265="","",IF($N265=0,"DONNEES MANQUANTES",IF($C265="RECEPTION","OK",IF($O265&lt;=0,"EMPLACEMENT INCOHERENT",IF($G265&gt;$O265+0.001,"STOCK INSUFFISANT","OK")))))</f>
        <v/>
      </c>
      <c r="Q265" s="28" t="n">
        <f aca="false">IF($P265="OK",1,0)</f>
        <v>0</v>
      </c>
      <c r="R265" s="26" t="str">
        <f aca="false">IF($C265="","",IF($N265=0,"A COMPLETER : "&amp;IF($B265="","DATE; ","")&amp;IF($D265="","LOT; ","")&amp;IF(OR(NOT(ISNUMBER($G265)),$G265&lt;=0),"QUANTITE &gt; 0; ","")&amp;IF(AND($C265&lt;&gt;"RECEPTION",$E265=""),"EMPL. SOURCE; ","")&amp;IF(AND($C265&lt;&gt;"CONSOMMATION",$F265=""),"EMPL. DESTINATION; ","")&amp;IF(AND($C265="TRANSFERT",$E265&lt;&gt;"",$E265=$F265),"SOURCE = DESTINATION; ",""),IF($P265="EMPLACEMENT INCOHERENT","Le lot "&amp;$D265&amp;" n'existe pas sur "&amp;$E265&amp;" (stock 0). Verifier l'emplacement source.",IF($P265="STOCK INSUFFISANT","Disponible avant operation : "&amp;TEXT($O265,"#,##0.00")&amp;" kg. Ligne NON comptee en stock.",IF(COUNTIFS($B$5:$B$304,$B265,$C$5:$C$304,$C265,$D$5:$D$304,$D265,$G$5:$G$304,$G265)&gt;1,"Doublon possible (meme date, type, lot et quantite).",IF($J265="LOT NON REFERENCE","Creer d'abord la fiche du lot dans l'onglet LOTS.",""))))))</f>
        <v/>
      </c>
    </row>
    <row r="266" customFormat="false" ht="15" hidden="false" customHeight="false" outlineLevel="0" collapsed="false">
      <c r="A266" s="26" t="str">
        <f aca="false">IF($C266="","","OP-"&amp;TEXT(ROW()-4,"000"))</f>
        <v/>
      </c>
      <c r="B266" s="25"/>
      <c r="C266" s="24"/>
      <c r="D266" s="24"/>
      <c r="E266" s="24"/>
      <c r="F266" s="24"/>
      <c r="G266" s="29"/>
      <c r="H266" s="24"/>
      <c r="I266" s="24"/>
      <c r="J266" s="26" t="str">
        <f aca="false">IF($D266="","",IFERROR(INDEX(LOT_PRODE,MATCH($D266,LOT_KEY,0)),"LOT NON REFERENCE"))</f>
        <v/>
      </c>
      <c r="K266" s="26" t="str">
        <f aca="false">IF($D266="","",IFERROR(INDEX(LOT_FOURNE,MATCH($D266,LOT_KEY,0)),""))</f>
        <v/>
      </c>
      <c r="L266" s="26" t="str">
        <f aca="false">IF($E266="","",IFERROR(INDEX(EMPL_CLASSE,MATCH($E266,EMPL_KEY,0)),"?"))</f>
        <v/>
      </c>
      <c r="M266" s="26" t="str">
        <f aca="false">IF($F266="","",IFERROR(INDEX(EMPL_CLASSE,MATCH($F266,EMPL_KEY,0)),"?"))</f>
        <v/>
      </c>
      <c r="N266" s="28" t="n">
        <f aca="false">IF($C266="",0,IF(OR($B266="",$D266="",NOT(ISNUMBER($G266)),$G266&lt;=0),0,IF($C266="RECEPTION",IF($F266="",0,1),IF($C266="CONSOMMATION",IF($E266="",0,1),IF(OR($E266="",$F266="",$E266=$F266),0,1)))))</f>
        <v>0</v>
      </c>
      <c r="O266" s="27" t="str">
        <f aca="false">IF(OR($N266=0,$C266="RECEPTION"),"",SUMIFS(MVT_BRUT,MVT_LOT,$D266,MVT_EMPL,$E266)+$G266)</f>
        <v/>
      </c>
      <c r="P266" s="26" t="str">
        <f aca="false">IF($C266="","",IF($N266=0,"DONNEES MANQUANTES",IF($C266="RECEPTION","OK",IF($O266&lt;=0,"EMPLACEMENT INCOHERENT",IF($G266&gt;$O266+0.001,"STOCK INSUFFISANT","OK")))))</f>
        <v/>
      </c>
      <c r="Q266" s="28" t="n">
        <f aca="false">IF($P266="OK",1,0)</f>
        <v>0</v>
      </c>
      <c r="R266" s="26" t="str">
        <f aca="false">IF($C266="","",IF($N266=0,"A COMPLETER : "&amp;IF($B266="","DATE; ","")&amp;IF($D266="","LOT; ","")&amp;IF(OR(NOT(ISNUMBER($G266)),$G266&lt;=0),"QUANTITE &gt; 0; ","")&amp;IF(AND($C266&lt;&gt;"RECEPTION",$E266=""),"EMPL. SOURCE; ","")&amp;IF(AND($C266&lt;&gt;"CONSOMMATION",$F266=""),"EMPL. DESTINATION; ","")&amp;IF(AND($C266="TRANSFERT",$E266&lt;&gt;"",$E266=$F266),"SOURCE = DESTINATION; ",""),IF($P266="EMPLACEMENT INCOHERENT","Le lot "&amp;$D266&amp;" n'existe pas sur "&amp;$E266&amp;" (stock 0). Verifier l'emplacement source.",IF($P266="STOCK INSUFFISANT","Disponible avant operation : "&amp;TEXT($O266,"#,##0.00")&amp;" kg. Ligne NON comptee en stock.",IF(COUNTIFS($B$5:$B$304,$B266,$C$5:$C$304,$C266,$D$5:$D$304,$D266,$G$5:$G$304,$G266)&gt;1,"Doublon possible (meme date, type, lot et quantite).",IF($J266="LOT NON REFERENCE","Creer d'abord la fiche du lot dans l'onglet LOTS.",""))))))</f>
        <v/>
      </c>
    </row>
    <row r="267" customFormat="false" ht="15" hidden="false" customHeight="false" outlineLevel="0" collapsed="false">
      <c r="A267" s="26" t="str">
        <f aca="false">IF($C267="","","OP-"&amp;TEXT(ROW()-4,"000"))</f>
        <v/>
      </c>
      <c r="B267" s="25"/>
      <c r="C267" s="24"/>
      <c r="D267" s="24"/>
      <c r="E267" s="24"/>
      <c r="F267" s="24"/>
      <c r="G267" s="29"/>
      <c r="H267" s="24"/>
      <c r="I267" s="24"/>
      <c r="J267" s="26" t="str">
        <f aca="false">IF($D267="","",IFERROR(INDEX(LOT_PRODE,MATCH($D267,LOT_KEY,0)),"LOT NON REFERENCE"))</f>
        <v/>
      </c>
      <c r="K267" s="26" t="str">
        <f aca="false">IF($D267="","",IFERROR(INDEX(LOT_FOURNE,MATCH($D267,LOT_KEY,0)),""))</f>
        <v/>
      </c>
      <c r="L267" s="26" t="str">
        <f aca="false">IF($E267="","",IFERROR(INDEX(EMPL_CLASSE,MATCH($E267,EMPL_KEY,0)),"?"))</f>
        <v/>
      </c>
      <c r="M267" s="26" t="str">
        <f aca="false">IF($F267="","",IFERROR(INDEX(EMPL_CLASSE,MATCH($F267,EMPL_KEY,0)),"?"))</f>
        <v/>
      </c>
      <c r="N267" s="28" t="n">
        <f aca="false">IF($C267="",0,IF(OR($B267="",$D267="",NOT(ISNUMBER($G267)),$G267&lt;=0),0,IF($C267="RECEPTION",IF($F267="",0,1),IF($C267="CONSOMMATION",IF($E267="",0,1),IF(OR($E267="",$F267="",$E267=$F267),0,1)))))</f>
        <v>0</v>
      </c>
      <c r="O267" s="27" t="str">
        <f aca="false">IF(OR($N267=0,$C267="RECEPTION"),"",SUMIFS(MVT_BRUT,MVT_LOT,$D267,MVT_EMPL,$E267)+$G267)</f>
        <v/>
      </c>
      <c r="P267" s="26" t="str">
        <f aca="false">IF($C267="","",IF($N267=0,"DONNEES MANQUANTES",IF($C267="RECEPTION","OK",IF($O267&lt;=0,"EMPLACEMENT INCOHERENT",IF($G267&gt;$O267+0.001,"STOCK INSUFFISANT","OK")))))</f>
        <v/>
      </c>
      <c r="Q267" s="28" t="n">
        <f aca="false">IF($P267="OK",1,0)</f>
        <v>0</v>
      </c>
      <c r="R267" s="26" t="str">
        <f aca="false">IF($C267="","",IF($N267=0,"A COMPLETER : "&amp;IF($B267="","DATE; ","")&amp;IF($D267="","LOT; ","")&amp;IF(OR(NOT(ISNUMBER($G267)),$G267&lt;=0),"QUANTITE &gt; 0; ","")&amp;IF(AND($C267&lt;&gt;"RECEPTION",$E267=""),"EMPL. SOURCE; ","")&amp;IF(AND($C267&lt;&gt;"CONSOMMATION",$F267=""),"EMPL. DESTINATION; ","")&amp;IF(AND($C267="TRANSFERT",$E267&lt;&gt;"",$E267=$F267),"SOURCE = DESTINATION; ",""),IF($P267="EMPLACEMENT INCOHERENT","Le lot "&amp;$D267&amp;" n'existe pas sur "&amp;$E267&amp;" (stock 0). Verifier l'emplacement source.",IF($P267="STOCK INSUFFISANT","Disponible avant operation : "&amp;TEXT($O267,"#,##0.00")&amp;" kg. Ligne NON comptee en stock.",IF(COUNTIFS($B$5:$B$304,$B267,$C$5:$C$304,$C267,$D$5:$D$304,$D267,$G$5:$G$304,$G267)&gt;1,"Doublon possible (meme date, type, lot et quantite).",IF($J267="LOT NON REFERENCE","Creer d'abord la fiche du lot dans l'onglet LOTS.",""))))))</f>
        <v/>
      </c>
    </row>
    <row r="268" customFormat="false" ht="15" hidden="false" customHeight="false" outlineLevel="0" collapsed="false">
      <c r="A268" s="26" t="str">
        <f aca="false">IF($C268="","","OP-"&amp;TEXT(ROW()-4,"000"))</f>
        <v/>
      </c>
      <c r="B268" s="25"/>
      <c r="C268" s="24"/>
      <c r="D268" s="24"/>
      <c r="E268" s="24"/>
      <c r="F268" s="24"/>
      <c r="G268" s="29"/>
      <c r="H268" s="24"/>
      <c r="I268" s="24"/>
      <c r="J268" s="26" t="str">
        <f aca="false">IF($D268="","",IFERROR(INDEX(LOT_PRODE,MATCH($D268,LOT_KEY,0)),"LOT NON REFERENCE"))</f>
        <v/>
      </c>
      <c r="K268" s="26" t="str">
        <f aca="false">IF($D268="","",IFERROR(INDEX(LOT_FOURNE,MATCH($D268,LOT_KEY,0)),""))</f>
        <v/>
      </c>
      <c r="L268" s="26" t="str">
        <f aca="false">IF($E268="","",IFERROR(INDEX(EMPL_CLASSE,MATCH($E268,EMPL_KEY,0)),"?"))</f>
        <v/>
      </c>
      <c r="M268" s="26" t="str">
        <f aca="false">IF($F268="","",IFERROR(INDEX(EMPL_CLASSE,MATCH($F268,EMPL_KEY,0)),"?"))</f>
        <v/>
      </c>
      <c r="N268" s="28" t="n">
        <f aca="false">IF($C268="",0,IF(OR($B268="",$D268="",NOT(ISNUMBER($G268)),$G268&lt;=0),0,IF($C268="RECEPTION",IF($F268="",0,1),IF($C268="CONSOMMATION",IF($E268="",0,1),IF(OR($E268="",$F268="",$E268=$F268),0,1)))))</f>
        <v>0</v>
      </c>
      <c r="O268" s="27" t="str">
        <f aca="false">IF(OR($N268=0,$C268="RECEPTION"),"",SUMIFS(MVT_BRUT,MVT_LOT,$D268,MVT_EMPL,$E268)+$G268)</f>
        <v/>
      </c>
      <c r="P268" s="26" t="str">
        <f aca="false">IF($C268="","",IF($N268=0,"DONNEES MANQUANTES",IF($C268="RECEPTION","OK",IF($O268&lt;=0,"EMPLACEMENT INCOHERENT",IF($G268&gt;$O268+0.001,"STOCK INSUFFISANT","OK")))))</f>
        <v/>
      </c>
      <c r="Q268" s="28" t="n">
        <f aca="false">IF($P268="OK",1,0)</f>
        <v>0</v>
      </c>
      <c r="R268" s="26" t="str">
        <f aca="false">IF($C268="","",IF($N268=0,"A COMPLETER : "&amp;IF($B268="","DATE; ","")&amp;IF($D268="","LOT; ","")&amp;IF(OR(NOT(ISNUMBER($G268)),$G268&lt;=0),"QUANTITE &gt; 0; ","")&amp;IF(AND($C268&lt;&gt;"RECEPTION",$E268=""),"EMPL. SOURCE; ","")&amp;IF(AND($C268&lt;&gt;"CONSOMMATION",$F268=""),"EMPL. DESTINATION; ","")&amp;IF(AND($C268="TRANSFERT",$E268&lt;&gt;"",$E268=$F268),"SOURCE = DESTINATION; ",""),IF($P268="EMPLACEMENT INCOHERENT","Le lot "&amp;$D268&amp;" n'existe pas sur "&amp;$E268&amp;" (stock 0). Verifier l'emplacement source.",IF($P268="STOCK INSUFFISANT","Disponible avant operation : "&amp;TEXT($O268,"#,##0.00")&amp;" kg. Ligne NON comptee en stock.",IF(COUNTIFS($B$5:$B$304,$B268,$C$5:$C$304,$C268,$D$5:$D$304,$D268,$G$5:$G$304,$G268)&gt;1,"Doublon possible (meme date, type, lot et quantite).",IF($J268="LOT NON REFERENCE","Creer d'abord la fiche du lot dans l'onglet LOTS.",""))))))</f>
        <v/>
      </c>
    </row>
    <row r="269" customFormat="false" ht="15" hidden="false" customHeight="false" outlineLevel="0" collapsed="false">
      <c r="A269" s="26" t="str">
        <f aca="false">IF($C269="","","OP-"&amp;TEXT(ROW()-4,"000"))</f>
        <v/>
      </c>
      <c r="B269" s="25"/>
      <c r="C269" s="24"/>
      <c r="D269" s="24"/>
      <c r="E269" s="24"/>
      <c r="F269" s="24"/>
      <c r="G269" s="29"/>
      <c r="H269" s="24"/>
      <c r="I269" s="24"/>
      <c r="J269" s="26" t="str">
        <f aca="false">IF($D269="","",IFERROR(INDEX(LOT_PRODE,MATCH($D269,LOT_KEY,0)),"LOT NON REFERENCE"))</f>
        <v/>
      </c>
      <c r="K269" s="26" t="str">
        <f aca="false">IF($D269="","",IFERROR(INDEX(LOT_FOURNE,MATCH($D269,LOT_KEY,0)),""))</f>
        <v/>
      </c>
      <c r="L269" s="26" t="str">
        <f aca="false">IF($E269="","",IFERROR(INDEX(EMPL_CLASSE,MATCH($E269,EMPL_KEY,0)),"?"))</f>
        <v/>
      </c>
      <c r="M269" s="26" t="str">
        <f aca="false">IF($F269="","",IFERROR(INDEX(EMPL_CLASSE,MATCH($F269,EMPL_KEY,0)),"?"))</f>
        <v/>
      </c>
      <c r="N269" s="28" t="n">
        <f aca="false">IF($C269="",0,IF(OR($B269="",$D269="",NOT(ISNUMBER($G269)),$G269&lt;=0),0,IF($C269="RECEPTION",IF($F269="",0,1),IF($C269="CONSOMMATION",IF($E269="",0,1),IF(OR($E269="",$F269="",$E269=$F269),0,1)))))</f>
        <v>0</v>
      </c>
      <c r="O269" s="27" t="str">
        <f aca="false">IF(OR($N269=0,$C269="RECEPTION"),"",SUMIFS(MVT_BRUT,MVT_LOT,$D269,MVT_EMPL,$E269)+$G269)</f>
        <v/>
      </c>
      <c r="P269" s="26" t="str">
        <f aca="false">IF($C269="","",IF($N269=0,"DONNEES MANQUANTES",IF($C269="RECEPTION","OK",IF($O269&lt;=0,"EMPLACEMENT INCOHERENT",IF($G269&gt;$O269+0.001,"STOCK INSUFFISANT","OK")))))</f>
        <v/>
      </c>
      <c r="Q269" s="28" t="n">
        <f aca="false">IF($P269="OK",1,0)</f>
        <v>0</v>
      </c>
      <c r="R269" s="26" t="str">
        <f aca="false">IF($C269="","",IF($N269=0,"A COMPLETER : "&amp;IF($B269="","DATE; ","")&amp;IF($D269="","LOT; ","")&amp;IF(OR(NOT(ISNUMBER($G269)),$G269&lt;=0),"QUANTITE &gt; 0; ","")&amp;IF(AND($C269&lt;&gt;"RECEPTION",$E269=""),"EMPL. SOURCE; ","")&amp;IF(AND($C269&lt;&gt;"CONSOMMATION",$F269=""),"EMPL. DESTINATION; ","")&amp;IF(AND($C269="TRANSFERT",$E269&lt;&gt;"",$E269=$F269),"SOURCE = DESTINATION; ",""),IF($P269="EMPLACEMENT INCOHERENT","Le lot "&amp;$D269&amp;" n'existe pas sur "&amp;$E269&amp;" (stock 0). Verifier l'emplacement source.",IF($P269="STOCK INSUFFISANT","Disponible avant operation : "&amp;TEXT($O269,"#,##0.00")&amp;" kg. Ligne NON comptee en stock.",IF(COUNTIFS($B$5:$B$304,$B269,$C$5:$C$304,$C269,$D$5:$D$304,$D269,$G$5:$G$304,$G269)&gt;1,"Doublon possible (meme date, type, lot et quantite).",IF($J269="LOT NON REFERENCE","Creer d'abord la fiche du lot dans l'onglet LOTS.",""))))))</f>
        <v/>
      </c>
    </row>
    <row r="270" customFormat="false" ht="15" hidden="false" customHeight="false" outlineLevel="0" collapsed="false">
      <c r="A270" s="26" t="str">
        <f aca="false">IF($C270="","","OP-"&amp;TEXT(ROW()-4,"000"))</f>
        <v/>
      </c>
      <c r="B270" s="25"/>
      <c r="C270" s="24"/>
      <c r="D270" s="24"/>
      <c r="E270" s="24"/>
      <c r="F270" s="24"/>
      <c r="G270" s="29"/>
      <c r="H270" s="24"/>
      <c r="I270" s="24"/>
      <c r="J270" s="26" t="str">
        <f aca="false">IF($D270="","",IFERROR(INDEX(LOT_PRODE,MATCH($D270,LOT_KEY,0)),"LOT NON REFERENCE"))</f>
        <v/>
      </c>
      <c r="K270" s="26" t="str">
        <f aca="false">IF($D270="","",IFERROR(INDEX(LOT_FOURNE,MATCH($D270,LOT_KEY,0)),""))</f>
        <v/>
      </c>
      <c r="L270" s="26" t="str">
        <f aca="false">IF($E270="","",IFERROR(INDEX(EMPL_CLASSE,MATCH($E270,EMPL_KEY,0)),"?"))</f>
        <v/>
      </c>
      <c r="M270" s="26" t="str">
        <f aca="false">IF($F270="","",IFERROR(INDEX(EMPL_CLASSE,MATCH($F270,EMPL_KEY,0)),"?"))</f>
        <v/>
      </c>
      <c r="N270" s="28" t="n">
        <f aca="false">IF($C270="",0,IF(OR($B270="",$D270="",NOT(ISNUMBER($G270)),$G270&lt;=0),0,IF($C270="RECEPTION",IF($F270="",0,1),IF($C270="CONSOMMATION",IF($E270="",0,1),IF(OR($E270="",$F270="",$E270=$F270),0,1)))))</f>
        <v>0</v>
      </c>
      <c r="O270" s="27" t="str">
        <f aca="false">IF(OR($N270=0,$C270="RECEPTION"),"",SUMIFS(MVT_BRUT,MVT_LOT,$D270,MVT_EMPL,$E270)+$G270)</f>
        <v/>
      </c>
      <c r="P270" s="26" t="str">
        <f aca="false">IF($C270="","",IF($N270=0,"DONNEES MANQUANTES",IF($C270="RECEPTION","OK",IF($O270&lt;=0,"EMPLACEMENT INCOHERENT",IF($G270&gt;$O270+0.001,"STOCK INSUFFISANT","OK")))))</f>
        <v/>
      </c>
      <c r="Q270" s="28" t="n">
        <f aca="false">IF($P270="OK",1,0)</f>
        <v>0</v>
      </c>
      <c r="R270" s="26" t="str">
        <f aca="false">IF($C270="","",IF($N270=0,"A COMPLETER : "&amp;IF($B270="","DATE; ","")&amp;IF($D270="","LOT; ","")&amp;IF(OR(NOT(ISNUMBER($G270)),$G270&lt;=0),"QUANTITE &gt; 0; ","")&amp;IF(AND($C270&lt;&gt;"RECEPTION",$E270=""),"EMPL. SOURCE; ","")&amp;IF(AND($C270&lt;&gt;"CONSOMMATION",$F270=""),"EMPL. DESTINATION; ","")&amp;IF(AND($C270="TRANSFERT",$E270&lt;&gt;"",$E270=$F270),"SOURCE = DESTINATION; ",""),IF($P270="EMPLACEMENT INCOHERENT","Le lot "&amp;$D270&amp;" n'existe pas sur "&amp;$E270&amp;" (stock 0). Verifier l'emplacement source.",IF($P270="STOCK INSUFFISANT","Disponible avant operation : "&amp;TEXT($O270,"#,##0.00")&amp;" kg. Ligne NON comptee en stock.",IF(COUNTIFS($B$5:$B$304,$B270,$C$5:$C$304,$C270,$D$5:$D$304,$D270,$G$5:$G$304,$G270)&gt;1,"Doublon possible (meme date, type, lot et quantite).",IF($J270="LOT NON REFERENCE","Creer d'abord la fiche du lot dans l'onglet LOTS.",""))))))</f>
        <v/>
      </c>
    </row>
    <row r="271" customFormat="false" ht="15" hidden="false" customHeight="false" outlineLevel="0" collapsed="false">
      <c r="A271" s="26" t="str">
        <f aca="false">IF($C271="","","OP-"&amp;TEXT(ROW()-4,"000"))</f>
        <v/>
      </c>
      <c r="B271" s="25"/>
      <c r="C271" s="24"/>
      <c r="D271" s="24"/>
      <c r="E271" s="24"/>
      <c r="F271" s="24"/>
      <c r="G271" s="29"/>
      <c r="H271" s="24"/>
      <c r="I271" s="24"/>
      <c r="J271" s="26" t="str">
        <f aca="false">IF($D271="","",IFERROR(INDEX(LOT_PRODE,MATCH($D271,LOT_KEY,0)),"LOT NON REFERENCE"))</f>
        <v/>
      </c>
      <c r="K271" s="26" t="str">
        <f aca="false">IF($D271="","",IFERROR(INDEX(LOT_FOURNE,MATCH($D271,LOT_KEY,0)),""))</f>
        <v/>
      </c>
      <c r="L271" s="26" t="str">
        <f aca="false">IF($E271="","",IFERROR(INDEX(EMPL_CLASSE,MATCH($E271,EMPL_KEY,0)),"?"))</f>
        <v/>
      </c>
      <c r="M271" s="26" t="str">
        <f aca="false">IF($F271="","",IFERROR(INDEX(EMPL_CLASSE,MATCH($F271,EMPL_KEY,0)),"?"))</f>
        <v/>
      </c>
      <c r="N271" s="28" t="n">
        <f aca="false">IF($C271="",0,IF(OR($B271="",$D271="",NOT(ISNUMBER($G271)),$G271&lt;=0),0,IF($C271="RECEPTION",IF($F271="",0,1),IF($C271="CONSOMMATION",IF($E271="",0,1),IF(OR($E271="",$F271="",$E271=$F271),0,1)))))</f>
        <v>0</v>
      </c>
      <c r="O271" s="27" t="str">
        <f aca="false">IF(OR($N271=0,$C271="RECEPTION"),"",SUMIFS(MVT_BRUT,MVT_LOT,$D271,MVT_EMPL,$E271)+$G271)</f>
        <v/>
      </c>
      <c r="P271" s="26" t="str">
        <f aca="false">IF($C271="","",IF($N271=0,"DONNEES MANQUANTES",IF($C271="RECEPTION","OK",IF($O271&lt;=0,"EMPLACEMENT INCOHERENT",IF($G271&gt;$O271+0.001,"STOCK INSUFFISANT","OK")))))</f>
        <v/>
      </c>
      <c r="Q271" s="28" t="n">
        <f aca="false">IF($P271="OK",1,0)</f>
        <v>0</v>
      </c>
      <c r="R271" s="26" t="str">
        <f aca="false">IF($C271="","",IF($N271=0,"A COMPLETER : "&amp;IF($B271="","DATE; ","")&amp;IF($D271="","LOT; ","")&amp;IF(OR(NOT(ISNUMBER($G271)),$G271&lt;=0),"QUANTITE &gt; 0; ","")&amp;IF(AND($C271&lt;&gt;"RECEPTION",$E271=""),"EMPL. SOURCE; ","")&amp;IF(AND($C271&lt;&gt;"CONSOMMATION",$F271=""),"EMPL. DESTINATION; ","")&amp;IF(AND($C271="TRANSFERT",$E271&lt;&gt;"",$E271=$F271),"SOURCE = DESTINATION; ",""),IF($P271="EMPLACEMENT INCOHERENT","Le lot "&amp;$D271&amp;" n'existe pas sur "&amp;$E271&amp;" (stock 0). Verifier l'emplacement source.",IF($P271="STOCK INSUFFISANT","Disponible avant operation : "&amp;TEXT($O271,"#,##0.00")&amp;" kg. Ligne NON comptee en stock.",IF(COUNTIFS($B$5:$B$304,$B271,$C$5:$C$304,$C271,$D$5:$D$304,$D271,$G$5:$G$304,$G271)&gt;1,"Doublon possible (meme date, type, lot et quantite).",IF($J271="LOT NON REFERENCE","Creer d'abord la fiche du lot dans l'onglet LOTS.",""))))))</f>
        <v/>
      </c>
    </row>
    <row r="272" customFormat="false" ht="15" hidden="false" customHeight="false" outlineLevel="0" collapsed="false">
      <c r="A272" s="26" t="str">
        <f aca="false">IF($C272="","","OP-"&amp;TEXT(ROW()-4,"000"))</f>
        <v/>
      </c>
      <c r="B272" s="25"/>
      <c r="C272" s="24"/>
      <c r="D272" s="24"/>
      <c r="E272" s="24"/>
      <c r="F272" s="24"/>
      <c r="G272" s="29"/>
      <c r="H272" s="24"/>
      <c r="I272" s="24"/>
      <c r="J272" s="26" t="str">
        <f aca="false">IF($D272="","",IFERROR(INDEX(LOT_PRODE,MATCH($D272,LOT_KEY,0)),"LOT NON REFERENCE"))</f>
        <v/>
      </c>
      <c r="K272" s="26" t="str">
        <f aca="false">IF($D272="","",IFERROR(INDEX(LOT_FOURNE,MATCH($D272,LOT_KEY,0)),""))</f>
        <v/>
      </c>
      <c r="L272" s="26" t="str">
        <f aca="false">IF($E272="","",IFERROR(INDEX(EMPL_CLASSE,MATCH($E272,EMPL_KEY,0)),"?"))</f>
        <v/>
      </c>
      <c r="M272" s="26" t="str">
        <f aca="false">IF($F272="","",IFERROR(INDEX(EMPL_CLASSE,MATCH($F272,EMPL_KEY,0)),"?"))</f>
        <v/>
      </c>
      <c r="N272" s="28" t="n">
        <f aca="false">IF($C272="",0,IF(OR($B272="",$D272="",NOT(ISNUMBER($G272)),$G272&lt;=0),0,IF($C272="RECEPTION",IF($F272="",0,1),IF($C272="CONSOMMATION",IF($E272="",0,1),IF(OR($E272="",$F272="",$E272=$F272),0,1)))))</f>
        <v>0</v>
      </c>
      <c r="O272" s="27" t="str">
        <f aca="false">IF(OR($N272=0,$C272="RECEPTION"),"",SUMIFS(MVT_BRUT,MVT_LOT,$D272,MVT_EMPL,$E272)+$G272)</f>
        <v/>
      </c>
      <c r="P272" s="26" t="str">
        <f aca="false">IF($C272="","",IF($N272=0,"DONNEES MANQUANTES",IF($C272="RECEPTION","OK",IF($O272&lt;=0,"EMPLACEMENT INCOHERENT",IF($G272&gt;$O272+0.001,"STOCK INSUFFISANT","OK")))))</f>
        <v/>
      </c>
      <c r="Q272" s="28" t="n">
        <f aca="false">IF($P272="OK",1,0)</f>
        <v>0</v>
      </c>
      <c r="R272" s="26" t="str">
        <f aca="false">IF($C272="","",IF($N272=0,"A COMPLETER : "&amp;IF($B272="","DATE; ","")&amp;IF($D272="","LOT; ","")&amp;IF(OR(NOT(ISNUMBER($G272)),$G272&lt;=0),"QUANTITE &gt; 0; ","")&amp;IF(AND($C272&lt;&gt;"RECEPTION",$E272=""),"EMPL. SOURCE; ","")&amp;IF(AND($C272&lt;&gt;"CONSOMMATION",$F272=""),"EMPL. DESTINATION; ","")&amp;IF(AND($C272="TRANSFERT",$E272&lt;&gt;"",$E272=$F272),"SOURCE = DESTINATION; ",""),IF($P272="EMPLACEMENT INCOHERENT","Le lot "&amp;$D272&amp;" n'existe pas sur "&amp;$E272&amp;" (stock 0). Verifier l'emplacement source.",IF($P272="STOCK INSUFFISANT","Disponible avant operation : "&amp;TEXT($O272,"#,##0.00")&amp;" kg. Ligne NON comptee en stock.",IF(COUNTIFS($B$5:$B$304,$B272,$C$5:$C$304,$C272,$D$5:$D$304,$D272,$G$5:$G$304,$G272)&gt;1,"Doublon possible (meme date, type, lot et quantite).",IF($J272="LOT NON REFERENCE","Creer d'abord la fiche du lot dans l'onglet LOTS.",""))))))</f>
        <v/>
      </c>
    </row>
    <row r="273" customFormat="false" ht="15" hidden="false" customHeight="false" outlineLevel="0" collapsed="false">
      <c r="A273" s="26" t="str">
        <f aca="false">IF($C273="","","OP-"&amp;TEXT(ROW()-4,"000"))</f>
        <v/>
      </c>
      <c r="B273" s="25"/>
      <c r="C273" s="24"/>
      <c r="D273" s="24"/>
      <c r="E273" s="24"/>
      <c r="F273" s="24"/>
      <c r="G273" s="29"/>
      <c r="H273" s="24"/>
      <c r="I273" s="24"/>
      <c r="J273" s="26" t="str">
        <f aca="false">IF($D273="","",IFERROR(INDEX(LOT_PRODE,MATCH($D273,LOT_KEY,0)),"LOT NON REFERENCE"))</f>
        <v/>
      </c>
      <c r="K273" s="26" t="str">
        <f aca="false">IF($D273="","",IFERROR(INDEX(LOT_FOURNE,MATCH($D273,LOT_KEY,0)),""))</f>
        <v/>
      </c>
      <c r="L273" s="26" t="str">
        <f aca="false">IF($E273="","",IFERROR(INDEX(EMPL_CLASSE,MATCH($E273,EMPL_KEY,0)),"?"))</f>
        <v/>
      </c>
      <c r="M273" s="26" t="str">
        <f aca="false">IF($F273="","",IFERROR(INDEX(EMPL_CLASSE,MATCH($F273,EMPL_KEY,0)),"?"))</f>
        <v/>
      </c>
      <c r="N273" s="28" t="n">
        <f aca="false">IF($C273="",0,IF(OR($B273="",$D273="",NOT(ISNUMBER($G273)),$G273&lt;=0),0,IF($C273="RECEPTION",IF($F273="",0,1),IF($C273="CONSOMMATION",IF($E273="",0,1),IF(OR($E273="",$F273="",$E273=$F273),0,1)))))</f>
        <v>0</v>
      </c>
      <c r="O273" s="27" t="str">
        <f aca="false">IF(OR($N273=0,$C273="RECEPTION"),"",SUMIFS(MVT_BRUT,MVT_LOT,$D273,MVT_EMPL,$E273)+$G273)</f>
        <v/>
      </c>
      <c r="P273" s="26" t="str">
        <f aca="false">IF($C273="","",IF($N273=0,"DONNEES MANQUANTES",IF($C273="RECEPTION","OK",IF($O273&lt;=0,"EMPLACEMENT INCOHERENT",IF($G273&gt;$O273+0.001,"STOCK INSUFFISANT","OK")))))</f>
        <v/>
      </c>
      <c r="Q273" s="28" t="n">
        <f aca="false">IF($P273="OK",1,0)</f>
        <v>0</v>
      </c>
      <c r="R273" s="26" t="str">
        <f aca="false">IF($C273="","",IF($N273=0,"A COMPLETER : "&amp;IF($B273="","DATE; ","")&amp;IF($D273="","LOT; ","")&amp;IF(OR(NOT(ISNUMBER($G273)),$G273&lt;=0),"QUANTITE &gt; 0; ","")&amp;IF(AND($C273&lt;&gt;"RECEPTION",$E273=""),"EMPL. SOURCE; ","")&amp;IF(AND($C273&lt;&gt;"CONSOMMATION",$F273=""),"EMPL. DESTINATION; ","")&amp;IF(AND($C273="TRANSFERT",$E273&lt;&gt;"",$E273=$F273),"SOURCE = DESTINATION; ",""),IF($P273="EMPLACEMENT INCOHERENT","Le lot "&amp;$D273&amp;" n'existe pas sur "&amp;$E273&amp;" (stock 0). Verifier l'emplacement source.",IF($P273="STOCK INSUFFISANT","Disponible avant operation : "&amp;TEXT($O273,"#,##0.00")&amp;" kg. Ligne NON comptee en stock.",IF(COUNTIFS($B$5:$B$304,$B273,$C$5:$C$304,$C273,$D$5:$D$304,$D273,$G$5:$G$304,$G273)&gt;1,"Doublon possible (meme date, type, lot et quantite).",IF($J273="LOT NON REFERENCE","Creer d'abord la fiche du lot dans l'onglet LOTS.",""))))))</f>
        <v/>
      </c>
    </row>
    <row r="274" customFormat="false" ht="15" hidden="false" customHeight="false" outlineLevel="0" collapsed="false">
      <c r="A274" s="26" t="str">
        <f aca="false">IF($C274="","","OP-"&amp;TEXT(ROW()-4,"000"))</f>
        <v/>
      </c>
      <c r="B274" s="25"/>
      <c r="C274" s="24"/>
      <c r="D274" s="24"/>
      <c r="E274" s="24"/>
      <c r="F274" s="24"/>
      <c r="G274" s="29"/>
      <c r="H274" s="24"/>
      <c r="I274" s="24"/>
      <c r="J274" s="26" t="str">
        <f aca="false">IF($D274="","",IFERROR(INDEX(LOT_PRODE,MATCH($D274,LOT_KEY,0)),"LOT NON REFERENCE"))</f>
        <v/>
      </c>
      <c r="K274" s="26" t="str">
        <f aca="false">IF($D274="","",IFERROR(INDEX(LOT_FOURNE,MATCH($D274,LOT_KEY,0)),""))</f>
        <v/>
      </c>
      <c r="L274" s="26" t="str">
        <f aca="false">IF($E274="","",IFERROR(INDEX(EMPL_CLASSE,MATCH($E274,EMPL_KEY,0)),"?"))</f>
        <v/>
      </c>
      <c r="M274" s="26" t="str">
        <f aca="false">IF($F274="","",IFERROR(INDEX(EMPL_CLASSE,MATCH($F274,EMPL_KEY,0)),"?"))</f>
        <v/>
      </c>
      <c r="N274" s="28" t="n">
        <f aca="false">IF($C274="",0,IF(OR($B274="",$D274="",NOT(ISNUMBER($G274)),$G274&lt;=0),0,IF($C274="RECEPTION",IF($F274="",0,1),IF($C274="CONSOMMATION",IF($E274="",0,1),IF(OR($E274="",$F274="",$E274=$F274),0,1)))))</f>
        <v>0</v>
      </c>
      <c r="O274" s="27" t="str">
        <f aca="false">IF(OR($N274=0,$C274="RECEPTION"),"",SUMIFS(MVT_BRUT,MVT_LOT,$D274,MVT_EMPL,$E274)+$G274)</f>
        <v/>
      </c>
      <c r="P274" s="26" t="str">
        <f aca="false">IF($C274="","",IF($N274=0,"DONNEES MANQUANTES",IF($C274="RECEPTION","OK",IF($O274&lt;=0,"EMPLACEMENT INCOHERENT",IF($G274&gt;$O274+0.001,"STOCK INSUFFISANT","OK")))))</f>
        <v/>
      </c>
      <c r="Q274" s="28" t="n">
        <f aca="false">IF($P274="OK",1,0)</f>
        <v>0</v>
      </c>
      <c r="R274" s="26" t="str">
        <f aca="false">IF($C274="","",IF($N274=0,"A COMPLETER : "&amp;IF($B274="","DATE; ","")&amp;IF($D274="","LOT; ","")&amp;IF(OR(NOT(ISNUMBER($G274)),$G274&lt;=0),"QUANTITE &gt; 0; ","")&amp;IF(AND($C274&lt;&gt;"RECEPTION",$E274=""),"EMPL. SOURCE; ","")&amp;IF(AND($C274&lt;&gt;"CONSOMMATION",$F274=""),"EMPL. DESTINATION; ","")&amp;IF(AND($C274="TRANSFERT",$E274&lt;&gt;"",$E274=$F274),"SOURCE = DESTINATION; ",""),IF($P274="EMPLACEMENT INCOHERENT","Le lot "&amp;$D274&amp;" n'existe pas sur "&amp;$E274&amp;" (stock 0). Verifier l'emplacement source.",IF($P274="STOCK INSUFFISANT","Disponible avant operation : "&amp;TEXT($O274,"#,##0.00")&amp;" kg. Ligne NON comptee en stock.",IF(COUNTIFS($B$5:$B$304,$B274,$C$5:$C$304,$C274,$D$5:$D$304,$D274,$G$5:$G$304,$G274)&gt;1,"Doublon possible (meme date, type, lot et quantite).",IF($J274="LOT NON REFERENCE","Creer d'abord la fiche du lot dans l'onglet LOTS.",""))))))</f>
        <v/>
      </c>
    </row>
    <row r="275" customFormat="false" ht="15" hidden="false" customHeight="false" outlineLevel="0" collapsed="false">
      <c r="A275" s="26" t="str">
        <f aca="false">IF($C275="","","OP-"&amp;TEXT(ROW()-4,"000"))</f>
        <v/>
      </c>
      <c r="B275" s="25"/>
      <c r="C275" s="24"/>
      <c r="D275" s="24"/>
      <c r="E275" s="24"/>
      <c r="F275" s="24"/>
      <c r="G275" s="29"/>
      <c r="H275" s="24"/>
      <c r="I275" s="24"/>
      <c r="J275" s="26" t="str">
        <f aca="false">IF($D275="","",IFERROR(INDEX(LOT_PRODE,MATCH($D275,LOT_KEY,0)),"LOT NON REFERENCE"))</f>
        <v/>
      </c>
      <c r="K275" s="26" t="str">
        <f aca="false">IF($D275="","",IFERROR(INDEX(LOT_FOURNE,MATCH($D275,LOT_KEY,0)),""))</f>
        <v/>
      </c>
      <c r="L275" s="26" t="str">
        <f aca="false">IF($E275="","",IFERROR(INDEX(EMPL_CLASSE,MATCH($E275,EMPL_KEY,0)),"?"))</f>
        <v/>
      </c>
      <c r="M275" s="26" t="str">
        <f aca="false">IF($F275="","",IFERROR(INDEX(EMPL_CLASSE,MATCH($F275,EMPL_KEY,0)),"?"))</f>
        <v/>
      </c>
      <c r="N275" s="28" t="n">
        <f aca="false">IF($C275="",0,IF(OR($B275="",$D275="",NOT(ISNUMBER($G275)),$G275&lt;=0),0,IF($C275="RECEPTION",IF($F275="",0,1),IF($C275="CONSOMMATION",IF($E275="",0,1),IF(OR($E275="",$F275="",$E275=$F275),0,1)))))</f>
        <v>0</v>
      </c>
      <c r="O275" s="27" t="str">
        <f aca="false">IF(OR($N275=0,$C275="RECEPTION"),"",SUMIFS(MVT_BRUT,MVT_LOT,$D275,MVT_EMPL,$E275)+$G275)</f>
        <v/>
      </c>
      <c r="P275" s="26" t="str">
        <f aca="false">IF($C275="","",IF($N275=0,"DONNEES MANQUANTES",IF($C275="RECEPTION","OK",IF($O275&lt;=0,"EMPLACEMENT INCOHERENT",IF($G275&gt;$O275+0.001,"STOCK INSUFFISANT","OK")))))</f>
        <v/>
      </c>
      <c r="Q275" s="28" t="n">
        <f aca="false">IF($P275="OK",1,0)</f>
        <v>0</v>
      </c>
      <c r="R275" s="26" t="str">
        <f aca="false">IF($C275="","",IF($N275=0,"A COMPLETER : "&amp;IF($B275="","DATE; ","")&amp;IF($D275="","LOT; ","")&amp;IF(OR(NOT(ISNUMBER($G275)),$G275&lt;=0),"QUANTITE &gt; 0; ","")&amp;IF(AND($C275&lt;&gt;"RECEPTION",$E275=""),"EMPL. SOURCE; ","")&amp;IF(AND($C275&lt;&gt;"CONSOMMATION",$F275=""),"EMPL. DESTINATION; ","")&amp;IF(AND($C275="TRANSFERT",$E275&lt;&gt;"",$E275=$F275),"SOURCE = DESTINATION; ",""),IF($P275="EMPLACEMENT INCOHERENT","Le lot "&amp;$D275&amp;" n'existe pas sur "&amp;$E275&amp;" (stock 0). Verifier l'emplacement source.",IF($P275="STOCK INSUFFISANT","Disponible avant operation : "&amp;TEXT($O275,"#,##0.00")&amp;" kg. Ligne NON comptee en stock.",IF(COUNTIFS($B$5:$B$304,$B275,$C$5:$C$304,$C275,$D$5:$D$304,$D275,$G$5:$G$304,$G275)&gt;1,"Doublon possible (meme date, type, lot et quantite).",IF($J275="LOT NON REFERENCE","Creer d'abord la fiche du lot dans l'onglet LOTS.",""))))))</f>
        <v/>
      </c>
    </row>
    <row r="276" customFormat="false" ht="15" hidden="false" customHeight="false" outlineLevel="0" collapsed="false">
      <c r="A276" s="26" t="str">
        <f aca="false">IF($C276="","","OP-"&amp;TEXT(ROW()-4,"000"))</f>
        <v/>
      </c>
      <c r="B276" s="25"/>
      <c r="C276" s="24"/>
      <c r="D276" s="24"/>
      <c r="E276" s="24"/>
      <c r="F276" s="24"/>
      <c r="G276" s="29"/>
      <c r="H276" s="24"/>
      <c r="I276" s="24"/>
      <c r="J276" s="26" t="str">
        <f aca="false">IF($D276="","",IFERROR(INDEX(LOT_PRODE,MATCH($D276,LOT_KEY,0)),"LOT NON REFERENCE"))</f>
        <v/>
      </c>
      <c r="K276" s="26" t="str">
        <f aca="false">IF($D276="","",IFERROR(INDEX(LOT_FOURNE,MATCH($D276,LOT_KEY,0)),""))</f>
        <v/>
      </c>
      <c r="L276" s="26" t="str">
        <f aca="false">IF($E276="","",IFERROR(INDEX(EMPL_CLASSE,MATCH($E276,EMPL_KEY,0)),"?"))</f>
        <v/>
      </c>
      <c r="M276" s="26" t="str">
        <f aca="false">IF($F276="","",IFERROR(INDEX(EMPL_CLASSE,MATCH($F276,EMPL_KEY,0)),"?"))</f>
        <v/>
      </c>
      <c r="N276" s="28" t="n">
        <f aca="false">IF($C276="",0,IF(OR($B276="",$D276="",NOT(ISNUMBER($G276)),$G276&lt;=0),0,IF($C276="RECEPTION",IF($F276="",0,1),IF($C276="CONSOMMATION",IF($E276="",0,1),IF(OR($E276="",$F276="",$E276=$F276),0,1)))))</f>
        <v>0</v>
      </c>
      <c r="O276" s="27" t="str">
        <f aca="false">IF(OR($N276=0,$C276="RECEPTION"),"",SUMIFS(MVT_BRUT,MVT_LOT,$D276,MVT_EMPL,$E276)+$G276)</f>
        <v/>
      </c>
      <c r="P276" s="26" t="str">
        <f aca="false">IF($C276="","",IF($N276=0,"DONNEES MANQUANTES",IF($C276="RECEPTION","OK",IF($O276&lt;=0,"EMPLACEMENT INCOHERENT",IF($G276&gt;$O276+0.001,"STOCK INSUFFISANT","OK")))))</f>
        <v/>
      </c>
      <c r="Q276" s="28" t="n">
        <f aca="false">IF($P276="OK",1,0)</f>
        <v>0</v>
      </c>
      <c r="R276" s="26" t="str">
        <f aca="false">IF($C276="","",IF($N276=0,"A COMPLETER : "&amp;IF($B276="","DATE; ","")&amp;IF($D276="","LOT; ","")&amp;IF(OR(NOT(ISNUMBER($G276)),$G276&lt;=0),"QUANTITE &gt; 0; ","")&amp;IF(AND($C276&lt;&gt;"RECEPTION",$E276=""),"EMPL. SOURCE; ","")&amp;IF(AND($C276&lt;&gt;"CONSOMMATION",$F276=""),"EMPL. DESTINATION; ","")&amp;IF(AND($C276="TRANSFERT",$E276&lt;&gt;"",$E276=$F276),"SOURCE = DESTINATION; ",""),IF($P276="EMPLACEMENT INCOHERENT","Le lot "&amp;$D276&amp;" n'existe pas sur "&amp;$E276&amp;" (stock 0). Verifier l'emplacement source.",IF($P276="STOCK INSUFFISANT","Disponible avant operation : "&amp;TEXT($O276,"#,##0.00")&amp;" kg. Ligne NON comptee en stock.",IF(COUNTIFS($B$5:$B$304,$B276,$C$5:$C$304,$C276,$D$5:$D$304,$D276,$G$5:$G$304,$G276)&gt;1,"Doublon possible (meme date, type, lot et quantite).",IF($J276="LOT NON REFERENCE","Creer d'abord la fiche du lot dans l'onglet LOTS.",""))))))</f>
        <v/>
      </c>
    </row>
    <row r="277" customFormat="false" ht="15" hidden="false" customHeight="false" outlineLevel="0" collapsed="false">
      <c r="A277" s="26" t="str">
        <f aca="false">IF($C277="","","OP-"&amp;TEXT(ROW()-4,"000"))</f>
        <v/>
      </c>
      <c r="B277" s="25"/>
      <c r="C277" s="24"/>
      <c r="D277" s="24"/>
      <c r="E277" s="24"/>
      <c r="F277" s="24"/>
      <c r="G277" s="29"/>
      <c r="H277" s="24"/>
      <c r="I277" s="24"/>
      <c r="J277" s="26" t="str">
        <f aca="false">IF($D277="","",IFERROR(INDEX(LOT_PRODE,MATCH($D277,LOT_KEY,0)),"LOT NON REFERENCE"))</f>
        <v/>
      </c>
      <c r="K277" s="26" t="str">
        <f aca="false">IF($D277="","",IFERROR(INDEX(LOT_FOURNE,MATCH($D277,LOT_KEY,0)),""))</f>
        <v/>
      </c>
      <c r="L277" s="26" t="str">
        <f aca="false">IF($E277="","",IFERROR(INDEX(EMPL_CLASSE,MATCH($E277,EMPL_KEY,0)),"?"))</f>
        <v/>
      </c>
      <c r="M277" s="26" t="str">
        <f aca="false">IF($F277="","",IFERROR(INDEX(EMPL_CLASSE,MATCH($F277,EMPL_KEY,0)),"?"))</f>
        <v/>
      </c>
      <c r="N277" s="28" t="n">
        <f aca="false">IF($C277="",0,IF(OR($B277="",$D277="",NOT(ISNUMBER($G277)),$G277&lt;=0),0,IF($C277="RECEPTION",IF($F277="",0,1),IF($C277="CONSOMMATION",IF($E277="",0,1),IF(OR($E277="",$F277="",$E277=$F277),0,1)))))</f>
        <v>0</v>
      </c>
      <c r="O277" s="27" t="str">
        <f aca="false">IF(OR($N277=0,$C277="RECEPTION"),"",SUMIFS(MVT_BRUT,MVT_LOT,$D277,MVT_EMPL,$E277)+$G277)</f>
        <v/>
      </c>
      <c r="P277" s="26" t="str">
        <f aca="false">IF($C277="","",IF($N277=0,"DONNEES MANQUANTES",IF($C277="RECEPTION","OK",IF($O277&lt;=0,"EMPLACEMENT INCOHERENT",IF($G277&gt;$O277+0.001,"STOCK INSUFFISANT","OK")))))</f>
        <v/>
      </c>
      <c r="Q277" s="28" t="n">
        <f aca="false">IF($P277="OK",1,0)</f>
        <v>0</v>
      </c>
      <c r="R277" s="26" t="str">
        <f aca="false">IF($C277="","",IF($N277=0,"A COMPLETER : "&amp;IF($B277="","DATE; ","")&amp;IF($D277="","LOT; ","")&amp;IF(OR(NOT(ISNUMBER($G277)),$G277&lt;=0),"QUANTITE &gt; 0; ","")&amp;IF(AND($C277&lt;&gt;"RECEPTION",$E277=""),"EMPL. SOURCE; ","")&amp;IF(AND($C277&lt;&gt;"CONSOMMATION",$F277=""),"EMPL. DESTINATION; ","")&amp;IF(AND($C277="TRANSFERT",$E277&lt;&gt;"",$E277=$F277),"SOURCE = DESTINATION; ",""),IF($P277="EMPLACEMENT INCOHERENT","Le lot "&amp;$D277&amp;" n'existe pas sur "&amp;$E277&amp;" (stock 0). Verifier l'emplacement source.",IF($P277="STOCK INSUFFISANT","Disponible avant operation : "&amp;TEXT($O277,"#,##0.00")&amp;" kg. Ligne NON comptee en stock.",IF(COUNTIFS($B$5:$B$304,$B277,$C$5:$C$304,$C277,$D$5:$D$304,$D277,$G$5:$G$304,$G277)&gt;1,"Doublon possible (meme date, type, lot et quantite).",IF($J277="LOT NON REFERENCE","Creer d'abord la fiche du lot dans l'onglet LOTS.",""))))))</f>
        <v/>
      </c>
    </row>
    <row r="278" customFormat="false" ht="15" hidden="false" customHeight="false" outlineLevel="0" collapsed="false">
      <c r="A278" s="26" t="str">
        <f aca="false">IF($C278="","","OP-"&amp;TEXT(ROW()-4,"000"))</f>
        <v/>
      </c>
      <c r="B278" s="25"/>
      <c r="C278" s="24"/>
      <c r="D278" s="24"/>
      <c r="E278" s="24"/>
      <c r="F278" s="24"/>
      <c r="G278" s="29"/>
      <c r="H278" s="24"/>
      <c r="I278" s="24"/>
      <c r="J278" s="26" t="str">
        <f aca="false">IF($D278="","",IFERROR(INDEX(LOT_PRODE,MATCH($D278,LOT_KEY,0)),"LOT NON REFERENCE"))</f>
        <v/>
      </c>
      <c r="K278" s="26" t="str">
        <f aca="false">IF($D278="","",IFERROR(INDEX(LOT_FOURNE,MATCH($D278,LOT_KEY,0)),""))</f>
        <v/>
      </c>
      <c r="L278" s="26" t="str">
        <f aca="false">IF($E278="","",IFERROR(INDEX(EMPL_CLASSE,MATCH($E278,EMPL_KEY,0)),"?"))</f>
        <v/>
      </c>
      <c r="M278" s="26" t="str">
        <f aca="false">IF($F278="","",IFERROR(INDEX(EMPL_CLASSE,MATCH($F278,EMPL_KEY,0)),"?"))</f>
        <v/>
      </c>
      <c r="N278" s="28" t="n">
        <f aca="false">IF($C278="",0,IF(OR($B278="",$D278="",NOT(ISNUMBER($G278)),$G278&lt;=0),0,IF($C278="RECEPTION",IF($F278="",0,1),IF($C278="CONSOMMATION",IF($E278="",0,1),IF(OR($E278="",$F278="",$E278=$F278),0,1)))))</f>
        <v>0</v>
      </c>
      <c r="O278" s="27" t="str">
        <f aca="false">IF(OR($N278=0,$C278="RECEPTION"),"",SUMIFS(MVT_BRUT,MVT_LOT,$D278,MVT_EMPL,$E278)+$G278)</f>
        <v/>
      </c>
      <c r="P278" s="26" t="str">
        <f aca="false">IF($C278="","",IF($N278=0,"DONNEES MANQUANTES",IF($C278="RECEPTION","OK",IF($O278&lt;=0,"EMPLACEMENT INCOHERENT",IF($G278&gt;$O278+0.001,"STOCK INSUFFISANT","OK")))))</f>
        <v/>
      </c>
      <c r="Q278" s="28" t="n">
        <f aca="false">IF($P278="OK",1,0)</f>
        <v>0</v>
      </c>
      <c r="R278" s="26" t="str">
        <f aca="false">IF($C278="","",IF($N278=0,"A COMPLETER : "&amp;IF($B278="","DATE; ","")&amp;IF($D278="","LOT; ","")&amp;IF(OR(NOT(ISNUMBER($G278)),$G278&lt;=0),"QUANTITE &gt; 0; ","")&amp;IF(AND($C278&lt;&gt;"RECEPTION",$E278=""),"EMPL. SOURCE; ","")&amp;IF(AND($C278&lt;&gt;"CONSOMMATION",$F278=""),"EMPL. DESTINATION; ","")&amp;IF(AND($C278="TRANSFERT",$E278&lt;&gt;"",$E278=$F278),"SOURCE = DESTINATION; ",""),IF($P278="EMPLACEMENT INCOHERENT","Le lot "&amp;$D278&amp;" n'existe pas sur "&amp;$E278&amp;" (stock 0). Verifier l'emplacement source.",IF($P278="STOCK INSUFFISANT","Disponible avant operation : "&amp;TEXT($O278,"#,##0.00")&amp;" kg. Ligne NON comptee en stock.",IF(COUNTIFS($B$5:$B$304,$B278,$C$5:$C$304,$C278,$D$5:$D$304,$D278,$G$5:$G$304,$G278)&gt;1,"Doublon possible (meme date, type, lot et quantite).",IF($J278="LOT NON REFERENCE","Creer d'abord la fiche du lot dans l'onglet LOTS.",""))))))</f>
        <v/>
      </c>
    </row>
    <row r="279" customFormat="false" ht="15" hidden="false" customHeight="false" outlineLevel="0" collapsed="false">
      <c r="A279" s="26" t="str">
        <f aca="false">IF($C279="","","OP-"&amp;TEXT(ROW()-4,"000"))</f>
        <v/>
      </c>
      <c r="B279" s="25"/>
      <c r="C279" s="24"/>
      <c r="D279" s="24"/>
      <c r="E279" s="24"/>
      <c r="F279" s="24"/>
      <c r="G279" s="29"/>
      <c r="H279" s="24"/>
      <c r="I279" s="24"/>
      <c r="J279" s="26" t="str">
        <f aca="false">IF($D279="","",IFERROR(INDEX(LOT_PRODE,MATCH($D279,LOT_KEY,0)),"LOT NON REFERENCE"))</f>
        <v/>
      </c>
      <c r="K279" s="26" t="str">
        <f aca="false">IF($D279="","",IFERROR(INDEX(LOT_FOURNE,MATCH($D279,LOT_KEY,0)),""))</f>
        <v/>
      </c>
      <c r="L279" s="26" t="str">
        <f aca="false">IF($E279="","",IFERROR(INDEX(EMPL_CLASSE,MATCH($E279,EMPL_KEY,0)),"?"))</f>
        <v/>
      </c>
      <c r="M279" s="26" t="str">
        <f aca="false">IF($F279="","",IFERROR(INDEX(EMPL_CLASSE,MATCH($F279,EMPL_KEY,0)),"?"))</f>
        <v/>
      </c>
      <c r="N279" s="28" t="n">
        <f aca="false">IF($C279="",0,IF(OR($B279="",$D279="",NOT(ISNUMBER($G279)),$G279&lt;=0),0,IF($C279="RECEPTION",IF($F279="",0,1),IF($C279="CONSOMMATION",IF($E279="",0,1),IF(OR($E279="",$F279="",$E279=$F279),0,1)))))</f>
        <v>0</v>
      </c>
      <c r="O279" s="27" t="str">
        <f aca="false">IF(OR($N279=0,$C279="RECEPTION"),"",SUMIFS(MVT_BRUT,MVT_LOT,$D279,MVT_EMPL,$E279)+$G279)</f>
        <v/>
      </c>
      <c r="P279" s="26" t="str">
        <f aca="false">IF($C279="","",IF($N279=0,"DONNEES MANQUANTES",IF($C279="RECEPTION","OK",IF($O279&lt;=0,"EMPLACEMENT INCOHERENT",IF($G279&gt;$O279+0.001,"STOCK INSUFFISANT","OK")))))</f>
        <v/>
      </c>
      <c r="Q279" s="28" t="n">
        <f aca="false">IF($P279="OK",1,0)</f>
        <v>0</v>
      </c>
      <c r="R279" s="26" t="str">
        <f aca="false">IF($C279="","",IF($N279=0,"A COMPLETER : "&amp;IF($B279="","DATE; ","")&amp;IF($D279="","LOT; ","")&amp;IF(OR(NOT(ISNUMBER($G279)),$G279&lt;=0),"QUANTITE &gt; 0; ","")&amp;IF(AND($C279&lt;&gt;"RECEPTION",$E279=""),"EMPL. SOURCE; ","")&amp;IF(AND($C279&lt;&gt;"CONSOMMATION",$F279=""),"EMPL. DESTINATION; ","")&amp;IF(AND($C279="TRANSFERT",$E279&lt;&gt;"",$E279=$F279),"SOURCE = DESTINATION; ",""),IF($P279="EMPLACEMENT INCOHERENT","Le lot "&amp;$D279&amp;" n'existe pas sur "&amp;$E279&amp;" (stock 0). Verifier l'emplacement source.",IF($P279="STOCK INSUFFISANT","Disponible avant operation : "&amp;TEXT($O279,"#,##0.00")&amp;" kg. Ligne NON comptee en stock.",IF(COUNTIFS($B$5:$B$304,$B279,$C$5:$C$304,$C279,$D$5:$D$304,$D279,$G$5:$G$304,$G279)&gt;1,"Doublon possible (meme date, type, lot et quantite).",IF($J279="LOT NON REFERENCE","Creer d'abord la fiche du lot dans l'onglet LOTS.",""))))))</f>
        <v/>
      </c>
    </row>
    <row r="280" customFormat="false" ht="15" hidden="false" customHeight="false" outlineLevel="0" collapsed="false">
      <c r="A280" s="26" t="str">
        <f aca="false">IF($C280="","","OP-"&amp;TEXT(ROW()-4,"000"))</f>
        <v/>
      </c>
      <c r="B280" s="25"/>
      <c r="C280" s="24"/>
      <c r="D280" s="24"/>
      <c r="E280" s="24"/>
      <c r="F280" s="24"/>
      <c r="G280" s="29"/>
      <c r="H280" s="24"/>
      <c r="I280" s="24"/>
      <c r="J280" s="26" t="str">
        <f aca="false">IF($D280="","",IFERROR(INDEX(LOT_PRODE,MATCH($D280,LOT_KEY,0)),"LOT NON REFERENCE"))</f>
        <v/>
      </c>
      <c r="K280" s="26" t="str">
        <f aca="false">IF($D280="","",IFERROR(INDEX(LOT_FOURNE,MATCH($D280,LOT_KEY,0)),""))</f>
        <v/>
      </c>
      <c r="L280" s="26" t="str">
        <f aca="false">IF($E280="","",IFERROR(INDEX(EMPL_CLASSE,MATCH($E280,EMPL_KEY,0)),"?"))</f>
        <v/>
      </c>
      <c r="M280" s="26" t="str">
        <f aca="false">IF($F280="","",IFERROR(INDEX(EMPL_CLASSE,MATCH($F280,EMPL_KEY,0)),"?"))</f>
        <v/>
      </c>
      <c r="N280" s="28" t="n">
        <f aca="false">IF($C280="",0,IF(OR($B280="",$D280="",NOT(ISNUMBER($G280)),$G280&lt;=0),0,IF($C280="RECEPTION",IF($F280="",0,1),IF($C280="CONSOMMATION",IF($E280="",0,1),IF(OR($E280="",$F280="",$E280=$F280),0,1)))))</f>
        <v>0</v>
      </c>
      <c r="O280" s="27" t="str">
        <f aca="false">IF(OR($N280=0,$C280="RECEPTION"),"",SUMIFS(MVT_BRUT,MVT_LOT,$D280,MVT_EMPL,$E280)+$G280)</f>
        <v/>
      </c>
      <c r="P280" s="26" t="str">
        <f aca="false">IF($C280="","",IF($N280=0,"DONNEES MANQUANTES",IF($C280="RECEPTION","OK",IF($O280&lt;=0,"EMPLACEMENT INCOHERENT",IF($G280&gt;$O280+0.001,"STOCK INSUFFISANT","OK")))))</f>
        <v/>
      </c>
      <c r="Q280" s="28" t="n">
        <f aca="false">IF($P280="OK",1,0)</f>
        <v>0</v>
      </c>
      <c r="R280" s="26" t="str">
        <f aca="false">IF($C280="","",IF($N280=0,"A COMPLETER : "&amp;IF($B280="","DATE; ","")&amp;IF($D280="","LOT; ","")&amp;IF(OR(NOT(ISNUMBER($G280)),$G280&lt;=0),"QUANTITE &gt; 0; ","")&amp;IF(AND($C280&lt;&gt;"RECEPTION",$E280=""),"EMPL. SOURCE; ","")&amp;IF(AND($C280&lt;&gt;"CONSOMMATION",$F280=""),"EMPL. DESTINATION; ","")&amp;IF(AND($C280="TRANSFERT",$E280&lt;&gt;"",$E280=$F280),"SOURCE = DESTINATION; ",""),IF($P280="EMPLACEMENT INCOHERENT","Le lot "&amp;$D280&amp;" n'existe pas sur "&amp;$E280&amp;" (stock 0). Verifier l'emplacement source.",IF($P280="STOCK INSUFFISANT","Disponible avant operation : "&amp;TEXT($O280,"#,##0.00")&amp;" kg. Ligne NON comptee en stock.",IF(COUNTIFS($B$5:$B$304,$B280,$C$5:$C$304,$C280,$D$5:$D$304,$D280,$G$5:$G$304,$G280)&gt;1,"Doublon possible (meme date, type, lot et quantite).",IF($J280="LOT NON REFERENCE","Creer d'abord la fiche du lot dans l'onglet LOTS.",""))))))</f>
        <v/>
      </c>
    </row>
    <row r="281" customFormat="false" ht="15" hidden="false" customHeight="false" outlineLevel="0" collapsed="false">
      <c r="A281" s="26" t="str">
        <f aca="false">IF($C281="","","OP-"&amp;TEXT(ROW()-4,"000"))</f>
        <v/>
      </c>
      <c r="B281" s="25"/>
      <c r="C281" s="24"/>
      <c r="D281" s="24"/>
      <c r="E281" s="24"/>
      <c r="F281" s="24"/>
      <c r="G281" s="29"/>
      <c r="H281" s="24"/>
      <c r="I281" s="24"/>
      <c r="J281" s="26" t="str">
        <f aca="false">IF($D281="","",IFERROR(INDEX(LOT_PRODE,MATCH($D281,LOT_KEY,0)),"LOT NON REFERENCE"))</f>
        <v/>
      </c>
      <c r="K281" s="26" t="str">
        <f aca="false">IF($D281="","",IFERROR(INDEX(LOT_FOURNE,MATCH($D281,LOT_KEY,0)),""))</f>
        <v/>
      </c>
      <c r="L281" s="26" t="str">
        <f aca="false">IF($E281="","",IFERROR(INDEX(EMPL_CLASSE,MATCH($E281,EMPL_KEY,0)),"?"))</f>
        <v/>
      </c>
      <c r="M281" s="26" t="str">
        <f aca="false">IF($F281="","",IFERROR(INDEX(EMPL_CLASSE,MATCH($F281,EMPL_KEY,0)),"?"))</f>
        <v/>
      </c>
      <c r="N281" s="28" t="n">
        <f aca="false">IF($C281="",0,IF(OR($B281="",$D281="",NOT(ISNUMBER($G281)),$G281&lt;=0),0,IF($C281="RECEPTION",IF($F281="",0,1),IF($C281="CONSOMMATION",IF($E281="",0,1),IF(OR($E281="",$F281="",$E281=$F281),0,1)))))</f>
        <v>0</v>
      </c>
      <c r="O281" s="27" t="str">
        <f aca="false">IF(OR($N281=0,$C281="RECEPTION"),"",SUMIFS(MVT_BRUT,MVT_LOT,$D281,MVT_EMPL,$E281)+$G281)</f>
        <v/>
      </c>
      <c r="P281" s="26" t="str">
        <f aca="false">IF($C281="","",IF($N281=0,"DONNEES MANQUANTES",IF($C281="RECEPTION","OK",IF($O281&lt;=0,"EMPLACEMENT INCOHERENT",IF($G281&gt;$O281+0.001,"STOCK INSUFFISANT","OK")))))</f>
        <v/>
      </c>
      <c r="Q281" s="28" t="n">
        <f aca="false">IF($P281="OK",1,0)</f>
        <v>0</v>
      </c>
      <c r="R281" s="26" t="str">
        <f aca="false">IF($C281="","",IF($N281=0,"A COMPLETER : "&amp;IF($B281="","DATE; ","")&amp;IF($D281="","LOT; ","")&amp;IF(OR(NOT(ISNUMBER($G281)),$G281&lt;=0),"QUANTITE &gt; 0; ","")&amp;IF(AND($C281&lt;&gt;"RECEPTION",$E281=""),"EMPL. SOURCE; ","")&amp;IF(AND($C281&lt;&gt;"CONSOMMATION",$F281=""),"EMPL. DESTINATION; ","")&amp;IF(AND($C281="TRANSFERT",$E281&lt;&gt;"",$E281=$F281),"SOURCE = DESTINATION; ",""),IF($P281="EMPLACEMENT INCOHERENT","Le lot "&amp;$D281&amp;" n'existe pas sur "&amp;$E281&amp;" (stock 0). Verifier l'emplacement source.",IF($P281="STOCK INSUFFISANT","Disponible avant operation : "&amp;TEXT($O281,"#,##0.00")&amp;" kg. Ligne NON comptee en stock.",IF(COUNTIFS($B$5:$B$304,$B281,$C$5:$C$304,$C281,$D$5:$D$304,$D281,$G$5:$G$304,$G281)&gt;1,"Doublon possible (meme date, type, lot et quantite).",IF($J281="LOT NON REFERENCE","Creer d'abord la fiche du lot dans l'onglet LOTS.",""))))))</f>
        <v/>
      </c>
    </row>
    <row r="282" customFormat="false" ht="15" hidden="false" customHeight="false" outlineLevel="0" collapsed="false">
      <c r="A282" s="26" t="str">
        <f aca="false">IF($C282="","","OP-"&amp;TEXT(ROW()-4,"000"))</f>
        <v/>
      </c>
      <c r="B282" s="25"/>
      <c r="C282" s="24"/>
      <c r="D282" s="24"/>
      <c r="E282" s="24"/>
      <c r="F282" s="24"/>
      <c r="G282" s="29"/>
      <c r="H282" s="24"/>
      <c r="I282" s="24"/>
      <c r="J282" s="26" t="str">
        <f aca="false">IF($D282="","",IFERROR(INDEX(LOT_PRODE,MATCH($D282,LOT_KEY,0)),"LOT NON REFERENCE"))</f>
        <v/>
      </c>
      <c r="K282" s="26" t="str">
        <f aca="false">IF($D282="","",IFERROR(INDEX(LOT_FOURNE,MATCH($D282,LOT_KEY,0)),""))</f>
        <v/>
      </c>
      <c r="L282" s="26" t="str">
        <f aca="false">IF($E282="","",IFERROR(INDEX(EMPL_CLASSE,MATCH($E282,EMPL_KEY,0)),"?"))</f>
        <v/>
      </c>
      <c r="M282" s="26" t="str">
        <f aca="false">IF($F282="","",IFERROR(INDEX(EMPL_CLASSE,MATCH($F282,EMPL_KEY,0)),"?"))</f>
        <v/>
      </c>
      <c r="N282" s="28" t="n">
        <f aca="false">IF($C282="",0,IF(OR($B282="",$D282="",NOT(ISNUMBER($G282)),$G282&lt;=0),0,IF($C282="RECEPTION",IF($F282="",0,1),IF($C282="CONSOMMATION",IF($E282="",0,1),IF(OR($E282="",$F282="",$E282=$F282),0,1)))))</f>
        <v>0</v>
      </c>
      <c r="O282" s="27" t="str">
        <f aca="false">IF(OR($N282=0,$C282="RECEPTION"),"",SUMIFS(MVT_BRUT,MVT_LOT,$D282,MVT_EMPL,$E282)+$G282)</f>
        <v/>
      </c>
      <c r="P282" s="26" t="str">
        <f aca="false">IF($C282="","",IF($N282=0,"DONNEES MANQUANTES",IF($C282="RECEPTION","OK",IF($O282&lt;=0,"EMPLACEMENT INCOHERENT",IF($G282&gt;$O282+0.001,"STOCK INSUFFISANT","OK")))))</f>
        <v/>
      </c>
      <c r="Q282" s="28" t="n">
        <f aca="false">IF($P282="OK",1,0)</f>
        <v>0</v>
      </c>
      <c r="R282" s="26" t="str">
        <f aca="false">IF($C282="","",IF($N282=0,"A COMPLETER : "&amp;IF($B282="","DATE; ","")&amp;IF($D282="","LOT; ","")&amp;IF(OR(NOT(ISNUMBER($G282)),$G282&lt;=0),"QUANTITE &gt; 0; ","")&amp;IF(AND($C282&lt;&gt;"RECEPTION",$E282=""),"EMPL. SOURCE; ","")&amp;IF(AND($C282&lt;&gt;"CONSOMMATION",$F282=""),"EMPL. DESTINATION; ","")&amp;IF(AND($C282="TRANSFERT",$E282&lt;&gt;"",$E282=$F282),"SOURCE = DESTINATION; ",""),IF($P282="EMPLACEMENT INCOHERENT","Le lot "&amp;$D282&amp;" n'existe pas sur "&amp;$E282&amp;" (stock 0). Verifier l'emplacement source.",IF($P282="STOCK INSUFFISANT","Disponible avant operation : "&amp;TEXT($O282,"#,##0.00")&amp;" kg. Ligne NON comptee en stock.",IF(COUNTIFS($B$5:$B$304,$B282,$C$5:$C$304,$C282,$D$5:$D$304,$D282,$G$5:$G$304,$G282)&gt;1,"Doublon possible (meme date, type, lot et quantite).",IF($J282="LOT NON REFERENCE","Creer d'abord la fiche du lot dans l'onglet LOTS.",""))))))</f>
        <v/>
      </c>
    </row>
    <row r="283" customFormat="false" ht="15" hidden="false" customHeight="false" outlineLevel="0" collapsed="false">
      <c r="A283" s="26" t="str">
        <f aca="false">IF($C283="","","OP-"&amp;TEXT(ROW()-4,"000"))</f>
        <v/>
      </c>
      <c r="B283" s="25"/>
      <c r="C283" s="24"/>
      <c r="D283" s="24"/>
      <c r="E283" s="24"/>
      <c r="F283" s="24"/>
      <c r="G283" s="29"/>
      <c r="H283" s="24"/>
      <c r="I283" s="24"/>
      <c r="J283" s="26" t="str">
        <f aca="false">IF($D283="","",IFERROR(INDEX(LOT_PRODE,MATCH($D283,LOT_KEY,0)),"LOT NON REFERENCE"))</f>
        <v/>
      </c>
      <c r="K283" s="26" t="str">
        <f aca="false">IF($D283="","",IFERROR(INDEX(LOT_FOURNE,MATCH($D283,LOT_KEY,0)),""))</f>
        <v/>
      </c>
      <c r="L283" s="26" t="str">
        <f aca="false">IF($E283="","",IFERROR(INDEX(EMPL_CLASSE,MATCH($E283,EMPL_KEY,0)),"?"))</f>
        <v/>
      </c>
      <c r="M283" s="26" t="str">
        <f aca="false">IF($F283="","",IFERROR(INDEX(EMPL_CLASSE,MATCH($F283,EMPL_KEY,0)),"?"))</f>
        <v/>
      </c>
      <c r="N283" s="28" t="n">
        <f aca="false">IF($C283="",0,IF(OR($B283="",$D283="",NOT(ISNUMBER($G283)),$G283&lt;=0),0,IF($C283="RECEPTION",IF($F283="",0,1),IF($C283="CONSOMMATION",IF($E283="",0,1),IF(OR($E283="",$F283="",$E283=$F283),0,1)))))</f>
        <v>0</v>
      </c>
      <c r="O283" s="27" t="str">
        <f aca="false">IF(OR($N283=0,$C283="RECEPTION"),"",SUMIFS(MVT_BRUT,MVT_LOT,$D283,MVT_EMPL,$E283)+$G283)</f>
        <v/>
      </c>
      <c r="P283" s="26" t="str">
        <f aca="false">IF($C283="","",IF($N283=0,"DONNEES MANQUANTES",IF($C283="RECEPTION","OK",IF($O283&lt;=0,"EMPLACEMENT INCOHERENT",IF($G283&gt;$O283+0.001,"STOCK INSUFFISANT","OK")))))</f>
        <v/>
      </c>
      <c r="Q283" s="28" t="n">
        <f aca="false">IF($P283="OK",1,0)</f>
        <v>0</v>
      </c>
      <c r="R283" s="26" t="str">
        <f aca="false">IF($C283="","",IF($N283=0,"A COMPLETER : "&amp;IF($B283="","DATE; ","")&amp;IF($D283="","LOT; ","")&amp;IF(OR(NOT(ISNUMBER($G283)),$G283&lt;=0),"QUANTITE &gt; 0; ","")&amp;IF(AND($C283&lt;&gt;"RECEPTION",$E283=""),"EMPL. SOURCE; ","")&amp;IF(AND($C283&lt;&gt;"CONSOMMATION",$F283=""),"EMPL. DESTINATION; ","")&amp;IF(AND($C283="TRANSFERT",$E283&lt;&gt;"",$E283=$F283),"SOURCE = DESTINATION; ",""),IF($P283="EMPLACEMENT INCOHERENT","Le lot "&amp;$D283&amp;" n'existe pas sur "&amp;$E283&amp;" (stock 0). Verifier l'emplacement source.",IF($P283="STOCK INSUFFISANT","Disponible avant operation : "&amp;TEXT($O283,"#,##0.00")&amp;" kg. Ligne NON comptee en stock.",IF(COUNTIFS($B$5:$B$304,$B283,$C$5:$C$304,$C283,$D$5:$D$304,$D283,$G$5:$G$304,$G283)&gt;1,"Doublon possible (meme date, type, lot et quantite).",IF($J283="LOT NON REFERENCE","Creer d'abord la fiche du lot dans l'onglet LOTS.",""))))))</f>
        <v/>
      </c>
    </row>
    <row r="284" customFormat="false" ht="15" hidden="false" customHeight="false" outlineLevel="0" collapsed="false">
      <c r="A284" s="26" t="str">
        <f aca="false">IF($C284="","","OP-"&amp;TEXT(ROW()-4,"000"))</f>
        <v/>
      </c>
      <c r="B284" s="25"/>
      <c r="C284" s="24"/>
      <c r="D284" s="24"/>
      <c r="E284" s="24"/>
      <c r="F284" s="24"/>
      <c r="G284" s="29"/>
      <c r="H284" s="24"/>
      <c r="I284" s="24"/>
      <c r="J284" s="26" t="str">
        <f aca="false">IF($D284="","",IFERROR(INDEX(LOT_PRODE,MATCH($D284,LOT_KEY,0)),"LOT NON REFERENCE"))</f>
        <v/>
      </c>
      <c r="K284" s="26" t="str">
        <f aca="false">IF($D284="","",IFERROR(INDEX(LOT_FOURNE,MATCH($D284,LOT_KEY,0)),""))</f>
        <v/>
      </c>
      <c r="L284" s="26" t="str">
        <f aca="false">IF($E284="","",IFERROR(INDEX(EMPL_CLASSE,MATCH($E284,EMPL_KEY,0)),"?"))</f>
        <v/>
      </c>
      <c r="M284" s="26" t="str">
        <f aca="false">IF($F284="","",IFERROR(INDEX(EMPL_CLASSE,MATCH($F284,EMPL_KEY,0)),"?"))</f>
        <v/>
      </c>
      <c r="N284" s="28" t="n">
        <f aca="false">IF($C284="",0,IF(OR($B284="",$D284="",NOT(ISNUMBER($G284)),$G284&lt;=0),0,IF($C284="RECEPTION",IF($F284="",0,1),IF($C284="CONSOMMATION",IF($E284="",0,1),IF(OR($E284="",$F284="",$E284=$F284),0,1)))))</f>
        <v>0</v>
      </c>
      <c r="O284" s="27" t="str">
        <f aca="false">IF(OR($N284=0,$C284="RECEPTION"),"",SUMIFS(MVT_BRUT,MVT_LOT,$D284,MVT_EMPL,$E284)+$G284)</f>
        <v/>
      </c>
      <c r="P284" s="26" t="str">
        <f aca="false">IF($C284="","",IF($N284=0,"DONNEES MANQUANTES",IF($C284="RECEPTION","OK",IF($O284&lt;=0,"EMPLACEMENT INCOHERENT",IF($G284&gt;$O284+0.001,"STOCK INSUFFISANT","OK")))))</f>
        <v/>
      </c>
      <c r="Q284" s="28" t="n">
        <f aca="false">IF($P284="OK",1,0)</f>
        <v>0</v>
      </c>
      <c r="R284" s="26" t="str">
        <f aca="false">IF($C284="","",IF($N284=0,"A COMPLETER : "&amp;IF($B284="","DATE; ","")&amp;IF($D284="","LOT; ","")&amp;IF(OR(NOT(ISNUMBER($G284)),$G284&lt;=0),"QUANTITE &gt; 0; ","")&amp;IF(AND($C284&lt;&gt;"RECEPTION",$E284=""),"EMPL. SOURCE; ","")&amp;IF(AND($C284&lt;&gt;"CONSOMMATION",$F284=""),"EMPL. DESTINATION; ","")&amp;IF(AND($C284="TRANSFERT",$E284&lt;&gt;"",$E284=$F284),"SOURCE = DESTINATION; ",""),IF($P284="EMPLACEMENT INCOHERENT","Le lot "&amp;$D284&amp;" n'existe pas sur "&amp;$E284&amp;" (stock 0). Verifier l'emplacement source.",IF($P284="STOCK INSUFFISANT","Disponible avant operation : "&amp;TEXT($O284,"#,##0.00")&amp;" kg. Ligne NON comptee en stock.",IF(COUNTIFS($B$5:$B$304,$B284,$C$5:$C$304,$C284,$D$5:$D$304,$D284,$G$5:$G$304,$G284)&gt;1,"Doublon possible (meme date, type, lot et quantite).",IF($J284="LOT NON REFERENCE","Creer d'abord la fiche du lot dans l'onglet LOTS.",""))))))</f>
        <v/>
      </c>
    </row>
    <row r="285" customFormat="false" ht="15" hidden="false" customHeight="false" outlineLevel="0" collapsed="false">
      <c r="A285" s="26" t="str">
        <f aca="false">IF($C285="","","OP-"&amp;TEXT(ROW()-4,"000"))</f>
        <v/>
      </c>
      <c r="B285" s="25"/>
      <c r="C285" s="24"/>
      <c r="D285" s="24"/>
      <c r="E285" s="24"/>
      <c r="F285" s="24"/>
      <c r="G285" s="29"/>
      <c r="H285" s="24"/>
      <c r="I285" s="24"/>
      <c r="J285" s="26" t="str">
        <f aca="false">IF($D285="","",IFERROR(INDEX(LOT_PRODE,MATCH($D285,LOT_KEY,0)),"LOT NON REFERENCE"))</f>
        <v/>
      </c>
      <c r="K285" s="26" t="str">
        <f aca="false">IF($D285="","",IFERROR(INDEX(LOT_FOURNE,MATCH($D285,LOT_KEY,0)),""))</f>
        <v/>
      </c>
      <c r="L285" s="26" t="str">
        <f aca="false">IF($E285="","",IFERROR(INDEX(EMPL_CLASSE,MATCH($E285,EMPL_KEY,0)),"?"))</f>
        <v/>
      </c>
      <c r="M285" s="26" t="str">
        <f aca="false">IF($F285="","",IFERROR(INDEX(EMPL_CLASSE,MATCH($F285,EMPL_KEY,0)),"?"))</f>
        <v/>
      </c>
      <c r="N285" s="28" t="n">
        <f aca="false">IF($C285="",0,IF(OR($B285="",$D285="",NOT(ISNUMBER($G285)),$G285&lt;=0),0,IF($C285="RECEPTION",IF($F285="",0,1),IF($C285="CONSOMMATION",IF($E285="",0,1),IF(OR($E285="",$F285="",$E285=$F285),0,1)))))</f>
        <v>0</v>
      </c>
      <c r="O285" s="27" t="str">
        <f aca="false">IF(OR($N285=0,$C285="RECEPTION"),"",SUMIFS(MVT_BRUT,MVT_LOT,$D285,MVT_EMPL,$E285)+$G285)</f>
        <v/>
      </c>
      <c r="P285" s="26" t="str">
        <f aca="false">IF($C285="","",IF($N285=0,"DONNEES MANQUANTES",IF($C285="RECEPTION","OK",IF($O285&lt;=0,"EMPLACEMENT INCOHERENT",IF($G285&gt;$O285+0.001,"STOCK INSUFFISANT","OK")))))</f>
        <v/>
      </c>
      <c r="Q285" s="28" t="n">
        <f aca="false">IF($P285="OK",1,0)</f>
        <v>0</v>
      </c>
      <c r="R285" s="26" t="str">
        <f aca="false">IF($C285="","",IF($N285=0,"A COMPLETER : "&amp;IF($B285="","DATE; ","")&amp;IF($D285="","LOT; ","")&amp;IF(OR(NOT(ISNUMBER($G285)),$G285&lt;=0),"QUANTITE &gt; 0; ","")&amp;IF(AND($C285&lt;&gt;"RECEPTION",$E285=""),"EMPL. SOURCE; ","")&amp;IF(AND($C285&lt;&gt;"CONSOMMATION",$F285=""),"EMPL. DESTINATION; ","")&amp;IF(AND($C285="TRANSFERT",$E285&lt;&gt;"",$E285=$F285),"SOURCE = DESTINATION; ",""),IF($P285="EMPLACEMENT INCOHERENT","Le lot "&amp;$D285&amp;" n'existe pas sur "&amp;$E285&amp;" (stock 0). Verifier l'emplacement source.",IF($P285="STOCK INSUFFISANT","Disponible avant operation : "&amp;TEXT($O285,"#,##0.00")&amp;" kg. Ligne NON comptee en stock.",IF(COUNTIFS($B$5:$B$304,$B285,$C$5:$C$304,$C285,$D$5:$D$304,$D285,$G$5:$G$304,$G285)&gt;1,"Doublon possible (meme date, type, lot et quantite).",IF($J285="LOT NON REFERENCE","Creer d'abord la fiche du lot dans l'onglet LOTS.",""))))))</f>
        <v/>
      </c>
    </row>
    <row r="286" customFormat="false" ht="15" hidden="false" customHeight="false" outlineLevel="0" collapsed="false">
      <c r="A286" s="26" t="str">
        <f aca="false">IF($C286="","","OP-"&amp;TEXT(ROW()-4,"000"))</f>
        <v/>
      </c>
      <c r="B286" s="25"/>
      <c r="C286" s="24"/>
      <c r="D286" s="24"/>
      <c r="E286" s="24"/>
      <c r="F286" s="24"/>
      <c r="G286" s="29"/>
      <c r="H286" s="24"/>
      <c r="I286" s="24"/>
      <c r="J286" s="26" t="str">
        <f aca="false">IF($D286="","",IFERROR(INDEX(LOT_PRODE,MATCH($D286,LOT_KEY,0)),"LOT NON REFERENCE"))</f>
        <v/>
      </c>
      <c r="K286" s="26" t="str">
        <f aca="false">IF($D286="","",IFERROR(INDEX(LOT_FOURNE,MATCH($D286,LOT_KEY,0)),""))</f>
        <v/>
      </c>
      <c r="L286" s="26" t="str">
        <f aca="false">IF($E286="","",IFERROR(INDEX(EMPL_CLASSE,MATCH($E286,EMPL_KEY,0)),"?"))</f>
        <v/>
      </c>
      <c r="M286" s="26" t="str">
        <f aca="false">IF($F286="","",IFERROR(INDEX(EMPL_CLASSE,MATCH($F286,EMPL_KEY,0)),"?"))</f>
        <v/>
      </c>
      <c r="N286" s="28" t="n">
        <f aca="false">IF($C286="",0,IF(OR($B286="",$D286="",NOT(ISNUMBER($G286)),$G286&lt;=0),0,IF($C286="RECEPTION",IF($F286="",0,1),IF($C286="CONSOMMATION",IF($E286="",0,1),IF(OR($E286="",$F286="",$E286=$F286),0,1)))))</f>
        <v>0</v>
      </c>
      <c r="O286" s="27" t="str">
        <f aca="false">IF(OR($N286=0,$C286="RECEPTION"),"",SUMIFS(MVT_BRUT,MVT_LOT,$D286,MVT_EMPL,$E286)+$G286)</f>
        <v/>
      </c>
      <c r="P286" s="26" t="str">
        <f aca="false">IF($C286="","",IF($N286=0,"DONNEES MANQUANTES",IF($C286="RECEPTION","OK",IF($O286&lt;=0,"EMPLACEMENT INCOHERENT",IF($G286&gt;$O286+0.001,"STOCK INSUFFISANT","OK")))))</f>
        <v/>
      </c>
      <c r="Q286" s="28" t="n">
        <f aca="false">IF($P286="OK",1,0)</f>
        <v>0</v>
      </c>
      <c r="R286" s="26" t="str">
        <f aca="false">IF($C286="","",IF($N286=0,"A COMPLETER : "&amp;IF($B286="","DATE; ","")&amp;IF($D286="","LOT; ","")&amp;IF(OR(NOT(ISNUMBER($G286)),$G286&lt;=0),"QUANTITE &gt; 0; ","")&amp;IF(AND($C286&lt;&gt;"RECEPTION",$E286=""),"EMPL. SOURCE; ","")&amp;IF(AND($C286&lt;&gt;"CONSOMMATION",$F286=""),"EMPL. DESTINATION; ","")&amp;IF(AND($C286="TRANSFERT",$E286&lt;&gt;"",$E286=$F286),"SOURCE = DESTINATION; ",""),IF($P286="EMPLACEMENT INCOHERENT","Le lot "&amp;$D286&amp;" n'existe pas sur "&amp;$E286&amp;" (stock 0). Verifier l'emplacement source.",IF($P286="STOCK INSUFFISANT","Disponible avant operation : "&amp;TEXT($O286,"#,##0.00")&amp;" kg. Ligne NON comptee en stock.",IF(COUNTIFS($B$5:$B$304,$B286,$C$5:$C$304,$C286,$D$5:$D$304,$D286,$G$5:$G$304,$G286)&gt;1,"Doublon possible (meme date, type, lot et quantite).",IF($J286="LOT NON REFERENCE","Creer d'abord la fiche du lot dans l'onglet LOTS.",""))))))</f>
        <v/>
      </c>
    </row>
    <row r="287" customFormat="false" ht="15" hidden="false" customHeight="false" outlineLevel="0" collapsed="false">
      <c r="A287" s="26" t="str">
        <f aca="false">IF($C287="","","OP-"&amp;TEXT(ROW()-4,"000"))</f>
        <v/>
      </c>
      <c r="B287" s="25"/>
      <c r="C287" s="24"/>
      <c r="D287" s="24"/>
      <c r="E287" s="24"/>
      <c r="F287" s="24"/>
      <c r="G287" s="29"/>
      <c r="H287" s="24"/>
      <c r="I287" s="24"/>
      <c r="J287" s="26" t="str">
        <f aca="false">IF($D287="","",IFERROR(INDEX(LOT_PRODE,MATCH($D287,LOT_KEY,0)),"LOT NON REFERENCE"))</f>
        <v/>
      </c>
      <c r="K287" s="26" t="str">
        <f aca="false">IF($D287="","",IFERROR(INDEX(LOT_FOURNE,MATCH($D287,LOT_KEY,0)),""))</f>
        <v/>
      </c>
      <c r="L287" s="26" t="str">
        <f aca="false">IF($E287="","",IFERROR(INDEX(EMPL_CLASSE,MATCH($E287,EMPL_KEY,0)),"?"))</f>
        <v/>
      </c>
      <c r="M287" s="26" t="str">
        <f aca="false">IF($F287="","",IFERROR(INDEX(EMPL_CLASSE,MATCH($F287,EMPL_KEY,0)),"?"))</f>
        <v/>
      </c>
      <c r="N287" s="28" t="n">
        <f aca="false">IF($C287="",0,IF(OR($B287="",$D287="",NOT(ISNUMBER($G287)),$G287&lt;=0),0,IF($C287="RECEPTION",IF($F287="",0,1),IF($C287="CONSOMMATION",IF($E287="",0,1),IF(OR($E287="",$F287="",$E287=$F287),0,1)))))</f>
        <v>0</v>
      </c>
      <c r="O287" s="27" t="str">
        <f aca="false">IF(OR($N287=0,$C287="RECEPTION"),"",SUMIFS(MVT_BRUT,MVT_LOT,$D287,MVT_EMPL,$E287)+$G287)</f>
        <v/>
      </c>
      <c r="P287" s="26" t="str">
        <f aca="false">IF($C287="","",IF($N287=0,"DONNEES MANQUANTES",IF($C287="RECEPTION","OK",IF($O287&lt;=0,"EMPLACEMENT INCOHERENT",IF($G287&gt;$O287+0.001,"STOCK INSUFFISANT","OK")))))</f>
        <v/>
      </c>
      <c r="Q287" s="28" t="n">
        <f aca="false">IF($P287="OK",1,0)</f>
        <v>0</v>
      </c>
      <c r="R287" s="26" t="str">
        <f aca="false">IF($C287="","",IF($N287=0,"A COMPLETER : "&amp;IF($B287="","DATE; ","")&amp;IF($D287="","LOT; ","")&amp;IF(OR(NOT(ISNUMBER($G287)),$G287&lt;=0),"QUANTITE &gt; 0; ","")&amp;IF(AND($C287&lt;&gt;"RECEPTION",$E287=""),"EMPL. SOURCE; ","")&amp;IF(AND($C287&lt;&gt;"CONSOMMATION",$F287=""),"EMPL. DESTINATION; ","")&amp;IF(AND($C287="TRANSFERT",$E287&lt;&gt;"",$E287=$F287),"SOURCE = DESTINATION; ",""),IF($P287="EMPLACEMENT INCOHERENT","Le lot "&amp;$D287&amp;" n'existe pas sur "&amp;$E287&amp;" (stock 0). Verifier l'emplacement source.",IF($P287="STOCK INSUFFISANT","Disponible avant operation : "&amp;TEXT($O287,"#,##0.00")&amp;" kg. Ligne NON comptee en stock.",IF(COUNTIFS($B$5:$B$304,$B287,$C$5:$C$304,$C287,$D$5:$D$304,$D287,$G$5:$G$304,$G287)&gt;1,"Doublon possible (meme date, type, lot et quantite).",IF($J287="LOT NON REFERENCE","Creer d'abord la fiche du lot dans l'onglet LOTS.",""))))))</f>
        <v/>
      </c>
    </row>
    <row r="288" customFormat="false" ht="15" hidden="false" customHeight="false" outlineLevel="0" collapsed="false">
      <c r="A288" s="26" t="str">
        <f aca="false">IF($C288="","","OP-"&amp;TEXT(ROW()-4,"000"))</f>
        <v/>
      </c>
      <c r="B288" s="25"/>
      <c r="C288" s="24"/>
      <c r="D288" s="24"/>
      <c r="E288" s="24"/>
      <c r="F288" s="24"/>
      <c r="G288" s="29"/>
      <c r="H288" s="24"/>
      <c r="I288" s="24"/>
      <c r="J288" s="26" t="str">
        <f aca="false">IF($D288="","",IFERROR(INDEX(LOT_PRODE,MATCH($D288,LOT_KEY,0)),"LOT NON REFERENCE"))</f>
        <v/>
      </c>
      <c r="K288" s="26" t="str">
        <f aca="false">IF($D288="","",IFERROR(INDEX(LOT_FOURNE,MATCH($D288,LOT_KEY,0)),""))</f>
        <v/>
      </c>
      <c r="L288" s="26" t="str">
        <f aca="false">IF($E288="","",IFERROR(INDEX(EMPL_CLASSE,MATCH($E288,EMPL_KEY,0)),"?"))</f>
        <v/>
      </c>
      <c r="M288" s="26" t="str">
        <f aca="false">IF($F288="","",IFERROR(INDEX(EMPL_CLASSE,MATCH($F288,EMPL_KEY,0)),"?"))</f>
        <v/>
      </c>
      <c r="N288" s="28" t="n">
        <f aca="false">IF($C288="",0,IF(OR($B288="",$D288="",NOT(ISNUMBER($G288)),$G288&lt;=0),0,IF($C288="RECEPTION",IF($F288="",0,1),IF($C288="CONSOMMATION",IF($E288="",0,1),IF(OR($E288="",$F288="",$E288=$F288),0,1)))))</f>
        <v>0</v>
      </c>
      <c r="O288" s="27" t="str">
        <f aca="false">IF(OR($N288=0,$C288="RECEPTION"),"",SUMIFS(MVT_BRUT,MVT_LOT,$D288,MVT_EMPL,$E288)+$G288)</f>
        <v/>
      </c>
      <c r="P288" s="26" t="str">
        <f aca="false">IF($C288="","",IF($N288=0,"DONNEES MANQUANTES",IF($C288="RECEPTION","OK",IF($O288&lt;=0,"EMPLACEMENT INCOHERENT",IF($G288&gt;$O288+0.001,"STOCK INSUFFISANT","OK")))))</f>
        <v/>
      </c>
      <c r="Q288" s="28" t="n">
        <f aca="false">IF($P288="OK",1,0)</f>
        <v>0</v>
      </c>
      <c r="R288" s="26" t="str">
        <f aca="false">IF($C288="","",IF($N288=0,"A COMPLETER : "&amp;IF($B288="","DATE; ","")&amp;IF($D288="","LOT; ","")&amp;IF(OR(NOT(ISNUMBER($G288)),$G288&lt;=0),"QUANTITE &gt; 0; ","")&amp;IF(AND($C288&lt;&gt;"RECEPTION",$E288=""),"EMPL. SOURCE; ","")&amp;IF(AND($C288&lt;&gt;"CONSOMMATION",$F288=""),"EMPL. DESTINATION; ","")&amp;IF(AND($C288="TRANSFERT",$E288&lt;&gt;"",$E288=$F288),"SOURCE = DESTINATION; ",""),IF($P288="EMPLACEMENT INCOHERENT","Le lot "&amp;$D288&amp;" n'existe pas sur "&amp;$E288&amp;" (stock 0). Verifier l'emplacement source.",IF($P288="STOCK INSUFFISANT","Disponible avant operation : "&amp;TEXT($O288,"#,##0.00")&amp;" kg. Ligne NON comptee en stock.",IF(COUNTIFS($B$5:$B$304,$B288,$C$5:$C$304,$C288,$D$5:$D$304,$D288,$G$5:$G$304,$G288)&gt;1,"Doublon possible (meme date, type, lot et quantite).",IF($J288="LOT NON REFERENCE","Creer d'abord la fiche du lot dans l'onglet LOTS.",""))))))</f>
        <v/>
      </c>
    </row>
    <row r="289" customFormat="false" ht="15" hidden="false" customHeight="false" outlineLevel="0" collapsed="false">
      <c r="A289" s="26" t="str">
        <f aca="false">IF($C289="","","OP-"&amp;TEXT(ROW()-4,"000"))</f>
        <v/>
      </c>
      <c r="B289" s="25"/>
      <c r="C289" s="24"/>
      <c r="D289" s="24"/>
      <c r="E289" s="24"/>
      <c r="F289" s="24"/>
      <c r="G289" s="29"/>
      <c r="H289" s="24"/>
      <c r="I289" s="24"/>
      <c r="J289" s="26" t="str">
        <f aca="false">IF($D289="","",IFERROR(INDEX(LOT_PRODE,MATCH($D289,LOT_KEY,0)),"LOT NON REFERENCE"))</f>
        <v/>
      </c>
      <c r="K289" s="26" t="str">
        <f aca="false">IF($D289="","",IFERROR(INDEX(LOT_FOURNE,MATCH($D289,LOT_KEY,0)),""))</f>
        <v/>
      </c>
      <c r="L289" s="26" t="str">
        <f aca="false">IF($E289="","",IFERROR(INDEX(EMPL_CLASSE,MATCH($E289,EMPL_KEY,0)),"?"))</f>
        <v/>
      </c>
      <c r="M289" s="26" t="str">
        <f aca="false">IF($F289="","",IFERROR(INDEX(EMPL_CLASSE,MATCH($F289,EMPL_KEY,0)),"?"))</f>
        <v/>
      </c>
      <c r="N289" s="28" t="n">
        <f aca="false">IF($C289="",0,IF(OR($B289="",$D289="",NOT(ISNUMBER($G289)),$G289&lt;=0),0,IF($C289="RECEPTION",IF($F289="",0,1),IF($C289="CONSOMMATION",IF($E289="",0,1),IF(OR($E289="",$F289="",$E289=$F289),0,1)))))</f>
        <v>0</v>
      </c>
      <c r="O289" s="27" t="str">
        <f aca="false">IF(OR($N289=0,$C289="RECEPTION"),"",SUMIFS(MVT_BRUT,MVT_LOT,$D289,MVT_EMPL,$E289)+$G289)</f>
        <v/>
      </c>
      <c r="P289" s="26" t="str">
        <f aca="false">IF($C289="","",IF($N289=0,"DONNEES MANQUANTES",IF($C289="RECEPTION","OK",IF($O289&lt;=0,"EMPLACEMENT INCOHERENT",IF($G289&gt;$O289+0.001,"STOCK INSUFFISANT","OK")))))</f>
        <v/>
      </c>
      <c r="Q289" s="28" t="n">
        <f aca="false">IF($P289="OK",1,0)</f>
        <v>0</v>
      </c>
      <c r="R289" s="26" t="str">
        <f aca="false">IF($C289="","",IF($N289=0,"A COMPLETER : "&amp;IF($B289="","DATE; ","")&amp;IF($D289="","LOT; ","")&amp;IF(OR(NOT(ISNUMBER($G289)),$G289&lt;=0),"QUANTITE &gt; 0; ","")&amp;IF(AND($C289&lt;&gt;"RECEPTION",$E289=""),"EMPL. SOURCE; ","")&amp;IF(AND($C289&lt;&gt;"CONSOMMATION",$F289=""),"EMPL. DESTINATION; ","")&amp;IF(AND($C289="TRANSFERT",$E289&lt;&gt;"",$E289=$F289),"SOURCE = DESTINATION; ",""),IF($P289="EMPLACEMENT INCOHERENT","Le lot "&amp;$D289&amp;" n'existe pas sur "&amp;$E289&amp;" (stock 0). Verifier l'emplacement source.",IF($P289="STOCK INSUFFISANT","Disponible avant operation : "&amp;TEXT($O289,"#,##0.00")&amp;" kg. Ligne NON comptee en stock.",IF(COUNTIFS($B$5:$B$304,$B289,$C$5:$C$304,$C289,$D$5:$D$304,$D289,$G$5:$G$304,$G289)&gt;1,"Doublon possible (meme date, type, lot et quantite).",IF($J289="LOT NON REFERENCE","Creer d'abord la fiche du lot dans l'onglet LOTS.",""))))))</f>
        <v/>
      </c>
    </row>
    <row r="290" customFormat="false" ht="15" hidden="false" customHeight="false" outlineLevel="0" collapsed="false">
      <c r="A290" s="26" t="str">
        <f aca="false">IF($C290="","","OP-"&amp;TEXT(ROW()-4,"000"))</f>
        <v/>
      </c>
      <c r="B290" s="25"/>
      <c r="C290" s="24"/>
      <c r="D290" s="24"/>
      <c r="E290" s="24"/>
      <c r="F290" s="24"/>
      <c r="G290" s="29"/>
      <c r="H290" s="24"/>
      <c r="I290" s="24"/>
      <c r="J290" s="26" t="str">
        <f aca="false">IF($D290="","",IFERROR(INDEX(LOT_PRODE,MATCH($D290,LOT_KEY,0)),"LOT NON REFERENCE"))</f>
        <v/>
      </c>
      <c r="K290" s="26" t="str">
        <f aca="false">IF($D290="","",IFERROR(INDEX(LOT_FOURNE,MATCH($D290,LOT_KEY,0)),""))</f>
        <v/>
      </c>
      <c r="L290" s="26" t="str">
        <f aca="false">IF($E290="","",IFERROR(INDEX(EMPL_CLASSE,MATCH($E290,EMPL_KEY,0)),"?"))</f>
        <v/>
      </c>
      <c r="M290" s="26" t="str">
        <f aca="false">IF($F290="","",IFERROR(INDEX(EMPL_CLASSE,MATCH($F290,EMPL_KEY,0)),"?"))</f>
        <v/>
      </c>
      <c r="N290" s="28" t="n">
        <f aca="false">IF($C290="",0,IF(OR($B290="",$D290="",NOT(ISNUMBER($G290)),$G290&lt;=0),0,IF($C290="RECEPTION",IF($F290="",0,1),IF($C290="CONSOMMATION",IF($E290="",0,1),IF(OR($E290="",$F290="",$E290=$F290),0,1)))))</f>
        <v>0</v>
      </c>
      <c r="O290" s="27" t="str">
        <f aca="false">IF(OR($N290=0,$C290="RECEPTION"),"",SUMIFS(MVT_BRUT,MVT_LOT,$D290,MVT_EMPL,$E290)+$G290)</f>
        <v/>
      </c>
      <c r="P290" s="26" t="str">
        <f aca="false">IF($C290="","",IF($N290=0,"DONNEES MANQUANTES",IF($C290="RECEPTION","OK",IF($O290&lt;=0,"EMPLACEMENT INCOHERENT",IF($G290&gt;$O290+0.001,"STOCK INSUFFISANT","OK")))))</f>
        <v/>
      </c>
      <c r="Q290" s="28" t="n">
        <f aca="false">IF($P290="OK",1,0)</f>
        <v>0</v>
      </c>
      <c r="R290" s="26" t="str">
        <f aca="false">IF($C290="","",IF($N290=0,"A COMPLETER : "&amp;IF($B290="","DATE; ","")&amp;IF($D290="","LOT; ","")&amp;IF(OR(NOT(ISNUMBER($G290)),$G290&lt;=0),"QUANTITE &gt; 0; ","")&amp;IF(AND($C290&lt;&gt;"RECEPTION",$E290=""),"EMPL. SOURCE; ","")&amp;IF(AND($C290&lt;&gt;"CONSOMMATION",$F290=""),"EMPL. DESTINATION; ","")&amp;IF(AND($C290="TRANSFERT",$E290&lt;&gt;"",$E290=$F290),"SOURCE = DESTINATION; ",""),IF($P290="EMPLACEMENT INCOHERENT","Le lot "&amp;$D290&amp;" n'existe pas sur "&amp;$E290&amp;" (stock 0). Verifier l'emplacement source.",IF($P290="STOCK INSUFFISANT","Disponible avant operation : "&amp;TEXT($O290,"#,##0.00")&amp;" kg. Ligne NON comptee en stock.",IF(COUNTIFS($B$5:$B$304,$B290,$C$5:$C$304,$C290,$D$5:$D$304,$D290,$G$5:$G$304,$G290)&gt;1,"Doublon possible (meme date, type, lot et quantite).",IF($J290="LOT NON REFERENCE","Creer d'abord la fiche du lot dans l'onglet LOTS.",""))))))</f>
        <v/>
      </c>
    </row>
    <row r="291" customFormat="false" ht="15" hidden="false" customHeight="false" outlineLevel="0" collapsed="false">
      <c r="A291" s="26" t="str">
        <f aca="false">IF($C291="","","OP-"&amp;TEXT(ROW()-4,"000"))</f>
        <v/>
      </c>
      <c r="B291" s="25"/>
      <c r="C291" s="24"/>
      <c r="D291" s="24"/>
      <c r="E291" s="24"/>
      <c r="F291" s="24"/>
      <c r="G291" s="29"/>
      <c r="H291" s="24"/>
      <c r="I291" s="24"/>
      <c r="J291" s="26" t="str">
        <f aca="false">IF($D291="","",IFERROR(INDEX(LOT_PRODE,MATCH($D291,LOT_KEY,0)),"LOT NON REFERENCE"))</f>
        <v/>
      </c>
      <c r="K291" s="26" t="str">
        <f aca="false">IF($D291="","",IFERROR(INDEX(LOT_FOURNE,MATCH($D291,LOT_KEY,0)),""))</f>
        <v/>
      </c>
      <c r="L291" s="26" t="str">
        <f aca="false">IF($E291="","",IFERROR(INDEX(EMPL_CLASSE,MATCH($E291,EMPL_KEY,0)),"?"))</f>
        <v/>
      </c>
      <c r="M291" s="26" t="str">
        <f aca="false">IF($F291="","",IFERROR(INDEX(EMPL_CLASSE,MATCH($F291,EMPL_KEY,0)),"?"))</f>
        <v/>
      </c>
      <c r="N291" s="28" t="n">
        <f aca="false">IF($C291="",0,IF(OR($B291="",$D291="",NOT(ISNUMBER($G291)),$G291&lt;=0),0,IF($C291="RECEPTION",IF($F291="",0,1),IF($C291="CONSOMMATION",IF($E291="",0,1),IF(OR($E291="",$F291="",$E291=$F291),0,1)))))</f>
        <v>0</v>
      </c>
      <c r="O291" s="27" t="str">
        <f aca="false">IF(OR($N291=0,$C291="RECEPTION"),"",SUMIFS(MVT_BRUT,MVT_LOT,$D291,MVT_EMPL,$E291)+$G291)</f>
        <v/>
      </c>
      <c r="P291" s="26" t="str">
        <f aca="false">IF($C291="","",IF($N291=0,"DONNEES MANQUANTES",IF($C291="RECEPTION","OK",IF($O291&lt;=0,"EMPLACEMENT INCOHERENT",IF($G291&gt;$O291+0.001,"STOCK INSUFFISANT","OK")))))</f>
        <v/>
      </c>
      <c r="Q291" s="28" t="n">
        <f aca="false">IF($P291="OK",1,0)</f>
        <v>0</v>
      </c>
      <c r="R291" s="26" t="str">
        <f aca="false">IF($C291="","",IF($N291=0,"A COMPLETER : "&amp;IF($B291="","DATE; ","")&amp;IF($D291="","LOT; ","")&amp;IF(OR(NOT(ISNUMBER($G291)),$G291&lt;=0),"QUANTITE &gt; 0; ","")&amp;IF(AND($C291&lt;&gt;"RECEPTION",$E291=""),"EMPL. SOURCE; ","")&amp;IF(AND($C291&lt;&gt;"CONSOMMATION",$F291=""),"EMPL. DESTINATION; ","")&amp;IF(AND($C291="TRANSFERT",$E291&lt;&gt;"",$E291=$F291),"SOURCE = DESTINATION; ",""),IF($P291="EMPLACEMENT INCOHERENT","Le lot "&amp;$D291&amp;" n'existe pas sur "&amp;$E291&amp;" (stock 0). Verifier l'emplacement source.",IF($P291="STOCK INSUFFISANT","Disponible avant operation : "&amp;TEXT($O291,"#,##0.00")&amp;" kg. Ligne NON comptee en stock.",IF(COUNTIFS($B$5:$B$304,$B291,$C$5:$C$304,$C291,$D$5:$D$304,$D291,$G$5:$G$304,$G291)&gt;1,"Doublon possible (meme date, type, lot et quantite).",IF($J291="LOT NON REFERENCE","Creer d'abord la fiche du lot dans l'onglet LOTS.",""))))))</f>
        <v/>
      </c>
    </row>
    <row r="292" customFormat="false" ht="15" hidden="false" customHeight="false" outlineLevel="0" collapsed="false">
      <c r="A292" s="26" t="str">
        <f aca="false">IF($C292="","","OP-"&amp;TEXT(ROW()-4,"000"))</f>
        <v/>
      </c>
      <c r="B292" s="25"/>
      <c r="C292" s="24"/>
      <c r="D292" s="24"/>
      <c r="E292" s="24"/>
      <c r="F292" s="24"/>
      <c r="G292" s="29"/>
      <c r="H292" s="24"/>
      <c r="I292" s="24"/>
      <c r="J292" s="26" t="str">
        <f aca="false">IF($D292="","",IFERROR(INDEX(LOT_PRODE,MATCH($D292,LOT_KEY,0)),"LOT NON REFERENCE"))</f>
        <v/>
      </c>
      <c r="K292" s="26" t="str">
        <f aca="false">IF($D292="","",IFERROR(INDEX(LOT_FOURNE,MATCH($D292,LOT_KEY,0)),""))</f>
        <v/>
      </c>
      <c r="L292" s="26" t="str">
        <f aca="false">IF($E292="","",IFERROR(INDEX(EMPL_CLASSE,MATCH($E292,EMPL_KEY,0)),"?"))</f>
        <v/>
      </c>
      <c r="M292" s="26" t="str">
        <f aca="false">IF($F292="","",IFERROR(INDEX(EMPL_CLASSE,MATCH($F292,EMPL_KEY,0)),"?"))</f>
        <v/>
      </c>
      <c r="N292" s="28" t="n">
        <f aca="false">IF($C292="",0,IF(OR($B292="",$D292="",NOT(ISNUMBER($G292)),$G292&lt;=0),0,IF($C292="RECEPTION",IF($F292="",0,1),IF($C292="CONSOMMATION",IF($E292="",0,1),IF(OR($E292="",$F292="",$E292=$F292),0,1)))))</f>
        <v>0</v>
      </c>
      <c r="O292" s="27" t="str">
        <f aca="false">IF(OR($N292=0,$C292="RECEPTION"),"",SUMIFS(MVT_BRUT,MVT_LOT,$D292,MVT_EMPL,$E292)+$G292)</f>
        <v/>
      </c>
      <c r="P292" s="26" t="str">
        <f aca="false">IF($C292="","",IF($N292=0,"DONNEES MANQUANTES",IF($C292="RECEPTION","OK",IF($O292&lt;=0,"EMPLACEMENT INCOHERENT",IF($G292&gt;$O292+0.001,"STOCK INSUFFISANT","OK")))))</f>
        <v/>
      </c>
      <c r="Q292" s="28" t="n">
        <f aca="false">IF($P292="OK",1,0)</f>
        <v>0</v>
      </c>
      <c r="R292" s="26" t="str">
        <f aca="false">IF($C292="","",IF($N292=0,"A COMPLETER : "&amp;IF($B292="","DATE; ","")&amp;IF($D292="","LOT; ","")&amp;IF(OR(NOT(ISNUMBER($G292)),$G292&lt;=0),"QUANTITE &gt; 0; ","")&amp;IF(AND($C292&lt;&gt;"RECEPTION",$E292=""),"EMPL. SOURCE; ","")&amp;IF(AND($C292&lt;&gt;"CONSOMMATION",$F292=""),"EMPL. DESTINATION; ","")&amp;IF(AND($C292="TRANSFERT",$E292&lt;&gt;"",$E292=$F292),"SOURCE = DESTINATION; ",""),IF($P292="EMPLACEMENT INCOHERENT","Le lot "&amp;$D292&amp;" n'existe pas sur "&amp;$E292&amp;" (stock 0). Verifier l'emplacement source.",IF($P292="STOCK INSUFFISANT","Disponible avant operation : "&amp;TEXT($O292,"#,##0.00")&amp;" kg. Ligne NON comptee en stock.",IF(COUNTIFS($B$5:$B$304,$B292,$C$5:$C$304,$C292,$D$5:$D$304,$D292,$G$5:$G$304,$G292)&gt;1,"Doublon possible (meme date, type, lot et quantite).",IF($J292="LOT NON REFERENCE","Creer d'abord la fiche du lot dans l'onglet LOTS.",""))))))</f>
        <v/>
      </c>
    </row>
    <row r="293" customFormat="false" ht="15" hidden="false" customHeight="false" outlineLevel="0" collapsed="false">
      <c r="A293" s="26" t="str">
        <f aca="false">IF($C293="","","OP-"&amp;TEXT(ROW()-4,"000"))</f>
        <v/>
      </c>
      <c r="B293" s="25"/>
      <c r="C293" s="24"/>
      <c r="D293" s="24"/>
      <c r="E293" s="24"/>
      <c r="F293" s="24"/>
      <c r="G293" s="29"/>
      <c r="H293" s="24"/>
      <c r="I293" s="24"/>
      <c r="J293" s="26" t="str">
        <f aca="false">IF($D293="","",IFERROR(INDEX(LOT_PRODE,MATCH($D293,LOT_KEY,0)),"LOT NON REFERENCE"))</f>
        <v/>
      </c>
      <c r="K293" s="26" t="str">
        <f aca="false">IF($D293="","",IFERROR(INDEX(LOT_FOURNE,MATCH($D293,LOT_KEY,0)),""))</f>
        <v/>
      </c>
      <c r="L293" s="26" t="str">
        <f aca="false">IF($E293="","",IFERROR(INDEX(EMPL_CLASSE,MATCH($E293,EMPL_KEY,0)),"?"))</f>
        <v/>
      </c>
      <c r="M293" s="26" t="str">
        <f aca="false">IF($F293="","",IFERROR(INDEX(EMPL_CLASSE,MATCH($F293,EMPL_KEY,0)),"?"))</f>
        <v/>
      </c>
      <c r="N293" s="28" t="n">
        <f aca="false">IF($C293="",0,IF(OR($B293="",$D293="",NOT(ISNUMBER($G293)),$G293&lt;=0),0,IF($C293="RECEPTION",IF($F293="",0,1),IF($C293="CONSOMMATION",IF($E293="",0,1),IF(OR($E293="",$F293="",$E293=$F293),0,1)))))</f>
        <v>0</v>
      </c>
      <c r="O293" s="27" t="str">
        <f aca="false">IF(OR($N293=0,$C293="RECEPTION"),"",SUMIFS(MVT_BRUT,MVT_LOT,$D293,MVT_EMPL,$E293)+$G293)</f>
        <v/>
      </c>
      <c r="P293" s="26" t="str">
        <f aca="false">IF($C293="","",IF($N293=0,"DONNEES MANQUANTES",IF($C293="RECEPTION","OK",IF($O293&lt;=0,"EMPLACEMENT INCOHERENT",IF($G293&gt;$O293+0.001,"STOCK INSUFFISANT","OK")))))</f>
        <v/>
      </c>
      <c r="Q293" s="28" t="n">
        <f aca="false">IF($P293="OK",1,0)</f>
        <v>0</v>
      </c>
      <c r="R293" s="26" t="str">
        <f aca="false">IF($C293="","",IF($N293=0,"A COMPLETER : "&amp;IF($B293="","DATE; ","")&amp;IF($D293="","LOT; ","")&amp;IF(OR(NOT(ISNUMBER($G293)),$G293&lt;=0),"QUANTITE &gt; 0; ","")&amp;IF(AND($C293&lt;&gt;"RECEPTION",$E293=""),"EMPL. SOURCE; ","")&amp;IF(AND($C293&lt;&gt;"CONSOMMATION",$F293=""),"EMPL. DESTINATION; ","")&amp;IF(AND($C293="TRANSFERT",$E293&lt;&gt;"",$E293=$F293),"SOURCE = DESTINATION; ",""),IF($P293="EMPLACEMENT INCOHERENT","Le lot "&amp;$D293&amp;" n'existe pas sur "&amp;$E293&amp;" (stock 0). Verifier l'emplacement source.",IF($P293="STOCK INSUFFISANT","Disponible avant operation : "&amp;TEXT($O293,"#,##0.00")&amp;" kg. Ligne NON comptee en stock.",IF(COUNTIFS($B$5:$B$304,$B293,$C$5:$C$304,$C293,$D$5:$D$304,$D293,$G$5:$G$304,$G293)&gt;1,"Doublon possible (meme date, type, lot et quantite).",IF($J293="LOT NON REFERENCE","Creer d'abord la fiche du lot dans l'onglet LOTS.",""))))))</f>
        <v/>
      </c>
    </row>
    <row r="294" customFormat="false" ht="15" hidden="false" customHeight="false" outlineLevel="0" collapsed="false">
      <c r="A294" s="26" t="str">
        <f aca="false">IF($C294="","","OP-"&amp;TEXT(ROW()-4,"000"))</f>
        <v/>
      </c>
      <c r="B294" s="25"/>
      <c r="C294" s="24"/>
      <c r="D294" s="24"/>
      <c r="E294" s="24"/>
      <c r="F294" s="24"/>
      <c r="G294" s="29"/>
      <c r="H294" s="24"/>
      <c r="I294" s="24"/>
      <c r="J294" s="26" t="str">
        <f aca="false">IF($D294="","",IFERROR(INDEX(LOT_PRODE,MATCH($D294,LOT_KEY,0)),"LOT NON REFERENCE"))</f>
        <v/>
      </c>
      <c r="K294" s="26" t="str">
        <f aca="false">IF($D294="","",IFERROR(INDEX(LOT_FOURNE,MATCH($D294,LOT_KEY,0)),""))</f>
        <v/>
      </c>
      <c r="L294" s="26" t="str">
        <f aca="false">IF($E294="","",IFERROR(INDEX(EMPL_CLASSE,MATCH($E294,EMPL_KEY,0)),"?"))</f>
        <v/>
      </c>
      <c r="M294" s="26" t="str">
        <f aca="false">IF($F294="","",IFERROR(INDEX(EMPL_CLASSE,MATCH($F294,EMPL_KEY,0)),"?"))</f>
        <v/>
      </c>
      <c r="N294" s="28" t="n">
        <f aca="false">IF($C294="",0,IF(OR($B294="",$D294="",NOT(ISNUMBER($G294)),$G294&lt;=0),0,IF($C294="RECEPTION",IF($F294="",0,1),IF($C294="CONSOMMATION",IF($E294="",0,1),IF(OR($E294="",$F294="",$E294=$F294),0,1)))))</f>
        <v>0</v>
      </c>
      <c r="O294" s="27" t="str">
        <f aca="false">IF(OR($N294=0,$C294="RECEPTION"),"",SUMIFS(MVT_BRUT,MVT_LOT,$D294,MVT_EMPL,$E294)+$G294)</f>
        <v/>
      </c>
      <c r="P294" s="26" t="str">
        <f aca="false">IF($C294="","",IF($N294=0,"DONNEES MANQUANTES",IF($C294="RECEPTION","OK",IF($O294&lt;=0,"EMPLACEMENT INCOHERENT",IF($G294&gt;$O294+0.001,"STOCK INSUFFISANT","OK")))))</f>
        <v/>
      </c>
      <c r="Q294" s="28" t="n">
        <f aca="false">IF($P294="OK",1,0)</f>
        <v>0</v>
      </c>
      <c r="R294" s="26" t="str">
        <f aca="false">IF($C294="","",IF($N294=0,"A COMPLETER : "&amp;IF($B294="","DATE; ","")&amp;IF($D294="","LOT; ","")&amp;IF(OR(NOT(ISNUMBER($G294)),$G294&lt;=0),"QUANTITE &gt; 0; ","")&amp;IF(AND($C294&lt;&gt;"RECEPTION",$E294=""),"EMPL. SOURCE; ","")&amp;IF(AND($C294&lt;&gt;"CONSOMMATION",$F294=""),"EMPL. DESTINATION; ","")&amp;IF(AND($C294="TRANSFERT",$E294&lt;&gt;"",$E294=$F294),"SOURCE = DESTINATION; ",""),IF($P294="EMPLACEMENT INCOHERENT","Le lot "&amp;$D294&amp;" n'existe pas sur "&amp;$E294&amp;" (stock 0). Verifier l'emplacement source.",IF($P294="STOCK INSUFFISANT","Disponible avant operation : "&amp;TEXT($O294,"#,##0.00")&amp;" kg. Ligne NON comptee en stock.",IF(COUNTIFS($B$5:$B$304,$B294,$C$5:$C$304,$C294,$D$5:$D$304,$D294,$G$5:$G$304,$G294)&gt;1,"Doublon possible (meme date, type, lot et quantite).",IF($J294="LOT NON REFERENCE","Creer d'abord la fiche du lot dans l'onglet LOTS.",""))))))</f>
        <v/>
      </c>
    </row>
    <row r="295" customFormat="false" ht="15" hidden="false" customHeight="false" outlineLevel="0" collapsed="false">
      <c r="A295" s="26" t="str">
        <f aca="false">IF($C295="","","OP-"&amp;TEXT(ROW()-4,"000"))</f>
        <v/>
      </c>
      <c r="B295" s="25"/>
      <c r="C295" s="24"/>
      <c r="D295" s="24"/>
      <c r="E295" s="24"/>
      <c r="F295" s="24"/>
      <c r="G295" s="29"/>
      <c r="H295" s="24"/>
      <c r="I295" s="24"/>
      <c r="J295" s="26" t="str">
        <f aca="false">IF($D295="","",IFERROR(INDEX(LOT_PRODE,MATCH($D295,LOT_KEY,0)),"LOT NON REFERENCE"))</f>
        <v/>
      </c>
      <c r="K295" s="26" t="str">
        <f aca="false">IF($D295="","",IFERROR(INDEX(LOT_FOURNE,MATCH($D295,LOT_KEY,0)),""))</f>
        <v/>
      </c>
      <c r="L295" s="26" t="str">
        <f aca="false">IF($E295="","",IFERROR(INDEX(EMPL_CLASSE,MATCH($E295,EMPL_KEY,0)),"?"))</f>
        <v/>
      </c>
      <c r="M295" s="26" t="str">
        <f aca="false">IF($F295="","",IFERROR(INDEX(EMPL_CLASSE,MATCH($F295,EMPL_KEY,0)),"?"))</f>
        <v/>
      </c>
      <c r="N295" s="28" t="n">
        <f aca="false">IF($C295="",0,IF(OR($B295="",$D295="",NOT(ISNUMBER($G295)),$G295&lt;=0),0,IF($C295="RECEPTION",IF($F295="",0,1),IF($C295="CONSOMMATION",IF($E295="",0,1),IF(OR($E295="",$F295="",$E295=$F295),0,1)))))</f>
        <v>0</v>
      </c>
      <c r="O295" s="27" t="str">
        <f aca="false">IF(OR($N295=0,$C295="RECEPTION"),"",SUMIFS(MVT_BRUT,MVT_LOT,$D295,MVT_EMPL,$E295)+$G295)</f>
        <v/>
      </c>
      <c r="P295" s="26" t="str">
        <f aca="false">IF($C295="","",IF($N295=0,"DONNEES MANQUANTES",IF($C295="RECEPTION","OK",IF($O295&lt;=0,"EMPLACEMENT INCOHERENT",IF($G295&gt;$O295+0.001,"STOCK INSUFFISANT","OK")))))</f>
        <v/>
      </c>
      <c r="Q295" s="28" t="n">
        <f aca="false">IF($P295="OK",1,0)</f>
        <v>0</v>
      </c>
      <c r="R295" s="26" t="str">
        <f aca="false">IF($C295="","",IF($N295=0,"A COMPLETER : "&amp;IF($B295="","DATE; ","")&amp;IF($D295="","LOT; ","")&amp;IF(OR(NOT(ISNUMBER($G295)),$G295&lt;=0),"QUANTITE &gt; 0; ","")&amp;IF(AND($C295&lt;&gt;"RECEPTION",$E295=""),"EMPL. SOURCE; ","")&amp;IF(AND($C295&lt;&gt;"CONSOMMATION",$F295=""),"EMPL. DESTINATION; ","")&amp;IF(AND($C295="TRANSFERT",$E295&lt;&gt;"",$E295=$F295),"SOURCE = DESTINATION; ",""),IF($P295="EMPLACEMENT INCOHERENT","Le lot "&amp;$D295&amp;" n'existe pas sur "&amp;$E295&amp;" (stock 0). Verifier l'emplacement source.",IF($P295="STOCK INSUFFISANT","Disponible avant operation : "&amp;TEXT($O295,"#,##0.00")&amp;" kg. Ligne NON comptee en stock.",IF(COUNTIFS($B$5:$B$304,$B295,$C$5:$C$304,$C295,$D$5:$D$304,$D295,$G$5:$G$304,$G295)&gt;1,"Doublon possible (meme date, type, lot et quantite).",IF($J295="LOT NON REFERENCE","Creer d'abord la fiche du lot dans l'onglet LOTS.",""))))))</f>
        <v/>
      </c>
    </row>
    <row r="296" customFormat="false" ht="15" hidden="false" customHeight="false" outlineLevel="0" collapsed="false">
      <c r="A296" s="26" t="str">
        <f aca="false">IF($C296="","","OP-"&amp;TEXT(ROW()-4,"000"))</f>
        <v/>
      </c>
      <c r="B296" s="25"/>
      <c r="C296" s="24"/>
      <c r="D296" s="24"/>
      <c r="E296" s="24"/>
      <c r="F296" s="24"/>
      <c r="G296" s="29"/>
      <c r="H296" s="24"/>
      <c r="I296" s="24"/>
      <c r="J296" s="26" t="str">
        <f aca="false">IF($D296="","",IFERROR(INDEX(LOT_PRODE,MATCH($D296,LOT_KEY,0)),"LOT NON REFERENCE"))</f>
        <v/>
      </c>
      <c r="K296" s="26" t="str">
        <f aca="false">IF($D296="","",IFERROR(INDEX(LOT_FOURNE,MATCH($D296,LOT_KEY,0)),""))</f>
        <v/>
      </c>
      <c r="L296" s="26" t="str">
        <f aca="false">IF($E296="","",IFERROR(INDEX(EMPL_CLASSE,MATCH($E296,EMPL_KEY,0)),"?"))</f>
        <v/>
      </c>
      <c r="M296" s="26" t="str">
        <f aca="false">IF($F296="","",IFERROR(INDEX(EMPL_CLASSE,MATCH($F296,EMPL_KEY,0)),"?"))</f>
        <v/>
      </c>
      <c r="N296" s="28" t="n">
        <f aca="false">IF($C296="",0,IF(OR($B296="",$D296="",NOT(ISNUMBER($G296)),$G296&lt;=0),0,IF($C296="RECEPTION",IF($F296="",0,1),IF($C296="CONSOMMATION",IF($E296="",0,1),IF(OR($E296="",$F296="",$E296=$F296),0,1)))))</f>
        <v>0</v>
      </c>
      <c r="O296" s="27" t="str">
        <f aca="false">IF(OR($N296=0,$C296="RECEPTION"),"",SUMIFS(MVT_BRUT,MVT_LOT,$D296,MVT_EMPL,$E296)+$G296)</f>
        <v/>
      </c>
      <c r="P296" s="26" t="str">
        <f aca="false">IF($C296="","",IF($N296=0,"DONNEES MANQUANTES",IF($C296="RECEPTION","OK",IF($O296&lt;=0,"EMPLACEMENT INCOHERENT",IF($G296&gt;$O296+0.001,"STOCK INSUFFISANT","OK")))))</f>
        <v/>
      </c>
      <c r="Q296" s="28" t="n">
        <f aca="false">IF($P296="OK",1,0)</f>
        <v>0</v>
      </c>
      <c r="R296" s="26" t="str">
        <f aca="false">IF($C296="","",IF($N296=0,"A COMPLETER : "&amp;IF($B296="","DATE; ","")&amp;IF($D296="","LOT; ","")&amp;IF(OR(NOT(ISNUMBER($G296)),$G296&lt;=0),"QUANTITE &gt; 0; ","")&amp;IF(AND($C296&lt;&gt;"RECEPTION",$E296=""),"EMPL. SOURCE; ","")&amp;IF(AND($C296&lt;&gt;"CONSOMMATION",$F296=""),"EMPL. DESTINATION; ","")&amp;IF(AND($C296="TRANSFERT",$E296&lt;&gt;"",$E296=$F296),"SOURCE = DESTINATION; ",""),IF($P296="EMPLACEMENT INCOHERENT","Le lot "&amp;$D296&amp;" n'existe pas sur "&amp;$E296&amp;" (stock 0). Verifier l'emplacement source.",IF($P296="STOCK INSUFFISANT","Disponible avant operation : "&amp;TEXT($O296,"#,##0.00")&amp;" kg. Ligne NON comptee en stock.",IF(COUNTIFS($B$5:$B$304,$B296,$C$5:$C$304,$C296,$D$5:$D$304,$D296,$G$5:$G$304,$G296)&gt;1,"Doublon possible (meme date, type, lot et quantite).",IF($J296="LOT NON REFERENCE","Creer d'abord la fiche du lot dans l'onglet LOTS.",""))))))</f>
        <v/>
      </c>
    </row>
    <row r="297" customFormat="false" ht="15" hidden="false" customHeight="false" outlineLevel="0" collapsed="false">
      <c r="A297" s="26" t="str">
        <f aca="false">IF($C297="","","OP-"&amp;TEXT(ROW()-4,"000"))</f>
        <v/>
      </c>
      <c r="B297" s="25"/>
      <c r="C297" s="24"/>
      <c r="D297" s="24"/>
      <c r="E297" s="24"/>
      <c r="F297" s="24"/>
      <c r="G297" s="29"/>
      <c r="H297" s="24"/>
      <c r="I297" s="24"/>
      <c r="J297" s="26" t="str">
        <f aca="false">IF($D297="","",IFERROR(INDEX(LOT_PRODE,MATCH($D297,LOT_KEY,0)),"LOT NON REFERENCE"))</f>
        <v/>
      </c>
      <c r="K297" s="26" t="str">
        <f aca="false">IF($D297="","",IFERROR(INDEX(LOT_FOURNE,MATCH($D297,LOT_KEY,0)),""))</f>
        <v/>
      </c>
      <c r="L297" s="26" t="str">
        <f aca="false">IF($E297="","",IFERROR(INDEX(EMPL_CLASSE,MATCH($E297,EMPL_KEY,0)),"?"))</f>
        <v/>
      </c>
      <c r="M297" s="26" t="str">
        <f aca="false">IF($F297="","",IFERROR(INDEX(EMPL_CLASSE,MATCH($F297,EMPL_KEY,0)),"?"))</f>
        <v/>
      </c>
      <c r="N297" s="28" t="n">
        <f aca="false">IF($C297="",0,IF(OR($B297="",$D297="",NOT(ISNUMBER($G297)),$G297&lt;=0),0,IF($C297="RECEPTION",IF($F297="",0,1),IF($C297="CONSOMMATION",IF($E297="",0,1),IF(OR($E297="",$F297="",$E297=$F297),0,1)))))</f>
        <v>0</v>
      </c>
      <c r="O297" s="27" t="str">
        <f aca="false">IF(OR($N297=0,$C297="RECEPTION"),"",SUMIFS(MVT_BRUT,MVT_LOT,$D297,MVT_EMPL,$E297)+$G297)</f>
        <v/>
      </c>
      <c r="P297" s="26" t="str">
        <f aca="false">IF($C297="","",IF($N297=0,"DONNEES MANQUANTES",IF($C297="RECEPTION","OK",IF($O297&lt;=0,"EMPLACEMENT INCOHERENT",IF($G297&gt;$O297+0.001,"STOCK INSUFFISANT","OK")))))</f>
        <v/>
      </c>
      <c r="Q297" s="28" t="n">
        <f aca="false">IF($P297="OK",1,0)</f>
        <v>0</v>
      </c>
      <c r="R297" s="26" t="str">
        <f aca="false">IF($C297="","",IF($N297=0,"A COMPLETER : "&amp;IF($B297="","DATE; ","")&amp;IF($D297="","LOT; ","")&amp;IF(OR(NOT(ISNUMBER($G297)),$G297&lt;=0),"QUANTITE &gt; 0; ","")&amp;IF(AND($C297&lt;&gt;"RECEPTION",$E297=""),"EMPL. SOURCE; ","")&amp;IF(AND($C297&lt;&gt;"CONSOMMATION",$F297=""),"EMPL. DESTINATION; ","")&amp;IF(AND($C297="TRANSFERT",$E297&lt;&gt;"",$E297=$F297),"SOURCE = DESTINATION; ",""),IF($P297="EMPLACEMENT INCOHERENT","Le lot "&amp;$D297&amp;" n'existe pas sur "&amp;$E297&amp;" (stock 0). Verifier l'emplacement source.",IF($P297="STOCK INSUFFISANT","Disponible avant operation : "&amp;TEXT($O297,"#,##0.00")&amp;" kg. Ligne NON comptee en stock.",IF(COUNTIFS($B$5:$B$304,$B297,$C$5:$C$304,$C297,$D$5:$D$304,$D297,$G$5:$G$304,$G297)&gt;1,"Doublon possible (meme date, type, lot et quantite).",IF($J297="LOT NON REFERENCE","Creer d'abord la fiche du lot dans l'onglet LOTS.",""))))))</f>
        <v/>
      </c>
    </row>
    <row r="298" customFormat="false" ht="15" hidden="false" customHeight="false" outlineLevel="0" collapsed="false">
      <c r="A298" s="26" t="str">
        <f aca="false">IF($C298="","","OP-"&amp;TEXT(ROW()-4,"000"))</f>
        <v/>
      </c>
      <c r="B298" s="25"/>
      <c r="C298" s="24"/>
      <c r="D298" s="24"/>
      <c r="E298" s="24"/>
      <c r="F298" s="24"/>
      <c r="G298" s="29"/>
      <c r="H298" s="24"/>
      <c r="I298" s="24"/>
      <c r="J298" s="26" t="str">
        <f aca="false">IF($D298="","",IFERROR(INDEX(LOT_PRODE,MATCH($D298,LOT_KEY,0)),"LOT NON REFERENCE"))</f>
        <v/>
      </c>
      <c r="K298" s="26" t="str">
        <f aca="false">IF($D298="","",IFERROR(INDEX(LOT_FOURNE,MATCH($D298,LOT_KEY,0)),""))</f>
        <v/>
      </c>
      <c r="L298" s="26" t="str">
        <f aca="false">IF($E298="","",IFERROR(INDEX(EMPL_CLASSE,MATCH($E298,EMPL_KEY,0)),"?"))</f>
        <v/>
      </c>
      <c r="M298" s="26" t="str">
        <f aca="false">IF($F298="","",IFERROR(INDEX(EMPL_CLASSE,MATCH($F298,EMPL_KEY,0)),"?"))</f>
        <v/>
      </c>
      <c r="N298" s="28" t="n">
        <f aca="false">IF($C298="",0,IF(OR($B298="",$D298="",NOT(ISNUMBER($G298)),$G298&lt;=0),0,IF($C298="RECEPTION",IF($F298="",0,1),IF($C298="CONSOMMATION",IF($E298="",0,1),IF(OR($E298="",$F298="",$E298=$F298),0,1)))))</f>
        <v>0</v>
      </c>
      <c r="O298" s="27" t="str">
        <f aca="false">IF(OR($N298=0,$C298="RECEPTION"),"",SUMIFS(MVT_BRUT,MVT_LOT,$D298,MVT_EMPL,$E298)+$G298)</f>
        <v/>
      </c>
      <c r="P298" s="26" t="str">
        <f aca="false">IF($C298="","",IF($N298=0,"DONNEES MANQUANTES",IF($C298="RECEPTION","OK",IF($O298&lt;=0,"EMPLACEMENT INCOHERENT",IF($G298&gt;$O298+0.001,"STOCK INSUFFISANT","OK")))))</f>
        <v/>
      </c>
      <c r="Q298" s="28" t="n">
        <f aca="false">IF($P298="OK",1,0)</f>
        <v>0</v>
      </c>
      <c r="R298" s="26" t="str">
        <f aca="false">IF($C298="","",IF($N298=0,"A COMPLETER : "&amp;IF($B298="","DATE; ","")&amp;IF($D298="","LOT; ","")&amp;IF(OR(NOT(ISNUMBER($G298)),$G298&lt;=0),"QUANTITE &gt; 0; ","")&amp;IF(AND($C298&lt;&gt;"RECEPTION",$E298=""),"EMPL. SOURCE; ","")&amp;IF(AND($C298&lt;&gt;"CONSOMMATION",$F298=""),"EMPL. DESTINATION; ","")&amp;IF(AND($C298="TRANSFERT",$E298&lt;&gt;"",$E298=$F298),"SOURCE = DESTINATION; ",""),IF($P298="EMPLACEMENT INCOHERENT","Le lot "&amp;$D298&amp;" n'existe pas sur "&amp;$E298&amp;" (stock 0). Verifier l'emplacement source.",IF($P298="STOCK INSUFFISANT","Disponible avant operation : "&amp;TEXT($O298,"#,##0.00")&amp;" kg. Ligne NON comptee en stock.",IF(COUNTIFS($B$5:$B$304,$B298,$C$5:$C$304,$C298,$D$5:$D$304,$D298,$G$5:$G$304,$G298)&gt;1,"Doublon possible (meme date, type, lot et quantite).",IF($J298="LOT NON REFERENCE","Creer d'abord la fiche du lot dans l'onglet LOTS.",""))))))</f>
        <v/>
      </c>
    </row>
    <row r="299" customFormat="false" ht="15" hidden="false" customHeight="false" outlineLevel="0" collapsed="false">
      <c r="A299" s="26" t="str">
        <f aca="false">IF($C299="","","OP-"&amp;TEXT(ROW()-4,"000"))</f>
        <v/>
      </c>
      <c r="B299" s="25"/>
      <c r="C299" s="24"/>
      <c r="D299" s="24"/>
      <c r="E299" s="24"/>
      <c r="F299" s="24"/>
      <c r="G299" s="29"/>
      <c r="H299" s="24"/>
      <c r="I299" s="24"/>
      <c r="J299" s="26" t="str">
        <f aca="false">IF($D299="","",IFERROR(INDEX(LOT_PRODE,MATCH($D299,LOT_KEY,0)),"LOT NON REFERENCE"))</f>
        <v/>
      </c>
      <c r="K299" s="26" t="str">
        <f aca="false">IF($D299="","",IFERROR(INDEX(LOT_FOURNE,MATCH($D299,LOT_KEY,0)),""))</f>
        <v/>
      </c>
      <c r="L299" s="26" t="str">
        <f aca="false">IF($E299="","",IFERROR(INDEX(EMPL_CLASSE,MATCH($E299,EMPL_KEY,0)),"?"))</f>
        <v/>
      </c>
      <c r="M299" s="26" t="str">
        <f aca="false">IF($F299="","",IFERROR(INDEX(EMPL_CLASSE,MATCH($F299,EMPL_KEY,0)),"?"))</f>
        <v/>
      </c>
      <c r="N299" s="28" t="n">
        <f aca="false">IF($C299="",0,IF(OR($B299="",$D299="",NOT(ISNUMBER($G299)),$G299&lt;=0),0,IF($C299="RECEPTION",IF($F299="",0,1),IF($C299="CONSOMMATION",IF($E299="",0,1),IF(OR($E299="",$F299="",$E299=$F299),0,1)))))</f>
        <v>0</v>
      </c>
      <c r="O299" s="27" t="str">
        <f aca="false">IF(OR($N299=0,$C299="RECEPTION"),"",SUMIFS(MVT_BRUT,MVT_LOT,$D299,MVT_EMPL,$E299)+$G299)</f>
        <v/>
      </c>
      <c r="P299" s="26" t="str">
        <f aca="false">IF($C299="","",IF($N299=0,"DONNEES MANQUANTES",IF($C299="RECEPTION","OK",IF($O299&lt;=0,"EMPLACEMENT INCOHERENT",IF($G299&gt;$O299+0.001,"STOCK INSUFFISANT","OK")))))</f>
        <v/>
      </c>
      <c r="Q299" s="28" t="n">
        <f aca="false">IF($P299="OK",1,0)</f>
        <v>0</v>
      </c>
      <c r="R299" s="26" t="str">
        <f aca="false">IF($C299="","",IF($N299=0,"A COMPLETER : "&amp;IF($B299="","DATE; ","")&amp;IF($D299="","LOT; ","")&amp;IF(OR(NOT(ISNUMBER($G299)),$G299&lt;=0),"QUANTITE &gt; 0; ","")&amp;IF(AND($C299&lt;&gt;"RECEPTION",$E299=""),"EMPL. SOURCE; ","")&amp;IF(AND($C299&lt;&gt;"CONSOMMATION",$F299=""),"EMPL. DESTINATION; ","")&amp;IF(AND($C299="TRANSFERT",$E299&lt;&gt;"",$E299=$F299),"SOURCE = DESTINATION; ",""),IF($P299="EMPLACEMENT INCOHERENT","Le lot "&amp;$D299&amp;" n'existe pas sur "&amp;$E299&amp;" (stock 0). Verifier l'emplacement source.",IF($P299="STOCK INSUFFISANT","Disponible avant operation : "&amp;TEXT($O299,"#,##0.00")&amp;" kg. Ligne NON comptee en stock.",IF(COUNTIFS($B$5:$B$304,$B299,$C$5:$C$304,$C299,$D$5:$D$304,$D299,$G$5:$G$304,$G299)&gt;1,"Doublon possible (meme date, type, lot et quantite).",IF($J299="LOT NON REFERENCE","Creer d'abord la fiche du lot dans l'onglet LOTS.",""))))))</f>
        <v/>
      </c>
    </row>
    <row r="300" customFormat="false" ht="15" hidden="false" customHeight="false" outlineLevel="0" collapsed="false">
      <c r="A300" s="26" t="str">
        <f aca="false">IF($C300="","","OP-"&amp;TEXT(ROW()-4,"000"))</f>
        <v/>
      </c>
      <c r="B300" s="25"/>
      <c r="C300" s="24"/>
      <c r="D300" s="24"/>
      <c r="E300" s="24"/>
      <c r="F300" s="24"/>
      <c r="G300" s="29"/>
      <c r="H300" s="24"/>
      <c r="I300" s="24"/>
      <c r="J300" s="26" t="str">
        <f aca="false">IF($D300="","",IFERROR(INDEX(LOT_PRODE,MATCH($D300,LOT_KEY,0)),"LOT NON REFERENCE"))</f>
        <v/>
      </c>
      <c r="K300" s="26" t="str">
        <f aca="false">IF($D300="","",IFERROR(INDEX(LOT_FOURNE,MATCH($D300,LOT_KEY,0)),""))</f>
        <v/>
      </c>
      <c r="L300" s="26" t="str">
        <f aca="false">IF($E300="","",IFERROR(INDEX(EMPL_CLASSE,MATCH($E300,EMPL_KEY,0)),"?"))</f>
        <v/>
      </c>
      <c r="M300" s="26" t="str">
        <f aca="false">IF($F300="","",IFERROR(INDEX(EMPL_CLASSE,MATCH($F300,EMPL_KEY,0)),"?"))</f>
        <v/>
      </c>
      <c r="N300" s="28" t="n">
        <f aca="false">IF($C300="",0,IF(OR($B300="",$D300="",NOT(ISNUMBER($G300)),$G300&lt;=0),0,IF($C300="RECEPTION",IF($F300="",0,1),IF($C300="CONSOMMATION",IF($E300="",0,1),IF(OR($E300="",$F300="",$E300=$F300),0,1)))))</f>
        <v>0</v>
      </c>
      <c r="O300" s="27" t="str">
        <f aca="false">IF(OR($N300=0,$C300="RECEPTION"),"",SUMIFS(MVT_BRUT,MVT_LOT,$D300,MVT_EMPL,$E300)+$G300)</f>
        <v/>
      </c>
      <c r="P300" s="26" t="str">
        <f aca="false">IF($C300="","",IF($N300=0,"DONNEES MANQUANTES",IF($C300="RECEPTION","OK",IF($O300&lt;=0,"EMPLACEMENT INCOHERENT",IF($G300&gt;$O300+0.001,"STOCK INSUFFISANT","OK")))))</f>
        <v/>
      </c>
      <c r="Q300" s="28" t="n">
        <f aca="false">IF($P300="OK",1,0)</f>
        <v>0</v>
      </c>
      <c r="R300" s="26" t="str">
        <f aca="false">IF($C300="","",IF($N300=0,"A COMPLETER : "&amp;IF($B300="","DATE; ","")&amp;IF($D300="","LOT; ","")&amp;IF(OR(NOT(ISNUMBER($G300)),$G300&lt;=0),"QUANTITE &gt; 0; ","")&amp;IF(AND($C300&lt;&gt;"RECEPTION",$E300=""),"EMPL. SOURCE; ","")&amp;IF(AND($C300&lt;&gt;"CONSOMMATION",$F300=""),"EMPL. DESTINATION; ","")&amp;IF(AND($C300="TRANSFERT",$E300&lt;&gt;"",$E300=$F300),"SOURCE = DESTINATION; ",""),IF($P300="EMPLACEMENT INCOHERENT","Le lot "&amp;$D300&amp;" n'existe pas sur "&amp;$E300&amp;" (stock 0). Verifier l'emplacement source.",IF($P300="STOCK INSUFFISANT","Disponible avant operation : "&amp;TEXT($O300,"#,##0.00")&amp;" kg. Ligne NON comptee en stock.",IF(COUNTIFS($B$5:$B$304,$B300,$C$5:$C$304,$C300,$D$5:$D$304,$D300,$G$5:$G$304,$G300)&gt;1,"Doublon possible (meme date, type, lot et quantite).",IF($J300="LOT NON REFERENCE","Creer d'abord la fiche du lot dans l'onglet LOTS.",""))))))</f>
        <v/>
      </c>
    </row>
    <row r="301" customFormat="false" ht="15" hidden="false" customHeight="false" outlineLevel="0" collapsed="false">
      <c r="A301" s="26" t="str">
        <f aca="false">IF($C301="","","OP-"&amp;TEXT(ROW()-4,"000"))</f>
        <v/>
      </c>
      <c r="B301" s="25"/>
      <c r="C301" s="24"/>
      <c r="D301" s="24"/>
      <c r="E301" s="24"/>
      <c r="F301" s="24"/>
      <c r="G301" s="29"/>
      <c r="H301" s="24"/>
      <c r="I301" s="24"/>
      <c r="J301" s="26" t="str">
        <f aca="false">IF($D301="","",IFERROR(INDEX(LOT_PRODE,MATCH($D301,LOT_KEY,0)),"LOT NON REFERENCE"))</f>
        <v/>
      </c>
      <c r="K301" s="26" t="str">
        <f aca="false">IF($D301="","",IFERROR(INDEX(LOT_FOURNE,MATCH($D301,LOT_KEY,0)),""))</f>
        <v/>
      </c>
      <c r="L301" s="26" t="str">
        <f aca="false">IF($E301="","",IFERROR(INDEX(EMPL_CLASSE,MATCH($E301,EMPL_KEY,0)),"?"))</f>
        <v/>
      </c>
      <c r="M301" s="26" t="str">
        <f aca="false">IF($F301="","",IFERROR(INDEX(EMPL_CLASSE,MATCH($F301,EMPL_KEY,0)),"?"))</f>
        <v/>
      </c>
      <c r="N301" s="28" t="n">
        <f aca="false">IF($C301="",0,IF(OR($B301="",$D301="",NOT(ISNUMBER($G301)),$G301&lt;=0),0,IF($C301="RECEPTION",IF($F301="",0,1),IF($C301="CONSOMMATION",IF($E301="",0,1),IF(OR($E301="",$F301="",$E301=$F301),0,1)))))</f>
        <v>0</v>
      </c>
      <c r="O301" s="27" t="str">
        <f aca="false">IF(OR($N301=0,$C301="RECEPTION"),"",SUMIFS(MVT_BRUT,MVT_LOT,$D301,MVT_EMPL,$E301)+$G301)</f>
        <v/>
      </c>
      <c r="P301" s="26" t="str">
        <f aca="false">IF($C301="","",IF($N301=0,"DONNEES MANQUANTES",IF($C301="RECEPTION","OK",IF($O301&lt;=0,"EMPLACEMENT INCOHERENT",IF($G301&gt;$O301+0.001,"STOCK INSUFFISANT","OK")))))</f>
        <v/>
      </c>
      <c r="Q301" s="28" t="n">
        <f aca="false">IF($P301="OK",1,0)</f>
        <v>0</v>
      </c>
      <c r="R301" s="26" t="str">
        <f aca="false">IF($C301="","",IF($N301=0,"A COMPLETER : "&amp;IF($B301="","DATE; ","")&amp;IF($D301="","LOT; ","")&amp;IF(OR(NOT(ISNUMBER($G301)),$G301&lt;=0),"QUANTITE &gt; 0; ","")&amp;IF(AND($C301&lt;&gt;"RECEPTION",$E301=""),"EMPL. SOURCE; ","")&amp;IF(AND($C301&lt;&gt;"CONSOMMATION",$F301=""),"EMPL. DESTINATION; ","")&amp;IF(AND($C301="TRANSFERT",$E301&lt;&gt;"",$E301=$F301),"SOURCE = DESTINATION; ",""),IF($P301="EMPLACEMENT INCOHERENT","Le lot "&amp;$D301&amp;" n'existe pas sur "&amp;$E301&amp;" (stock 0). Verifier l'emplacement source.",IF($P301="STOCK INSUFFISANT","Disponible avant operation : "&amp;TEXT($O301,"#,##0.00")&amp;" kg. Ligne NON comptee en stock.",IF(COUNTIFS($B$5:$B$304,$B301,$C$5:$C$304,$C301,$D$5:$D$304,$D301,$G$5:$G$304,$G301)&gt;1,"Doublon possible (meme date, type, lot et quantite).",IF($J301="LOT NON REFERENCE","Creer d'abord la fiche du lot dans l'onglet LOTS.",""))))))</f>
        <v/>
      </c>
    </row>
    <row r="302" customFormat="false" ht="15" hidden="false" customHeight="false" outlineLevel="0" collapsed="false">
      <c r="A302" s="26" t="str">
        <f aca="false">IF($C302="","","OP-"&amp;TEXT(ROW()-4,"000"))</f>
        <v/>
      </c>
      <c r="B302" s="25"/>
      <c r="C302" s="24"/>
      <c r="D302" s="24"/>
      <c r="E302" s="24"/>
      <c r="F302" s="24"/>
      <c r="G302" s="29"/>
      <c r="H302" s="24"/>
      <c r="I302" s="24"/>
      <c r="J302" s="26" t="str">
        <f aca="false">IF($D302="","",IFERROR(INDEX(LOT_PRODE,MATCH($D302,LOT_KEY,0)),"LOT NON REFERENCE"))</f>
        <v/>
      </c>
      <c r="K302" s="26" t="str">
        <f aca="false">IF($D302="","",IFERROR(INDEX(LOT_FOURNE,MATCH($D302,LOT_KEY,0)),""))</f>
        <v/>
      </c>
      <c r="L302" s="26" t="str">
        <f aca="false">IF($E302="","",IFERROR(INDEX(EMPL_CLASSE,MATCH($E302,EMPL_KEY,0)),"?"))</f>
        <v/>
      </c>
      <c r="M302" s="26" t="str">
        <f aca="false">IF($F302="","",IFERROR(INDEX(EMPL_CLASSE,MATCH($F302,EMPL_KEY,0)),"?"))</f>
        <v/>
      </c>
      <c r="N302" s="28" t="n">
        <f aca="false">IF($C302="",0,IF(OR($B302="",$D302="",NOT(ISNUMBER($G302)),$G302&lt;=0),0,IF($C302="RECEPTION",IF($F302="",0,1),IF($C302="CONSOMMATION",IF($E302="",0,1),IF(OR($E302="",$F302="",$E302=$F302),0,1)))))</f>
        <v>0</v>
      </c>
      <c r="O302" s="27" t="str">
        <f aca="false">IF(OR($N302=0,$C302="RECEPTION"),"",SUMIFS(MVT_BRUT,MVT_LOT,$D302,MVT_EMPL,$E302)+$G302)</f>
        <v/>
      </c>
      <c r="P302" s="26" t="str">
        <f aca="false">IF($C302="","",IF($N302=0,"DONNEES MANQUANTES",IF($C302="RECEPTION","OK",IF($O302&lt;=0,"EMPLACEMENT INCOHERENT",IF($G302&gt;$O302+0.001,"STOCK INSUFFISANT","OK")))))</f>
        <v/>
      </c>
      <c r="Q302" s="28" t="n">
        <f aca="false">IF($P302="OK",1,0)</f>
        <v>0</v>
      </c>
      <c r="R302" s="26" t="str">
        <f aca="false">IF($C302="","",IF($N302=0,"A COMPLETER : "&amp;IF($B302="","DATE; ","")&amp;IF($D302="","LOT; ","")&amp;IF(OR(NOT(ISNUMBER($G302)),$G302&lt;=0),"QUANTITE &gt; 0; ","")&amp;IF(AND($C302&lt;&gt;"RECEPTION",$E302=""),"EMPL. SOURCE; ","")&amp;IF(AND($C302&lt;&gt;"CONSOMMATION",$F302=""),"EMPL. DESTINATION; ","")&amp;IF(AND($C302="TRANSFERT",$E302&lt;&gt;"",$E302=$F302),"SOURCE = DESTINATION; ",""),IF($P302="EMPLACEMENT INCOHERENT","Le lot "&amp;$D302&amp;" n'existe pas sur "&amp;$E302&amp;" (stock 0). Verifier l'emplacement source.",IF($P302="STOCK INSUFFISANT","Disponible avant operation : "&amp;TEXT($O302,"#,##0.00")&amp;" kg. Ligne NON comptee en stock.",IF(COUNTIFS($B$5:$B$304,$B302,$C$5:$C$304,$C302,$D$5:$D$304,$D302,$G$5:$G$304,$G302)&gt;1,"Doublon possible (meme date, type, lot et quantite).",IF($J302="LOT NON REFERENCE","Creer d'abord la fiche du lot dans l'onglet LOTS.",""))))))</f>
        <v/>
      </c>
    </row>
    <row r="303" customFormat="false" ht="15" hidden="false" customHeight="false" outlineLevel="0" collapsed="false">
      <c r="A303" s="26" t="str">
        <f aca="false">IF($C303="","","OP-"&amp;TEXT(ROW()-4,"000"))</f>
        <v/>
      </c>
      <c r="B303" s="25"/>
      <c r="C303" s="24"/>
      <c r="D303" s="24"/>
      <c r="E303" s="24"/>
      <c r="F303" s="24"/>
      <c r="G303" s="29"/>
      <c r="H303" s="24"/>
      <c r="I303" s="24"/>
      <c r="J303" s="26" t="str">
        <f aca="false">IF($D303="","",IFERROR(INDEX(LOT_PRODE,MATCH($D303,LOT_KEY,0)),"LOT NON REFERENCE"))</f>
        <v/>
      </c>
      <c r="K303" s="26" t="str">
        <f aca="false">IF($D303="","",IFERROR(INDEX(LOT_FOURNE,MATCH($D303,LOT_KEY,0)),""))</f>
        <v/>
      </c>
      <c r="L303" s="26" t="str">
        <f aca="false">IF($E303="","",IFERROR(INDEX(EMPL_CLASSE,MATCH($E303,EMPL_KEY,0)),"?"))</f>
        <v/>
      </c>
      <c r="M303" s="26" t="str">
        <f aca="false">IF($F303="","",IFERROR(INDEX(EMPL_CLASSE,MATCH($F303,EMPL_KEY,0)),"?"))</f>
        <v/>
      </c>
      <c r="N303" s="28" t="n">
        <f aca="false">IF($C303="",0,IF(OR($B303="",$D303="",NOT(ISNUMBER($G303)),$G303&lt;=0),0,IF($C303="RECEPTION",IF($F303="",0,1),IF($C303="CONSOMMATION",IF($E303="",0,1),IF(OR($E303="",$F303="",$E303=$F303),0,1)))))</f>
        <v>0</v>
      </c>
      <c r="O303" s="27" t="str">
        <f aca="false">IF(OR($N303=0,$C303="RECEPTION"),"",SUMIFS(MVT_BRUT,MVT_LOT,$D303,MVT_EMPL,$E303)+$G303)</f>
        <v/>
      </c>
      <c r="P303" s="26" t="str">
        <f aca="false">IF($C303="","",IF($N303=0,"DONNEES MANQUANTES",IF($C303="RECEPTION","OK",IF($O303&lt;=0,"EMPLACEMENT INCOHERENT",IF($G303&gt;$O303+0.001,"STOCK INSUFFISANT","OK")))))</f>
        <v/>
      </c>
      <c r="Q303" s="28" t="n">
        <f aca="false">IF($P303="OK",1,0)</f>
        <v>0</v>
      </c>
      <c r="R303" s="26" t="str">
        <f aca="false">IF($C303="","",IF($N303=0,"A COMPLETER : "&amp;IF($B303="","DATE; ","")&amp;IF($D303="","LOT; ","")&amp;IF(OR(NOT(ISNUMBER($G303)),$G303&lt;=0),"QUANTITE &gt; 0; ","")&amp;IF(AND($C303&lt;&gt;"RECEPTION",$E303=""),"EMPL. SOURCE; ","")&amp;IF(AND($C303&lt;&gt;"CONSOMMATION",$F303=""),"EMPL. DESTINATION; ","")&amp;IF(AND($C303="TRANSFERT",$E303&lt;&gt;"",$E303=$F303),"SOURCE = DESTINATION; ",""),IF($P303="EMPLACEMENT INCOHERENT","Le lot "&amp;$D303&amp;" n'existe pas sur "&amp;$E303&amp;" (stock 0). Verifier l'emplacement source.",IF($P303="STOCK INSUFFISANT","Disponible avant operation : "&amp;TEXT($O303,"#,##0.00")&amp;" kg. Ligne NON comptee en stock.",IF(COUNTIFS($B$5:$B$304,$B303,$C$5:$C$304,$C303,$D$5:$D$304,$D303,$G$5:$G$304,$G303)&gt;1,"Doublon possible (meme date, type, lot et quantite).",IF($J303="LOT NON REFERENCE","Creer d'abord la fiche du lot dans l'onglet LOTS.",""))))))</f>
        <v/>
      </c>
    </row>
    <row r="304" customFormat="false" ht="15" hidden="false" customHeight="false" outlineLevel="0" collapsed="false">
      <c r="A304" s="26" t="str">
        <f aca="false">IF($C304="","","OP-"&amp;TEXT(ROW()-4,"000"))</f>
        <v/>
      </c>
      <c r="B304" s="25"/>
      <c r="C304" s="24"/>
      <c r="D304" s="24"/>
      <c r="E304" s="24"/>
      <c r="F304" s="24"/>
      <c r="G304" s="29"/>
      <c r="H304" s="24"/>
      <c r="I304" s="24"/>
      <c r="J304" s="26" t="str">
        <f aca="false">IF($D304="","",IFERROR(INDEX(LOT_PRODE,MATCH($D304,LOT_KEY,0)),"LOT NON REFERENCE"))</f>
        <v/>
      </c>
      <c r="K304" s="26" t="str">
        <f aca="false">IF($D304="","",IFERROR(INDEX(LOT_FOURNE,MATCH($D304,LOT_KEY,0)),""))</f>
        <v/>
      </c>
      <c r="L304" s="26" t="str">
        <f aca="false">IF($E304="","",IFERROR(INDEX(EMPL_CLASSE,MATCH($E304,EMPL_KEY,0)),"?"))</f>
        <v/>
      </c>
      <c r="M304" s="26" t="str">
        <f aca="false">IF($F304="","",IFERROR(INDEX(EMPL_CLASSE,MATCH($F304,EMPL_KEY,0)),"?"))</f>
        <v/>
      </c>
      <c r="N304" s="28" t="n">
        <f aca="false">IF($C304="",0,IF(OR($B304="",$D304="",NOT(ISNUMBER($G304)),$G304&lt;=0),0,IF($C304="RECEPTION",IF($F304="",0,1),IF($C304="CONSOMMATION",IF($E304="",0,1),IF(OR($E304="",$F304="",$E304=$F304),0,1)))))</f>
        <v>0</v>
      </c>
      <c r="O304" s="27" t="str">
        <f aca="false">IF(OR($N304=0,$C304="RECEPTION"),"",SUMIFS(MVT_BRUT,MVT_LOT,$D304,MVT_EMPL,$E304)+$G304)</f>
        <v/>
      </c>
      <c r="P304" s="26" t="str">
        <f aca="false">IF($C304="","",IF($N304=0,"DONNEES MANQUANTES",IF($C304="RECEPTION","OK",IF($O304&lt;=0,"EMPLACEMENT INCOHERENT",IF($G304&gt;$O304+0.001,"STOCK INSUFFISANT","OK")))))</f>
        <v/>
      </c>
      <c r="Q304" s="28" t="n">
        <f aca="false">IF($P304="OK",1,0)</f>
        <v>0</v>
      </c>
      <c r="R304" s="26" t="str">
        <f aca="false">IF($C304="","",IF($N304=0,"A COMPLETER : "&amp;IF($B304="","DATE; ","")&amp;IF($D304="","LOT; ","")&amp;IF(OR(NOT(ISNUMBER($G304)),$G304&lt;=0),"QUANTITE &gt; 0; ","")&amp;IF(AND($C304&lt;&gt;"RECEPTION",$E304=""),"EMPL. SOURCE; ","")&amp;IF(AND($C304&lt;&gt;"CONSOMMATION",$F304=""),"EMPL. DESTINATION; ","")&amp;IF(AND($C304="TRANSFERT",$E304&lt;&gt;"",$E304=$F304),"SOURCE = DESTINATION; ",""),IF($P304="EMPLACEMENT INCOHERENT","Le lot "&amp;$D304&amp;" n'existe pas sur "&amp;$E304&amp;" (stock 0). Verifier l'emplacement source.",IF($P304="STOCK INSUFFISANT","Disponible avant operation : "&amp;TEXT($O304,"#,##0.00")&amp;" kg. Ligne NON comptee en stock.",IF(COUNTIFS($B$5:$B$304,$B304,$C$5:$C$304,$C304,$D$5:$D$304,$D304,$G$5:$G$304,$G304)&gt;1,"Doublon possible (meme date, type, lot et quantite).",IF($J304="LOT NON REFERENCE","Creer d'abord la fiche du lot dans l'onglet LOTS.",""))))))</f>
        <v/>
      </c>
    </row>
  </sheetData>
  <autoFilter ref="A4:R304"/>
  <mergeCells count="3">
    <mergeCell ref="A1:R1"/>
    <mergeCell ref="A2:R2"/>
    <mergeCell ref="A3:R3"/>
  </mergeCells>
  <conditionalFormatting sqref="P5:P304">
    <cfRule type="cellIs" priority="2" operator="equal" aboveAverage="0" equalAverage="0" bottom="0" percent="0" rank="0" text="" dxfId="11">
      <formula>"OK"</formula>
    </cfRule>
    <cfRule type="cellIs" priority="3" operator="equal" aboveAverage="0" equalAverage="0" bottom="0" percent="0" rank="0" text="" dxfId="12">
      <formula>"EN COURS"</formula>
    </cfRule>
    <cfRule type="cellIs" priority="4" operator="equal" aboveAverage="0" equalAverage="0" bottom="0" percent="0" rank="0" text="" dxfId="13">
      <formula>"A JUSTIFIER"</formula>
    </cfRule>
    <cfRule type="cellIs" priority="5" operator="equal" aboveAverage="0" equalAverage="0" bottom="0" percent="0" rank="0" text="" dxfId="14">
      <formula>"DONNEES MANQUANTES"</formula>
    </cfRule>
    <cfRule type="cellIs" priority="6" operator="equal" aboveAverage="0" equalAverage="0" bottom="0" percent="0" rank="0" text="" dxfId="15">
      <formula>"STOCK INSUFFISANT"</formula>
    </cfRule>
    <cfRule type="cellIs" priority="7" operator="equal" aboveAverage="0" equalAverage="0" bottom="0" percent="0" rank="0" text="" dxfId="15">
      <formula>"EMPLACEMENT INCOHERENT"</formula>
    </cfRule>
    <cfRule type="cellIs" priority="8" operator="equal" aboveAverage="0" equalAverage="0" bottom="0" percent="0" rank="0" text="" dxfId="15">
      <formula>"BLOQUE"</formula>
    </cfRule>
    <cfRule type="cellIs" priority="9" operator="equal" aboveAverage="0" equalAverage="0" bottom="0" percent="0" rank="0" text="" dxfId="15">
      <formula>"INCOHERENCE"</formula>
    </cfRule>
    <cfRule type="cellIs" priority="10" operator="equal" aboveAverage="0" equalAverage="0" bottom="0" percent="0" rank="0" text="" dxfId="13">
      <formula>"LOT EN DOUBLE"</formula>
    </cfRule>
  </conditionalFormatting>
  <dataValidations count="5">
    <dataValidation allowBlank="true" error="Choisissez une valeur dans la liste deroulante." errorStyle="stop" errorTitle="Valeur non autorisee" operator="greaterThan" showDropDown="false" showErrorMessage="true" showInputMessage="false" sqref="G5:G304" type="decimal">
      <formula1>0</formula1>
      <formula2>0</formula2>
    </dataValidation>
    <dataValidation allowBlank="true" error="Choisissez une valeur dans la liste deroulante." errorStyle="stop" errorTitle="Valeur non autorisee" operator="between" prompt="RECEPTION, TRANSFERT ou CONSOMMATION" promptTitle="Aide" showDropDown="false" showErrorMessage="true" showInputMessage="true" sqref="C5:C304" type="list">
      <formula1>"RECEPTION,TRANSFERT,CONSOMMATION"</formula1>
      <formula2>0</formula2>
    </dataValidation>
    <dataValidation allowBlank="true" error="Choisissez une valeur dans la liste deroulante." errorStyle="stop" errorTitle="Valeur non autorisee" operator="between" prompt="Choisir un lot deja cree dans l'onglet LOTS." promptTitle="Aide" showDropDown="false" showErrorMessage="true" showInputMessage="true" sqref="D5:D304" type="list">
      <formula1>L_LOTS</formula1>
      <formula2>0</formula2>
    </dataValidation>
    <dataValidation allowBlank="true" error="Choisissez une valeur dans la liste deroulante." errorStyle="stop" errorTitle="Valeur non autorisee" operator="between" prompt="Laisser vide pour une RECEPTION." promptTitle="Aide" showDropDown="false" showErrorMessage="true" showInputMessage="true" sqref="E5:E304" type="list">
      <formula1>L_EMPL</formula1>
      <formula2>0</formula2>
    </dataValidation>
    <dataValidation allowBlank="true" error="Choisissez une valeur dans la liste deroulante." errorStyle="stop" errorTitle="Valeur non autorisee" operator="between" prompt="Laisser vide pour une CONSOMMATION." promptTitle="Aide" showDropDown="false" showErrorMessage="true" showInputMessage="true" sqref="F5:F304" type="list">
      <formula1>L_EMPL</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7A8C"/>
    <pageSetUpPr fitToPage="false"/>
  </sheetPr>
  <dimension ref="A1:AB1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11"/>
    <col collapsed="false" customWidth="true" hidden="false" outlineLevel="0" max="3" min="3" style="0" width="22"/>
    <col collapsed="false" customWidth="true" hidden="false" outlineLevel="0" max="4" min="4" style="0" width="16"/>
    <col collapsed="false" customWidth="true" hidden="false" outlineLevel="0" max="5" min="5" style="0" width="13"/>
    <col collapsed="false" customWidth="true" hidden="false" outlineLevel="0" max="7" min="6" style="0" width="15"/>
    <col collapsed="false" customWidth="true" hidden="false" outlineLevel="0" max="8" min="8" style="0" width="12"/>
    <col collapsed="false" customWidth="true" hidden="false" outlineLevel="0" max="9" min="9" style="0" width="11"/>
    <col collapsed="false" customWidth="true" hidden="false" outlineLevel="0" max="10" min="10" style="0" width="13"/>
    <col collapsed="false" customWidth="true" hidden="false" outlineLevel="0" max="11" min="11" style="0" width="11"/>
    <col collapsed="false" customWidth="true" hidden="false" outlineLevel="0" max="12" min="12" style="0" width="30"/>
    <col collapsed="false" customWidth="true" hidden="false" outlineLevel="0" max="13" min="13" style="0" width="16"/>
    <col collapsed="false" customWidth="true" hidden="false" outlineLevel="0" max="14" min="14" style="0" width="22"/>
    <col collapsed="false" customWidth="true" hidden="false" outlineLevel="0" max="15" min="15" style="0" width="14"/>
    <col collapsed="false" customWidth="true" hidden="false" outlineLevel="0" max="16" min="16" style="0" width="20"/>
    <col collapsed="false" customWidth="true" hidden="false" outlineLevel="0" max="17" min="17" style="0" width="8"/>
    <col collapsed="false" customWidth="true" hidden="false" outlineLevel="0" max="19" min="18" style="0" width="15"/>
    <col collapsed="false" customWidth="true" hidden="false" outlineLevel="0" max="20" min="20" style="0" width="11"/>
    <col collapsed="false" customWidth="true" hidden="false" outlineLevel="0" max="21" min="21" style="0" width="16"/>
    <col collapsed="false" customWidth="true" hidden="false" outlineLevel="0" max="22" min="22" style="0" width="11"/>
    <col collapsed="false" customWidth="true" hidden="false" outlineLevel="0" max="23" min="23" style="0" width="21"/>
    <col collapsed="false" customWidth="true" hidden="false" outlineLevel="0" max="24" min="24" style="0" width="11"/>
    <col collapsed="false" customWidth="true" hidden="false" outlineLevel="0" max="25" min="25" style="0" width="46"/>
    <col collapsed="false" customWidth="true" hidden="false" outlineLevel="0" max="26" min="26" style="0" width="13"/>
    <col collapsed="false" customWidth="true" hidden="false" outlineLevel="0" max="28" min="27" style="0" width="12"/>
  </cols>
  <sheetData>
    <row r="1" customFormat="false" ht="30" hidden="false" customHeight="true" outlineLevel="0" collapsed="false">
      <c r="A1" s="1" t="s">
        <v>147</v>
      </c>
      <c r="B1" s="1"/>
      <c r="C1" s="1"/>
      <c r="D1" s="1"/>
      <c r="E1" s="1"/>
      <c r="F1" s="1"/>
      <c r="G1" s="1"/>
      <c r="H1" s="1"/>
      <c r="I1" s="1"/>
      <c r="J1" s="1"/>
      <c r="K1" s="1"/>
      <c r="L1" s="1"/>
      <c r="M1" s="1"/>
      <c r="N1" s="1"/>
      <c r="O1" s="1"/>
      <c r="P1" s="1"/>
      <c r="Q1" s="1"/>
      <c r="R1" s="1"/>
      <c r="S1" s="1"/>
      <c r="T1" s="1"/>
      <c r="U1" s="1"/>
      <c r="V1" s="1"/>
      <c r="W1" s="1"/>
      <c r="X1" s="1"/>
      <c r="Y1" s="1"/>
      <c r="Z1" s="1"/>
      <c r="AA1" s="1"/>
      <c r="AB1" s="1"/>
    </row>
    <row r="2" customFormat="false" ht="18" hidden="false" customHeight="true" outlineLevel="0" collapsed="false">
      <c r="A2" s="2" t="s">
        <v>148</v>
      </c>
      <c r="B2" s="2"/>
      <c r="C2" s="2"/>
      <c r="D2" s="2"/>
      <c r="E2" s="2"/>
      <c r="F2" s="2"/>
      <c r="G2" s="2"/>
      <c r="H2" s="2"/>
      <c r="I2" s="2"/>
      <c r="J2" s="2"/>
      <c r="K2" s="2"/>
      <c r="L2" s="2"/>
      <c r="M2" s="2"/>
      <c r="N2" s="2"/>
      <c r="O2" s="2"/>
      <c r="P2" s="2"/>
      <c r="Q2" s="2"/>
      <c r="R2" s="2"/>
      <c r="S2" s="2"/>
      <c r="T2" s="2"/>
      <c r="U2" s="2"/>
      <c r="V2" s="2"/>
      <c r="W2" s="2"/>
      <c r="X2" s="2"/>
      <c r="Y2" s="2"/>
      <c r="Z2" s="2"/>
      <c r="AA2" s="2"/>
      <c r="AB2" s="2"/>
    </row>
    <row r="3" customFormat="false" ht="19.5" hidden="false" customHeight="true" outlineLevel="0" collapsed="false">
      <c r="A3" s="3" t="s">
        <v>149</v>
      </c>
      <c r="B3" s="3"/>
      <c r="C3" s="3"/>
      <c r="D3" s="3"/>
      <c r="E3" s="3"/>
      <c r="F3" s="3"/>
      <c r="G3" s="3"/>
      <c r="H3" s="3"/>
      <c r="I3" s="3"/>
      <c r="J3" s="3"/>
      <c r="K3" s="3"/>
      <c r="L3" s="3"/>
      <c r="M3" s="3"/>
      <c r="N3" s="3"/>
      <c r="O3" s="3"/>
      <c r="P3" s="3"/>
      <c r="Q3" s="3"/>
      <c r="R3" s="3"/>
      <c r="S3" s="3"/>
      <c r="T3" s="3"/>
      <c r="U3" s="3"/>
      <c r="V3" s="3"/>
      <c r="W3" s="3"/>
      <c r="X3" s="3"/>
      <c r="Y3" s="3"/>
      <c r="Z3" s="3"/>
      <c r="AA3" s="3"/>
      <c r="AB3" s="3"/>
    </row>
    <row r="4" customFormat="false" ht="30" hidden="false" customHeight="true" outlineLevel="0" collapsed="false">
      <c r="A4" s="23" t="s">
        <v>150</v>
      </c>
      <c r="B4" s="22" t="s">
        <v>151</v>
      </c>
      <c r="C4" s="22" t="s">
        <v>152</v>
      </c>
      <c r="D4" s="22" t="s">
        <v>153</v>
      </c>
      <c r="E4" s="22" t="s">
        <v>154</v>
      </c>
      <c r="F4" s="22" t="s">
        <v>120</v>
      </c>
      <c r="G4" s="22" t="s">
        <v>155</v>
      </c>
      <c r="H4" s="22" t="s">
        <v>156</v>
      </c>
      <c r="I4" s="22" t="s">
        <v>157</v>
      </c>
      <c r="J4" s="22" t="s">
        <v>158</v>
      </c>
      <c r="K4" s="22" t="s">
        <v>159</v>
      </c>
      <c r="L4" s="22" t="s">
        <v>160</v>
      </c>
      <c r="M4" s="22" t="s">
        <v>161</v>
      </c>
      <c r="N4" s="22" t="s">
        <v>59</v>
      </c>
      <c r="O4" s="23" t="s">
        <v>124</v>
      </c>
      <c r="P4" s="23" t="s">
        <v>125</v>
      </c>
      <c r="Q4" s="23" t="s">
        <v>128</v>
      </c>
      <c r="R4" s="23" t="s">
        <v>129</v>
      </c>
      <c r="S4" s="23" t="s">
        <v>162</v>
      </c>
      <c r="T4" s="23" t="s">
        <v>163</v>
      </c>
      <c r="U4" s="23" t="s">
        <v>164</v>
      </c>
      <c r="V4" s="23" t="s">
        <v>165</v>
      </c>
      <c r="W4" s="23" t="s">
        <v>130</v>
      </c>
      <c r="X4" s="23" t="s">
        <v>131</v>
      </c>
      <c r="Y4" s="23" t="s">
        <v>132</v>
      </c>
      <c r="Z4" s="23" t="s">
        <v>166</v>
      </c>
      <c r="AA4" s="23" t="s">
        <v>167</v>
      </c>
      <c r="AB4" s="23" t="s">
        <v>168</v>
      </c>
    </row>
    <row r="5" customFormat="false" ht="15" hidden="false" customHeight="false" outlineLevel="0" collapsed="false">
      <c r="A5" s="26" t="str">
        <f aca="false">IF($D5="","","ST-"&amp;TEXT(ROW()-4,"000"))</f>
        <v>ST-001</v>
      </c>
      <c r="B5" s="25" t="n">
        <v>46246</v>
      </c>
      <c r="C5" s="24" t="s">
        <v>169</v>
      </c>
      <c r="D5" s="24" t="s">
        <v>170</v>
      </c>
      <c r="E5" s="24" t="s">
        <v>69</v>
      </c>
      <c r="F5" s="24" t="s">
        <v>134</v>
      </c>
      <c r="G5" s="29" t="n">
        <v>500</v>
      </c>
      <c r="H5" s="24" t="s">
        <v>76</v>
      </c>
      <c r="I5" s="24" t="s">
        <v>77</v>
      </c>
      <c r="J5" s="24" t="n">
        <v>45</v>
      </c>
      <c r="K5" s="25" t="n">
        <v>46248</v>
      </c>
      <c r="L5" s="24"/>
      <c r="M5" s="24"/>
      <c r="N5" s="24" t="s">
        <v>171</v>
      </c>
      <c r="O5" s="26" t="str">
        <f aca="false">IF($E5="","",IFERROR(INDEX(LOT_PRODE,MATCH($E5,LOT_KEY,0)),"LOT NON REFERENCE"))</f>
        <v>SARDINE</v>
      </c>
      <c r="P5" s="26" t="str">
        <f aca="false">IF($E5="","",IFERROR(INDEX(LOT_FOURNE,MATCH($E5,LOT_KEY,0)),""))</f>
        <v>ATLAS PECHE SARL</v>
      </c>
      <c r="Q5" s="28" t="n">
        <f aca="false">IF($D5="",0,IF(OR($B5="",$C5="",$E5="",NOT(ISNUMBER($G5)),$G5&lt;=0),0,IF($D5="STOCK EXISTANT",IF($F5="",0,1),1)))</f>
        <v>1</v>
      </c>
      <c r="R5" s="27" t="n">
        <f aca="false">IF(OR($Q5=0,$D5&lt;&gt;"STOCK EXISTANT"),"",SUMIFS(MVT_BRUT,MVT_LOT,$E5,MVT_EMPL,$F5)+$G5)</f>
        <v>1000</v>
      </c>
      <c r="S5" s="27" t="n">
        <f aca="false">IF($A5="","",SUMIFS(RES_QTEVAL,RES_IDST,$A5))</f>
        <v>450</v>
      </c>
      <c r="T5" s="28" t="n">
        <f aca="false">IF($A5="","",COUNTIFS(RES_IDST,$A5))</f>
        <v>2</v>
      </c>
      <c r="U5" s="27" t="n">
        <f aca="false">IF(OR($A5="",$T5=0),"",$G5-$S5)</f>
        <v>50</v>
      </c>
      <c r="V5" s="30" t="n">
        <f aca="false">IF(OR($A5="",$T5=0,NOT(ISNUMBER($G5)),$G5&lt;=0),"",$S5/$G5)</f>
        <v>0.9</v>
      </c>
      <c r="W5" s="26" t="str">
        <f aca="false">IF($D5="","",IF($Q5=0,"DONNEES MANQUANTES",IF($D5="STOCK EXISTANT",IF($R5&lt;=0,"EMPLACEMENT INCOHERENT",IF($G5&gt;$R5+0.001,"STOCK INSUFFISANT",IF($T5=0,"EN COURS",IF($S5&gt;$G5+0.001,"BLOQUE",IF(AND($U5&gt;P_TOL,$L5=""),"A JUSTIFIER","OK"))))),IF($T5=0,"EN COURS",IF($S5&gt;$G5+0.001,"BLOQUE",IF(AND($U5&gt;P_TOL,$L5=""),"A JUSTIFIER","OK"))))))</f>
        <v>A JUSTIFIER</v>
      </c>
      <c r="X5" s="28" t="n">
        <f aca="false">IF(OR($W5="",$W5="DONNEES MANQUANTES",$W5="EMPLACEMENT INCOHERENT",$W5="STOCK INSUFFISANT"),0,1)</f>
        <v>1</v>
      </c>
      <c r="Y5" s="26" t="str">
        <f aca="false">IF($D5="","",IF($Q5=0,"A COMPLETER : "&amp;IF($B5="","DATE ENVOI; ","")&amp;IF($C5="","SOUS-TRAITANT; ","")&amp;IF($E5="","LOT SOURCE; ","")&amp;IF(OR(NOT(ISNUMBER($G5)),$G5&lt;=0),"QTE ENVOYEE &gt; 0; ","")&amp;IF(AND($D5="STOCK EXISTANT",$F5=""),"EMPL. SOURCE; ",""),IF($W5="EMPLACEMENT INCOHERENT","Le lot "&amp;$E5&amp;" n'existe pas sur "&amp;$F5&amp;" (stock 0).",IF($W5="STOCK INSUFFISANT","Disponible avant envoi : "&amp;TEXT($R5,"#,##0.00")&amp;" kg. Ligne NON comptee en stock.",IF($W5="BLOQUE","Total des sorties ("&amp;TEXT($S5,"#,##0.00")&amp;" kg) superieur a la quantite envoyee.",IF($W5="EN COURS","Envoi enregistre, resultats non connus. A completer dans ST_RESULTATS.",IF($W5="A JUSTIFIER","Ecart de "&amp;TEXT($U5,"#,##0.00")&amp;" kg : renseigner JUSTIFICATION ECART (colonne L).",IF($O5="LOT NON REFERENCE","Creer d'abord la fiche du lot dans l'onglet LOTS.",""))))))))</f>
        <v>Ecart de 50.00 kg : renseigner JUSTIFICATION ECART (colonne L).</v>
      </c>
      <c r="Z5" s="27" t="n">
        <f aca="false">IF(OR($X5=0,$T5&gt;0),0,$G5)</f>
        <v>0</v>
      </c>
      <c r="AA5" s="26" t="n">
        <f aca="false">IF($Q5=0,0,IF(OR($E5=R_LOT,COUNTIFS(RES_IDST,$A5,RES_LOTEFF,R_LOT)&gt;0),1,0))</f>
        <v>1</v>
      </c>
      <c r="AB5" s="26" t="n">
        <f aca="false">IF($AA5=0,"",COUNTIF($AA$5:$AA5,1))</f>
        <v>1</v>
      </c>
    </row>
    <row r="6" customFormat="false" ht="15" hidden="false" customHeight="false" outlineLevel="0" collapsed="false">
      <c r="A6" s="26" t="str">
        <f aca="false">IF($D6="","","ST-"&amp;TEXT(ROW()-4,"000"))</f>
        <v>ST-002</v>
      </c>
      <c r="B6" s="25" t="n">
        <v>46241</v>
      </c>
      <c r="C6" s="24" t="s">
        <v>169</v>
      </c>
      <c r="D6" s="24" t="s">
        <v>125</v>
      </c>
      <c r="E6" s="24" t="s">
        <v>95</v>
      </c>
      <c r="F6" s="24"/>
      <c r="G6" s="29" t="n">
        <v>600</v>
      </c>
      <c r="H6" s="24" t="s">
        <v>76</v>
      </c>
      <c r="I6" s="24" t="s">
        <v>90</v>
      </c>
      <c r="J6" s="24"/>
      <c r="K6" s="25" t="n">
        <v>46247</v>
      </c>
      <c r="L6" s="24" t="s">
        <v>172</v>
      </c>
      <c r="M6" s="24" t="s">
        <v>173</v>
      </c>
      <c r="N6" s="24" t="s">
        <v>174</v>
      </c>
      <c r="O6" s="26" t="str">
        <f aca="false">IF($E6="","",IFERROR(INDEX(LOT_PRODE,MATCH($E6,LOT_KEY,0)),"LOT NON REFERENCE"))</f>
        <v>ANCHOIS</v>
      </c>
      <c r="P6" s="26" t="str">
        <f aca="false">IF($E6="","",IFERROR(INDEX(LOT_FOURNE,MATCH($E6,LOT_KEY,0)),""))</f>
        <v>PECHE SUD</v>
      </c>
      <c r="Q6" s="28" t="n">
        <f aca="false">IF($D6="",0,IF(OR($B6="",$C6="",$E6="",NOT(ISNUMBER($G6)),$G6&lt;=0),0,IF($D6="STOCK EXISTANT",IF($F6="",0,1),1)))</f>
        <v>1</v>
      </c>
      <c r="R6" s="27" t="str">
        <f aca="false">IF(OR($Q6=0,$D6&lt;&gt;"STOCK EXISTANT"),"",SUMIFS(MVT_BRUT,MVT_LOT,$E6,MVT_EMPL,$F6)+$G6)</f>
        <v/>
      </c>
      <c r="S6" s="27" t="n">
        <f aca="false">IF($A6="","",SUMIFS(RES_QTEVAL,RES_IDST,$A6))</f>
        <v>590</v>
      </c>
      <c r="T6" s="28" t="n">
        <f aca="false">IF($A6="","",COUNTIFS(RES_IDST,$A6))</f>
        <v>1</v>
      </c>
      <c r="U6" s="27" t="n">
        <f aca="false">IF(OR($A6="",$T6=0),"",$G6-$S6)</f>
        <v>10</v>
      </c>
      <c r="V6" s="30" t="n">
        <f aca="false">IF(OR($A6="",$T6=0,NOT(ISNUMBER($G6)),$G6&lt;=0),"",$S6/$G6)</f>
        <v>0.983333333333333</v>
      </c>
      <c r="W6" s="26" t="str">
        <f aca="false">IF($D6="","",IF($Q6=0,"DONNEES MANQUANTES",IF($D6="STOCK EXISTANT",IF($R6&lt;=0,"EMPLACEMENT INCOHERENT",IF($G6&gt;$R6+0.001,"STOCK INSUFFISANT",IF($T6=0,"EN COURS",IF($S6&gt;$G6+0.001,"BLOQUE",IF(AND($U6&gt;P_TOL,$L6=""),"A JUSTIFIER","OK"))))),IF($T6=0,"EN COURS",IF($S6&gt;$G6+0.001,"BLOQUE",IF(AND($U6&gt;P_TOL,$L6=""),"A JUSTIFIER","OK"))))))</f>
        <v>OK</v>
      </c>
      <c r="X6" s="28" t="n">
        <f aca="false">IF(OR($W6="",$W6="DONNEES MANQUANTES",$W6="EMPLACEMENT INCOHERENT",$W6="STOCK INSUFFISANT"),0,1)</f>
        <v>1</v>
      </c>
      <c r="Y6" s="26" t="str">
        <f aca="false">IF($D6="","",IF($Q6=0,"A COMPLETER : "&amp;IF($B6="","DATE ENVOI; ","")&amp;IF($C6="","SOUS-TRAITANT; ","")&amp;IF($E6="","LOT SOURCE; ","")&amp;IF(OR(NOT(ISNUMBER($G6)),$G6&lt;=0),"QTE ENVOYEE &gt; 0; ","")&amp;IF(AND($D6="STOCK EXISTANT",$F6=""),"EMPL. SOURCE; ",""),IF($W6="EMPLACEMENT INCOHERENT","Le lot "&amp;$E6&amp;" n'existe pas sur "&amp;$F6&amp;" (stock 0).",IF($W6="STOCK INSUFFISANT","Disponible avant envoi : "&amp;TEXT($R6,"#,##0.00")&amp;" kg. Ligne NON comptee en stock.",IF($W6="BLOQUE","Total des sorties ("&amp;TEXT($S6,"#,##0.00")&amp;" kg) superieur a la quantite envoyee.",IF($W6="EN COURS","Envoi enregistre, resultats non connus. A completer dans ST_RESULTATS.",IF($W6="A JUSTIFIER","Ecart de "&amp;TEXT($U6,"#,##0.00")&amp;" kg : renseigner JUSTIFICATION ECART (colonne L).",IF($O6="LOT NON REFERENCE","Creer d'abord la fiche du lot dans l'onglet LOTS.",""))))))))</f>
        <v/>
      </c>
      <c r="Z6" s="27" t="n">
        <f aca="false">IF(OR($X6=0,$T6&gt;0),0,$G6)</f>
        <v>0</v>
      </c>
      <c r="AA6" s="26" t="n">
        <f aca="false">IF($Q6=0,0,IF(OR($E6=R_LOT,COUNTIFS(RES_IDST,$A6,RES_LOTEFF,R_LOT)&gt;0),1,0))</f>
        <v>0</v>
      </c>
      <c r="AB6" s="26" t="str">
        <f aca="false">IF($AA6=0,"",COUNTIF($AA$5:$AA6,1))</f>
        <v/>
      </c>
    </row>
    <row r="7" customFormat="false" ht="15" hidden="false" customHeight="false" outlineLevel="0" collapsed="false">
      <c r="A7" s="26" t="str">
        <f aca="false">IF($D7="","","ST-"&amp;TEXT(ROW()-4,"000"))</f>
        <v>ST-003</v>
      </c>
      <c r="B7" s="25" t="n">
        <v>46249</v>
      </c>
      <c r="C7" s="24" t="s">
        <v>175</v>
      </c>
      <c r="D7" s="24" t="s">
        <v>170</v>
      </c>
      <c r="E7" s="24" t="s">
        <v>102</v>
      </c>
      <c r="F7" s="24" t="s">
        <v>134</v>
      </c>
      <c r="G7" s="29" t="n">
        <v>200</v>
      </c>
      <c r="H7" s="24"/>
      <c r="I7" s="24"/>
      <c r="J7" s="24"/>
      <c r="K7" s="25"/>
      <c r="L7" s="24"/>
      <c r="M7" s="24"/>
      <c r="N7" s="24" t="s">
        <v>176</v>
      </c>
      <c r="O7" s="26" t="str">
        <f aca="false">IF($E7="","",IFERROR(INDEX(LOT_PRODE,MATCH($E7,LOT_KEY,0)),"LOT NON REFERENCE"))</f>
        <v>MAQUEREAU</v>
      </c>
      <c r="P7" s="26" t="str">
        <f aca="false">IF($E7="","",IFERROR(INDEX(LOT_FOURNE,MATCH($E7,LOT_KEY,0)),""))</f>
        <v>SOCIETE MARSA</v>
      </c>
      <c r="Q7" s="28" t="n">
        <f aca="false">IF($D7="",0,IF(OR($B7="",$C7="",$E7="",NOT(ISNUMBER($G7)),$G7&lt;=0),0,IF($D7="STOCK EXISTANT",IF($F7="",0,1),1)))</f>
        <v>1</v>
      </c>
      <c r="R7" s="27" t="n">
        <f aca="false">IF(OR($Q7=0,$D7&lt;&gt;"STOCK EXISTANT"),"",SUMIFS(MVT_BRUT,MVT_LOT,$E7,MVT_EMPL,$F7)+$G7)</f>
        <v>400</v>
      </c>
      <c r="S7" s="27" t="n">
        <f aca="false">IF($A7="","",SUMIFS(RES_QTEVAL,RES_IDST,$A7))</f>
        <v>0</v>
      </c>
      <c r="T7" s="28" t="n">
        <f aca="false">IF($A7="","",COUNTIFS(RES_IDST,$A7))</f>
        <v>0</v>
      </c>
      <c r="U7" s="27" t="str">
        <f aca="false">IF(OR($A7="",$T7=0),"",$G7-$S7)</f>
        <v/>
      </c>
      <c r="V7" s="30" t="str">
        <f aca="false">IF(OR($A7="",$T7=0,NOT(ISNUMBER($G7)),$G7&lt;=0),"",$S7/$G7)</f>
        <v/>
      </c>
      <c r="W7" s="26" t="str">
        <f aca="false">IF($D7="","",IF($Q7=0,"DONNEES MANQUANTES",IF($D7="STOCK EXISTANT",IF($R7&lt;=0,"EMPLACEMENT INCOHERENT",IF($G7&gt;$R7+0.001,"STOCK INSUFFISANT",IF($T7=0,"EN COURS",IF($S7&gt;$G7+0.001,"BLOQUE",IF(AND($U7&gt;P_TOL,$L7=""),"A JUSTIFIER","OK"))))),IF($T7=0,"EN COURS",IF($S7&gt;$G7+0.001,"BLOQUE",IF(AND($U7&gt;P_TOL,$L7=""),"A JUSTIFIER","OK"))))))</f>
        <v>EN COURS</v>
      </c>
      <c r="X7" s="28" t="n">
        <f aca="false">IF(OR($W7="",$W7="DONNEES MANQUANTES",$W7="EMPLACEMENT INCOHERENT",$W7="STOCK INSUFFISANT"),0,1)</f>
        <v>1</v>
      </c>
      <c r="Y7" s="26" t="str">
        <f aca="false">IF($D7="","",IF($Q7=0,"A COMPLETER : "&amp;IF($B7="","DATE ENVOI; ","")&amp;IF($C7="","SOUS-TRAITANT; ","")&amp;IF($E7="","LOT SOURCE; ","")&amp;IF(OR(NOT(ISNUMBER($G7)),$G7&lt;=0),"QTE ENVOYEE &gt; 0; ","")&amp;IF(AND($D7="STOCK EXISTANT",$F7=""),"EMPL. SOURCE; ",""),IF($W7="EMPLACEMENT INCOHERENT","Le lot "&amp;$E7&amp;" n'existe pas sur "&amp;$F7&amp;" (stock 0).",IF($W7="STOCK INSUFFISANT","Disponible avant envoi : "&amp;TEXT($R7,"#,##0.00")&amp;" kg. Ligne NON comptee en stock.",IF($W7="BLOQUE","Total des sorties ("&amp;TEXT($S7,"#,##0.00")&amp;" kg) superieur a la quantite envoyee.",IF($W7="EN COURS","Envoi enregistre, resultats non connus. A completer dans ST_RESULTATS.",IF($W7="A JUSTIFIER","Ecart de "&amp;TEXT($U7,"#,##0.00")&amp;" kg : renseigner JUSTIFICATION ECART (colonne L).",IF($O7="LOT NON REFERENCE","Creer d'abord la fiche du lot dans l'onglet LOTS.",""))))))))</f>
        <v>Envoi enregistre, resultats non connus. A completer dans ST_RESULTATS.</v>
      </c>
      <c r="Z7" s="27" t="n">
        <f aca="false">IF(OR($X7=0,$T7&gt;0),0,$G7)</f>
        <v>200</v>
      </c>
      <c r="AA7" s="26" t="n">
        <f aca="false">IF($Q7=0,0,IF(OR($E7=R_LOT,COUNTIFS(RES_IDST,$A7,RES_LOTEFF,R_LOT)&gt;0),1,0))</f>
        <v>0</v>
      </c>
      <c r="AB7" s="26" t="str">
        <f aca="false">IF($AA7=0,"",COUNTIF($AA$5:$AA7,1))</f>
        <v/>
      </c>
    </row>
    <row r="8" customFormat="false" ht="15" hidden="false" customHeight="false" outlineLevel="0" collapsed="false">
      <c r="A8" s="26" t="str">
        <f aca="false">IF($D8="","","ST-"&amp;TEXT(ROW()-4,"000"))</f>
        <v/>
      </c>
      <c r="B8" s="25"/>
      <c r="C8" s="24"/>
      <c r="D8" s="24"/>
      <c r="E8" s="24"/>
      <c r="F8" s="24"/>
      <c r="G8" s="29"/>
      <c r="H8" s="24"/>
      <c r="I8" s="24"/>
      <c r="J8" s="24"/>
      <c r="K8" s="25"/>
      <c r="L8" s="24"/>
      <c r="M8" s="24"/>
      <c r="N8" s="24"/>
      <c r="O8" s="26" t="str">
        <f aca="false">IF($E8="","",IFERROR(INDEX(LOT_PRODE,MATCH($E8,LOT_KEY,0)),"LOT NON REFERENCE"))</f>
        <v/>
      </c>
      <c r="P8" s="26" t="str">
        <f aca="false">IF($E8="","",IFERROR(INDEX(LOT_FOURNE,MATCH($E8,LOT_KEY,0)),""))</f>
        <v/>
      </c>
      <c r="Q8" s="28" t="n">
        <f aca="false">IF($D8="",0,IF(OR($B8="",$C8="",$E8="",NOT(ISNUMBER($G8)),$G8&lt;=0),0,IF($D8="STOCK EXISTANT",IF($F8="",0,1),1)))</f>
        <v>0</v>
      </c>
      <c r="R8" s="27" t="str">
        <f aca="false">IF(OR($Q8=0,$D8&lt;&gt;"STOCK EXISTANT"),"",SUMIFS(MVT_BRUT,MVT_LOT,$E8,MVT_EMPL,$F8)+$G8)</f>
        <v/>
      </c>
      <c r="S8" s="27" t="str">
        <f aca="false">IF($A8="","",SUMIFS(RES_QTEVAL,RES_IDST,$A8))</f>
        <v/>
      </c>
      <c r="T8" s="28" t="str">
        <f aca="false">IF($A8="","",COUNTIFS(RES_IDST,$A8))</f>
        <v/>
      </c>
      <c r="U8" s="27" t="str">
        <f aca="false">IF(OR($A8="",$T8=0),"",$G8-$S8)</f>
        <v/>
      </c>
      <c r="V8" s="30" t="str">
        <f aca="false">IF(OR($A8="",$T8=0,NOT(ISNUMBER($G8)),$G8&lt;=0),"",$S8/$G8)</f>
        <v/>
      </c>
      <c r="W8" s="26" t="str">
        <f aca="false">IF($D8="","",IF($Q8=0,"DONNEES MANQUANTES",IF($D8="STOCK EXISTANT",IF($R8&lt;=0,"EMPLACEMENT INCOHERENT",IF($G8&gt;$R8+0.001,"STOCK INSUFFISANT",IF($T8=0,"EN COURS",IF($S8&gt;$G8+0.001,"BLOQUE",IF(AND($U8&gt;P_TOL,$L8=""),"A JUSTIFIER","OK"))))),IF($T8=0,"EN COURS",IF($S8&gt;$G8+0.001,"BLOQUE",IF(AND($U8&gt;P_TOL,$L8=""),"A JUSTIFIER","OK"))))))</f>
        <v/>
      </c>
      <c r="X8" s="28" t="n">
        <f aca="false">IF(OR($W8="",$W8="DONNEES MANQUANTES",$W8="EMPLACEMENT INCOHERENT",$W8="STOCK INSUFFISANT"),0,1)</f>
        <v>0</v>
      </c>
      <c r="Y8" s="26" t="str">
        <f aca="false">IF($D8="","",IF($Q8=0,"A COMPLETER : "&amp;IF($B8="","DATE ENVOI; ","")&amp;IF($C8="","SOUS-TRAITANT; ","")&amp;IF($E8="","LOT SOURCE; ","")&amp;IF(OR(NOT(ISNUMBER($G8)),$G8&lt;=0),"QTE ENVOYEE &gt; 0; ","")&amp;IF(AND($D8="STOCK EXISTANT",$F8=""),"EMPL. SOURCE; ",""),IF($W8="EMPLACEMENT INCOHERENT","Le lot "&amp;$E8&amp;" n'existe pas sur "&amp;$F8&amp;" (stock 0).",IF($W8="STOCK INSUFFISANT","Disponible avant envoi : "&amp;TEXT($R8,"#,##0.00")&amp;" kg. Ligne NON comptee en stock.",IF($W8="BLOQUE","Total des sorties ("&amp;TEXT($S8,"#,##0.00")&amp;" kg) superieur a la quantite envoyee.",IF($W8="EN COURS","Envoi enregistre, resultats non connus. A completer dans ST_RESULTATS.",IF($W8="A JUSTIFIER","Ecart de "&amp;TEXT($U8,"#,##0.00")&amp;" kg : renseigner JUSTIFICATION ECART (colonne L).",IF($O8="LOT NON REFERENCE","Creer d'abord la fiche du lot dans l'onglet LOTS.",""))))))))</f>
        <v/>
      </c>
      <c r="Z8" s="27" t="n">
        <f aca="false">IF(OR($X8=0,$T8&gt;0),0,$G8)</f>
        <v>0</v>
      </c>
      <c r="AA8" s="26" t="n">
        <f aca="false">IF($Q8=0,0,IF(OR($E8=R_LOT,COUNTIFS(RES_IDST,$A8,RES_LOTEFF,R_LOT)&gt;0),1,0))</f>
        <v>0</v>
      </c>
      <c r="AB8" s="26" t="str">
        <f aca="false">IF($AA8=0,"",COUNTIF($AA$5:$AA8,1))</f>
        <v/>
      </c>
    </row>
    <row r="9" customFormat="false" ht="15" hidden="false" customHeight="false" outlineLevel="0" collapsed="false">
      <c r="A9" s="26" t="str">
        <f aca="false">IF($D9="","","ST-"&amp;TEXT(ROW()-4,"000"))</f>
        <v/>
      </c>
      <c r="B9" s="25"/>
      <c r="C9" s="24"/>
      <c r="D9" s="24"/>
      <c r="E9" s="24"/>
      <c r="F9" s="24"/>
      <c r="G9" s="29"/>
      <c r="H9" s="24"/>
      <c r="I9" s="24"/>
      <c r="J9" s="24"/>
      <c r="K9" s="25"/>
      <c r="L9" s="24"/>
      <c r="M9" s="24"/>
      <c r="N9" s="24"/>
      <c r="O9" s="26" t="str">
        <f aca="false">IF($E9="","",IFERROR(INDEX(LOT_PRODE,MATCH($E9,LOT_KEY,0)),"LOT NON REFERENCE"))</f>
        <v/>
      </c>
      <c r="P9" s="26" t="str">
        <f aca="false">IF($E9="","",IFERROR(INDEX(LOT_FOURNE,MATCH($E9,LOT_KEY,0)),""))</f>
        <v/>
      </c>
      <c r="Q9" s="28" t="n">
        <f aca="false">IF($D9="",0,IF(OR($B9="",$C9="",$E9="",NOT(ISNUMBER($G9)),$G9&lt;=0),0,IF($D9="STOCK EXISTANT",IF($F9="",0,1),1)))</f>
        <v>0</v>
      </c>
      <c r="R9" s="27" t="str">
        <f aca="false">IF(OR($Q9=0,$D9&lt;&gt;"STOCK EXISTANT"),"",SUMIFS(MVT_BRUT,MVT_LOT,$E9,MVT_EMPL,$F9)+$G9)</f>
        <v/>
      </c>
      <c r="S9" s="27" t="str">
        <f aca="false">IF($A9="","",SUMIFS(RES_QTEVAL,RES_IDST,$A9))</f>
        <v/>
      </c>
      <c r="T9" s="28" t="str">
        <f aca="false">IF($A9="","",COUNTIFS(RES_IDST,$A9))</f>
        <v/>
      </c>
      <c r="U9" s="27" t="str">
        <f aca="false">IF(OR($A9="",$T9=0),"",$G9-$S9)</f>
        <v/>
      </c>
      <c r="V9" s="30" t="str">
        <f aca="false">IF(OR($A9="",$T9=0,NOT(ISNUMBER($G9)),$G9&lt;=0),"",$S9/$G9)</f>
        <v/>
      </c>
      <c r="W9" s="26" t="str">
        <f aca="false">IF($D9="","",IF($Q9=0,"DONNEES MANQUANTES",IF($D9="STOCK EXISTANT",IF($R9&lt;=0,"EMPLACEMENT INCOHERENT",IF($G9&gt;$R9+0.001,"STOCK INSUFFISANT",IF($T9=0,"EN COURS",IF($S9&gt;$G9+0.001,"BLOQUE",IF(AND($U9&gt;P_TOL,$L9=""),"A JUSTIFIER","OK"))))),IF($T9=0,"EN COURS",IF($S9&gt;$G9+0.001,"BLOQUE",IF(AND($U9&gt;P_TOL,$L9=""),"A JUSTIFIER","OK"))))))</f>
        <v/>
      </c>
      <c r="X9" s="28" t="n">
        <f aca="false">IF(OR($W9="",$W9="DONNEES MANQUANTES",$W9="EMPLACEMENT INCOHERENT",$W9="STOCK INSUFFISANT"),0,1)</f>
        <v>0</v>
      </c>
      <c r="Y9" s="26" t="str">
        <f aca="false">IF($D9="","",IF($Q9=0,"A COMPLETER : "&amp;IF($B9="","DATE ENVOI; ","")&amp;IF($C9="","SOUS-TRAITANT; ","")&amp;IF($E9="","LOT SOURCE; ","")&amp;IF(OR(NOT(ISNUMBER($G9)),$G9&lt;=0),"QTE ENVOYEE &gt; 0; ","")&amp;IF(AND($D9="STOCK EXISTANT",$F9=""),"EMPL. SOURCE; ",""),IF($W9="EMPLACEMENT INCOHERENT","Le lot "&amp;$E9&amp;" n'existe pas sur "&amp;$F9&amp;" (stock 0).",IF($W9="STOCK INSUFFISANT","Disponible avant envoi : "&amp;TEXT($R9,"#,##0.00")&amp;" kg. Ligne NON comptee en stock.",IF($W9="BLOQUE","Total des sorties ("&amp;TEXT($S9,"#,##0.00")&amp;" kg) superieur a la quantite envoyee.",IF($W9="EN COURS","Envoi enregistre, resultats non connus. A completer dans ST_RESULTATS.",IF($W9="A JUSTIFIER","Ecart de "&amp;TEXT($U9,"#,##0.00")&amp;" kg : renseigner JUSTIFICATION ECART (colonne L).",IF($O9="LOT NON REFERENCE","Creer d'abord la fiche du lot dans l'onglet LOTS.",""))))))))</f>
        <v/>
      </c>
      <c r="Z9" s="27" t="n">
        <f aca="false">IF(OR($X9=0,$T9&gt;0),0,$G9)</f>
        <v>0</v>
      </c>
      <c r="AA9" s="26" t="n">
        <f aca="false">IF($Q9=0,0,IF(OR($E9=R_LOT,COUNTIFS(RES_IDST,$A9,RES_LOTEFF,R_LOT)&gt;0),1,0))</f>
        <v>0</v>
      </c>
      <c r="AB9" s="26" t="str">
        <f aca="false">IF($AA9=0,"",COUNTIF($AA$5:$AA9,1))</f>
        <v/>
      </c>
    </row>
    <row r="10" customFormat="false" ht="15" hidden="false" customHeight="false" outlineLevel="0" collapsed="false">
      <c r="A10" s="26" t="str">
        <f aca="false">IF($D10="","","ST-"&amp;TEXT(ROW()-4,"000"))</f>
        <v/>
      </c>
      <c r="B10" s="25"/>
      <c r="C10" s="24"/>
      <c r="D10" s="24"/>
      <c r="E10" s="24"/>
      <c r="F10" s="24"/>
      <c r="G10" s="29"/>
      <c r="H10" s="24"/>
      <c r="I10" s="24"/>
      <c r="J10" s="24"/>
      <c r="K10" s="25"/>
      <c r="L10" s="24"/>
      <c r="M10" s="24"/>
      <c r="N10" s="24"/>
      <c r="O10" s="26" t="str">
        <f aca="false">IF($E10="","",IFERROR(INDEX(LOT_PRODE,MATCH($E10,LOT_KEY,0)),"LOT NON REFERENCE"))</f>
        <v/>
      </c>
      <c r="P10" s="26" t="str">
        <f aca="false">IF($E10="","",IFERROR(INDEX(LOT_FOURNE,MATCH($E10,LOT_KEY,0)),""))</f>
        <v/>
      </c>
      <c r="Q10" s="28" t="n">
        <f aca="false">IF($D10="",0,IF(OR($B10="",$C10="",$E10="",NOT(ISNUMBER($G10)),$G10&lt;=0),0,IF($D10="STOCK EXISTANT",IF($F10="",0,1),1)))</f>
        <v>0</v>
      </c>
      <c r="R10" s="27" t="str">
        <f aca="false">IF(OR($Q10=0,$D10&lt;&gt;"STOCK EXISTANT"),"",SUMIFS(MVT_BRUT,MVT_LOT,$E10,MVT_EMPL,$F10)+$G10)</f>
        <v/>
      </c>
      <c r="S10" s="27" t="str">
        <f aca="false">IF($A10="","",SUMIFS(RES_QTEVAL,RES_IDST,$A10))</f>
        <v/>
      </c>
      <c r="T10" s="28" t="str">
        <f aca="false">IF($A10="","",COUNTIFS(RES_IDST,$A10))</f>
        <v/>
      </c>
      <c r="U10" s="27" t="str">
        <f aca="false">IF(OR($A10="",$T10=0),"",$G10-$S10)</f>
        <v/>
      </c>
      <c r="V10" s="30" t="str">
        <f aca="false">IF(OR($A10="",$T10=0,NOT(ISNUMBER($G10)),$G10&lt;=0),"",$S10/$G10)</f>
        <v/>
      </c>
      <c r="W10" s="26" t="str">
        <f aca="false">IF($D10="","",IF($Q10=0,"DONNEES MANQUANTES",IF($D10="STOCK EXISTANT",IF($R10&lt;=0,"EMPLACEMENT INCOHERENT",IF($G10&gt;$R10+0.001,"STOCK INSUFFISANT",IF($T10=0,"EN COURS",IF($S10&gt;$G10+0.001,"BLOQUE",IF(AND($U10&gt;P_TOL,$L10=""),"A JUSTIFIER","OK"))))),IF($T10=0,"EN COURS",IF($S10&gt;$G10+0.001,"BLOQUE",IF(AND($U10&gt;P_TOL,$L10=""),"A JUSTIFIER","OK"))))))</f>
        <v/>
      </c>
      <c r="X10" s="28" t="n">
        <f aca="false">IF(OR($W10="",$W10="DONNEES MANQUANTES",$W10="EMPLACEMENT INCOHERENT",$W10="STOCK INSUFFISANT"),0,1)</f>
        <v>0</v>
      </c>
      <c r="Y10" s="26" t="str">
        <f aca="false">IF($D10="","",IF($Q10=0,"A COMPLETER : "&amp;IF($B10="","DATE ENVOI; ","")&amp;IF($C10="","SOUS-TRAITANT; ","")&amp;IF($E10="","LOT SOURCE; ","")&amp;IF(OR(NOT(ISNUMBER($G10)),$G10&lt;=0),"QTE ENVOYEE &gt; 0; ","")&amp;IF(AND($D10="STOCK EXISTANT",$F10=""),"EMPL. SOURCE; ",""),IF($W10="EMPLACEMENT INCOHERENT","Le lot "&amp;$E10&amp;" n'existe pas sur "&amp;$F10&amp;" (stock 0).",IF($W10="STOCK INSUFFISANT","Disponible avant envoi : "&amp;TEXT($R10,"#,##0.00")&amp;" kg. Ligne NON comptee en stock.",IF($W10="BLOQUE","Total des sorties ("&amp;TEXT($S10,"#,##0.00")&amp;" kg) superieur a la quantite envoyee.",IF($W10="EN COURS","Envoi enregistre, resultats non connus. A completer dans ST_RESULTATS.",IF($W10="A JUSTIFIER","Ecart de "&amp;TEXT($U10,"#,##0.00")&amp;" kg : renseigner JUSTIFICATION ECART (colonne L).",IF($O10="LOT NON REFERENCE","Creer d'abord la fiche du lot dans l'onglet LOTS.",""))))))))</f>
        <v/>
      </c>
      <c r="Z10" s="27" t="n">
        <f aca="false">IF(OR($X10=0,$T10&gt;0),0,$G10)</f>
        <v>0</v>
      </c>
      <c r="AA10" s="26" t="n">
        <f aca="false">IF($Q10=0,0,IF(OR($E10=R_LOT,COUNTIFS(RES_IDST,$A10,RES_LOTEFF,R_LOT)&gt;0),1,0))</f>
        <v>0</v>
      </c>
      <c r="AB10" s="26" t="str">
        <f aca="false">IF($AA10=0,"",COUNTIF($AA$5:$AA10,1))</f>
        <v/>
      </c>
    </row>
    <row r="11" customFormat="false" ht="15" hidden="false" customHeight="false" outlineLevel="0" collapsed="false">
      <c r="A11" s="26" t="str">
        <f aca="false">IF($D11="","","ST-"&amp;TEXT(ROW()-4,"000"))</f>
        <v/>
      </c>
      <c r="B11" s="25"/>
      <c r="C11" s="24"/>
      <c r="D11" s="24"/>
      <c r="E11" s="24"/>
      <c r="F11" s="24"/>
      <c r="G11" s="29"/>
      <c r="H11" s="24"/>
      <c r="I11" s="24"/>
      <c r="J11" s="24"/>
      <c r="K11" s="25"/>
      <c r="L11" s="24"/>
      <c r="M11" s="24"/>
      <c r="N11" s="24"/>
      <c r="O11" s="26" t="str">
        <f aca="false">IF($E11="","",IFERROR(INDEX(LOT_PRODE,MATCH($E11,LOT_KEY,0)),"LOT NON REFERENCE"))</f>
        <v/>
      </c>
      <c r="P11" s="26" t="str">
        <f aca="false">IF($E11="","",IFERROR(INDEX(LOT_FOURNE,MATCH($E11,LOT_KEY,0)),""))</f>
        <v/>
      </c>
      <c r="Q11" s="28" t="n">
        <f aca="false">IF($D11="",0,IF(OR($B11="",$C11="",$E11="",NOT(ISNUMBER($G11)),$G11&lt;=0),0,IF($D11="STOCK EXISTANT",IF($F11="",0,1),1)))</f>
        <v>0</v>
      </c>
      <c r="R11" s="27" t="str">
        <f aca="false">IF(OR($Q11=0,$D11&lt;&gt;"STOCK EXISTANT"),"",SUMIFS(MVT_BRUT,MVT_LOT,$E11,MVT_EMPL,$F11)+$G11)</f>
        <v/>
      </c>
      <c r="S11" s="27" t="str">
        <f aca="false">IF($A11="","",SUMIFS(RES_QTEVAL,RES_IDST,$A11))</f>
        <v/>
      </c>
      <c r="T11" s="28" t="str">
        <f aca="false">IF($A11="","",COUNTIFS(RES_IDST,$A11))</f>
        <v/>
      </c>
      <c r="U11" s="27" t="str">
        <f aca="false">IF(OR($A11="",$T11=0),"",$G11-$S11)</f>
        <v/>
      </c>
      <c r="V11" s="30" t="str">
        <f aca="false">IF(OR($A11="",$T11=0,NOT(ISNUMBER($G11)),$G11&lt;=0),"",$S11/$G11)</f>
        <v/>
      </c>
      <c r="W11" s="26" t="str">
        <f aca="false">IF($D11="","",IF($Q11=0,"DONNEES MANQUANTES",IF($D11="STOCK EXISTANT",IF($R11&lt;=0,"EMPLACEMENT INCOHERENT",IF($G11&gt;$R11+0.001,"STOCK INSUFFISANT",IF($T11=0,"EN COURS",IF($S11&gt;$G11+0.001,"BLOQUE",IF(AND($U11&gt;P_TOL,$L11=""),"A JUSTIFIER","OK"))))),IF($T11=0,"EN COURS",IF($S11&gt;$G11+0.001,"BLOQUE",IF(AND($U11&gt;P_TOL,$L11=""),"A JUSTIFIER","OK"))))))</f>
        <v/>
      </c>
      <c r="X11" s="28" t="n">
        <f aca="false">IF(OR($W11="",$W11="DONNEES MANQUANTES",$W11="EMPLACEMENT INCOHERENT",$W11="STOCK INSUFFISANT"),0,1)</f>
        <v>0</v>
      </c>
      <c r="Y11" s="26" t="str">
        <f aca="false">IF($D11="","",IF($Q11=0,"A COMPLETER : "&amp;IF($B11="","DATE ENVOI; ","")&amp;IF($C11="","SOUS-TRAITANT; ","")&amp;IF($E11="","LOT SOURCE; ","")&amp;IF(OR(NOT(ISNUMBER($G11)),$G11&lt;=0),"QTE ENVOYEE &gt; 0; ","")&amp;IF(AND($D11="STOCK EXISTANT",$F11=""),"EMPL. SOURCE; ",""),IF($W11="EMPLACEMENT INCOHERENT","Le lot "&amp;$E11&amp;" n'existe pas sur "&amp;$F11&amp;" (stock 0).",IF($W11="STOCK INSUFFISANT","Disponible avant envoi : "&amp;TEXT($R11,"#,##0.00")&amp;" kg. Ligne NON comptee en stock.",IF($W11="BLOQUE","Total des sorties ("&amp;TEXT($S11,"#,##0.00")&amp;" kg) superieur a la quantite envoyee.",IF($W11="EN COURS","Envoi enregistre, resultats non connus. A completer dans ST_RESULTATS.",IF($W11="A JUSTIFIER","Ecart de "&amp;TEXT($U11,"#,##0.00")&amp;" kg : renseigner JUSTIFICATION ECART (colonne L).",IF($O11="LOT NON REFERENCE","Creer d'abord la fiche du lot dans l'onglet LOTS.",""))))))))</f>
        <v/>
      </c>
      <c r="Z11" s="27" t="n">
        <f aca="false">IF(OR($X11=0,$T11&gt;0),0,$G11)</f>
        <v>0</v>
      </c>
      <c r="AA11" s="26" t="n">
        <f aca="false">IF($Q11=0,0,IF(OR($E11=R_LOT,COUNTIFS(RES_IDST,$A11,RES_LOTEFF,R_LOT)&gt;0),1,0))</f>
        <v>0</v>
      </c>
      <c r="AB11" s="26" t="str">
        <f aca="false">IF($AA11=0,"",COUNTIF($AA$5:$AA11,1))</f>
        <v/>
      </c>
    </row>
    <row r="12" customFormat="false" ht="15" hidden="false" customHeight="false" outlineLevel="0" collapsed="false">
      <c r="A12" s="26" t="str">
        <f aca="false">IF($D12="","","ST-"&amp;TEXT(ROW()-4,"000"))</f>
        <v/>
      </c>
      <c r="B12" s="25"/>
      <c r="C12" s="24"/>
      <c r="D12" s="24"/>
      <c r="E12" s="24"/>
      <c r="F12" s="24"/>
      <c r="G12" s="29"/>
      <c r="H12" s="24"/>
      <c r="I12" s="24"/>
      <c r="J12" s="24"/>
      <c r="K12" s="25"/>
      <c r="L12" s="24"/>
      <c r="M12" s="24"/>
      <c r="N12" s="24"/>
      <c r="O12" s="26" t="str">
        <f aca="false">IF($E12="","",IFERROR(INDEX(LOT_PRODE,MATCH($E12,LOT_KEY,0)),"LOT NON REFERENCE"))</f>
        <v/>
      </c>
      <c r="P12" s="26" t="str">
        <f aca="false">IF($E12="","",IFERROR(INDEX(LOT_FOURNE,MATCH($E12,LOT_KEY,0)),""))</f>
        <v/>
      </c>
      <c r="Q12" s="28" t="n">
        <f aca="false">IF($D12="",0,IF(OR($B12="",$C12="",$E12="",NOT(ISNUMBER($G12)),$G12&lt;=0),0,IF($D12="STOCK EXISTANT",IF($F12="",0,1),1)))</f>
        <v>0</v>
      </c>
      <c r="R12" s="27" t="str">
        <f aca="false">IF(OR($Q12=0,$D12&lt;&gt;"STOCK EXISTANT"),"",SUMIFS(MVT_BRUT,MVT_LOT,$E12,MVT_EMPL,$F12)+$G12)</f>
        <v/>
      </c>
      <c r="S12" s="27" t="str">
        <f aca="false">IF($A12="","",SUMIFS(RES_QTEVAL,RES_IDST,$A12))</f>
        <v/>
      </c>
      <c r="T12" s="28" t="str">
        <f aca="false">IF($A12="","",COUNTIFS(RES_IDST,$A12))</f>
        <v/>
      </c>
      <c r="U12" s="27" t="str">
        <f aca="false">IF(OR($A12="",$T12=0),"",$G12-$S12)</f>
        <v/>
      </c>
      <c r="V12" s="30" t="str">
        <f aca="false">IF(OR($A12="",$T12=0,NOT(ISNUMBER($G12)),$G12&lt;=0),"",$S12/$G12)</f>
        <v/>
      </c>
      <c r="W12" s="26" t="str">
        <f aca="false">IF($D12="","",IF($Q12=0,"DONNEES MANQUANTES",IF($D12="STOCK EXISTANT",IF($R12&lt;=0,"EMPLACEMENT INCOHERENT",IF($G12&gt;$R12+0.001,"STOCK INSUFFISANT",IF($T12=0,"EN COURS",IF($S12&gt;$G12+0.001,"BLOQUE",IF(AND($U12&gt;P_TOL,$L12=""),"A JUSTIFIER","OK"))))),IF($T12=0,"EN COURS",IF($S12&gt;$G12+0.001,"BLOQUE",IF(AND($U12&gt;P_TOL,$L12=""),"A JUSTIFIER","OK"))))))</f>
        <v/>
      </c>
      <c r="X12" s="28" t="n">
        <f aca="false">IF(OR($W12="",$W12="DONNEES MANQUANTES",$W12="EMPLACEMENT INCOHERENT",$W12="STOCK INSUFFISANT"),0,1)</f>
        <v>0</v>
      </c>
      <c r="Y12" s="26" t="str">
        <f aca="false">IF($D12="","",IF($Q12=0,"A COMPLETER : "&amp;IF($B12="","DATE ENVOI; ","")&amp;IF($C12="","SOUS-TRAITANT; ","")&amp;IF($E12="","LOT SOURCE; ","")&amp;IF(OR(NOT(ISNUMBER($G12)),$G12&lt;=0),"QTE ENVOYEE &gt; 0; ","")&amp;IF(AND($D12="STOCK EXISTANT",$F12=""),"EMPL. SOURCE; ",""),IF($W12="EMPLACEMENT INCOHERENT","Le lot "&amp;$E12&amp;" n'existe pas sur "&amp;$F12&amp;" (stock 0).",IF($W12="STOCK INSUFFISANT","Disponible avant envoi : "&amp;TEXT($R12,"#,##0.00")&amp;" kg. Ligne NON comptee en stock.",IF($W12="BLOQUE","Total des sorties ("&amp;TEXT($S12,"#,##0.00")&amp;" kg) superieur a la quantite envoyee.",IF($W12="EN COURS","Envoi enregistre, resultats non connus. A completer dans ST_RESULTATS.",IF($W12="A JUSTIFIER","Ecart de "&amp;TEXT($U12,"#,##0.00")&amp;" kg : renseigner JUSTIFICATION ECART (colonne L).",IF($O12="LOT NON REFERENCE","Creer d'abord la fiche du lot dans l'onglet LOTS.",""))))))))</f>
        <v/>
      </c>
      <c r="Z12" s="27" t="n">
        <f aca="false">IF(OR($X12=0,$T12&gt;0),0,$G12)</f>
        <v>0</v>
      </c>
      <c r="AA12" s="26" t="n">
        <f aca="false">IF($Q12=0,0,IF(OR($E12=R_LOT,COUNTIFS(RES_IDST,$A12,RES_LOTEFF,R_LOT)&gt;0),1,0))</f>
        <v>0</v>
      </c>
      <c r="AB12" s="26" t="str">
        <f aca="false">IF($AA12=0,"",COUNTIF($AA$5:$AA12,1))</f>
        <v/>
      </c>
    </row>
    <row r="13" customFormat="false" ht="15" hidden="false" customHeight="false" outlineLevel="0" collapsed="false">
      <c r="A13" s="26" t="str">
        <f aca="false">IF($D13="","","ST-"&amp;TEXT(ROW()-4,"000"))</f>
        <v/>
      </c>
      <c r="B13" s="25"/>
      <c r="C13" s="24"/>
      <c r="D13" s="24"/>
      <c r="E13" s="24"/>
      <c r="F13" s="24"/>
      <c r="G13" s="29"/>
      <c r="H13" s="24"/>
      <c r="I13" s="24"/>
      <c r="J13" s="24"/>
      <c r="K13" s="25"/>
      <c r="L13" s="24"/>
      <c r="M13" s="24"/>
      <c r="N13" s="24"/>
      <c r="O13" s="26" t="str">
        <f aca="false">IF($E13="","",IFERROR(INDEX(LOT_PRODE,MATCH($E13,LOT_KEY,0)),"LOT NON REFERENCE"))</f>
        <v/>
      </c>
      <c r="P13" s="26" t="str">
        <f aca="false">IF($E13="","",IFERROR(INDEX(LOT_FOURNE,MATCH($E13,LOT_KEY,0)),""))</f>
        <v/>
      </c>
      <c r="Q13" s="28" t="n">
        <f aca="false">IF($D13="",0,IF(OR($B13="",$C13="",$E13="",NOT(ISNUMBER($G13)),$G13&lt;=0),0,IF($D13="STOCK EXISTANT",IF($F13="",0,1),1)))</f>
        <v>0</v>
      </c>
      <c r="R13" s="27" t="str">
        <f aca="false">IF(OR($Q13=0,$D13&lt;&gt;"STOCK EXISTANT"),"",SUMIFS(MVT_BRUT,MVT_LOT,$E13,MVT_EMPL,$F13)+$G13)</f>
        <v/>
      </c>
      <c r="S13" s="27" t="str">
        <f aca="false">IF($A13="","",SUMIFS(RES_QTEVAL,RES_IDST,$A13))</f>
        <v/>
      </c>
      <c r="T13" s="28" t="str">
        <f aca="false">IF($A13="","",COUNTIFS(RES_IDST,$A13))</f>
        <v/>
      </c>
      <c r="U13" s="27" t="str">
        <f aca="false">IF(OR($A13="",$T13=0),"",$G13-$S13)</f>
        <v/>
      </c>
      <c r="V13" s="30" t="str">
        <f aca="false">IF(OR($A13="",$T13=0,NOT(ISNUMBER($G13)),$G13&lt;=0),"",$S13/$G13)</f>
        <v/>
      </c>
      <c r="W13" s="26" t="str">
        <f aca="false">IF($D13="","",IF($Q13=0,"DONNEES MANQUANTES",IF($D13="STOCK EXISTANT",IF($R13&lt;=0,"EMPLACEMENT INCOHERENT",IF($G13&gt;$R13+0.001,"STOCK INSUFFISANT",IF($T13=0,"EN COURS",IF($S13&gt;$G13+0.001,"BLOQUE",IF(AND($U13&gt;P_TOL,$L13=""),"A JUSTIFIER","OK"))))),IF($T13=0,"EN COURS",IF($S13&gt;$G13+0.001,"BLOQUE",IF(AND($U13&gt;P_TOL,$L13=""),"A JUSTIFIER","OK"))))))</f>
        <v/>
      </c>
      <c r="X13" s="28" t="n">
        <f aca="false">IF(OR($W13="",$W13="DONNEES MANQUANTES",$W13="EMPLACEMENT INCOHERENT",$W13="STOCK INSUFFISANT"),0,1)</f>
        <v>0</v>
      </c>
      <c r="Y13" s="26" t="str">
        <f aca="false">IF($D13="","",IF($Q13=0,"A COMPLETER : "&amp;IF($B13="","DATE ENVOI; ","")&amp;IF($C13="","SOUS-TRAITANT; ","")&amp;IF($E13="","LOT SOURCE; ","")&amp;IF(OR(NOT(ISNUMBER($G13)),$G13&lt;=0),"QTE ENVOYEE &gt; 0; ","")&amp;IF(AND($D13="STOCK EXISTANT",$F13=""),"EMPL. SOURCE; ",""),IF($W13="EMPLACEMENT INCOHERENT","Le lot "&amp;$E13&amp;" n'existe pas sur "&amp;$F13&amp;" (stock 0).",IF($W13="STOCK INSUFFISANT","Disponible avant envoi : "&amp;TEXT($R13,"#,##0.00")&amp;" kg. Ligne NON comptee en stock.",IF($W13="BLOQUE","Total des sorties ("&amp;TEXT($S13,"#,##0.00")&amp;" kg) superieur a la quantite envoyee.",IF($W13="EN COURS","Envoi enregistre, resultats non connus. A completer dans ST_RESULTATS.",IF($W13="A JUSTIFIER","Ecart de "&amp;TEXT($U13,"#,##0.00")&amp;" kg : renseigner JUSTIFICATION ECART (colonne L).",IF($O13="LOT NON REFERENCE","Creer d'abord la fiche du lot dans l'onglet LOTS.",""))))))))</f>
        <v/>
      </c>
      <c r="Z13" s="27" t="n">
        <f aca="false">IF(OR($X13=0,$T13&gt;0),0,$G13)</f>
        <v>0</v>
      </c>
      <c r="AA13" s="26" t="n">
        <f aca="false">IF($Q13=0,0,IF(OR($E13=R_LOT,COUNTIFS(RES_IDST,$A13,RES_LOTEFF,R_LOT)&gt;0),1,0))</f>
        <v>0</v>
      </c>
      <c r="AB13" s="26" t="str">
        <f aca="false">IF($AA13=0,"",COUNTIF($AA$5:$AA13,1))</f>
        <v/>
      </c>
    </row>
    <row r="14" customFormat="false" ht="15" hidden="false" customHeight="false" outlineLevel="0" collapsed="false">
      <c r="A14" s="26" t="str">
        <f aca="false">IF($D14="","","ST-"&amp;TEXT(ROW()-4,"000"))</f>
        <v/>
      </c>
      <c r="B14" s="25"/>
      <c r="C14" s="24"/>
      <c r="D14" s="24"/>
      <c r="E14" s="24"/>
      <c r="F14" s="24"/>
      <c r="G14" s="29"/>
      <c r="H14" s="24"/>
      <c r="I14" s="24"/>
      <c r="J14" s="24"/>
      <c r="K14" s="25"/>
      <c r="L14" s="24"/>
      <c r="M14" s="24"/>
      <c r="N14" s="24"/>
      <c r="O14" s="26" t="str">
        <f aca="false">IF($E14="","",IFERROR(INDEX(LOT_PRODE,MATCH($E14,LOT_KEY,0)),"LOT NON REFERENCE"))</f>
        <v/>
      </c>
      <c r="P14" s="26" t="str">
        <f aca="false">IF($E14="","",IFERROR(INDEX(LOT_FOURNE,MATCH($E14,LOT_KEY,0)),""))</f>
        <v/>
      </c>
      <c r="Q14" s="28" t="n">
        <f aca="false">IF($D14="",0,IF(OR($B14="",$C14="",$E14="",NOT(ISNUMBER($G14)),$G14&lt;=0),0,IF($D14="STOCK EXISTANT",IF($F14="",0,1),1)))</f>
        <v>0</v>
      </c>
      <c r="R14" s="27" t="str">
        <f aca="false">IF(OR($Q14=0,$D14&lt;&gt;"STOCK EXISTANT"),"",SUMIFS(MVT_BRUT,MVT_LOT,$E14,MVT_EMPL,$F14)+$G14)</f>
        <v/>
      </c>
      <c r="S14" s="27" t="str">
        <f aca="false">IF($A14="","",SUMIFS(RES_QTEVAL,RES_IDST,$A14))</f>
        <v/>
      </c>
      <c r="T14" s="28" t="str">
        <f aca="false">IF($A14="","",COUNTIFS(RES_IDST,$A14))</f>
        <v/>
      </c>
      <c r="U14" s="27" t="str">
        <f aca="false">IF(OR($A14="",$T14=0),"",$G14-$S14)</f>
        <v/>
      </c>
      <c r="V14" s="30" t="str">
        <f aca="false">IF(OR($A14="",$T14=0,NOT(ISNUMBER($G14)),$G14&lt;=0),"",$S14/$G14)</f>
        <v/>
      </c>
      <c r="W14" s="26" t="str">
        <f aca="false">IF($D14="","",IF($Q14=0,"DONNEES MANQUANTES",IF($D14="STOCK EXISTANT",IF($R14&lt;=0,"EMPLACEMENT INCOHERENT",IF($G14&gt;$R14+0.001,"STOCK INSUFFISANT",IF($T14=0,"EN COURS",IF($S14&gt;$G14+0.001,"BLOQUE",IF(AND($U14&gt;P_TOL,$L14=""),"A JUSTIFIER","OK"))))),IF($T14=0,"EN COURS",IF($S14&gt;$G14+0.001,"BLOQUE",IF(AND($U14&gt;P_TOL,$L14=""),"A JUSTIFIER","OK"))))))</f>
        <v/>
      </c>
      <c r="X14" s="28" t="n">
        <f aca="false">IF(OR($W14="",$W14="DONNEES MANQUANTES",$W14="EMPLACEMENT INCOHERENT",$W14="STOCK INSUFFISANT"),0,1)</f>
        <v>0</v>
      </c>
      <c r="Y14" s="26" t="str">
        <f aca="false">IF($D14="","",IF($Q14=0,"A COMPLETER : "&amp;IF($B14="","DATE ENVOI; ","")&amp;IF($C14="","SOUS-TRAITANT; ","")&amp;IF($E14="","LOT SOURCE; ","")&amp;IF(OR(NOT(ISNUMBER($G14)),$G14&lt;=0),"QTE ENVOYEE &gt; 0; ","")&amp;IF(AND($D14="STOCK EXISTANT",$F14=""),"EMPL. SOURCE; ",""),IF($W14="EMPLACEMENT INCOHERENT","Le lot "&amp;$E14&amp;" n'existe pas sur "&amp;$F14&amp;" (stock 0).",IF($W14="STOCK INSUFFISANT","Disponible avant envoi : "&amp;TEXT($R14,"#,##0.00")&amp;" kg. Ligne NON comptee en stock.",IF($W14="BLOQUE","Total des sorties ("&amp;TEXT($S14,"#,##0.00")&amp;" kg) superieur a la quantite envoyee.",IF($W14="EN COURS","Envoi enregistre, resultats non connus. A completer dans ST_RESULTATS.",IF($W14="A JUSTIFIER","Ecart de "&amp;TEXT($U14,"#,##0.00")&amp;" kg : renseigner JUSTIFICATION ECART (colonne L).",IF($O14="LOT NON REFERENCE","Creer d'abord la fiche du lot dans l'onglet LOTS.",""))))))))</f>
        <v/>
      </c>
      <c r="Z14" s="27" t="n">
        <f aca="false">IF(OR($X14=0,$T14&gt;0),0,$G14)</f>
        <v>0</v>
      </c>
      <c r="AA14" s="26" t="n">
        <f aca="false">IF($Q14=0,0,IF(OR($E14=R_LOT,COUNTIFS(RES_IDST,$A14,RES_LOTEFF,R_LOT)&gt;0),1,0))</f>
        <v>0</v>
      </c>
      <c r="AB14" s="26" t="str">
        <f aca="false">IF($AA14=0,"",COUNTIF($AA$5:$AA14,1))</f>
        <v/>
      </c>
    </row>
    <row r="15" customFormat="false" ht="15" hidden="false" customHeight="false" outlineLevel="0" collapsed="false">
      <c r="A15" s="26" t="str">
        <f aca="false">IF($D15="","","ST-"&amp;TEXT(ROW()-4,"000"))</f>
        <v/>
      </c>
      <c r="B15" s="25"/>
      <c r="C15" s="24"/>
      <c r="D15" s="24"/>
      <c r="E15" s="24"/>
      <c r="F15" s="24"/>
      <c r="G15" s="29"/>
      <c r="H15" s="24"/>
      <c r="I15" s="24"/>
      <c r="J15" s="24"/>
      <c r="K15" s="25"/>
      <c r="L15" s="24"/>
      <c r="M15" s="24"/>
      <c r="N15" s="24"/>
      <c r="O15" s="26" t="str">
        <f aca="false">IF($E15="","",IFERROR(INDEX(LOT_PRODE,MATCH($E15,LOT_KEY,0)),"LOT NON REFERENCE"))</f>
        <v/>
      </c>
      <c r="P15" s="26" t="str">
        <f aca="false">IF($E15="","",IFERROR(INDEX(LOT_FOURNE,MATCH($E15,LOT_KEY,0)),""))</f>
        <v/>
      </c>
      <c r="Q15" s="28" t="n">
        <f aca="false">IF($D15="",0,IF(OR($B15="",$C15="",$E15="",NOT(ISNUMBER($G15)),$G15&lt;=0),0,IF($D15="STOCK EXISTANT",IF($F15="",0,1),1)))</f>
        <v>0</v>
      </c>
      <c r="R15" s="27" t="str">
        <f aca="false">IF(OR($Q15=0,$D15&lt;&gt;"STOCK EXISTANT"),"",SUMIFS(MVT_BRUT,MVT_LOT,$E15,MVT_EMPL,$F15)+$G15)</f>
        <v/>
      </c>
      <c r="S15" s="27" t="str">
        <f aca="false">IF($A15="","",SUMIFS(RES_QTEVAL,RES_IDST,$A15))</f>
        <v/>
      </c>
      <c r="T15" s="28" t="str">
        <f aca="false">IF($A15="","",COUNTIFS(RES_IDST,$A15))</f>
        <v/>
      </c>
      <c r="U15" s="27" t="str">
        <f aca="false">IF(OR($A15="",$T15=0),"",$G15-$S15)</f>
        <v/>
      </c>
      <c r="V15" s="30" t="str">
        <f aca="false">IF(OR($A15="",$T15=0,NOT(ISNUMBER($G15)),$G15&lt;=0),"",$S15/$G15)</f>
        <v/>
      </c>
      <c r="W15" s="26" t="str">
        <f aca="false">IF($D15="","",IF($Q15=0,"DONNEES MANQUANTES",IF($D15="STOCK EXISTANT",IF($R15&lt;=0,"EMPLACEMENT INCOHERENT",IF($G15&gt;$R15+0.001,"STOCK INSUFFISANT",IF($T15=0,"EN COURS",IF($S15&gt;$G15+0.001,"BLOQUE",IF(AND($U15&gt;P_TOL,$L15=""),"A JUSTIFIER","OK"))))),IF($T15=0,"EN COURS",IF($S15&gt;$G15+0.001,"BLOQUE",IF(AND($U15&gt;P_TOL,$L15=""),"A JUSTIFIER","OK"))))))</f>
        <v/>
      </c>
      <c r="X15" s="28" t="n">
        <f aca="false">IF(OR($W15="",$W15="DONNEES MANQUANTES",$W15="EMPLACEMENT INCOHERENT",$W15="STOCK INSUFFISANT"),0,1)</f>
        <v>0</v>
      </c>
      <c r="Y15" s="26" t="str">
        <f aca="false">IF($D15="","",IF($Q15=0,"A COMPLETER : "&amp;IF($B15="","DATE ENVOI; ","")&amp;IF($C15="","SOUS-TRAITANT; ","")&amp;IF($E15="","LOT SOURCE; ","")&amp;IF(OR(NOT(ISNUMBER($G15)),$G15&lt;=0),"QTE ENVOYEE &gt; 0; ","")&amp;IF(AND($D15="STOCK EXISTANT",$F15=""),"EMPL. SOURCE; ",""),IF($W15="EMPLACEMENT INCOHERENT","Le lot "&amp;$E15&amp;" n'existe pas sur "&amp;$F15&amp;" (stock 0).",IF($W15="STOCK INSUFFISANT","Disponible avant envoi : "&amp;TEXT($R15,"#,##0.00")&amp;" kg. Ligne NON comptee en stock.",IF($W15="BLOQUE","Total des sorties ("&amp;TEXT($S15,"#,##0.00")&amp;" kg) superieur a la quantite envoyee.",IF($W15="EN COURS","Envoi enregistre, resultats non connus. A completer dans ST_RESULTATS.",IF($W15="A JUSTIFIER","Ecart de "&amp;TEXT($U15,"#,##0.00")&amp;" kg : renseigner JUSTIFICATION ECART (colonne L).",IF($O15="LOT NON REFERENCE","Creer d'abord la fiche du lot dans l'onglet LOTS.",""))))))))</f>
        <v/>
      </c>
      <c r="Z15" s="27" t="n">
        <f aca="false">IF(OR($X15=0,$T15&gt;0),0,$G15)</f>
        <v>0</v>
      </c>
      <c r="AA15" s="26" t="n">
        <f aca="false">IF($Q15=0,0,IF(OR($E15=R_LOT,COUNTIFS(RES_IDST,$A15,RES_LOTEFF,R_LOT)&gt;0),1,0))</f>
        <v>0</v>
      </c>
      <c r="AB15" s="26" t="str">
        <f aca="false">IF($AA15=0,"",COUNTIF($AA$5:$AA15,1))</f>
        <v/>
      </c>
    </row>
    <row r="16" customFormat="false" ht="15" hidden="false" customHeight="false" outlineLevel="0" collapsed="false">
      <c r="A16" s="26" t="str">
        <f aca="false">IF($D16="","","ST-"&amp;TEXT(ROW()-4,"000"))</f>
        <v/>
      </c>
      <c r="B16" s="25"/>
      <c r="C16" s="24"/>
      <c r="D16" s="24"/>
      <c r="E16" s="24"/>
      <c r="F16" s="24"/>
      <c r="G16" s="29"/>
      <c r="H16" s="24"/>
      <c r="I16" s="24"/>
      <c r="J16" s="24"/>
      <c r="K16" s="25"/>
      <c r="L16" s="24"/>
      <c r="M16" s="24"/>
      <c r="N16" s="24"/>
      <c r="O16" s="26" t="str">
        <f aca="false">IF($E16="","",IFERROR(INDEX(LOT_PRODE,MATCH($E16,LOT_KEY,0)),"LOT NON REFERENCE"))</f>
        <v/>
      </c>
      <c r="P16" s="26" t="str">
        <f aca="false">IF($E16="","",IFERROR(INDEX(LOT_FOURNE,MATCH($E16,LOT_KEY,0)),""))</f>
        <v/>
      </c>
      <c r="Q16" s="28" t="n">
        <f aca="false">IF($D16="",0,IF(OR($B16="",$C16="",$E16="",NOT(ISNUMBER($G16)),$G16&lt;=0),0,IF($D16="STOCK EXISTANT",IF($F16="",0,1),1)))</f>
        <v>0</v>
      </c>
      <c r="R16" s="27" t="str">
        <f aca="false">IF(OR($Q16=0,$D16&lt;&gt;"STOCK EXISTANT"),"",SUMIFS(MVT_BRUT,MVT_LOT,$E16,MVT_EMPL,$F16)+$G16)</f>
        <v/>
      </c>
      <c r="S16" s="27" t="str">
        <f aca="false">IF($A16="","",SUMIFS(RES_QTEVAL,RES_IDST,$A16))</f>
        <v/>
      </c>
      <c r="T16" s="28" t="str">
        <f aca="false">IF($A16="","",COUNTIFS(RES_IDST,$A16))</f>
        <v/>
      </c>
      <c r="U16" s="27" t="str">
        <f aca="false">IF(OR($A16="",$T16=0),"",$G16-$S16)</f>
        <v/>
      </c>
      <c r="V16" s="30" t="str">
        <f aca="false">IF(OR($A16="",$T16=0,NOT(ISNUMBER($G16)),$G16&lt;=0),"",$S16/$G16)</f>
        <v/>
      </c>
      <c r="W16" s="26" t="str">
        <f aca="false">IF($D16="","",IF($Q16=0,"DONNEES MANQUANTES",IF($D16="STOCK EXISTANT",IF($R16&lt;=0,"EMPLACEMENT INCOHERENT",IF($G16&gt;$R16+0.001,"STOCK INSUFFISANT",IF($T16=0,"EN COURS",IF($S16&gt;$G16+0.001,"BLOQUE",IF(AND($U16&gt;P_TOL,$L16=""),"A JUSTIFIER","OK"))))),IF($T16=0,"EN COURS",IF($S16&gt;$G16+0.001,"BLOQUE",IF(AND($U16&gt;P_TOL,$L16=""),"A JUSTIFIER","OK"))))))</f>
        <v/>
      </c>
      <c r="X16" s="28" t="n">
        <f aca="false">IF(OR($W16="",$W16="DONNEES MANQUANTES",$W16="EMPLACEMENT INCOHERENT",$W16="STOCK INSUFFISANT"),0,1)</f>
        <v>0</v>
      </c>
      <c r="Y16" s="26" t="str">
        <f aca="false">IF($D16="","",IF($Q16=0,"A COMPLETER : "&amp;IF($B16="","DATE ENVOI; ","")&amp;IF($C16="","SOUS-TRAITANT; ","")&amp;IF($E16="","LOT SOURCE; ","")&amp;IF(OR(NOT(ISNUMBER($G16)),$G16&lt;=0),"QTE ENVOYEE &gt; 0; ","")&amp;IF(AND($D16="STOCK EXISTANT",$F16=""),"EMPL. SOURCE; ",""),IF($W16="EMPLACEMENT INCOHERENT","Le lot "&amp;$E16&amp;" n'existe pas sur "&amp;$F16&amp;" (stock 0).",IF($W16="STOCK INSUFFISANT","Disponible avant envoi : "&amp;TEXT($R16,"#,##0.00")&amp;" kg. Ligne NON comptee en stock.",IF($W16="BLOQUE","Total des sorties ("&amp;TEXT($S16,"#,##0.00")&amp;" kg) superieur a la quantite envoyee.",IF($W16="EN COURS","Envoi enregistre, resultats non connus. A completer dans ST_RESULTATS.",IF($W16="A JUSTIFIER","Ecart de "&amp;TEXT($U16,"#,##0.00")&amp;" kg : renseigner JUSTIFICATION ECART (colonne L).",IF($O16="LOT NON REFERENCE","Creer d'abord la fiche du lot dans l'onglet LOTS.",""))))))))</f>
        <v/>
      </c>
      <c r="Z16" s="27" t="n">
        <f aca="false">IF(OR($X16=0,$T16&gt;0),0,$G16)</f>
        <v>0</v>
      </c>
      <c r="AA16" s="26" t="n">
        <f aca="false">IF($Q16=0,0,IF(OR($E16=R_LOT,COUNTIFS(RES_IDST,$A16,RES_LOTEFF,R_LOT)&gt;0),1,0))</f>
        <v>0</v>
      </c>
      <c r="AB16" s="26" t="str">
        <f aca="false">IF($AA16=0,"",COUNTIF($AA$5:$AA16,1))</f>
        <v/>
      </c>
    </row>
    <row r="17" customFormat="false" ht="15" hidden="false" customHeight="false" outlineLevel="0" collapsed="false">
      <c r="A17" s="26" t="str">
        <f aca="false">IF($D17="","","ST-"&amp;TEXT(ROW()-4,"000"))</f>
        <v/>
      </c>
      <c r="B17" s="25"/>
      <c r="C17" s="24"/>
      <c r="D17" s="24"/>
      <c r="E17" s="24"/>
      <c r="F17" s="24"/>
      <c r="G17" s="29"/>
      <c r="H17" s="24"/>
      <c r="I17" s="24"/>
      <c r="J17" s="24"/>
      <c r="K17" s="25"/>
      <c r="L17" s="24"/>
      <c r="M17" s="24"/>
      <c r="N17" s="24"/>
      <c r="O17" s="26" t="str">
        <f aca="false">IF($E17="","",IFERROR(INDEX(LOT_PRODE,MATCH($E17,LOT_KEY,0)),"LOT NON REFERENCE"))</f>
        <v/>
      </c>
      <c r="P17" s="26" t="str">
        <f aca="false">IF($E17="","",IFERROR(INDEX(LOT_FOURNE,MATCH($E17,LOT_KEY,0)),""))</f>
        <v/>
      </c>
      <c r="Q17" s="28" t="n">
        <f aca="false">IF($D17="",0,IF(OR($B17="",$C17="",$E17="",NOT(ISNUMBER($G17)),$G17&lt;=0),0,IF($D17="STOCK EXISTANT",IF($F17="",0,1),1)))</f>
        <v>0</v>
      </c>
      <c r="R17" s="27" t="str">
        <f aca="false">IF(OR($Q17=0,$D17&lt;&gt;"STOCK EXISTANT"),"",SUMIFS(MVT_BRUT,MVT_LOT,$E17,MVT_EMPL,$F17)+$G17)</f>
        <v/>
      </c>
      <c r="S17" s="27" t="str">
        <f aca="false">IF($A17="","",SUMIFS(RES_QTEVAL,RES_IDST,$A17))</f>
        <v/>
      </c>
      <c r="T17" s="28" t="str">
        <f aca="false">IF($A17="","",COUNTIFS(RES_IDST,$A17))</f>
        <v/>
      </c>
      <c r="U17" s="27" t="str">
        <f aca="false">IF(OR($A17="",$T17=0),"",$G17-$S17)</f>
        <v/>
      </c>
      <c r="V17" s="30" t="str">
        <f aca="false">IF(OR($A17="",$T17=0,NOT(ISNUMBER($G17)),$G17&lt;=0),"",$S17/$G17)</f>
        <v/>
      </c>
      <c r="W17" s="26" t="str">
        <f aca="false">IF($D17="","",IF($Q17=0,"DONNEES MANQUANTES",IF($D17="STOCK EXISTANT",IF($R17&lt;=0,"EMPLACEMENT INCOHERENT",IF($G17&gt;$R17+0.001,"STOCK INSUFFISANT",IF($T17=0,"EN COURS",IF($S17&gt;$G17+0.001,"BLOQUE",IF(AND($U17&gt;P_TOL,$L17=""),"A JUSTIFIER","OK"))))),IF($T17=0,"EN COURS",IF($S17&gt;$G17+0.001,"BLOQUE",IF(AND($U17&gt;P_TOL,$L17=""),"A JUSTIFIER","OK"))))))</f>
        <v/>
      </c>
      <c r="X17" s="28" t="n">
        <f aca="false">IF(OR($W17="",$W17="DONNEES MANQUANTES",$W17="EMPLACEMENT INCOHERENT",$W17="STOCK INSUFFISANT"),0,1)</f>
        <v>0</v>
      </c>
      <c r="Y17" s="26" t="str">
        <f aca="false">IF($D17="","",IF($Q17=0,"A COMPLETER : "&amp;IF($B17="","DATE ENVOI; ","")&amp;IF($C17="","SOUS-TRAITANT; ","")&amp;IF($E17="","LOT SOURCE; ","")&amp;IF(OR(NOT(ISNUMBER($G17)),$G17&lt;=0),"QTE ENVOYEE &gt; 0; ","")&amp;IF(AND($D17="STOCK EXISTANT",$F17=""),"EMPL. SOURCE; ",""),IF($W17="EMPLACEMENT INCOHERENT","Le lot "&amp;$E17&amp;" n'existe pas sur "&amp;$F17&amp;" (stock 0).",IF($W17="STOCK INSUFFISANT","Disponible avant envoi : "&amp;TEXT($R17,"#,##0.00")&amp;" kg. Ligne NON comptee en stock.",IF($W17="BLOQUE","Total des sorties ("&amp;TEXT($S17,"#,##0.00")&amp;" kg) superieur a la quantite envoyee.",IF($W17="EN COURS","Envoi enregistre, resultats non connus. A completer dans ST_RESULTATS.",IF($W17="A JUSTIFIER","Ecart de "&amp;TEXT($U17,"#,##0.00")&amp;" kg : renseigner JUSTIFICATION ECART (colonne L).",IF($O17="LOT NON REFERENCE","Creer d'abord la fiche du lot dans l'onglet LOTS.",""))))))))</f>
        <v/>
      </c>
      <c r="Z17" s="27" t="n">
        <f aca="false">IF(OR($X17=0,$T17&gt;0),0,$G17)</f>
        <v>0</v>
      </c>
      <c r="AA17" s="26" t="n">
        <f aca="false">IF($Q17=0,0,IF(OR($E17=R_LOT,COUNTIFS(RES_IDST,$A17,RES_LOTEFF,R_LOT)&gt;0),1,0))</f>
        <v>0</v>
      </c>
      <c r="AB17" s="26" t="str">
        <f aca="false">IF($AA17=0,"",COUNTIF($AA$5:$AA17,1))</f>
        <v/>
      </c>
    </row>
    <row r="18" customFormat="false" ht="15" hidden="false" customHeight="false" outlineLevel="0" collapsed="false">
      <c r="A18" s="26" t="str">
        <f aca="false">IF($D18="","","ST-"&amp;TEXT(ROW()-4,"000"))</f>
        <v/>
      </c>
      <c r="B18" s="25"/>
      <c r="C18" s="24"/>
      <c r="D18" s="24"/>
      <c r="E18" s="24"/>
      <c r="F18" s="24"/>
      <c r="G18" s="29"/>
      <c r="H18" s="24"/>
      <c r="I18" s="24"/>
      <c r="J18" s="24"/>
      <c r="K18" s="25"/>
      <c r="L18" s="24"/>
      <c r="M18" s="24"/>
      <c r="N18" s="24"/>
      <c r="O18" s="26" t="str">
        <f aca="false">IF($E18="","",IFERROR(INDEX(LOT_PRODE,MATCH($E18,LOT_KEY,0)),"LOT NON REFERENCE"))</f>
        <v/>
      </c>
      <c r="P18" s="26" t="str">
        <f aca="false">IF($E18="","",IFERROR(INDEX(LOT_FOURNE,MATCH($E18,LOT_KEY,0)),""))</f>
        <v/>
      </c>
      <c r="Q18" s="28" t="n">
        <f aca="false">IF($D18="",0,IF(OR($B18="",$C18="",$E18="",NOT(ISNUMBER($G18)),$G18&lt;=0),0,IF($D18="STOCK EXISTANT",IF($F18="",0,1),1)))</f>
        <v>0</v>
      </c>
      <c r="R18" s="27" t="str">
        <f aca="false">IF(OR($Q18=0,$D18&lt;&gt;"STOCK EXISTANT"),"",SUMIFS(MVT_BRUT,MVT_LOT,$E18,MVT_EMPL,$F18)+$G18)</f>
        <v/>
      </c>
      <c r="S18" s="27" t="str">
        <f aca="false">IF($A18="","",SUMIFS(RES_QTEVAL,RES_IDST,$A18))</f>
        <v/>
      </c>
      <c r="T18" s="28" t="str">
        <f aca="false">IF($A18="","",COUNTIFS(RES_IDST,$A18))</f>
        <v/>
      </c>
      <c r="U18" s="27" t="str">
        <f aca="false">IF(OR($A18="",$T18=0),"",$G18-$S18)</f>
        <v/>
      </c>
      <c r="V18" s="30" t="str">
        <f aca="false">IF(OR($A18="",$T18=0,NOT(ISNUMBER($G18)),$G18&lt;=0),"",$S18/$G18)</f>
        <v/>
      </c>
      <c r="W18" s="26" t="str">
        <f aca="false">IF($D18="","",IF($Q18=0,"DONNEES MANQUANTES",IF($D18="STOCK EXISTANT",IF($R18&lt;=0,"EMPLACEMENT INCOHERENT",IF($G18&gt;$R18+0.001,"STOCK INSUFFISANT",IF($T18=0,"EN COURS",IF($S18&gt;$G18+0.001,"BLOQUE",IF(AND($U18&gt;P_TOL,$L18=""),"A JUSTIFIER","OK"))))),IF($T18=0,"EN COURS",IF($S18&gt;$G18+0.001,"BLOQUE",IF(AND($U18&gt;P_TOL,$L18=""),"A JUSTIFIER","OK"))))))</f>
        <v/>
      </c>
      <c r="X18" s="28" t="n">
        <f aca="false">IF(OR($W18="",$W18="DONNEES MANQUANTES",$W18="EMPLACEMENT INCOHERENT",$W18="STOCK INSUFFISANT"),0,1)</f>
        <v>0</v>
      </c>
      <c r="Y18" s="26" t="str">
        <f aca="false">IF($D18="","",IF($Q18=0,"A COMPLETER : "&amp;IF($B18="","DATE ENVOI; ","")&amp;IF($C18="","SOUS-TRAITANT; ","")&amp;IF($E18="","LOT SOURCE; ","")&amp;IF(OR(NOT(ISNUMBER($G18)),$G18&lt;=0),"QTE ENVOYEE &gt; 0; ","")&amp;IF(AND($D18="STOCK EXISTANT",$F18=""),"EMPL. SOURCE; ",""),IF($W18="EMPLACEMENT INCOHERENT","Le lot "&amp;$E18&amp;" n'existe pas sur "&amp;$F18&amp;" (stock 0).",IF($W18="STOCK INSUFFISANT","Disponible avant envoi : "&amp;TEXT($R18,"#,##0.00")&amp;" kg. Ligne NON comptee en stock.",IF($W18="BLOQUE","Total des sorties ("&amp;TEXT($S18,"#,##0.00")&amp;" kg) superieur a la quantite envoyee.",IF($W18="EN COURS","Envoi enregistre, resultats non connus. A completer dans ST_RESULTATS.",IF($W18="A JUSTIFIER","Ecart de "&amp;TEXT($U18,"#,##0.00")&amp;" kg : renseigner JUSTIFICATION ECART (colonne L).",IF($O18="LOT NON REFERENCE","Creer d'abord la fiche du lot dans l'onglet LOTS.",""))))))))</f>
        <v/>
      </c>
      <c r="Z18" s="27" t="n">
        <f aca="false">IF(OR($X18=0,$T18&gt;0),0,$G18)</f>
        <v>0</v>
      </c>
      <c r="AA18" s="26" t="n">
        <f aca="false">IF($Q18=0,0,IF(OR($E18=R_LOT,COUNTIFS(RES_IDST,$A18,RES_LOTEFF,R_LOT)&gt;0),1,0))</f>
        <v>0</v>
      </c>
      <c r="AB18" s="26" t="str">
        <f aca="false">IF($AA18=0,"",COUNTIF($AA$5:$AA18,1))</f>
        <v/>
      </c>
    </row>
    <row r="19" customFormat="false" ht="15" hidden="false" customHeight="false" outlineLevel="0" collapsed="false">
      <c r="A19" s="26" t="str">
        <f aca="false">IF($D19="","","ST-"&amp;TEXT(ROW()-4,"000"))</f>
        <v/>
      </c>
      <c r="B19" s="25"/>
      <c r="C19" s="24"/>
      <c r="D19" s="24"/>
      <c r="E19" s="24"/>
      <c r="F19" s="24"/>
      <c r="G19" s="29"/>
      <c r="H19" s="24"/>
      <c r="I19" s="24"/>
      <c r="J19" s="24"/>
      <c r="K19" s="25"/>
      <c r="L19" s="24"/>
      <c r="M19" s="24"/>
      <c r="N19" s="24"/>
      <c r="O19" s="26" t="str">
        <f aca="false">IF($E19="","",IFERROR(INDEX(LOT_PRODE,MATCH($E19,LOT_KEY,0)),"LOT NON REFERENCE"))</f>
        <v/>
      </c>
      <c r="P19" s="26" t="str">
        <f aca="false">IF($E19="","",IFERROR(INDEX(LOT_FOURNE,MATCH($E19,LOT_KEY,0)),""))</f>
        <v/>
      </c>
      <c r="Q19" s="28" t="n">
        <f aca="false">IF($D19="",0,IF(OR($B19="",$C19="",$E19="",NOT(ISNUMBER($G19)),$G19&lt;=0),0,IF($D19="STOCK EXISTANT",IF($F19="",0,1),1)))</f>
        <v>0</v>
      </c>
      <c r="R19" s="27" t="str">
        <f aca="false">IF(OR($Q19=0,$D19&lt;&gt;"STOCK EXISTANT"),"",SUMIFS(MVT_BRUT,MVT_LOT,$E19,MVT_EMPL,$F19)+$G19)</f>
        <v/>
      </c>
      <c r="S19" s="27" t="str">
        <f aca="false">IF($A19="","",SUMIFS(RES_QTEVAL,RES_IDST,$A19))</f>
        <v/>
      </c>
      <c r="T19" s="28" t="str">
        <f aca="false">IF($A19="","",COUNTIFS(RES_IDST,$A19))</f>
        <v/>
      </c>
      <c r="U19" s="27" t="str">
        <f aca="false">IF(OR($A19="",$T19=0),"",$G19-$S19)</f>
        <v/>
      </c>
      <c r="V19" s="30" t="str">
        <f aca="false">IF(OR($A19="",$T19=0,NOT(ISNUMBER($G19)),$G19&lt;=0),"",$S19/$G19)</f>
        <v/>
      </c>
      <c r="W19" s="26" t="str">
        <f aca="false">IF($D19="","",IF($Q19=0,"DONNEES MANQUANTES",IF($D19="STOCK EXISTANT",IF($R19&lt;=0,"EMPLACEMENT INCOHERENT",IF($G19&gt;$R19+0.001,"STOCK INSUFFISANT",IF($T19=0,"EN COURS",IF($S19&gt;$G19+0.001,"BLOQUE",IF(AND($U19&gt;P_TOL,$L19=""),"A JUSTIFIER","OK"))))),IF($T19=0,"EN COURS",IF($S19&gt;$G19+0.001,"BLOQUE",IF(AND($U19&gt;P_TOL,$L19=""),"A JUSTIFIER","OK"))))))</f>
        <v/>
      </c>
      <c r="X19" s="28" t="n">
        <f aca="false">IF(OR($W19="",$W19="DONNEES MANQUANTES",$W19="EMPLACEMENT INCOHERENT",$W19="STOCK INSUFFISANT"),0,1)</f>
        <v>0</v>
      </c>
      <c r="Y19" s="26" t="str">
        <f aca="false">IF($D19="","",IF($Q19=0,"A COMPLETER : "&amp;IF($B19="","DATE ENVOI; ","")&amp;IF($C19="","SOUS-TRAITANT; ","")&amp;IF($E19="","LOT SOURCE; ","")&amp;IF(OR(NOT(ISNUMBER($G19)),$G19&lt;=0),"QTE ENVOYEE &gt; 0; ","")&amp;IF(AND($D19="STOCK EXISTANT",$F19=""),"EMPL. SOURCE; ",""),IF($W19="EMPLACEMENT INCOHERENT","Le lot "&amp;$E19&amp;" n'existe pas sur "&amp;$F19&amp;" (stock 0).",IF($W19="STOCK INSUFFISANT","Disponible avant envoi : "&amp;TEXT($R19,"#,##0.00")&amp;" kg. Ligne NON comptee en stock.",IF($W19="BLOQUE","Total des sorties ("&amp;TEXT($S19,"#,##0.00")&amp;" kg) superieur a la quantite envoyee.",IF($W19="EN COURS","Envoi enregistre, resultats non connus. A completer dans ST_RESULTATS.",IF($W19="A JUSTIFIER","Ecart de "&amp;TEXT($U19,"#,##0.00")&amp;" kg : renseigner JUSTIFICATION ECART (colonne L).",IF($O19="LOT NON REFERENCE","Creer d'abord la fiche du lot dans l'onglet LOTS.",""))))))))</f>
        <v/>
      </c>
      <c r="Z19" s="27" t="n">
        <f aca="false">IF(OR($X19=0,$T19&gt;0),0,$G19)</f>
        <v>0</v>
      </c>
      <c r="AA19" s="26" t="n">
        <f aca="false">IF($Q19=0,0,IF(OR($E19=R_LOT,COUNTIFS(RES_IDST,$A19,RES_LOTEFF,R_LOT)&gt;0),1,0))</f>
        <v>0</v>
      </c>
      <c r="AB19" s="26" t="str">
        <f aca="false">IF($AA19=0,"",COUNTIF($AA$5:$AA19,1))</f>
        <v/>
      </c>
    </row>
    <row r="20" customFormat="false" ht="15" hidden="false" customHeight="false" outlineLevel="0" collapsed="false">
      <c r="A20" s="26" t="str">
        <f aca="false">IF($D20="","","ST-"&amp;TEXT(ROW()-4,"000"))</f>
        <v/>
      </c>
      <c r="B20" s="25"/>
      <c r="C20" s="24"/>
      <c r="D20" s="24"/>
      <c r="E20" s="24"/>
      <c r="F20" s="24"/>
      <c r="G20" s="29"/>
      <c r="H20" s="24"/>
      <c r="I20" s="24"/>
      <c r="J20" s="24"/>
      <c r="K20" s="25"/>
      <c r="L20" s="24"/>
      <c r="M20" s="24"/>
      <c r="N20" s="24"/>
      <c r="O20" s="26" t="str">
        <f aca="false">IF($E20="","",IFERROR(INDEX(LOT_PRODE,MATCH($E20,LOT_KEY,0)),"LOT NON REFERENCE"))</f>
        <v/>
      </c>
      <c r="P20" s="26" t="str">
        <f aca="false">IF($E20="","",IFERROR(INDEX(LOT_FOURNE,MATCH($E20,LOT_KEY,0)),""))</f>
        <v/>
      </c>
      <c r="Q20" s="28" t="n">
        <f aca="false">IF($D20="",0,IF(OR($B20="",$C20="",$E20="",NOT(ISNUMBER($G20)),$G20&lt;=0),0,IF($D20="STOCK EXISTANT",IF($F20="",0,1),1)))</f>
        <v>0</v>
      </c>
      <c r="R20" s="27" t="str">
        <f aca="false">IF(OR($Q20=0,$D20&lt;&gt;"STOCK EXISTANT"),"",SUMIFS(MVT_BRUT,MVT_LOT,$E20,MVT_EMPL,$F20)+$G20)</f>
        <v/>
      </c>
      <c r="S20" s="27" t="str">
        <f aca="false">IF($A20="","",SUMIFS(RES_QTEVAL,RES_IDST,$A20))</f>
        <v/>
      </c>
      <c r="T20" s="28" t="str">
        <f aca="false">IF($A20="","",COUNTIFS(RES_IDST,$A20))</f>
        <v/>
      </c>
      <c r="U20" s="27" t="str">
        <f aca="false">IF(OR($A20="",$T20=0),"",$G20-$S20)</f>
        <v/>
      </c>
      <c r="V20" s="30" t="str">
        <f aca="false">IF(OR($A20="",$T20=0,NOT(ISNUMBER($G20)),$G20&lt;=0),"",$S20/$G20)</f>
        <v/>
      </c>
      <c r="W20" s="26" t="str">
        <f aca="false">IF($D20="","",IF($Q20=0,"DONNEES MANQUANTES",IF($D20="STOCK EXISTANT",IF($R20&lt;=0,"EMPLACEMENT INCOHERENT",IF($G20&gt;$R20+0.001,"STOCK INSUFFISANT",IF($T20=0,"EN COURS",IF($S20&gt;$G20+0.001,"BLOQUE",IF(AND($U20&gt;P_TOL,$L20=""),"A JUSTIFIER","OK"))))),IF($T20=0,"EN COURS",IF($S20&gt;$G20+0.001,"BLOQUE",IF(AND($U20&gt;P_TOL,$L20=""),"A JUSTIFIER","OK"))))))</f>
        <v/>
      </c>
      <c r="X20" s="28" t="n">
        <f aca="false">IF(OR($W20="",$W20="DONNEES MANQUANTES",$W20="EMPLACEMENT INCOHERENT",$W20="STOCK INSUFFISANT"),0,1)</f>
        <v>0</v>
      </c>
      <c r="Y20" s="26" t="str">
        <f aca="false">IF($D20="","",IF($Q20=0,"A COMPLETER : "&amp;IF($B20="","DATE ENVOI; ","")&amp;IF($C20="","SOUS-TRAITANT; ","")&amp;IF($E20="","LOT SOURCE; ","")&amp;IF(OR(NOT(ISNUMBER($G20)),$G20&lt;=0),"QTE ENVOYEE &gt; 0; ","")&amp;IF(AND($D20="STOCK EXISTANT",$F20=""),"EMPL. SOURCE; ",""),IF($W20="EMPLACEMENT INCOHERENT","Le lot "&amp;$E20&amp;" n'existe pas sur "&amp;$F20&amp;" (stock 0).",IF($W20="STOCK INSUFFISANT","Disponible avant envoi : "&amp;TEXT($R20,"#,##0.00")&amp;" kg. Ligne NON comptee en stock.",IF($W20="BLOQUE","Total des sorties ("&amp;TEXT($S20,"#,##0.00")&amp;" kg) superieur a la quantite envoyee.",IF($W20="EN COURS","Envoi enregistre, resultats non connus. A completer dans ST_RESULTATS.",IF($W20="A JUSTIFIER","Ecart de "&amp;TEXT($U20,"#,##0.00")&amp;" kg : renseigner JUSTIFICATION ECART (colonne L).",IF($O20="LOT NON REFERENCE","Creer d'abord la fiche du lot dans l'onglet LOTS.",""))))))))</f>
        <v/>
      </c>
      <c r="Z20" s="27" t="n">
        <f aca="false">IF(OR($X20=0,$T20&gt;0),0,$G20)</f>
        <v>0</v>
      </c>
      <c r="AA20" s="26" t="n">
        <f aca="false">IF($Q20=0,0,IF(OR($E20=R_LOT,COUNTIFS(RES_IDST,$A20,RES_LOTEFF,R_LOT)&gt;0),1,0))</f>
        <v>0</v>
      </c>
      <c r="AB20" s="26" t="str">
        <f aca="false">IF($AA20=0,"",COUNTIF($AA$5:$AA20,1))</f>
        <v/>
      </c>
    </row>
    <row r="21" customFormat="false" ht="15" hidden="false" customHeight="false" outlineLevel="0" collapsed="false">
      <c r="A21" s="26" t="str">
        <f aca="false">IF($D21="","","ST-"&amp;TEXT(ROW()-4,"000"))</f>
        <v/>
      </c>
      <c r="B21" s="25"/>
      <c r="C21" s="24"/>
      <c r="D21" s="24"/>
      <c r="E21" s="24"/>
      <c r="F21" s="24"/>
      <c r="G21" s="29"/>
      <c r="H21" s="24"/>
      <c r="I21" s="24"/>
      <c r="J21" s="24"/>
      <c r="K21" s="25"/>
      <c r="L21" s="24"/>
      <c r="M21" s="24"/>
      <c r="N21" s="24"/>
      <c r="O21" s="26" t="str">
        <f aca="false">IF($E21="","",IFERROR(INDEX(LOT_PRODE,MATCH($E21,LOT_KEY,0)),"LOT NON REFERENCE"))</f>
        <v/>
      </c>
      <c r="P21" s="26" t="str">
        <f aca="false">IF($E21="","",IFERROR(INDEX(LOT_FOURNE,MATCH($E21,LOT_KEY,0)),""))</f>
        <v/>
      </c>
      <c r="Q21" s="28" t="n">
        <f aca="false">IF($D21="",0,IF(OR($B21="",$C21="",$E21="",NOT(ISNUMBER($G21)),$G21&lt;=0),0,IF($D21="STOCK EXISTANT",IF($F21="",0,1),1)))</f>
        <v>0</v>
      </c>
      <c r="R21" s="27" t="str">
        <f aca="false">IF(OR($Q21=0,$D21&lt;&gt;"STOCK EXISTANT"),"",SUMIFS(MVT_BRUT,MVT_LOT,$E21,MVT_EMPL,$F21)+$G21)</f>
        <v/>
      </c>
      <c r="S21" s="27" t="str">
        <f aca="false">IF($A21="","",SUMIFS(RES_QTEVAL,RES_IDST,$A21))</f>
        <v/>
      </c>
      <c r="T21" s="28" t="str">
        <f aca="false">IF($A21="","",COUNTIFS(RES_IDST,$A21))</f>
        <v/>
      </c>
      <c r="U21" s="27" t="str">
        <f aca="false">IF(OR($A21="",$T21=0),"",$G21-$S21)</f>
        <v/>
      </c>
      <c r="V21" s="30" t="str">
        <f aca="false">IF(OR($A21="",$T21=0,NOT(ISNUMBER($G21)),$G21&lt;=0),"",$S21/$G21)</f>
        <v/>
      </c>
      <c r="W21" s="26" t="str">
        <f aca="false">IF($D21="","",IF($Q21=0,"DONNEES MANQUANTES",IF($D21="STOCK EXISTANT",IF($R21&lt;=0,"EMPLACEMENT INCOHERENT",IF($G21&gt;$R21+0.001,"STOCK INSUFFISANT",IF($T21=0,"EN COURS",IF($S21&gt;$G21+0.001,"BLOQUE",IF(AND($U21&gt;P_TOL,$L21=""),"A JUSTIFIER","OK"))))),IF($T21=0,"EN COURS",IF($S21&gt;$G21+0.001,"BLOQUE",IF(AND($U21&gt;P_TOL,$L21=""),"A JUSTIFIER","OK"))))))</f>
        <v/>
      </c>
      <c r="X21" s="28" t="n">
        <f aca="false">IF(OR($W21="",$W21="DONNEES MANQUANTES",$W21="EMPLACEMENT INCOHERENT",$W21="STOCK INSUFFISANT"),0,1)</f>
        <v>0</v>
      </c>
      <c r="Y21" s="26" t="str">
        <f aca="false">IF($D21="","",IF($Q21=0,"A COMPLETER : "&amp;IF($B21="","DATE ENVOI; ","")&amp;IF($C21="","SOUS-TRAITANT; ","")&amp;IF($E21="","LOT SOURCE; ","")&amp;IF(OR(NOT(ISNUMBER($G21)),$G21&lt;=0),"QTE ENVOYEE &gt; 0; ","")&amp;IF(AND($D21="STOCK EXISTANT",$F21=""),"EMPL. SOURCE; ",""),IF($W21="EMPLACEMENT INCOHERENT","Le lot "&amp;$E21&amp;" n'existe pas sur "&amp;$F21&amp;" (stock 0).",IF($W21="STOCK INSUFFISANT","Disponible avant envoi : "&amp;TEXT($R21,"#,##0.00")&amp;" kg. Ligne NON comptee en stock.",IF($W21="BLOQUE","Total des sorties ("&amp;TEXT($S21,"#,##0.00")&amp;" kg) superieur a la quantite envoyee.",IF($W21="EN COURS","Envoi enregistre, resultats non connus. A completer dans ST_RESULTATS.",IF($W21="A JUSTIFIER","Ecart de "&amp;TEXT($U21,"#,##0.00")&amp;" kg : renseigner JUSTIFICATION ECART (colonne L).",IF($O21="LOT NON REFERENCE","Creer d'abord la fiche du lot dans l'onglet LOTS.",""))))))))</f>
        <v/>
      </c>
      <c r="Z21" s="27" t="n">
        <f aca="false">IF(OR($X21=0,$T21&gt;0),0,$G21)</f>
        <v>0</v>
      </c>
      <c r="AA21" s="26" t="n">
        <f aca="false">IF($Q21=0,0,IF(OR($E21=R_LOT,COUNTIFS(RES_IDST,$A21,RES_LOTEFF,R_LOT)&gt;0),1,0))</f>
        <v>0</v>
      </c>
      <c r="AB21" s="26" t="str">
        <f aca="false">IF($AA21=0,"",COUNTIF($AA$5:$AA21,1))</f>
        <v/>
      </c>
    </row>
    <row r="22" customFormat="false" ht="15" hidden="false" customHeight="false" outlineLevel="0" collapsed="false">
      <c r="A22" s="26" t="str">
        <f aca="false">IF($D22="","","ST-"&amp;TEXT(ROW()-4,"000"))</f>
        <v/>
      </c>
      <c r="B22" s="25"/>
      <c r="C22" s="24"/>
      <c r="D22" s="24"/>
      <c r="E22" s="24"/>
      <c r="F22" s="24"/>
      <c r="G22" s="29"/>
      <c r="H22" s="24"/>
      <c r="I22" s="24"/>
      <c r="J22" s="24"/>
      <c r="K22" s="25"/>
      <c r="L22" s="24"/>
      <c r="M22" s="24"/>
      <c r="N22" s="24"/>
      <c r="O22" s="26" t="str">
        <f aca="false">IF($E22="","",IFERROR(INDEX(LOT_PRODE,MATCH($E22,LOT_KEY,0)),"LOT NON REFERENCE"))</f>
        <v/>
      </c>
      <c r="P22" s="26" t="str">
        <f aca="false">IF($E22="","",IFERROR(INDEX(LOT_FOURNE,MATCH($E22,LOT_KEY,0)),""))</f>
        <v/>
      </c>
      <c r="Q22" s="28" t="n">
        <f aca="false">IF($D22="",0,IF(OR($B22="",$C22="",$E22="",NOT(ISNUMBER($G22)),$G22&lt;=0),0,IF($D22="STOCK EXISTANT",IF($F22="",0,1),1)))</f>
        <v>0</v>
      </c>
      <c r="R22" s="27" t="str">
        <f aca="false">IF(OR($Q22=0,$D22&lt;&gt;"STOCK EXISTANT"),"",SUMIFS(MVT_BRUT,MVT_LOT,$E22,MVT_EMPL,$F22)+$G22)</f>
        <v/>
      </c>
      <c r="S22" s="27" t="str">
        <f aca="false">IF($A22="","",SUMIFS(RES_QTEVAL,RES_IDST,$A22))</f>
        <v/>
      </c>
      <c r="T22" s="28" t="str">
        <f aca="false">IF($A22="","",COUNTIFS(RES_IDST,$A22))</f>
        <v/>
      </c>
      <c r="U22" s="27" t="str">
        <f aca="false">IF(OR($A22="",$T22=0),"",$G22-$S22)</f>
        <v/>
      </c>
      <c r="V22" s="30" t="str">
        <f aca="false">IF(OR($A22="",$T22=0,NOT(ISNUMBER($G22)),$G22&lt;=0),"",$S22/$G22)</f>
        <v/>
      </c>
      <c r="W22" s="26" t="str">
        <f aca="false">IF($D22="","",IF($Q22=0,"DONNEES MANQUANTES",IF($D22="STOCK EXISTANT",IF($R22&lt;=0,"EMPLACEMENT INCOHERENT",IF($G22&gt;$R22+0.001,"STOCK INSUFFISANT",IF($T22=0,"EN COURS",IF($S22&gt;$G22+0.001,"BLOQUE",IF(AND($U22&gt;P_TOL,$L22=""),"A JUSTIFIER","OK"))))),IF($T22=0,"EN COURS",IF($S22&gt;$G22+0.001,"BLOQUE",IF(AND($U22&gt;P_TOL,$L22=""),"A JUSTIFIER","OK"))))))</f>
        <v/>
      </c>
      <c r="X22" s="28" t="n">
        <f aca="false">IF(OR($W22="",$W22="DONNEES MANQUANTES",$W22="EMPLACEMENT INCOHERENT",$W22="STOCK INSUFFISANT"),0,1)</f>
        <v>0</v>
      </c>
      <c r="Y22" s="26" t="str">
        <f aca="false">IF($D22="","",IF($Q22=0,"A COMPLETER : "&amp;IF($B22="","DATE ENVOI; ","")&amp;IF($C22="","SOUS-TRAITANT; ","")&amp;IF($E22="","LOT SOURCE; ","")&amp;IF(OR(NOT(ISNUMBER($G22)),$G22&lt;=0),"QTE ENVOYEE &gt; 0; ","")&amp;IF(AND($D22="STOCK EXISTANT",$F22=""),"EMPL. SOURCE; ",""),IF($W22="EMPLACEMENT INCOHERENT","Le lot "&amp;$E22&amp;" n'existe pas sur "&amp;$F22&amp;" (stock 0).",IF($W22="STOCK INSUFFISANT","Disponible avant envoi : "&amp;TEXT($R22,"#,##0.00")&amp;" kg. Ligne NON comptee en stock.",IF($W22="BLOQUE","Total des sorties ("&amp;TEXT($S22,"#,##0.00")&amp;" kg) superieur a la quantite envoyee.",IF($W22="EN COURS","Envoi enregistre, resultats non connus. A completer dans ST_RESULTATS.",IF($W22="A JUSTIFIER","Ecart de "&amp;TEXT($U22,"#,##0.00")&amp;" kg : renseigner JUSTIFICATION ECART (colonne L).",IF($O22="LOT NON REFERENCE","Creer d'abord la fiche du lot dans l'onglet LOTS.",""))))))))</f>
        <v/>
      </c>
      <c r="Z22" s="27" t="n">
        <f aca="false">IF(OR($X22=0,$T22&gt;0),0,$G22)</f>
        <v>0</v>
      </c>
      <c r="AA22" s="26" t="n">
        <f aca="false">IF($Q22=0,0,IF(OR($E22=R_LOT,COUNTIFS(RES_IDST,$A22,RES_LOTEFF,R_LOT)&gt;0),1,0))</f>
        <v>0</v>
      </c>
      <c r="AB22" s="26" t="str">
        <f aca="false">IF($AA22=0,"",COUNTIF($AA$5:$AA22,1))</f>
        <v/>
      </c>
    </row>
    <row r="23" customFormat="false" ht="15" hidden="false" customHeight="false" outlineLevel="0" collapsed="false">
      <c r="A23" s="26" t="str">
        <f aca="false">IF($D23="","","ST-"&amp;TEXT(ROW()-4,"000"))</f>
        <v/>
      </c>
      <c r="B23" s="25"/>
      <c r="C23" s="24"/>
      <c r="D23" s="24"/>
      <c r="E23" s="24"/>
      <c r="F23" s="24"/>
      <c r="G23" s="29"/>
      <c r="H23" s="24"/>
      <c r="I23" s="24"/>
      <c r="J23" s="24"/>
      <c r="K23" s="25"/>
      <c r="L23" s="24"/>
      <c r="M23" s="24"/>
      <c r="N23" s="24"/>
      <c r="O23" s="26" t="str">
        <f aca="false">IF($E23="","",IFERROR(INDEX(LOT_PRODE,MATCH($E23,LOT_KEY,0)),"LOT NON REFERENCE"))</f>
        <v/>
      </c>
      <c r="P23" s="26" t="str">
        <f aca="false">IF($E23="","",IFERROR(INDEX(LOT_FOURNE,MATCH($E23,LOT_KEY,0)),""))</f>
        <v/>
      </c>
      <c r="Q23" s="28" t="n">
        <f aca="false">IF($D23="",0,IF(OR($B23="",$C23="",$E23="",NOT(ISNUMBER($G23)),$G23&lt;=0),0,IF($D23="STOCK EXISTANT",IF($F23="",0,1),1)))</f>
        <v>0</v>
      </c>
      <c r="R23" s="27" t="str">
        <f aca="false">IF(OR($Q23=0,$D23&lt;&gt;"STOCK EXISTANT"),"",SUMIFS(MVT_BRUT,MVT_LOT,$E23,MVT_EMPL,$F23)+$G23)</f>
        <v/>
      </c>
      <c r="S23" s="27" t="str">
        <f aca="false">IF($A23="","",SUMIFS(RES_QTEVAL,RES_IDST,$A23))</f>
        <v/>
      </c>
      <c r="T23" s="28" t="str">
        <f aca="false">IF($A23="","",COUNTIFS(RES_IDST,$A23))</f>
        <v/>
      </c>
      <c r="U23" s="27" t="str">
        <f aca="false">IF(OR($A23="",$T23=0),"",$G23-$S23)</f>
        <v/>
      </c>
      <c r="V23" s="30" t="str">
        <f aca="false">IF(OR($A23="",$T23=0,NOT(ISNUMBER($G23)),$G23&lt;=0),"",$S23/$G23)</f>
        <v/>
      </c>
      <c r="W23" s="26" t="str">
        <f aca="false">IF($D23="","",IF($Q23=0,"DONNEES MANQUANTES",IF($D23="STOCK EXISTANT",IF($R23&lt;=0,"EMPLACEMENT INCOHERENT",IF($G23&gt;$R23+0.001,"STOCK INSUFFISANT",IF($T23=0,"EN COURS",IF($S23&gt;$G23+0.001,"BLOQUE",IF(AND($U23&gt;P_TOL,$L23=""),"A JUSTIFIER","OK"))))),IF($T23=0,"EN COURS",IF($S23&gt;$G23+0.001,"BLOQUE",IF(AND($U23&gt;P_TOL,$L23=""),"A JUSTIFIER","OK"))))))</f>
        <v/>
      </c>
      <c r="X23" s="28" t="n">
        <f aca="false">IF(OR($W23="",$W23="DONNEES MANQUANTES",$W23="EMPLACEMENT INCOHERENT",$W23="STOCK INSUFFISANT"),0,1)</f>
        <v>0</v>
      </c>
      <c r="Y23" s="26" t="str">
        <f aca="false">IF($D23="","",IF($Q23=0,"A COMPLETER : "&amp;IF($B23="","DATE ENVOI; ","")&amp;IF($C23="","SOUS-TRAITANT; ","")&amp;IF($E23="","LOT SOURCE; ","")&amp;IF(OR(NOT(ISNUMBER($G23)),$G23&lt;=0),"QTE ENVOYEE &gt; 0; ","")&amp;IF(AND($D23="STOCK EXISTANT",$F23=""),"EMPL. SOURCE; ",""),IF($W23="EMPLACEMENT INCOHERENT","Le lot "&amp;$E23&amp;" n'existe pas sur "&amp;$F23&amp;" (stock 0).",IF($W23="STOCK INSUFFISANT","Disponible avant envoi : "&amp;TEXT($R23,"#,##0.00")&amp;" kg. Ligne NON comptee en stock.",IF($W23="BLOQUE","Total des sorties ("&amp;TEXT($S23,"#,##0.00")&amp;" kg) superieur a la quantite envoyee.",IF($W23="EN COURS","Envoi enregistre, resultats non connus. A completer dans ST_RESULTATS.",IF($W23="A JUSTIFIER","Ecart de "&amp;TEXT($U23,"#,##0.00")&amp;" kg : renseigner JUSTIFICATION ECART (colonne L).",IF($O23="LOT NON REFERENCE","Creer d'abord la fiche du lot dans l'onglet LOTS.",""))))))))</f>
        <v/>
      </c>
      <c r="Z23" s="27" t="n">
        <f aca="false">IF(OR($X23=0,$T23&gt;0),0,$G23)</f>
        <v>0</v>
      </c>
      <c r="AA23" s="26" t="n">
        <f aca="false">IF($Q23=0,0,IF(OR($E23=R_LOT,COUNTIFS(RES_IDST,$A23,RES_LOTEFF,R_LOT)&gt;0),1,0))</f>
        <v>0</v>
      </c>
      <c r="AB23" s="26" t="str">
        <f aca="false">IF($AA23=0,"",COUNTIF($AA$5:$AA23,1))</f>
        <v/>
      </c>
    </row>
    <row r="24" customFormat="false" ht="15" hidden="false" customHeight="false" outlineLevel="0" collapsed="false">
      <c r="A24" s="26" t="str">
        <f aca="false">IF($D24="","","ST-"&amp;TEXT(ROW()-4,"000"))</f>
        <v/>
      </c>
      <c r="B24" s="25"/>
      <c r="C24" s="24"/>
      <c r="D24" s="24"/>
      <c r="E24" s="24"/>
      <c r="F24" s="24"/>
      <c r="G24" s="29"/>
      <c r="H24" s="24"/>
      <c r="I24" s="24"/>
      <c r="J24" s="24"/>
      <c r="K24" s="25"/>
      <c r="L24" s="24"/>
      <c r="M24" s="24"/>
      <c r="N24" s="24"/>
      <c r="O24" s="26" t="str">
        <f aca="false">IF($E24="","",IFERROR(INDEX(LOT_PRODE,MATCH($E24,LOT_KEY,0)),"LOT NON REFERENCE"))</f>
        <v/>
      </c>
      <c r="P24" s="26" t="str">
        <f aca="false">IF($E24="","",IFERROR(INDEX(LOT_FOURNE,MATCH($E24,LOT_KEY,0)),""))</f>
        <v/>
      </c>
      <c r="Q24" s="28" t="n">
        <f aca="false">IF($D24="",0,IF(OR($B24="",$C24="",$E24="",NOT(ISNUMBER($G24)),$G24&lt;=0),0,IF($D24="STOCK EXISTANT",IF($F24="",0,1),1)))</f>
        <v>0</v>
      </c>
      <c r="R24" s="27" t="str">
        <f aca="false">IF(OR($Q24=0,$D24&lt;&gt;"STOCK EXISTANT"),"",SUMIFS(MVT_BRUT,MVT_LOT,$E24,MVT_EMPL,$F24)+$G24)</f>
        <v/>
      </c>
      <c r="S24" s="27" t="str">
        <f aca="false">IF($A24="","",SUMIFS(RES_QTEVAL,RES_IDST,$A24))</f>
        <v/>
      </c>
      <c r="T24" s="28" t="str">
        <f aca="false">IF($A24="","",COUNTIFS(RES_IDST,$A24))</f>
        <v/>
      </c>
      <c r="U24" s="27" t="str">
        <f aca="false">IF(OR($A24="",$T24=0),"",$G24-$S24)</f>
        <v/>
      </c>
      <c r="V24" s="30" t="str">
        <f aca="false">IF(OR($A24="",$T24=0,NOT(ISNUMBER($G24)),$G24&lt;=0),"",$S24/$G24)</f>
        <v/>
      </c>
      <c r="W24" s="26" t="str">
        <f aca="false">IF($D24="","",IF($Q24=0,"DONNEES MANQUANTES",IF($D24="STOCK EXISTANT",IF($R24&lt;=0,"EMPLACEMENT INCOHERENT",IF($G24&gt;$R24+0.001,"STOCK INSUFFISANT",IF($T24=0,"EN COURS",IF($S24&gt;$G24+0.001,"BLOQUE",IF(AND($U24&gt;P_TOL,$L24=""),"A JUSTIFIER","OK"))))),IF($T24=0,"EN COURS",IF($S24&gt;$G24+0.001,"BLOQUE",IF(AND($U24&gt;P_TOL,$L24=""),"A JUSTIFIER","OK"))))))</f>
        <v/>
      </c>
      <c r="X24" s="28" t="n">
        <f aca="false">IF(OR($W24="",$W24="DONNEES MANQUANTES",$W24="EMPLACEMENT INCOHERENT",$W24="STOCK INSUFFISANT"),0,1)</f>
        <v>0</v>
      </c>
      <c r="Y24" s="26" t="str">
        <f aca="false">IF($D24="","",IF($Q24=0,"A COMPLETER : "&amp;IF($B24="","DATE ENVOI; ","")&amp;IF($C24="","SOUS-TRAITANT; ","")&amp;IF($E24="","LOT SOURCE; ","")&amp;IF(OR(NOT(ISNUMBER($G24)),$G24&lt;=0),"QTE ENVOYEE &gt; 0; ","")&amp;IF(AND($D24="STOCK EXISTANT",$F24=""),"EMPL. SOURCE; ",""),IF($W24="EMPLACEMENT INCOHERENT","Le lot "&amp;$E24&amp;" n'existe pas sur "&amp;$F24&amp;" (stock 0).",IF($W24="STOCK INSUFFISANT","Disponible avant envoi : "&amp;TEXT($R24,"#,##0.00")&amp;" kg. Ligne NON comptee en stock.",IF($W24="BLOQUE","Total des sorties ("&amp;TEXT($S24,"#,##0.00")&amp;" kg) superieur a la quantite envoyee.",IF($W24="EN COURS","Envoi enregistre, resultats non connus. A completer dans ST_RESULTATS.",IF($W24="A JUSTIFIER","Ecart de "&amp;TEXT($U24,"#,##0.00")&amp;" kg : renseigner JUSTIFICATION ECART (colonne L).",IF($O24="LOT NON REFERENCE","Creer d'abord la fiche du lot dans l'onglet LOTS.",""))))))))</f>
        <v/>
      </c>
      <c r="Z24" s="27" t="n">
        <f aca="false">IF(OR($X24=0,$T24&gt;0),0,$G24)</f>
        <v>0</v>
      </c>
      <c r="AA24" s="26" t="n">
        <f aca="false">IF($Q24=0,0,IF(OR($E24=R_LOT,COUNTIFS(RES_IDST,$A24,RES_LOTEFF,R_LOT)&gt;0),1,0))</f>
        <v>0</v>
      </c>
      <c r="AB24" s="26" t="str">
        <f aca="false">IF($AA24=0,"",COUNTIF($AA$5:$AA24,1))</f>
        <v/>
      </c>
    </row>
    <row r="25" customFormat="false" ht="15" hidden="false" customHeight="false" outlineLevel="0" collapsed="false">
      <c r="A25" s="26" t="str">
        <f aca="false">IF($D25="","","ST-"&amp;TEXT(ROW()-4,"000"))</f>
        <v/>
      </c>
      <c r="B25" s="25"/>
      <c r="C25" s="24"/>
      <c r="D25" s="24"/>
      <c r="E25" s="24"/>
      <c r="F25" s="24"/>
      <c r="G25" s="29"/>
      <c r="H25" s="24"/>
      <c r="I25" s="24"/>
      <c r="J25" s="24"/>
      <c r="K25" s="25"/>
      <c r="L25" s="24"/>
      <c r="M25" s="24"/>
      <c r="N25" s="24"/>
      <c r="O25" s="26" t="str">
        <f aca="false">IF($E25="","",IFERROR(INDEX(LOT_PRODE,MATCH($E25,LOT_KEY,0)),"LOT NON REFERENCE"))</f>
        <v/>
      </c>
      <c r="P25" s="26" t="str">
        <f aca="false">IF($E25="","",IFERROR(INDEX(LOT_FOURNE,MATCH($E25,LOT_KEY,0)),""))</f>
        <v/>
      </c>
      <c r="Q25" s="28" t="n">
        <f aca="false">IF($D25="",0,IF(OR($B25="",$C25="",$E25="",NOT(ISNUMBER($G25)),$G25&lt;=0),0,IF($D25="STOCK EXISTANT",IF($F25="",0,1),1)))</f>
        <v>0</v>
      </c>
      <c r="R25" s="27" t="str">
        <f aca="false">IF(OR($Q25=0,$D25&lt;&gt;"STOCK EXISTANT"),"",SUMIFS(MVT_BRUT,MVT_LOT,$E25,MVT_EMPL,$F25)+$G25)</f>
        <v/>
      </c>
      <c r="S25" s="27" t="str">
        <f aca="false">IF($A25="","",SUMIFS(RES_QTEVAL,RES_IDST,$A25))</f>
        <v/>
      </c>
      <c r="T25" s="28" t="str">
        <f aca="false">IF($A25="","",COUNTIFS(RES_IDST,$A25))</f>
        <v/>
      </c>
      <c r="U25" s="27" t="str">
        <f aca="false">IF(OR($A25="",$T25=0),"",$G25-$S25)</f>
        <v/>
      </c>
      <c r="V25" s="30" t="str">
        <f aca="false">IF(OR($A25="",$T25=0,NOT(ISNUMBER($G25)),$G25&lt;=0),"",$S25/$G25)</f>
        <v/>
      </c>
      <c r="W25" s="26" t="str">
        <f aca="false">IF($D25="","",IF($Q25=0,"DONNEES MANQUANTES",IF($D25="STOCK EXISTANT",IF($R25&lt;=0,"EMPLACEMENT INCOHERENT",IF($G25&gt;$R25+0.001,"STOCK INSUFFISANT",IF($T25=0,"EN COURS",IF($S25&gt;$G25+0.001,"BLOQUE",IF(AND($U25&gt;P_TOL,$L25=""),"A JUSTIFIER","OK"))))),IF($T25=0,"EN COURS",IF($S25&gt;$G25+0.001,"BLOQUE",IF(AND($U25&gt;P_TOL,$L25=""),"A JUSTIFIER","OK"))))))</f>
        <v/>
      </c>
      <c r="X25" s="28" t="n">
        <f aca="false">IF(OR($W25="",$W25="DONNEES MANQUANTES",$W25="EMPLACEMENT INCOHERENT",$W25="STOCK INSUFFISANT"),0,1)</f>
        <v>0</v>
      </c>
      <c r="Y25" s="26" t="str">
        <f aca="false">IF($D25="","",IF($Q25=0,"A COMPLETER : "&amp;IF($B25="","DATE ENVOI; ","")&amp;IF($C25="","SOUS-TRAITANT; ","")&amp;IF($E25="","LOT SOURCE; ","")&amp;IF(OR(NOT(ISNUMBER($G25)),$G25&lt;=0),"QTE ENVOYEE &gt; 0; ","")&amp;IF(AND($D25="STOCK EXISTANT",$F25=""),"EMPL. SOURCE; ",""),IF($W25="EMPLACEMENT INCOHERENT","Le lot "&amp;$E25&amp;" n'existe pas sur "&amp;$F25&amp;" (stock 0).",IF($W25="STOCK INSUFFISANT","Disponible avant envoi : "&amp;TEXT($R25,"#,##0.00")&amp;" kg. Ligne NON comptee en stock.",IF($W25="BLOQUE","Total des sorties ("&amp;TEXT($S25,"#,##0.00")&amp;" kg) superieur a la quantite envoyee.",IF($W25="EN COURS","Envoi enregistre, resultats non connus. A completer dans ST_RESULTATS.",IF($W25="A JUSTIFIER","Ecart de "&amp;TEXT($U25,"#,##0.00")&amp;" kg : renseigner JUSTIFICATION ECART (colonne L).",IF($O25="LOT NON REFERENCE","Creer d'abord la fiche du lot dans l'onglet LOTS.",""))))))))</f>
        <v/>
      </c>
      <c r="Z25" s="27" t="n">
        <f aca="false">IF(OR($X25=0,$T25&gt;0),0,$G25)</f>
        <v>0</v>
      </c>
      <c r="AA25" s="26" t="n">
        <f aca="false">IF($Q25=0,0,IF(OR($E25=R_LOT,COUNTIFS(RES_IDST,$A25,RES_LOTEFF,R_LOT)&gt;0),1,0))</f>
        <v>0</v>
      </c>
      <c r="AB25" s="26" t="str">
        <f aca="false">IF($AA25=0,"",COUNTIF($AA$5:$AA25,1))</f>
        <v/>
      </c>
    </row>
    <row r="26" customFormat="false" ht="15" hidden="false" customHeight="false" outlineLevel="0" collapsed="false">
      <c r="A26" s="26" t="str">
        <f aca="false">IF($D26="","","ST-"&amp;TEXT(ROW()-4,"000"))</f>
        <v/>
      </c>
      <c r="B26" s="25"/>
      <c r="C26" s="24"/>
      <c r="D26" s="24"/>
      <c r="E26" s="24"/>
      <c r="F26" s="24"/>
      <c r="G26" s="29"/>
      <c r="H26" s="24"/>
      <c r="I26" s="24"/>
      <c r="J26" s="24"/>
      <c r="K26" s="25"/>
      <c r="L26" s="24"/>
      <c r="M26" s="24"/>
      <c r="N26" s="24"/>
      <c r="O26" s="26" t="str">
        <f aca="false">IF($E26="","",IFERROR(INDEX(LOT_PRODE,MATCH($E26,LOT_KEY,0)),"LOT NON REFERENCE"))</f>
        <v/>
      </c>
      <c r="P26" s="26" t="str">
        <f aca="false">IF($E26="","",IFERROR(INDEX(LOT_FOURNE,MATCH($E26,LOT_KEY,0)),""))</f>
        <v/>
      </c>
      <c r="Q26" s="28" t="n">
        <f aca="false">IF($D26="",0,IF(OR($B26="",$C26="",$E26="",NOT(ISNUMBER($G26)),$G26&lt;=0),0,IF($D26="STOCK EXISTANT",IF($F26="",0,1),1)))</f>
        <v>0</v>
      </c>
      <c r="R26" s="27" t="str">
        <f aca="false">IF(OR($Q26=0,$D26&lt;&gt;"STOCK EXISTANT"),"",SUMIFS(MVT_BRUT,MVT_LOT,$E26,MVT_EMPL,$F26)+$G26)</f>
        <v/>
      </c>
      <c r="S26" s="27" t="str">
        <f aca="false">IF($A26="","",SUMIFS(RES_QTEVAL,RES_IDST,$A26))</f>
        <v/>
      </c>
      <c r="T26" s="28" t="str">
        <f aca="false">IF($A26="","",COUNTIFS(RES_IDST,$A26))</f>
        <v/>
      </c>
      <c r="U26" s="27" t="str">
        <f aca="false">IF(OR($A26="",$T26=0),"",$G26-$S26)</f>
        <v/>
      </c>
      <c r="V26" s="30" t="str">
        <f aca="false">IF(OR($A26="",$T26=0,NOT(ISNUMBER($G26)),$G26&lt;=0),"",$S26/$G26)</f>
        <v/>
      </c>
      <c r="W26" s="26" t="str">
        <f aca="false">IF($D26="","",IF($Q26=0,"DONNEES MANQUANTES",IF($D26="STOCK EXISTANT",IF($R26&lt;=0,"EMPLACEMENT INCOHERENT",IF($G26&gt;$R26+0.001,"STOCK INSUFFISANT",IF($T26=0,"EN COURS",IF($S26&gt;$G26+0.001,"BLOQUE",IF(AND($U26&gt;P_TOL,$L26=""),"A JUSTIFIER","OK"))))),IF($T26=0,"EN COURS",IF($S26&gt;$G26+0.001,"BLOQUE",IF(AND($U26&gt;P_TOL,$L26=""),"A JUSTIFIER","OK"))))))</f>
        <v/>
      </c>
      <c r="X26" s="28" t="n">
        <f aca="false">IF(OR($W26="",$W26="DONNEES MANQUANTES",$W26="EMPLACEMENT INCOHERENT",$W26="STOCK INSUFFISANT"),0,1)</f>
        <v>0</v>
      </c>
      <c r="Y26" s="26" t="str">
        <f aca="false">IF($D26="","",IF($Q26=0,"A COMPLETER : "&amp;IF($B26="","DATE ENVOI; ","")&amp;IF($C26="","SOUS-TRAITANT; ","")&amp;IF($E26="","LOT SOURCE; ","")&amp;IF(OR(NOT(ISNUMBER($G26)),$G26&lt;=0),"QTE ENVOYEE &gt; 0; ","")&amp;IF(AND($D26="STOCK EXISTANT",$F26=""),"EMPL. SOURCE; ",""),IF($W26="EMPLACEMENT INCOHERENT","Le lot "&amp;$E26&amp;" n'existe pas sur "&amp;$F26&amp;" (stock 0).",IF($W26="STOCK INSUFFISANT","Disponible avant envoi : "&amp;TEXT($R26,"#,##0.00")&amp;" kg. Ligne NON comptee en stock.",IF($W26="BLOQUE","Total des sorties ("&amp;TEXT($S26,"#,##0.00")&amp;" kg) superieur a la quantite envoyee.",IF($W26="EN COURS","Envoi enregistre, resultats non connus. A completer dans ST_RESULTATS.",IF($W26="A JUSTIFIER","Ecart de "&amp;TEXT($U26,"#,##0.00")&amp;" kg : renseigner JUSTIFICATION ECART (colonne L).",IF($O26="LOT NON REFERENCE","Creer d'abord la fiche du lot dans l'onglet LOTS.",""))))))))</f>
        <v/>
      </c>
      <c r="Z26" s="27" t="n">
        <f aca="false">IF(OR($X26=0,$T26&gt;0),0,$G26)</f>
        <v>0</v>
      </c>
      <c r="AA26" s="26" t="n">
        <f aca="false">IF($Q26=0,0,IF(OR($E26=R_LOT,COUNTIFS(RES_IDST,$A26,RES_LOTEFF,R_LOT)&gt;0),1,0))</f>
        <v>0</v>
      </c>
      <c r="AB26" s="26" t="str">
        <f aca="false">IF($AA26=0,"",COUNTIF($AA$5:$AA26,1))</f>
        <v/>
      </c>
    </row>
    <row r="27" customFormat="false" ht="15" hidden="false" customHeight="false" outlineLevel="0" collapsed="false">
      <c r="A27" s="26" t="str">
        <f aca="false">IF($D27="","","ST-"&amp;TEXT(ROW()-4,"000"))</f>
        <v/>
      </c>
      <c r="B27" s="25"/>
      <c r="C27" s="24"/>
      <c r="D27" s="24"/>
      <c r="E27" s="24"/>
      <c r="F27" s="24"/>
      <c r="G27" s="29"/>
      <c r="H27" s="24"/>
      <c r="I27" s="24"/>
      <c r="J27" s="24"/>
      <c r="K27" s="25"/>
      <c r="L27" s="24"/>
      <c r="M27" s="24"/>
      <c r="N27" s="24"/>
      <c r="O27" s="26" t="str">
        <f aca="false">IF($E27="","",IFERROR(INDEX(LOT_PRODE,MATCH($E27,LOT_KEY,0)),"LOT NON REFERENCE"))</f>
        <v/>
      </c>
      <c r="P27" s="26" t="str">
        <f aca="false">IF($E27="","",IFERROR(INDEX(LOT_FOURNE,MATCH($E27,LOT_KEY,0)),""))</f>
        <v/>
      </c>
      <c r="Q27" s="28" t="n">
        <f aca="false">IF($D27="",0,IF(OR($B27="",$C27="",$E27="",NOT(ISNUMBER($G27)),$G27&lt;=0),0,IF($D27="STOCK EXISTANT",IF($F27="",0,1),1)))</f>
        <v>0</v>
      </c>
      <c r="R27" s="27" t="str">
        <f aca="false">IF(OR($Q27=0,$D27&lt;&gt;"STOCK EXISTANT"),"",SUMIFS(MVT_BRUT,MVT_LOT,$E27,MVT_EMPL,$F27)+$G27)</f>
        <v/>
      </c>
      <c r="S27" s="27" t="str">
        <f aca="false">IF($A27="","",SUMIFS(RES_QTEVAL,RES_IDST,$A27))</f>
        <v/>
      </c>
      <c r="T27" s="28" t="str">
        <f aca="false">IF($A27="","",COUNTIFS(RES_IDST,$A27))</f>
        <v/>
      </c>
      <c r="U27" s="27" t="str">
        <f aca="false">IF(OR($A27="",$T27=0),"",$G27-$S27)</f>
        <v/>
      </c>
      <c r="V27" s="30" t="str">
        <f aca="false">IF(OR($A27="",$T27=0,NOT(ISNUMBER($G27)),$G27&lt;=0),"",$S27/$G27)</f>
        <v/>
      </c>
      <c r="W27" s="26" t="str">
        <f aca="false">IF($D27="","",IF($Q27=0,"DONNEES MANQUANTES",IF($D27="STOCK EXISTANT",IF($R27&lt;=0,"EMPLACEMENT INCOHERENT",IF($G27&gt;$R27+0.001,"STOCK INSUFFISANT",IF($T27=0,"EN COURS",IF($S27&gt;$G27+0.001,"BLOQUE",IF(AND($U27&gt;P_TOL,$L27=""),"A JUSTIFIER","OK"))))),IF($T27=0,"EN COURS",IF($S27&gt;$G27+0.001,"BLOQUE",IF(AND($U27&gt;P_TOL,$L27=""),"A JUSTIFIER","OK"))))))</f>
        <v/>
      </c>
      <c r="X27" s="28" t="n">
        <f aca="false">IF(OR($W27="",$W27="DONNEES MANQUANTES",$W27="EMPLACEMENT INCOHERENT",$W27="STOCK INSUFFISANT"),0,1)</f>
        <v>0</v>
      </c>
      <c r="Y27" s="26" t="str">
        <f aca="false">IF($D27="","",IF($Q27=0,"A COMPLETER : "&amp;IF($B27="","DATE ENVOI; ","")&amp;IF($C27="","SOUS-TRAITANT; ","")&amp;IF($E27="","LOT SOURCE; ","")&amp;IF(OR(NOT(ISNUMBER($G27)),$G27&lt;=0),"QTE ENVOYEE &gt; 0; ","")&amp;IF(AND($D27="STOCK EXISTANT",$F27=""),"EMPL. SOURCE; ",""),IF($W27="EMPLACEMENT INCOHERENT","Le lot "&amp;$E27&amp;" n'existe pas sur "&amp;$F27&amp;" (stock 0).",IF($W27="STOCK INSUFFISANT","Disponible avant envoi : "&amp;TEXT($R27,"#,##0.00")&amp;" kg. Ligne NON comptee en stock.",IF($W27="BLOQUE","Total des sorties ("&amp;TEXT($S27,"#,##0.00")&amp;" kg) superieur a la quantite envoyee.",IF($W27="EN COURS","Envoi enregistre, resultats non connus. A completer dans ST_RESULTATS.",IF($W27="A JUSTIFIER","Ecart de "&amp;TEXT($U27,"#,##0.00")&amp;" kg : renseigner JUSTIFICATION ECART (colonne L).",IF($O27="LOT NON REFERENCE","Creer d'abord la fiche du lot dans l'onglet LOTS.",""))))))))</f>
        <v/>
      </c>
      <c r="Z27" s="27" t="n">
        <f aca="false">IF(OR($X27=0,$T27&gt;0),0,$G27)</f>
        <v>0</v>
      </c>
      <c r="AA27" s="26" t="n">
        <f aca="false">IF($Q27=0,0,IF(OR($E27=R_LOT,COUNTIFS(RES_IDST,$A27,RES_LOTEFF,R_LOT)&gt;0),1,0))</f>
        <v>0</v>
      </c>
      <c r="AB27" s="26" t="str">
        <f aca="false">IF($AA27=0,"",COUNTIF($AA$5:$AA27,1))</f>
        <v/>
      </c>
    </row>
    <row r="28" customFormat="false" ht="15" hidden="false" customHeight="false" outlineLevel="0" collapsed="false">
      <c r="A28" s="26" t="str">
        <f aca="false">IF($D28="","","ST-"&amp;TEXT(ROW()-4,"000"))</f>
        <v/>
      </c>
      <c r="B28" s="25"/>
      <c r="C28" s="24"/>
      <c r="D28" s="24"/>
      <c r="E28" s="24"/>
      <c r="F28" s="24"/>
      <c r="G28" s="29"/>
      <c r="H28" s="24"/>
      <c r="I28" s="24"/>
      <c r="J28" s="24"/>
      <c r="K28" s="25"/>
      <c r="L28" s="24"/>
      <c r="M28" s="24"/>
      <c r="N28" s="24"/>
      <c r="O28" s="26" t="str">
        <f aca="false">IF($E28="","",IFERROR(INDEX(LOT_PRODE,MATCH($E28,LOT_KEY,0)),"LOT NON REFERENCE"))</f>
        <v/>
      </c>
      <c r="P28" s="26" t="str">
        <f aca="false">IF($E28="","",IFERROR(INDEX(LOT_FOURNE,MATCH($E28,LOT_KEY,0)),""))</f>
        <v/>
      </c>
      <c r="Q28" s="28" t="n">
        <f aca="false">IF($D28="",0,IF(OR($B28="",$C28="",$E28="",NOT(ISNUMBER($G28)),$G28&lt;=0),0,IF($D28="STOCK EXISTANT",IF($F28="",0,1),1)))</f>
        <v>0</v>
      </c>
      <c r="R28" s="27" t="str">
        <f aca="false">IF(OR($Q28=0,$D28&lt;&gt;"STOCK EXISTANT"),"",SUMIFS(MVT_BRUT,MVT_LOT,$E28,MVT_EMPL,$F28)+$G28)</f>
        <v/>
      </c>
      <c r="S28" s="27" t="str">
        <f aca="false">IF($A28="","",SUMIFS(RES_QTEVAL,RES_IDST,$A28))</f>
        <v/>
      </c>
      <c r="T28" s="28" t="str">
        <f aca="false">IF($A28="","",COUNTIFS(RES_IDST,$A28))</f>
        <v/>
      </c>
      <c r="U28" s="27" t="str">
        <f aca="false">IF(OR($A28="",$T28=0),"",$G28-$S28)</f>
        <v/>
      </c>
      <c r="V28" s="30" t="str">
        <f aca="false">IF(OR($A28="",$T28=0,NOT(ISNUMBER($G28)),$G28&lt;=0),"",$S28/$G28)</f>
        <v/>
      </c>
      <c r="W28" s="26" t="str">
        <f aca="false">IF($D28="","",IF($Q28=0,"DONNEES MANQUANTES",IF($D28="STOCK EXISTANT",IF($R28&lt;=0,"EMPLACEMENT INCOHERENT",IF($G28&gt;$R28+0.001,"STOCK INSUFFISANT",IF($T28=0,"EN COURS",IF($S28&gt;$G28+0.001,"BLOQUE",IF(AND($U28&gt;P_TOL,$L28=""),"A JUSTIFIER","OK"))))),IF($T28=0,"EN COURS",IF($S28&gt;$G28+0.001,"BLOQUE",IF(AND($U28&gt;P_TOL,$L28=""),"A JUSTIFIER","OK"))))))</f>
        <v/>
      </c>
      <c r="X28" s="28" t="n">
        <f aca="false">IF(OR($W28="",$W28="DONNEES MANQUANTES",$W28="EMPLACEMENT INCOHERENT",$W28="STOCK INSUFFISANT"),0,1)</f>
        <v>0</v>
      </c>
      <c r="Y28" s="26" t="str">
        <f aca="false">IF($D28="","",IF($Q28=0,"A COMPLETER : "&amp;IF($B28="","DATE ENVOI; ","")&amp;IF($C28="","SOUS-TRAITANT; ","")&amp;IF($E28="","LOT SOURCE; ","")&amp;IF(OR(NOT(ISNUMBER($G28)),$G28&lt;=0),"QTE ENVOYEE &gt; 0; ","")&amp;IF(AND($D28="STOCK EXISTANT",$F28=""),"EMPL. SOURCE; ",""),IF($W28="EMPLACEMENT INCOHERENT","Le lot "&amp;$E28&amp;" n'existe pas sur "&amp;$F28&amp;" (stock 0).",IF($W28="STOCK INSUFFISANT","Disponible avant envoi : "&amp;TEXT($R28,"#,##0.00")&amp;" kg. Ligne NON comptee en stock.",IF($W28="BLOQUE","Total des sorties ("&amp;TEXT($S28,"#,##0.00")&amp;" kg) superieur a la quantite envoyee.",IF($W28="EN COURS","Envoi enregistre, resultats non connus. A completer dans ST_RESULTATS.",IF($W28="A JUSTIFIER","Ecart de "&amp;TEXT($U28,"#,##0.00")&amp;" kg : renseigner JUSTIFICATION ECART (colonne L).",IF($O28="LOT NON REFERENCE","Creer d'abord la fiche du lot dans l'onglet LOTS.",""))))))))</f>
        <v/>
      </c>
      <c r="Z28" s="27" t="n">
        <f aca="false">IF(OR($X28=0,$T28&gt;0),0,$G28)</f>
        <v>0</v>
      </c>
      <c r="AA28" s="26" t="n">
        <f aca="false">IF($Q28=0,0,IF(OR($E28=R_LOT,COUNTIFS(RES_IDST,$A28,RES_LOTEFF,R_LOT)&gt;0),1,0))</f>
        <v>0</v>
      </c>
      <c r="AB28" s="26" t="str">
        <f aca="false">IF($AA28=0,"",COUNTIF($AA$5:$AA28,1))</f>
        <v/>
      </c>
    </row>
    <row r="29" customFormat="false" ht="15" hidden="false" customHeight="false" outlineLevel="0" collapsed="false">
      <c r="A29" s="26" t="str">
        <f aca="false">IF($D29="","","ST-"&amp;TEXT(ROW()-4,"000"))</f>
        <v/>
      </c>
      <c r="B29" s="25"/>
      <c r="C29" s="24"/>
      <c r="D29" s="24"/>
      <c r="E29" s="24"/>
      <c r="F29" s="24"/>
      <c r="G29" s="29"/>
      <c r="H29" s="24"/>
      <c r="I29" s="24"/>
      <c r="J29" s="24"/>
      <c r="K29" s="25"/>
      <c r="L29" s="24"/>
      <c r="M29" s="24"/>
      <c r="N29" s="24"/>
      <c r="O29" s="26" t="str">
        <f aca="false">IF($E29="","",IFERROR(INDEX(LOT_PRODE,MATCH($E29,LOT_KEY,0)),"LOT NON REFERENCE"))</f>
        <v/>
      </c>
      <c r="P29" s="26" t="str">
        <f aca="false">IF($E29="","",IFERROR(INDEX(LOT_FOURNE,MATCH($E29,LOT_KEY,0)),""))</f>
        <v/>
      </c>
      <c r="Q29" s="28" t="n">
        <f aca="false">IF($D29="",0,IF(OR($B29="",$C29="",$E29="",NOT(ISNUMBER($G29)),$G29&lt;=0),0,IF($D29="STOCK EXISTANT",IF($F29="",0,1),1)))</f>
        <v>0</v>
      </c>
      <c r="R29" s="27" t="str">
        <f aca="false">IF(OR($Q29=0,$D29&lt;&gt;"STOCK EXISTANT"),"",SUMIFS(MVT_BRUT,MVT_LOT,$E29,MVT_EMPL,$F29)+$G29)</f>
        <v/>
      </c>
      <c r="S29" s="27" t="str">
        <f aca="false">IF($A29="","",SUMIFS(RES_QTEVAL,RES_IDST,$A29))</f>
        <v/>
      </c>
      <c r="T29" s="28" t="str">
        <f aca="false">IF($A29="","",COUNTIFS(RES_IDST,$A29))</f>
        <v/>
      </c>
      <c r="U29" s="27" t="str">
        <f aca="false">IF(OR($A29="",$T29=0),"",$G29-$S29)</f>
        <v/>
      </c>
      <c r="V29" s="30" t="str">
        <f aca="false">IF(OR($A29="",$T29=0,NOT(ISNUMBER($G29)),$G29&lt;=0),"",$S29/$G29)</f>
        <v/>
      </c>
      <c r="W29" s="26" t="str">
        <f aca="false">IF($D29="","",IF($Q29=0,"DONNEES MANQUANTES",IF($D29="STOCK EXISTANT",IF($R29&lt;=0,"EMPLACEMENT INCOHERENT",IF($G29&gt;$R29+0.001,"STOCK INSUFFISANT",IF($T29=0,"EN COURS",IF($S29&gt;$G29+0.001,"BLOQUE",IF(AND($U29&gt;P_TOL,$L29=""),"A JUSTIFIER","OK"))))),IF($T29=0,"EN COURS",IF($S29&gt;$G29+0.001,"BLOQUE",IF(AND($U29&gt;P_TOL,$L29=""),"A JUSTIFIER","OK"))))))</f>
        <v/>
      </c>
      <c r="X29" s="28" t="n">
        <f aca="false">IF(OR($W29="",$W29="DONNEES MANQUANTES",$W29="EMPLACEMENT INCOHERENT",$W29="STOCK INSUFFISANT"),0,1)</f>
        <v>0</v>
      </c>
      <c r="Y29" s="26" t="str">
        <f aca="false">IF($D29="","",IF($Q29=0,"A COMPLETER : "&amp;IF($B29="","DATE ENVOI; ","")&amp;IF($C29="","SOUS-TRAITANT; ","")&amp;IF($E29="","LOT SOURCE; ","")&amp;IF(OR(NOT(ISNUMBER($G29)),$G29&lt;=0),"QTE ENVOYEE &gt; 0; ","")&amp;IF(AND($D29="STOCK EXISTANT",$F29=""),"EMPL. SOURCE; ",""),IF($W29="EMPLACEMENT INCOHERENT","Le lot "&amp;$E29&amp;" n'existe pas sur "&amp;$F29&amp;" (stock 0).",IF($W29="STOCK INSUFFISANT","Disponible avant envoi : "&amp;TEXT($R29,"#,##0.00")&amp;" kg. Ligne NON comptee en stock.",IF($W29="BLOQUE","Total des sorties ("&amp;TEXT($S29,"#,##0.00")&amp;" kg) superieur a la quantite envoyee.",IF($W29="EN COURS","Envoi enregistre, resultats non connus. A completer dans ST_RESULTATS.",IF($W29="A JUSTIFIER","Ecart de "&amp;TEXT($U29,"#,##0.00")&amp;" kg : renseigner JUSTIFICATION ECART (colonne L).",IF($O29="LOT NON REFERENCE","Creer d'abord la fiche du lot dans l'onglet LOTS.",""))))))))</f>
        <v/>
      </c>
      <c r="Z29" s="27" t="n">
        <f aca="false">IF(OR($X29=0,$T29&gt;0),0,$G29)</f>
        <v>0</v>
      </c>
      <c r="AA29" s="26" t="n">
        <f aca="false">IF($Q29=0,0,IF(OR($E29=R_LOT,COUNTIFS(RES_IDST,$A29,RES_LOTEFF,R_LOT)&gt;0),1,0))</f>
        <v>0</v>
      </c>
      <c r="AB29" s="26" t="str">
        <f aca="false">IF($AA29=0,"",COUNTIF($AA$5:$AA29,1))</f>
        <v/>
      </c>
    </row>
    <row r="30" customFormat="false" ht="15" hidden="false" customHeight="false" outlineLevel="0" collapsed="false">
      <c r="A30" s="26" t="str">
        <f aca="false">IF($D30="","","ST-"&amp;TEXT(ROW()-4,"000"))</f>
        <v/>
      </c>
      <c r="B30" s="25"/>
      <c r="C30" s="24"/>
      <c r="D30" s="24"/>
      <c r="E30" s="24"/>
      <c r="F30" s="24"/>
      <c r="G30" s="29"/>
      <c r="H30" s="24"/>
      <c r="I30" s="24"/>
      <c r="J30" s="24"/>
      <c r="K30" s="25"/>
      <c r="L30" s="24"/>
      <c r="M30" s="24"/>
      <c r="N30" s="24"/>
      <c r="O30" s="26" t="str">
        <f aca="false">IF($E30="","",IFERROR(INDEX(LOT_PRODE,MATCH($E30,LOT_KEY,0)),"LOT NON REFERENCE"))</f>
        <v/>
      </c>
      <c r="P30" s="26" t="str">
        <f aca="false">IF($E30="","",IFERROR(INDEX(LOT_FOURNE,MATCH($E30,LOT_KEY,0)),""))</f>
        <v/>
      </c>
      <c r="Q30" s="28" t="n">
        <f aca="false">IF($D30="",0,IF(OR($B30="",$C30="",$E30="",NOT(ISNUMBER($G30)),$G30&lt;=0),0,IF($D30="STOCK EXISTANT",IF($F30="",0,1),1)))</f>
        <v>0</v>
      </c>
      <c r="R30" s="27" t="str">
        <f aca="false">IF(OR($Q30=0,$D30&lt;&gt;"STOCK EXISTANT"),"",SUMIFS(MVT_BRUT,MVT_LOT,$E30,MVT_EMPL,$F30)+$G30)</f>
        <v/>
      </c>
      <c r="S30" s="27" t="str">
        <f aca="false">IF($A30="","",SUMIFS(RES_QTEVAL,RES_IDST,$A30))</f>
        <v/>
      </c>
      <c r="T30" s="28" t="str">
        <f aca="false">IF($A30="","",COUNTIFS(RES_IDST,$A30))</f>
        <v/>
      </c>
      <c r="U30" s="27" t="str">
        <f aca="false">IF(OR($A30="",$T30=0),"",$G30-$S30)</f>
        <v/>
      </c>
      <c r="V30" s="30" t="str">
        <f aca="false">IF(OR($A30="",$T30=0,NOT(ISNUMBER($G30)),$G30&lt;=0),"",$S30/$G30)</f>
        <v/>
      </c>
      <c r="W30" s="26" t="str">
        <f aca="false">IF($D30="","",IF($Q30=0,"DONNEES MANQUANTES",IF($D30="STOCK EXISTANT",IF($R30&lt;=0,"EMPLACEMENT INCOHERENT",IF($G30&gt;$R30+0.001,"STOCK INSUFFISANT",IF($T30=0,"EN COURS",IF($S30&gt;$G30+0.001,"BLOQUE",IF(AND($U30&gt;P_TOL,$L30=""),"A JUSTIFIER","OK"))))),IF($T30=0,"EN COURS",IF($S30&gt;$G30+0.001,"BLOQUE",IF(AND($U30&gt;P_TOL,$L30=""),"A JUSTIFIER","OK"))))))</f>
        <v/>
      </c>
      <c r="X30" s="28" t="n">
        <f aca="false">IF(OR($W30="",$W30="DONNEES MANQUANTES",$W30="EMPLACEMENT INCOHERENT",$W30="STOCK INSUFFISANT"),0,1)</f>
        <v>0</v>
      </c>
      <c r="Y30" s="26" t="str">
        <f aca="false">IF($D30="","",IF($Q30=0,"A COMPLETER : "&amp;IF($B30="","DATE ENVOI; ","")&amp;IF($C30="","SOUS-TRAITANT; ","")&amp;IF($E30="","LOT SOURCE; ","")&amp;IF(OR(NOT(ISNUMBER($G30)),$G30&lt;=0),"QTE ENVOYEE &gt; 0; ","")&amp;IF(AND($D30="STOCK EXISTANT",$F30=""),"EMPL. SOURCE; ",""),IF($W30="EMPLACEMENT INCOHERENT","Le lot "&amp;$E30&amp;" n'existe pas sur "&amp;$F30&amp;" (stock 0).",IF($W30="STOCK INSUFFISANT","Disponible avant envoi : "&amp;TEXT($R30,"#,##0.00")&amp;" kg. Ligne NON comptee en stock.",IF($W30="BLOQUE","Total des sorties ("&amp;TEXT($S30,"#,##0.00")&amp;" kg) superieur a la quantite envoyee.",IF($W30="EN COURS","Envoi enregistre, resultats non connus. A completer dans ST_RESULTATS.",IF($W30="A JUSTIFIER","Ecart de "&amp;TEXT($U30,"#,##0.00")&amp;" kg : renseigner JUSTIFICATION ECART (colonne L).",IF($O30="LOT NON REFERENCE","Creer d'abord la fiche du lot dans l'onglet LOTS.",""))))))))</f>
        <v/>
      </c>
      <c r="Z30" s="27" t="n">
        <f aca="false">IF(OR($X30=0,$T30&gt;0),0,$G30)</f>
        <v>0</v>
      </c>
      <c r="AA30" s="26" t="n">
        <f aca="false">IF($Q30=0,0,IF(OR($E30=R_LOT,COUNTIFS(RES_IDST,$A30,RES_LOTEFF,R_LOT)&gt;0),1,0))</f>
        <v>0</v>
      </c>
      <c r="AB30" s="26" t="str">
        <f aca="false">IF($AA30=0,"",COUNTIF($AA$5:$AA30,1))</f>
        <v/>
      </c>
    </row>
    <row r="31" customFormat="false" ht="15" hidden="false" customHeight="false" outlineLevel="0" collapsed="false">
      <c r="A31" s="26" t="str">
        <f aca="false">IF($D31="","","ST-"&amp;TEXT(ROW()-4,"000"))</f>
        <v/>
      </c>
      <c r="B31" s="25"/>
      <c r="C31" s="24"/>
      <c r="D31" s="24"/>
      <c r="E31" s="24"/>
      <c r="F31" s="24"/>
      <c r="G31" s="29"/>
      <c r="H31" s="24"/>
      <c r="I31" s="24"/>
      <c r="J31" s="24"/>
      <c r="K31" s="25"/>
      <c r="L31" s="24"/>
      <c r="M31" s="24"/>
      <c r="N31" s="24"/>
      <c r="O31" s="26" t="str">
        <f aca="false">IF($E31="","",IFERROR(INDEX(LOT_PRODE,MATCH($E31,LOT_KEY,0)),"LOT NON REFERENCE"))</f>
        <v/>
      </c>
      <c r="P31" s="26" t="str">
        <f aca="false">IF($E31="","",IFERROR(INDEX(LOT_FOURNE,MATCH($E31,LOT_KEY,0)),""))</f>
        <v/>
      </c>
      <c r="Q31" s="28" t="n">
        <f aca="false">IF($D31="",0,IF(OR($B31="",$C31="",$E31="",NOT(ISNUMBER($G31)),$G31&lt;=0),0,IF($D31="STOCK EXISTANT",IF($F31="",0,1),1)))</f>
        <v>0</v>
      </c>
      <c r="R31" s="27" t="str">
        <f aca="false">IF(OR($Q31=0,$D31&lt;&gt;"STOCK EXISTANT"),"",SUMIFS(MVT_BRUT,MVT_LOT,$E31,MVT_EMPL,$F31)+$G31)</f>
        <v/>
      </c>
      <c r="S31" s="27" t="str">
        <f aca="false">IF($A31="","",SUMIFS(RES_QTEVAL,RES_IDST,$A31))</f>
        <v/>
      </c>
      <c r="T31" s="28" t="str">
        <f aca="false">IF($A31="","",COUNTIFS(RES_IDST,$A31))</f>
        <v/>
      </c>
      <c r="U31" s="27" t="str">
        <f aca="false">IF(OR($A31="",$T31=0),"",$G31-$S31)</f>
        <v/>
      </c>
      <c r="V31" s="30" t="str">
        <f aca="false">IF(OR($A31="",$T31=0,NOT(ISNUMBER($G31)),$G31&lt;=0),"",$S31/$G31)</f>
        <v/>
      </c>
      <c r="W31" s="26" t="str">
        <f aca="false">IF($D31="","",IF($Q31=0,"DONNEES MANQUANTES",IF($D31="STOCK EXISTANT",IF($R31&lt;=0,"EMPLACEMENT INCOHERENT",IF($G31&gt;$R31+0.001,"STOCK INSUFFISANT",IF($T31=0,"EN COURS",IF($S31&gt;$G31+0.001,"BLOQUE",IF(AND($U31&gt;P_TOL,$L31=""),"A JUSTIFIER","OK"))))),IF($T31=0,"EN COURS",IF($S31&gt;$G31+0.001,"BLOQUE",IF(AND($U31&gt;P_TOL,$L31=""),"A JUSTIFIER","OK"))))))</f>
        <v/>
      </c>
      <c r="X31" s="28" t="n">
        <f aca="false">IF(OR($W31="",$W31="DONNEES MANQUANTES",$W31="EMPLACEMENT INCOHERENT",$W31="STOCK INSUFFISANT"),0,1)</f>
        <v>0</v>
      </c>
      <c r="Y31" s="26" t="str">
        <f aca="false">IF($D31="","",IF($Q31=0,"A COMPLETER : "&amp;IF($B31="","DATE ENVOI; ","")&amp;IF($C31="","SOUS-TRAITANT; ","")&amp;IF($E31="","LOT SOURCE; ","")&amp;IF(OR(NOT(ISNUMBER($G31)),$G31&lt;=0),"QTE ENVOYEE &gt; 0; ","")&amp;IF(AND($D31="STOCK EXISTANT",$F31=""),"EMPL. SOURCE; ",""),IF($W31="EMPLACEMENT INCOHERENT","Le lot "&amp;$E31&amp;" n'existe pas sur "&amp;$F31&amp;" (stock 0).",IF($W31="STOCK INSUFFISANT","Disponible avant envoi : "&amp;TEXT($R31,"#,##0.00")&amp;" kg. Ligne NON comptee en stock.",IF($W31="BLOQUE","Total des sorties ("&amp;TEXT($S31,"#,##0.00")&amp;" kg) superieur a la quantite envoyee.",IF($W31="EN COURS","Envoi enregistre, resultats non connus. A completer dans ST_RESULTATS.",IF($W31="A JUSTIFIER","Ecart de "&amp;TEXT($U31,"#,##0.00")&amp;" kg : renseigner JUSTIFICATION ECART (colonne L).",IF($O31="LOT NON REFERENCE","Creer d'abord la fiche du lot dans l'onglet LOTS.",""))))))))</f>
        <v/>
      </c>
      <c r="Z31" s="27" t="n">
        <f aca="false">IF(OR($X31=0,$T31&gt;0),0,$G31)</f>
        <v>0</v>
      </c>
      <c r="AA31" s="26" t="n">
        <f aca="false">IF($Q31=0,0,IF(OR($E31=R_LOT,COUNTIFS(RES_IDST,$A31,RES_LOTEFF,R_LOT)&gt;0),1,0))</f>
        <v>0</v>
      </c>
      <c r="AB31" s="26" t="str">
        <f aca="false">IF($AA31=0,"",COUNTIF($AA$5:$AA31,1))</f>
        <v/>
      </c>
    </row>
    <row r="32" customFormat="false" ht="15" hidden="false" customHeight="false" outlineLevel="0" collapsed="false">
      <c r="A32" s="26" t="str">
        <f aca="false">IF($D32="","","ST-"&amp;TEXT(ROW()-4,"000"))</f>
        <v/>
      </c>
      <c r="B32" s="25"/>
      <c r="C32" s="24"/>
      <c r="D32" s="24"/>
      <c r="E32" s="24"/>
      <c r="F32" s="24"/>
      <c r="G32" s="29"/>
      <c r="H32" s="24"/>
      <c r="I32" s="24"/>
      <c r="J32" s="24"/>
      <c r="K32" s="25"/>
      <c r="L32" s="24"/>
      <c r="M32" s="24"/>
      <c r="N32" s="24"/>
      <c r="O32" s="26" t="str">
        <f aca="false">IF($E32="","",IFERROR(INDEX(LOT_PRODE,MATCH($E32,LOT_KEY,0)),"LOT NON REFERENCE"))</f>
        <v/>
      </c>
      <c r="P32" s="26" t="str">
        <f aca="false">IF($E32="","",IFERROR(INDEX(LOT_FOURNE,MATCH($E32,LOT_KEY,0)),""))</f>
        <v/>
      </c>
      <c r="Q32" s="28" t="n">
        <f aca="false">IF($D32="",0,IF(OR($B32="",$C32="",$E32="",NOT(ISNUMBER($G32)),$G32&lt;=0),0,IF($D32="STOCK EXISTANT",IF($F32="",0,1),1)))</f>
        <v>0</v>
      </c>
      <c r="R32" s="27" t="str">
        <f aca="false">IF(OR($Q32=0,$D32&lt;&gt;"STOCK EXISTANT"),"",SUMIFS(MVT_BRUT,MVT_LOT,$E32,MVT_EMPL,$F32)+$G32)</f>
        <v/>
      </c>
      <c r="S32" s="27" t="str">
        <f aca="false">IF($A32="","",SUMIFS(RES_QTEVAL,RES_IDST,$A32))</f>
        <v/>
      </c>
      <c r="T32" s="28" t="str">
        <f aca="false">IF($A32="","",COUNTIFS(RES_IDST,$A32))</f>
        <v/>
      </c>
      <c r="U32" s="27" t="str">
        <f aca="false">IF(OR($A32="",$T32=0),"",$G32-$S32)</f>
        <v/>
      </c>
      <c r="V32" s="30" t="str">
        <f aca="false">IF(OR($A32="",$T32=0,NOT(ISNUMBER($G32)),$G32&lt;=0),"",$S32/$G32)</f>
        <v/>
      </c>
      <c r="W32" s="26" t="str">
        <f aca="false">IF($D32="","",IF($Q32=0,"DONNEES MANQUANTES",IF($D32="STOCK EXISTANT",IF($R32&lt;=0,"EMPLACEMENT INCOHERENT",IF($G32&gt;$R32+0.001,"STOCK INSUFFISANT",IF($T32=0,"EN COURS",IF($S32&gt;$G32+0.001,"BLOQUE",IF(AND($U32&gt;P_TOL,$L32=""),"A JUSTIFIER","OK"))))),IF($T32=0,"EN COURS",IF($S32&gt;$G32+0.001,"BLOQUE",IF(AND($U32&gt;P_TOL,$L32=""),"A JUSTIFIER","OK"))))))</f>
        <v/>
      </c>
      <c r="X32" s="28" t="n">
        <f aca="false">IF(OR($W32="",$W32="DONNEES MANQUANTES",$W32="EMPLACEMENT INCOHERENT",$W32="STOCK INSUFFISANT"),0,1)</f>
        <v>0</v>
      </c>
      <c r="Y32" s="26" t="str">
        <f aca="false">IF($D32="","",IF($Q32=0,"A COMPLETER : "&amp;IF($B32="","DATE ENVOI; ","")&amp;IF($C32="","SOUS-TRAITANT; ","")&amp;IF($E32="","LOT SOURCE; ","")&amp;IF(OR(NOT(ISNUMBER($G32)),$G32&lt;=0),"QTE ENVOYEE &gt; 0; ","")&amp;IF(AND($D32="STOCK EXISTANT",$F32=""),"EMPL. SOURCE; ",""),IF($W32="EMPLACEMENT INCOHERENT","Le lot "&amp;$E32&amp;" n'existe pas sur "&amp;$F32&amp;" (stock 0).",IF($W32="STOCK INSUFFISANT","Disponible avant envoi : "&amp;TEXT($R32,"#,##0.00")&amp;" kg. Ligne NON comptee en stock.",IF($W32="BLOQUE","Total des sorties ("&amp;TEXT($S32,"#,##0.00")&amp;" kg) superieur a la quantite envoyee.",IF($W32="EN COURS","Envoi enregistre, resultats non connus. A completer dans ST_RESULTATS.",IF($W32="A JUSTIFIER","Ecart de "&amp;TEXT($U32,"#,##0.00")&amp;" kg : renseigner JUSTIFICATION ECART (colonne L).",IF($O32="LOT NON REFERENCE","Creer d'abord la fiche du lot dans l'onglet LOTS.",""))))))))</f>
        <v/>
      </c>
      <c r="Z32" s="27" t="n">
        <f aca="false">IF(OR($X32=0,$T32&gt;0),0,$G32)</f>
        <v>0</v>
      </c>
      <c r="AA32" s="26" t="n">
        <f aca="false">IF($Q32=0,0,IF(OR($E32=R_LOT,COUNTIFS(RES_IDST,$A32,RES_LOTEFF,R_LOT)&gt;0),1,0))</f>
        <v>0</v>
      </c>
      <c r="AB32" s="26" t="str">
        <f aca="false">IF($AA32=0,"",COUNTIF($AA$5:$AA32,1))</f>
        <v/>
      </c>
    </row>
    <row r="33" customFormat="false" ht="15" hidden="false" customHeight="false" outlineLevel="0" collapsed="false">
      <c r="A33" s="26" t="str">
        <f aca="false">IF($D33="","","ST-"&amp;TEXT(ROW()-4,"000"))</f>
        <v/>
      </c>
      <c r="B33" s="25"/>
      <c r="C33" s="24"/>
      <c r="D33" s="24"/>
      <c r="E33" s="24"/>
      <c r="F33" s="24"/>
      <c r="G33" s="29"/>
      <c r="H33" s="24"/>
      <c r="I33" s="24"/>
      <c r="J33" s="24"/>
      <c r="K33" s="25"/>
      <c r="L33" s="24"/>
      <c r="M33" s="24"/>
      <c r="N33" s="24"/>
      <c r="O33" s="26" t="str">
        <f aca="false">IF($E33="","",IFERROR(INDEX(LOT_PRODE,MATCH($E33,LOT_KEY,0)),"LOT NON REFERENCE"))</f>
        <v/>
      </c>
      <c r="P33" s="26" t="str">
        <f aca="false">IF($E33="","",IFERROR(INDEX(LOT_FOURNE,MATCH($E33,LOT_KEY,0)),""))</f>
        <v/>
      </c>
      <c r="Q33" s="28" t="n">
        <f aca="false">IF($D33="",0,IF(OR($B33="",$C33="",$E33="",NOT(ISNUMBER($G33)),$G33&lt;=0),0,IF($D33="STOCK EXISTANT",IF($F33="",0,1),1)))</f>
        <v>0</v>
      </c>
      <c r="R33" s="27" t="str">
        <f aca="false">IF(OR($Q33=0,$D33&lt;&gt;"STOCK EXISTANT"),"",SUMIFS(MVT_BRUT,MVT_LOT,$E33,MVT_EMPL,$F33)+$G33)</f>
        <v/>
      </c>
      <c r="S33" s="27" t="str">
        <f aca="false">IF($A33="","",SUMIFS(RES_QTEVAL,RES_IDST,$A33))</f>
        <v/>
      </c>
      <c r="T33" s="28" t="str">
        <f aca="false">IF($A33="","",COUNTIFS(RES_IDST,$A33))</f>
        <v/>
      </c>
      <c r="U33" s="27" t="str">
        <f aca="false">IF(OR($A33="",$T33=0),"",$G33-$S33)</f>
        <v/>
      </c>
      <c r="V33" s="30" t="str">
        <f aca="false">IF(OR($A33="",$T33=0,NOT(ISNUMBER($G33)),$G33&lt;=0),"",$S33/$G33)</f>
        <v/>
      </c>
      <c r="W33" s="26" t="str">
        <f aca="false">IF($D33="","",IF($Q33=0,"DONNEES MANQUANTES",IF($D33="STOCK EXISTANT",IF($R33&lt;=0,"EMPLACEMENT INCOHERENT",IF($G33&gt;$R33+0.001,"STOCK INSUFFISANT",IF($T33=0,"EN COURS",IF($S33&gt;$G33+0.001,"BLOQUE",IF(AND($U33&gt;P_TOL,$L33=""),"A JUSTIFIER","OK"))))),IF($T33=0,"EN COURS",IF($S33&gt;$G33+0.001,"BLOQUE",IF(AND($U33&gt;P_TOL,$L33=""),"A JUSTIFIER","OK"))))))</f>
        <v/>
      </c>
      <c r="X33" s="28" t="n">
        <f aca="false">IF(OR($W33="",$W33="DONNEES MANQUANTES",$W33="EMPLACEMENT INCOHERENT",$W33="STOCK INSUFFISANT"),0,1)</f>
        <v>0</v>
      </c>
      <c r="Y33" s="26" t="str">
        <f aca="false">IF($D33="","",IF($Q33=0,"A COMPLETER : "&amp;IF($B33="","DATE ENVOI; ","")&amp;IF($C33="","SOUS-TRAITANT; ","")&amp;IF($E33="","LOT SOURCE; ","")&amp;IF(OR(NOT(ISNUMBER($G33)),$G33&lt;=0),"QTE ENVOYEE &gt; 0; ","")&amp;IF(AND($D33="STOCK EXISTANT",$F33=""),"EMPL. SOURCE; ",""),IF($W33="EMPLACEMENT INCOHERENT","Le lot "&amp;$E33&amp;" n'existe pas sur "&amp;$F33&amp;" (stock 0).",IF($W33="STOCK INSUFFISANT","Disponible avant envoi : "&amp;TEXT($R33,"#,##0.00")&amp;" kg. Ligne NON comptee en stock.",IF($W33="BLOQUE","Total des sorties ("&amp;TEXT($S33,"#,##0.00")&amp;" kg) superieur a la quantite envoyee.",IF($W33="EN COURS","Envoi enregistre, resultats non connus. A completer dans ST_RESULTATS.",IF($W33="A JUSTIFIER","Ecart de "&amp;TEXT($U33,"#,##0.00")&amp;" kg : renseigner JUSTIFICATION ECART (colonne L).",IF($O33="LOT NON REFERENCE","Creer d'abord la fiche du lot dans l'onglet LOTS.",""))))))))</f>
        <v/>
      </c>
      <c r="Z33" s="27" t="n">
        <f aca="false">IF(OR($X33=0,$T33&gt;0),0,$G33)</f>
        <v>0</v>
      </c>
      <c r="AA33" s="26" t="n">
        <f aca="false">IF($Q33=0,0,IF(OR($E33=R_LOT,COUNTIFS(RES_IDST,$A33,RES_LOTEFF,R_LOT)&gt;0),1,0))</f>
        <v>0</v>
      </c>
      <c r="AB33" s="26" t="str">
        <f aca="false">IF($AA33=0,"",COUNTIF($AA$5:$AA33,1))</f>
        <v/>
      </c>
    </row>
    <row r="34" customFormat="false" ht="15" hidden="false" customHeight="false" outlineLevel="0" collapsed="false">
      <c r="A34" s="26" t="str">
        <f aca="false">IF($D34="","","ST-"&amp;TEXT(ROW()-4,"000"))</f>
        <v/>
      </c>
      <c r="B34" s="25"/>
      <c r="C34" s="24"/>
      <c r="D34" s="24"/>
      <c r="E34" s="24"/>
      <c r="F34" s="24"/>
      <c r="G34" s="29"/>
      <c r="H34" s="24"/>
      <c r="I34" s="24"/>
      <c r="J34" s="24"/>
      <c r="K34" s="25"/>
      <c r="L34" s="24"/>
      <c r="M34" s="24"/>
      <c r="N34" s="24"/>
      <c r="O34" s="26" t="str">
        <f aca="false">IF($E34="","",IFERROR(INDEX(LOT_PRODE,MATCH($E34,LOT_KEY,0)),"LOT NON REFERENCE"))</f>
        <v/>
      </c>
      <c r="P34" s="26" t="str">
        <f aca="false">IF($E34="","",IFERROR(INDEX(LOT_FOURNE,MATCH($E34,LOT_KEY,0)),""))</f>
        <v/>
      </c>
      <c r="Q34" s="28" t="n">
        <f aca="false">IF($D34="",0,IF(OR($B34="",$C34="",$E34="",NOT(ISNUMBER($G34)),$G34&lt;=0),0,IF($D34="STOCK EXISTANT",IF($F34="",0,1),1)))</f>
        <v>0</v>
      </c>
      <c r="R34" s="27" t="str">
        <f aca="false">IF(OR($Q34=0,$D34&lt;&gt;"STOCK EXISTANT"),"",SUMIFS(MVT_BRUT,MVT_LOT,$E34,MVT_EMPL,$F34)+$G34)</f>
        <v/>
      </c>
      <c r="S34" s="27" t="str">
        <f aca="false">IF($A34="","",SUMIFS(RES_QTEVAL,RES_IDST,$A34))</f>
        <v/>
      </c>
      <c r="T34" s="28" t="str">
        <f aca="false">IF($A34="","",COUNTIFS(RES_IDST,$A34))</f>
        <v/>
      </c>
      <c r="U34" s="27" t="str">
        <f aca="false">IF(OR($A34="",$T34=0),"",$G34-$S34)</f>
        <v/>
      </c>
      <c r="V34" s="30" t="str">
        <f aca="false">IF(OR($A34="",$T34=0,NOT(ISNUMBER($G34)),$G34&lt;=0),"",$S34/$G34)</f>
        <v/>
      </c>
      <c r="W34" s="26" t="str">
        <f aca="false">IF($D34="","",IF($Q34=0,"DONNEES MANQUANTES",IF($D34="STOCK EXISTANT",IF($R34&lt;=0,"EMPLACEMENT INCOHERENT",IF($G34&gt;$R34+0.001,"STOCK INSUFFISANT",IF($T34=0,"EN COURS",IF($S34&gt;$G34+0.001,"BLOQUE",IF(AND($U34&gt;P_TOL,$L34=""),"A JUSTIFIER","OK"))))),IF($T34=0,"EN COURS",IF($S34&gt;$G34+0.001,"BLOQUE",IF(AND($U34&gt;P_TOL,$L34=""),"A JUSTIFIER","OK"))))))</f>
        <v/>
      </c>
      <c r="X34" s="28" t="n">
        <f aca="false">IF(OR($W34="",$W34="DONNEES MANQUANTES",$W34="EMPLACEMENT INCOHERENT",$W34="STOCK INSUFFISANT"),0,1)</f>
        <v>0</v>
      </c>
      <c r="Y34" s="26" t="str">
        <f aca="false">IF($D34="","",IF($Q34=0,"A COMPLETER : "&amp;IF($B34="","DATE ENVOI; ","")&amp;IF($C34="","SOUS-TRAITANT; ","")&amp;IF($E34="","LOT SOURCE; ","")&amp;IF(OR(NOT(ISNUMBER($G34)),$G34&lt;=0),"QTE ENVOYEE &gt; 0; ","")&amp;IF(AND($D34="STOCK EXISTANT",$F34=""),"EMPL. SOURCE; ",""),IF($W34="EMPLACEMENT INCOHERENT","Le lot "&amp;$E34&amp;" n'existe pas sur "&amp;$F34&amp;" (stock 0).",IF($W34="STOCK INSUFFISANT","Disponible avant envoi : "&amp;TEXT($R34,"#,##0.00")&amp;" kg. Ligne NON comptee en stock.",IF($W34="BLOQUE","Total des sorties ("&amp;TEXT($S34,"#,##0.00")&amp;" kg) superieur a la quantite envoyee.",IF($W34="EN COURS","Envoi enregistre, resultats non connus. A completer dans ST_RESULTATS.",IF($W34="A JUSTIFIER","Ecart de "&amp;TEXT($U34,"#,##0.00")&amp;" kg : renseigner JUSTIFICATION ECART (colonne L).",IF($O34="LOT NON REFERENCE","Creer d'abord la fiche du lot dans l'onglet LOTS.",""))))))))</f>
        <v/>
      </c>
      <c r="Z34" s="27" t="n">
        <f aca="false">IF(OR($X34=0,$T34&gt;0),0,$G34)</f>
        <v>0</v>
      </c>
      <c r="AA34" s="26" t="n">
        <f aca="false">IF($Q34=0,0,IF(OR($E34=R_LOT,COUNTIFS(RES_IDST,$A34,RES_LOTEFF,R_LOT)&gt;0),1,0))</f>
        <v>0</v>
      </c>
      <c r="AB34" s="26" t="str">
        <f aca="false">IF($AA34=0,"",COUNTIF($AA$5:$AA34,1))</f>
        <v/>
      </c>
    </row>
    <row r="35" customFormat="false" ht="15" hidden="false" customHeight="false" outlineLevel="0" collapsed="false">
      <c r="A35" s="26" t="str">
        <f aca="false">IF($D35="","","ST-"&amp;TEXT(ROW()-4,"000"))</f>
        <v/>
      </c>
      <c r="B35" s="25"/>
      <c r="C35" s="24"/>
      <c r="D35" s="24"/>
      <c r="E35" s="24"/>
      <c r="F35" s="24"/>
      <c r="G35" s="29"/>
      <c r="H35" s="24"/>
      <c r="I35" s="24"/>
      <c r="J35" s="24"/>
      <c r="K35" s="25"/>
      <c r="L35" s="24"/>
      <c r="M35" s="24"/>
      <c r="N35" s="24"/>
      <c r="O35" s="26" t="str">
        <f aca="false">IF($E35="","",IFERROR(INDEX(LOT_PRODE,MATCH($E35,LOT_KEY,0)),"LOT NON REFERENCE"))</f>
        <v/>
      </c>
      <c r="P35" s="26" t="str">
        <f aca="false">IF($E35="","",IFERROR(INDEX(LOT_FOURNE,MATCH($E35,LOT_KEY,0)),""))</f>
        <v/>
      </c>
      <c r="Q35" s="28" t="n">
        <f aca="false">IF($D35="",0,IF(OR($B35="",$C35="",$E35="",NOT(ISNUMBER($G35)),$G35&lt;=0),0,IF($D35="STOCK EXISTANT",IF($F35="",0,1),1)))</f>
        <v>0</v>
      </c>
      <c r="R35" s="27" t="str">
        <f aca="false">IF(OR($Q35=0,$D35&lt;&gt;"STOCK EXISTANT"),"",SUMIFS(MVT_BRUT,MVT_LOT,$E35,MVT_EMPL,$F35)+$G35)</f>
        <v/>
      </c>
      <c r="S35" s="27" t="str">
        <f aca="false">IF($A35="","",SUMIFS(RES_QTEVAL,RES_IDST,$A35))</f>
        <v/>
      </c>
      <c r="T35" s="28" t="str">
        <f aca="false">IF($A35="","",COUNTIFS(RES_IDST,$A35))</f>
        <v/>
      </c>
      <c r="U35" s="27" t="str">
        <f aca="false">IF(OR($A35="",$T35=0),"",$G35-$S35)</f>
        <v/>
      </c>
      <c r="V35" s="30" t="str">
        <f aca="false">IF(OR($A35="",$T35=0,NOT(ISNUMBER($G35)),$G35&lt;=0),"",$S35/$G35)</f>
        <v/>
      </c>
      <c r="W35" s="26" t="str">
        <f aca="false">IF($D35="","",IF($Q35=0,"DONNEES MANQUANTES",IF($D35="STOCK EXISTANT",IF($R35&lt;=0,"EMPLACEMENT INCOHERENT",IF($G35&gt;$R35+0.001,"STOCK INSUFFISANT",IF($T35=0,"EN COURS",IF($S35&gt;$G35+0.001,"BLOQUE",IF(AND($U35&gt;P_TOL,$L35=""),"A JUSTIFIER","OK"))))),IF($T35=0,"EN COURS",IF($S35&gt;$G35+0.001,"BLOQUE",IF(AND($U35&gt;P_TOL,$L35=""),"A JUSTIFIER","OK"))))))</f>
        <v/>
      </c>
      <c r="X35" s="28" t="n">
        <f aca="false">IF(OR($W35="",$W35="DONNEES MANQUANTES",$W35="EMPLACEMENT INCOHERENT",$W35="STOCK INSUFFISANT"),0,1)</f>
        <v>0</v>
      </c>
      <c r="Y35" s="26" t="str">
        <f aca="false">IF($D35="","",IF($Q35=0,"A COMPLETER : "&amp;IF($B35="","DATE ENVOI; ","")&amp;IF($C35="","SOUS-TRAITANT; ","")&amp;IF($E35="","LOT SOURCE; ","")&amp;IF(OR(NOT(ISNUMBER($G35)),$G35&lt;=0),"QTE ENVOYEE &gt; 0; ","")&amp;IF(AND($D35="STOCK EXISTANT",$F35=""),"EMPL. SOURCE; ",""),IF($W35="EMPLACEMENT INCOHERENT","Le lot "&amp;$E35&amp;" n'existe pas sur "&amp;$F35&amp;" (stock 0).",IF($W35="STOCK INSUFFISANT","Disponible avant envoi : "&amp;TEXT($R35,"#,##0.00")&amp;" kg. Ligne NON comptee en stock.",IF($W35="BLOQUE","Total des sorties ("&amp;TEXT($S35,"#,##0.00")&amp;" kg) superieur a la quantite envoyee.",IF($W35="EN COURS","Envoi enregistre, resultats non connus. A completer dans ST_RESULTATS.",IF($W35="A JUSTIFIER","Ecart de "&amp;TEXT($U35,"#,##0.00")&amp;" kg : renseigner JUSTIFICATION ECART (colonne L).",IF($O35="LOT NON REFERENCE","Creer d'abord la fiche du lot dans l'onglet LOTS.",""))))))))</f>
        <v/>
      </c>
      <c r="Z35" s="27" t="n">
        <f aca="false">IF(OR($X35=0,$T35&gt;0),0,$G35)</f>
        <v>0</v>
      </c>
      <c r="AA35" s="26" t="n">
        <f aca="false">IF($Q35=0,0,IF(OR($E35=R_LOT,COUNTIFS(RES_IDST,$A35,RES_LOTEFF,R_LOT)&gt;0),1,0))</f>
        <v>0</v>
      </c>
      <c r="AB35" s="26" t="str">
        <f aca="false">IF($AA35=0,"",COUNTIF($AA$5:$AA35,1))</f>
        <v/>
      </c>
    </row>
    <row r="36" customFormat="false" ht="15" hidden="false" customHeight="false" outlineLevel="0" collapsed="false">
      <c r="A36" s="26" t="str">
        <f aca="false">IF($D36="","","ST-"&amp;TEXT(ROW()-4,"000"))</f>
        <v/>
      </c>
      <c r="B36" s="25"/>
      <c r="C36" s="24"/>
      <c r="D36" s="24"/>
      <c r="E36" s="24"/>
      <c r="F36" s="24"/>
      <c r="G36" s="29"/>
      <c r="H36" s="24"/>
      <c r="I36" s="24"/>
      <c r="J36" s="24"/>
      <c r="K36" s="25"/>
      <c r="L36" s="24"/>
      <c r="M36" s="24"/>
      <c r="N36" s="24"/>
      <c r="O36" s="26" t="str">
        <f aca="false">IF($E36="","",IFERROR(INDEX(LOT_PRODE,MATCH($E36,LOT_KEY,0)),"LOT NON REFERENCE"))</f>
        <v/>
      </c>
      <c r="P36" s="26" t="str">
        <f aca="false">IF($E36="","",IFERROR(INDEX(LOT_FOURNE,MATCH($E36,LOT_KEY,0)),""))</f>
        <v/>
      </c>
      <c r="Q36" s="28" t="n">
        <f aca="false">IF($D36="",0,IF(OR($B36="",$C36="",$E36="",NOT(ISNUMBER($G36)),$G36&lt;=0),0,IF($D36="STOCK EXISTANT",IF($F36="",0,1),1)))</f>
        <v>0</v>
      </c>
      <c r="R36" s="27" t="str">
        <f aca="false">IF(OR($Q36=0,$D36&lt;&gt;"STOCK EXISTANT"),"",SUMIFS(MVT_BRUT,MVT_LOT,$E36,MVT_EMPL,$F36)+$G36)</f>
        <v/>
      </c>
      <c r="S36" s="27" t="str">
        <f aca="false">IF($A36="","",SUMIFS(RES_QTEVAL,RES_IDST,$A36))</f>
        <v/>
      </c>
      <c r="T36" s="28" t="str">
        <f aca="false">IF($A36="","",COUNTIFS(RES_IDST,$A36))</f>
        <v/>
      </c>
      <c r="U36" s="27" t="str">
        <f aca="false">IF(OR($A36="",$T36=0),"",$G36-$S36)</f>
        <v/>
      </c>
      <c r="V36" s="30" t="str">
        <f aca="false">IF(OR($A36="",$T36=0,NOT(ISNUMBER($G36)),$G36&lt;=0),"",$S36/$G36)</f>
        <v/>
      </c>
      <c r="W36" s="26" t="str">
        <f aca="false">IF($D36="","",IF($Q36=0,"DONNEES MANQUANTES",IF($D36="STOCK EXISTANT",IF($R36&lt;=0,"EMPLACEMENT INCOHERENT",IF($G36&gt;$R36+0.001,"STOCK INSUFFISANT",IF($T36=0,"EN COURS",IF($S36&gt;$G36+0.001,"BLOQUE",IF(AND($U36&gt;P_TOL,$L36=""),"A JUSTIFIER","OK"))))),IF($T36=0,"EN COURS",IF($S36&gt;$G36+0.001,"BLOQUE",IF(AND($U36&gt;P_TOL,$L36=""),"A JUSTIFIER","OK"))))))</f>
        <v/>
      </c>
      <c r="X36" s="28" t="n">
        <f aca="false">IF(OR($W36="",$W36="DONNEES MANQUANTES",$W36="EMPLACEMENT INCOHERENT",$W36="STOCK INSUFFISANT"),0,1)</f>
        <v>0</v>
      </c>
      <c r="Y36" s="26" t="str">
        <f aca="false">IF($D36="","",IF($Q36=0,"A COMPLETER : "&amp;IF($B36="","DATE ENVOI; ","")&amp;IF($C36="","SOUS-TRAITANT; ","")&amp;IF($E36="","LOT SOURCE; ","")&amp;IF(OR(NOT(ISNUMBER($G36)),$G36&lt;=0),"QTE ENVOYEE &gt; 0; ","")&amp;IF(AND($D36="STOCK EXISTANT",$F36=""),"EMPL. SOURCE; ",""),IF($W36="EMPLACEMENT INCOHERENT","Le lot "&amp;$E36&amp;" n'existe pas sur "&amp;$F36&amp;" (stock 0).",IF($W36="STOCK INSUFFISANT","Disponible avant envoi : "&amp;TEXT($R36,"#,##0.00")&amp;" kg. Ligne NON comptee en stock.",IF($W36="BLOQUE","Total des sorties ("&amp;TEXT($S36,"#,##0.00")&amp;" kg) superieur a la quantite envoyee.",IF($W36="EN COURS","Envoi enregistre, resultats non connus. A completer dans ST_RESULTATS.",IF($W36="A JUSTIFIER","Ecart de "&amp;TEXT($U36,"#,##0.00")&amp;" kg : renseigner JUSTIFICATION ECART (colonne L).",IF($O36="LOT NON REFERENCE","Creer d'abord la fiche du lot dans l'onglet LOTS.",""))))))))</f>
        <v/>
      </c>
      <c r="Z36" s="27" t="n">
        <f aca="false">IF(OR($X36=0,$T36&gt;0),0,$G36)</f>
        <v>0</v>
      </c>
      <c r="AA36" s="26" t="n">
        <f aca="false">IF($Q36=0,0,IF(OR($E36=R_LOT,COUNTIFS(RES_IDST,$A36,RES_LOTEFF,R_LOT)&gt;0),1,0))</f>
        <v>0</v>
      </c>
      <c r="AB36" s="26" t="str">
        <f aca="false">IF($AA36=0,"",COUNTIF($AA$5:$AA36,1))</f>
        <v/>
      </c>
    </row>
    <row r="37" customFormat="false" ht="15" hidden="false" customHeight="false" outlineLevel="0" collapsed="false">
      <c r="A37" s="26" t="str">
        <f aca="false">IF($D37="","","ST-"&amp;TEXT(ROW()-4,"000"))</f>
        <v/>
      </c>
      <c r="B37" s="25"/>
      <c r="C37" s="24"/>
      <c r="D37" s="24"/>
      <c r="E37" s="24"/>
      <c r="F37" s="24"/>
      <c r="G37" s="29"/>
      <c r="H37" s="24"/>
      <c r="I37" s="24"/>
      <c r="J37" s="24"/>
      <c r="K37" s="25"/>
      <c r="L37" s="24"/>
      <c r="M37" s="24"/>
      <c r="N37" s="24"/>
      <c r="O37" s="26" t="str">
        <f aca="false">IF($E37="","",IFERROR(INDEX(LOT_PRODE,MATCH($E37,LOT_KEY,0)),"LOT NON REFERENCE"))</f>
        <v/>
      </c>
      <c r="P37" s="26" t="str">
        <f aca="false">IF($E37="","",IFERROR(INDEX(LOT_FOURNE,MATCH($E37,LOT_KEY,0)),""))</f>
        <v/>
      </c>
      <c r="Q37" s="28" t="n">
        <f aca="false">IF($D37="",0,IF(OR($B37="",$C37="",$E37="",NOT(ISNUMBER($G37)),$G37&lt;=0),0,IF($D37="STOCK EXISTANT",IF($F37="",0,1),1)))</f>
        <v>0</v>
      </c>
      <c r="R37" s="27" t="str">
        <f aca="false">IF(OR($Q37=0,$D37&lt;&gt;"STOCK EXISTANT"),"",SUMIFS(MVT_BRUT,MVT_LOT,$E37,MVT_EMPL,$F37)+$G37)</f>
        <v/>
      </c>
      <c r="S37" s="27" t="str">
        <f aca="false">IF($A37="","",SUMIFS(RES_QTEVAL,RES_IDST,$A37))</f>
        <v/>
      </c>
      <c r="T37" s="28" t="str">
        <f aca="false">IF($A37="","",COUNTIFS(RES_IDST,$A37))</f>
        <v/>
      </c>
      <c r="U37" s="27" t="str">
        <f aca="false">IF(OR($A37="",$T37=0),"",$G37-$S37)</f>
        <v/>
      </c>
      <c r="V37" s="30" t="str">
        <f aca="false">IF(OR($A37="",$T37=0,NOT(ISNUMBER($G37)),$G37&lt;=0),"",$S37/$G37)</f>
        <v/>
      </c>
      <c r="W37" s="26" t="str">
        <f aca="false">IF($D37="","",IF($Q37=0,"DONNEES MANQUANTES",IF($D37="STOCK EXISTANT",IF($R37&lt;=0,"EMPLACEMENT INCOHERENT",IF($G37&gt;$R37+0.001,"STOCK INSUFFISANT",IF($T37=0,"EN COURS",IF($S37&gt;$G37+0.001,"BLOQUE",IF(AND($U37&gt;P_TOL,$L37=""),"A JUSTIFIER","OK"))))),IF($T37=0,"EN COURS",IF($S37&gt;$G37+0.001,"BLOQUE",IF(AND($U37&gt;P_TOL,$L37=""),"A JUSTIFIER","OK"))))))</f>
        <v/>
      </c>
      <c r="X37" s="28" t="n">
        <f aca="false">IF(OR($W37="",$W37="DONNEES MANQUANTES",$W37="EMPLACEMENT INCOHERENT",$W37="STOCK INSUFFISANT"),0,1)</f>
        <v>0</v>
      </c>
      <c r="Y37" s="26" t="str">
        <f aca="false">IF($D37="","",IF($Q37=0,"A COMPLETER : "&amp;IF($B37="","DATE ENVOI; ","")&amp;IF($C37="","SOUS-TRAITANT; ","")&amp;IF($E37="","LOT SOURCE; ","")&amp;IF(OR(NOT(ISNUMBER($G37)),$G37&lt;=0),"QTE ENVOYEE &gt; 0; ","")&amp;IF(AND($D37="STOCK EXISTANT",$F37=""),"EMPL. SOURCE; ",""),IF($W37="EMPLACEMENT INCOHERENT","Le lot "&amp;$E37&amp;" n'existe pas sur "&amp;$F37&amp;" (stock 0).",IF($W37="STOCK INSUFFISANT","Disponible avant envoi : "&amp;TEXT($R37,"#,##0.00")&amp;" kg. Ligne NON comptee en stock.",IF($W37="BLOQUE","Total des sorties ("&amp;TEXT($S37,"#,##0.00")&amp;" kg) superieur a la quantite envoyee.",IF($W37="EN COURS","Envoi enregistre, resultats non connus. A completer dans ST_RESULTATS.",IF($W37="A JUSTIFIER","Ecart de "&amp;TEXT($U37,"#,##0.00")&amp;" kg : renseigner JUSTIFICATION ECART (colonne L).",IF($O37="LOT NON REFERENCE","Creer d'abord la fiche du lot dans l'onglet LOTS.",""))))))))</f>
        <v/>
      </c>
      <c r="Z37" s="27" t="n">
        <f aca="false">IF(OR($X37=0,$T37&gt;0),0,$G37)</f>
        <v>0</v>
      </c>
      <c r="AA37" s="26" t="n">
        <f aca="false">IF($Q37=0,0,IF(OR($E37=R_LOT,COUNTIFS(RES_IDST,$A37,RES_LOTEFF,R_LOT)&gt;0),1,0))</f>
        <v>0</v>
      </c>
      <c r="AB37" s="26" t="str">
        <f aca="false">IF($AA37=0,"",COUNTIF($AA$5:$AA37,1))</f>
        <v/>
      </c>
    </row>
    <row r="38" customFormat="false" ht="15" hidden="false" customHeight="false" outlineLevel="0" collapsed="false">
      <c r="A38" s="26" t="str">
        <f aca="false">IF($D38="","","ST-"&amp;TEXT(ROW()-4,"000"))</f>
        <v/>
      </c>
      <c r="B38" s="25"/>
      <c r="C38" s="24"/>
      <c r="D38" s="24"/>
      <c r="E38" s="24"/>
      <c r="F38" s="24"/>
      <c r="G38" s="29"/>
      <c r="H38" s="24"/>
      <c r="I38" s="24"/>
      <c r="J38" s="24"/>
      <c r="K38" s="25"/>
      <c r="L38" s="24"/>
      <c r="M38" s="24"/>
      <c r="N38" s="24"/>
      <c r="O38" s="26" t="str">
        <f aca="false">IF($E38="","",IFERROR(INDEX(LOT_PRODE,MATCH($E38,LOT_KEY,0)),"LOT NON REFERENCE"))</f>
        <v/>
      </c>
      <c r="P38" s="26" t="str">
        <f aca="false">IF($E38="","",IFERROR(INDEX(LOT_FOURNE,MATCH($E38,LOT_KEY,0)),""))</f>
        <v/>
      </c>
      <c r="Q38" s="28" t="n">
        <f aca="false">IF($D38="",0,IF(OR($B38="",$C38="",$E38="",NOT(ISNUMBER($G38)),$G38&lt;=0),0,IF($D38="STOCK EXISTANT",IF($F38="",0,1),1)))</f>
        <v>0</v>
      </c>
      <c r="R38" s="27" t="str">
        <f aca="false">IF(OR($Q38=0,$D38&lt;&gt;"STOCK EXISTANT"),"",SUMIFS(MVT_BRUT,MVT_LOT,$E38,MVT_EMPL,$F38)+$G38)</f>
        <v/>
      </c>
      <c r="S38" s="27" t="str">
        <f aca="false">IF($A38="","",SUMIFS(RES_QTEVAL,RES_IDST,$A38))</f>
        <v/>
      </c>
      <c r="T38" s="28" t="str">
        <f aca="false">IF($A38="","",COUNTIFS(RES_IDST,$A38))</f>
        <v/>
      </c>
      <c r="U38" s="27" t="str">
        <f aca="false">IF(OR($A38="",$T38=0),"",$G38-$S38)</f>
        <v/>
      </c>
      <c r="V38" s="30" t="str">
        <f aca="false">IF(OR($A38="",$T38=0,NOT(ISNUMBER($G38)),$G38&lt;=0),"",$S38/$G38)</f>
        <v/>
      </c>
      <c r="W38" s="26" t="str">
        <f aca="false">IF($D38="","",IF($Q38=0,"DONNEES MANQUANTES",IF($D38="STOCK EXISTANT",IF($R38&lt;=0,"EMPLACEMENT INCOHERENT",IF($G38&gt;$R38+0.001,"STOCK INSUFFISANT",IF($T38=0,"EN COURS",IF($S38&gt;$G38+0.001,"BLOQUE",IF(AND($U38&gt;P_TOL,$L38=""),"A JUSTIFIER","OK"))))),IF($T38=0,"EN COURS",IF($S38&gt;$G38+0.001,"BLOQUE",IF(AND($U38&gt;P_TOL,$L38=""),"A JUSTIFIER","OK"))))))</f>
        <v/>
      </c>
      <c r="X38" s="28" t="n">
        <f aca="false">IF(OR($W38="",$W38="DONNEES MANQUANTES",$W38="EMPLACEMENT INCOHERENT",$W38="STOCK INSUFFISANT"),0,1)</f>
        <v>0</v>
      </c>
      <c r="Y38" s="26" t="str">
        <f aca="false">IF($D38="","",IF($Q38=0,"A COMPLETER : "&amp;IF($B38="","DATE ENVOI; ","")&amp;IF($C38="","SOUS-TRAITANT; ","")&amp;IF($E38="","LOT SOURCE; ","")&amp;IF(OR(NOT(ISNUMBER($G38)),$G38&lt;=0),"QTE ENVOYEE &gt; 0; ","")&amp;IF(AND($D38="STOCK EXISTANT",$F38=""),"EMPL. SOURCE; ",""),IF($W38="EMPLACEMENT INCOHERENT","Le lot "&amp;$E38&amp;" n'existe pas sur "&amp;$F38&amp;" (stock 0).",IF($W38="STOCK INSUFFISANT","Disponible avant envoi : "&amp;TEXT($R38,"#,##0.00")&amp;" kg. Ligne NON comptee en stock.",IF($W38="BLOQUE","Total des sorties ("&amp;TEXT($S38,"#,##0.00")&amp;" kg) superieur a la quantite envoyee.",IF($W38="EN COURS","Envoi enregistre, resultats non connus. A completer dans ST_RESULTATS.",IF($W38="A JUSTIFIER","Ecart de "&amp;TEXT($U38,"#,##0.00")&amp;" kg : renseigner JUSTIFICATION ECART (colonne L).",IF($O38="LOT NON REFERENCE","Creer d'abord la fiche du lot dans l'onglet LOTS.",""))))))))</f>
        <v/>
      </c>
      <c r="Z38" s="27" t="n">
        <f aca="false">IF(OR($X38=0,$T38&gt;0),0,$G38)</f>
        <v>0</v>
      </c>
      <c r="AA38" s="26" t="n">
        <f aca="false">IF($Q38=0,0,IF(OR($E38=R_LOT,COUNTIFS(RES_IDST,$A38,RES_LOTEFF,R_LOT)&gt;0),1,0))</f>
        <v>0</v>
      </c>
      <c r="AB38" s="26" t="str">
        <f aca="false">IF($AA38=0,"",COUNTIF($AA$5:$AA38,1))</f>
        <v/>
      </c>
    </row>
    <row r="39" customFormat="false" ht="15" hidden="false" customHeight="false" outlineLevel="0" collapsed="false">
      <c r="A39" s="26" t="str">
        <f aca="false">IF($D39="","","ST-"&amp;TEXT(ROW()-4,"000"))</f>
        <v/>
      </c>
      <c r="B39" s="25"/>
      <c r="C39" s="24"/>
      <c r="D39" s="24"/>
      <c r="E39" s="24"/>
      <c r="F39" s="24"/>
      <c r="G39" s="29"/>
      <c r="H39" s="24"/>
      <c r="I39" s="24"/>
      <c r="J39" s="24"/>
      <c r="K39" s="25"/>
      <c r="L39" s="24"/>
      <c r="M39" s="24"/>
      <c r="N39" s="24"/>
      <c r="O39" s="26" t="str">
        <f aca="false">IF($E39="","",IFERROR(INDEX(LOT_PRODE,MATCH($E39,LOT_KEY,0)),"LOT NON REFERENCE"))</f>
        <v/>
      </c>
      <c r="P39" s="26" t="str">
        <f aca="false">IF($E39="","",IFERROR(INDEX(LOT_FOURNE,MATCH($E39,LOT_KEY,0)),""))</f>
        <v/>
      </c>
      <c r="Q39" s="28" t="n">
        <f aca="false">IF($D39="",0,IF(OR($B39="",$C39="",$E39="",NOT(ISNUMBER($G39)),$G39&lt;=0),0,IF($D39="STOCK EXISTANT",IF($F39="",0,1),1)))</f>
        <v>0</v>
      </c>
      <c r="R39" s="27" t="str">
        <f aca="false">IF(OR($Q39=0,$D39&lt;&gt;"STOCK EXISTANT"),"",SUMIFS(MVT_BRUT,MVT_LOT,$E39,MVT_EMPL,$F39)+$G39)</f>
        <v/>
      </c>
      <c r="S39" s="27" t="str">
        <f aca="false">IF($A39="","",SUMIFS(RES_QTEVAL,RES_IDST,$A39))</f>
        <v/>
      </c>
      <c r="T39" s="28" t="str">
        <f aca="false">IF($A39="","",COUNTIFS(RES_IDST,$A39))</f>
        <v/>
      </c>
      <c r="U39" s="27" t="str">
        <f aca="false">IF(OR($A39="",$T39=0),"",$G39-$S39)</f>
        <v/>
      </c>
      <c r="V39" s="30" t="str">
        <f aca="false">IF(OR($A39="",$T39=0,NOT(ISNUMBER($G39)),$G39&lt;=0),"",$S39/$G39)</f>
        <v/>
      </c>
      <c r="W39" s="26" t="str">
        <f aca="false">IF($D39="","",IF($Q39=0,"DONNEES MANQUANTES",IF($D39="STOCK EXISTANT",IF($R39&lt;=0,"EMPLACEMENT INCOHERENT",IF($G39&gt;$R39+0.001,"STOCK INSUFFISANT",IF($T39=0,"EN COURS",IF($S39&gt;$G39+0.001,"BLOQUE",IF(AND($U39&gt;P_TOL,$L39=""),"A JUSTIFIER","OK"))))),IF($T39=0,"EN COURS",IF($S39&gt;$G39+0.001,"BLOQUE",IF(AND($U39&gt;P_TOL,$L39=""),"A JUSTIFIER","OK"))))))</f>
        <v/>
      </c>
      <c r="X39" s="28" t="n">
        <f aca="false">IF(OR($W39="",$W39="DONNEES MANQUANTES",$W39="EMPLACEMENT INCOHERENT",$W39="STOCK INSUFFISANT"),0,1)</f>
        <v>0</v>
      </c>
      <c r="Y39" s="26" t="str">
        <f aca="false">IF($D39="","",IF($Q39=0,"A COMPLETER : "&amp;IF($B39="","DATE ENVOI; ","")&amp;IF($C39="","SOUS-TRAITANT; ","")&amp;IF($E39="","LOT SOURCE; ","")&amp;IF(OR(NOT(ISNUMBER($G39)),$G39&lt;=0),"QTE ENVOYEE &gt; 0; ","")&amp;IF(AND($D39="STOCK EXISTANT",$F39=""),"EMPL. SOURCE; ",""),IF($W39="EMPLACEMENT INCOHERENT","Le lot "&amp;$E39&amp;" n'existe pas sur "&amp;$F39&amp;" (stock 0).",IF($W39="STOCK INSUFFISANT","Disponible avant envoi : "&amp;TEXT($R39,"#,##0.00")&amp;" kg. Ligne NON comptee en stock.",IF($W39="BLOQUE","Total des sorties ("&amp;TEXT($S39,"#,##0.00")&amp;" kg) superieur a la quantite envoyee.",IF($W39="EN COURS","Envoi enregistre, resultats non connus. A completer dans ST_RESULTATS.",IF($W39="A JUSTIFIER","Ecart de "&amp;TEXT($U39,"#,##0.00")&amp;" kg : renseigner JUSTIFICATION ECART (colonne L).",IF($O39="LOT NON REFERENCE","Creer d'abord la fiche du lot dans l'onglet LOTS.",""))))))))</f>
        <v/>
      </c>
      <c r="Z39" s="27" t="n">
        <f aca="false">IF(OR($X39=0,$T39&gt;0),0,$G39)</f>
        <v>0</v>
      </c>
      <c r="AA39" s="26" t="n">
        <f aca="false">IF($Q39=0,0,IF(OR($E39=R_LOT,COUNTIFS(RES_IDST,$A39,RES_LOTEFF,R_LOT)&gt;0),1,0))</f>
        <v>0</v>
      </c>
      <c r="AB39" s="26" t="str">
        <f aca="false">IF($AA39=0,"",COUNTIF($AA$5:$AA39,1))</f>
        <v/>
      </c>
    </row>
    <row r="40" customFormat="false" ht="15" hidden="false" customHeight="false" outlineLevel="0" collapsed="false">
      <c r="A40" s="26" t="str">
        <f aca="false">IF($D40="","","ST-"&amp;TEXT(ROW()-4,"000"))</f>
        <v/>
      </c>
      <c r="B40" s="25"/>
      <c r="C40" s="24"/>
      <c r="D40" s="24"/>
      <c r="E40" s="24"/>
      <c r="F40" s="24"/>
      <c r="G40" s="29"/>
      <c r="H40" s="24"/>
      <c r="I40" s="24"/>
      <c r="J40" s="24"/>
      <c r="K40" s="25"/>
      <c r="L40" s="24"/>
      <c r="M40" s="24"/>
      <c r="N40" s="24"/>
      <c r="O40" s="26" t="str">
        <f aca="false">IF($E40="","",IFERROR(INDEX(LOT_PRODE,MATCH($E40,LOT_KEY,0)),"LOT NON REFERENCE"))</f>
        <v/>
      </c>
      <c r="P40" s="26" t="str">
        <f aca="false">IF($E40="","",IFERROR(INDEX(LOT_FOURNE,MATCH($E40,LOT_KEY,0)),""))</f>
        <v/>
      </c>
      <c r="Q40" s="28" t="n">
        <f aca="false">IF($D40="",0,IF(OR($B40="",$C40="",$E40="",NOT(ISNUMBER($G40)),$G40&lt;=0),0,IF($D40="STOCK EXISTANT",IF($F40="",0,1),1)))</f>
        <v>0</v>
      </c>
      <c r="R40" s="27" t="str">
        <f aca="false">IF(OR($Q40=0,$D40&lt;&gt;"STOCK EXISTANT"),"",SUMIFS(MVT_BRUT,MVT_LOT,$E40,MVT_EMPL,$F40)+$G40)</f>
        <v/>
      </c>
      <c r="S40" s="27" t="str">
        <f aca="false">IF($A40="","",SUMIFS(RES_QTEVAL,RES_IDST,$A40))</f>
        <v/>
      </c>
      <c r="T40" s="28" t="str">
        <f aca="false">IF($A40="","",COUNTIFS(RES_IDST,$A40))</f>
        <v/>
      </c>
      <c r="U40" s="27" t="str">
        <f aca="false">IF(OR($A40="",$T40=0),"",$G40-$S40)</f>
        <v/>
      </c>
      <c r="V40" s="30" t="str">
        <f aca="false">IF(OR($A40="",$T40=0,NOT(ISNUMBER($G40)),$G40&lt;=0),"",$S40/$G40)</f>
        <v/>
      </c>
      <c r="W40" s="26" t="str">
        <f aca="false">IF($D40="","",IF($Q40=0,"DONNEES MANQUANTES",IF($D40="STOCK EXISTANT",IF($R40&lt;=0,"EMPLACEMENT INCOHERENT",IF($G40&gt;$R40+0.001,"STOCK INSUFFISANT",IF($T40=0,"EN COURS",IF($S40&gt;$G40+0.001,"BLOQUE",IF(AND($U40&gt;P_TOL,$L40=""),"A JUSTIFIER","OK"))))),IF($T40=0,"EN COURS",IF($S40&gt;$G40+0.001,"BLOQUE",IF(AND($U40&gt;P_TOL,$L40=""),"A JUSTIFIER","OK"))))))</f>
        <v/>
      </c>
      <c r="X40" s="28" t="n">
        <f aca="false">IF(OR($W40="",$W40="DONNEES MANQUANTES",$W40="EMPLACEMENT INCOHERENT",$W40="STOCK INSUFFISANT"),0,1)</f>
        <v>0</v>
      </c>
      <c r="Y40" s="26" t="str">
        <f aca="false">IF($D40="","",IF($Q40=0,"A COMPLETER : "&amp;IF($B40="","DATE ENVOI; ","")&amp;IF($C40="","SOUS-TRAITANT; ","")&amp;IF($E40="","LOT SOURCE; ","")&amp;IF(OR(NOT(ISNUMBER($G40)),$G40&lt;=0),"QTE ENVOYEE &gt; 0; ","")&amp;IF(AND($D40="STOCK EXISTANT",$F40=""),"EMPL. SOURCE; ",""),IF($W40="EMPLACEMENT INCOHERENT","Le lot "&amp;$E40&amp;" n'existe pas sur "&amp;$F40&amp;" (stock 0).",IF($W40="STOCK INSUFFISANT","Disponible avant envoi : "&amp;TEXT($R40,"#,##0.00")&amp;" kg. Ligne NON comptee en stock.",IF($W40="BLOQUE","Total des sorties ("&amp;TEXT($S40,"#,##0.00")&amp;" kg) superieur a la quantite envoyee.",IF($W40="EN COURS","Envoi enregistre, resultats non connus. A completer dans ST_RESULTATS.",IF($W40="A JUSTIFIER","Ecart de "&amp;TEXT($U40,"#,##0.00")&amp;" kg : renseigner JUSTIFICATION ECART (colonne L).",IF($O40="LOT NON REFERENCE","Creer d'abord la fiche du lot dans l'onglet LOTS.",""))))))))</f>
        <v/>
      </c>
      <c r="Z40" s="27" t="n">
        <f aca="false">IF(OR($X40=0,$T40&gt;0),0,$G40)</f>
        <v>0</v>
      </c>
      <c r="AA40" s="26" t="n">
        <f aca="false">IF($Q40=0,0,IF(OR($E40=R_LOT,COUNTIFS(RES_IDST,$A40,RES_LOTEFF,R_LOT)&gt;0),1,0))</f>
        <v>0</v>
      </c>
      <c r="AB40" s="26" t="str">
        <f aca="false">IF($AA40=0,"",COUNTIF($AA$5:$AA40,1))</f>
        <v/>
      </c>
    </row>
    <row r="41" customFormat="false" ht="15" hidden="false" customHeight="false" outlineLevel="0" collapsed="false">
      <c r="A41" s="26" t="str">
        <f aca="false">IF($D41="","","ST-"&amp;TEXT(ROW()-4,"000"))</f>
        <v/>
      </c>
      <c r="B41" s="25"/>
      <c r="C41" s="24"/>
      <c r="D41" s="24"/>
      <c r="E41" s="24"/>
      <c r="F41" s="24"/>
      <c r="G41" s="29"/>
      <c r="H41" s="24"/>
      <c r="I41" s="24"/>
      <c r="J41" s="24"/>
      <c r="K41" s="25"/>
      <c r="L41" s="24"/>
      <c r="M41" s="24"/>
      <c r="N41" s="24"/>
      <c r="O41" s="26" t="str">
        <f aca="false">IF($E41="","",IFERROR(INDEX(LOT_PRODE,MATCH($E41,LOT_KEY,0)),"LOT NON REFERENCE"))</f>
        <v/>
      </c>
      <c r="P41" s="26" t="str">
        <f aca="false">IF($E41="","",IFERROR(INDEX(LOT_FOURNE,MATCH($E41,LOT_KEY,0)),""))</f>
        <v/>
      </c>
      <c r="Q41" s="28" t="n">
        <f aca="false">IF($D41="",0,IF(OR($B41="",$C41="",$E41="",NOT(ISNUMBER($G41)),$G41&lt;=0),0,IF($D41="STOCK EXISTANT",IF($F41="",0,1),1)))</f>
        <v>0</v>
      </c>
      <c r="R41" s="27" t="str">
        <f aca="false">IF(OR($Q41=0,$D41&lt;&gt;"STOCK EXISTANT"),"",SUMIFS(MVT_BRUT,MVT_LOT,$E41,MVT_EMPL,$F41)+$G41)</f>
        <v/>
      </c>
      <c r="S41" s="27" t="str">
        <f aca="false">IF($A41="","",SUMIFS(RES_QTEVAL,RES_IDST,$A41))</f>
        <v/>
      </c>
      <c r="T41" s="28" t="str">
        <f aca="false">IF($A41="","",COUNTIFS(RES_IDST,$A41))</f>
        <v/>
      </c>
      <c r="U41" s="27" t="str">
        <f aca="false">IF(OR($A41="",$T41=0),"",$G41-$S41)</f>
        <v/>
      </c>
      <c r="V41" s="30" t="str">
        <f aca="false">IF(OR($A41="",$T41=0,NOT(ISNUMBER($G41)),$G41&lt;=0),"",$S41/$G41)</f>
        <v/>
      </c>
      <c r="W41" s="26" t="str">
        <f aca="false">IF($D41="","",IF($Q41=0,"DONNEES MANQUANTES",IF($D41="STOCK EXISTANT",IF($R41&lt;=0,"EMPLACEMENT INCOHERENT",IF($G41&gt;$R41+0.001,"STOCK INSUFFISANT",IF($T41=0,"EN COURS",IF($S41&gt;$G41+0.001,"BLOQUE",IF(AND($U41&gt;P_TOL,$L41=""),"A JUSTIFIER","OK"))))),IF($T41=0,"EN COURS",IF($S41&gt;$G41+0.001,"BLOQUE",IF(AND($U41&gt;P_TOL,$L41=""),"A JUSTIFIER","OK"))))))</f>
        <v/>
      </c>
      <c r="X41" s="28" t="n">
        <f aca="false">IF(OR($W41="",$W41="DONNEES MANQUANTES",$W41="EMPLACEMENT INCOHERENT",$W41="STOCK INSUFFISANT"),0,1)</f>
        <v>0</v>
      </c>
      <c r="Y41" s="26" t="str">
        <f aca="false">IF($D41="","",IF($Q41=0,"A COMPLETER : "&amp;IF($B41="","DATE ENVOI; ","")&amp;IF($C41="","SOUS-TRAITANT; ","")&amp;IF($E41="","LOT SOURCE; ","")&amp;IF(OR(NOT(ISNUMBER($G41)),$G41&lt;=0),"QTE ENVOYEE &gt; 0; ","")&amp;IF(AND($D41="STOCK EXISTANT",$F41=""),"EMPL. SOURCE; ",""),IF($W41="EMPLACEMENT INCOHERENT","Le lot "&amp;$E41&amp;" n'existe pas sur "&amp;$F41&amp;" (stock 0).",IF($W41="STOCK INSUFFISANT","Disponible avant envoi : "&amp;TEXT($R41,"#,##0.00")&amp;" kg. Ligne NON comptee en stock.",IF($W41="BLOQUE","Total des sorties ("&amp;TEXT($S41,"#,##0.00")&amp;" kg) superieur a la quantite envoyee.",IF($W41="EN COURS","Envoi enregistre, resultats non connus. A completer dans ST_RESULTATS.",IF($W41="A JUSTIFIER","Ecart de "&amp;TEXT($U41,"#,##0.00")&amp;" kg : renseigner JUSTIFICATION ECART (colonne L).",IF($O41="LOT NON REFERENCE","Creer d'abord la fiche du lot dans l'onglet LOTS.",""))))))))</f>
        <v/>
      </c>
      <c r="Z41" s="27" t="n">
        <f aca="false">IF(OR($X41=0,$T41&gt;0),0,$G41)</f>
        <v>0</v>
      </c>
      <c r="AA41" s="26" t="n">
        <f aca="false">IF($Q41=0,0,IF(OR($E41=R_LOT,COUNTIFS(RES_IDST,$A41,RES_LOTEFF,R_LOT)&gt;0),1,0))</f>
        <v>0</v>
      </c>
      <c r="AB41" s="26" t="str">
        <f aca="false">IF($AA41=0,"",COUNTIF($AA$5:$AA41,1))</f>
        <v/>
      </c>
    </row>
    <row r="42" customFormat="false" ht="15" hidden="false" customHeight="false" outlineLevel="0" collapsed="false">
      <c r="A42" s="26" t="str">
        <f aca="false">IF($D42="","","ST-"&amp;TEXT(ROW()-4,"000"))</f>
        <v/>
      </c>
      <c r="B42" s="25"/>
      <c r="C42" s="24"/>
      <c r="D42" s="24"/>
      <c r="E42" s="24"/>
      <c r="F42" s="24"/>
      <c r="G42" s="29"/>
      <c r="H42" s="24"/>
      <c r="I42" s="24"/>
      <c r="J42" s="24"/>
      <c r="K42" s="25"/>
      <c r="L42" s="24"/>
      <c r="M42" s="24"/>
      <c r="N42" s="24"/>
      <c r="O42" s="26" t="str">
        <f aca="false">IF($E42="","",IFERROR(INDEX(LOT_PRODE,MATCH($E42,LOT_KEY,0)),"LOT NON REFERENCE"))</f>
        <v/>
      </c>
      <c r="P42" s="26" t="str">
        <f aca="false">IF($E42="","",IFERROR(INDEX(LOT_FOURNE,MATCH($E42,LOT_KEY,0)),""))</f>
        <v/>
      </c>
      <c r="Q42" s="28" t="n">
        <f aca="false">IF($D42="",0,IF(OR($B42="",$C42="",$E42="",NOT(ISNUMBER($G42)),$G42&lt;=0),0,IF($D42="STOCK EXISTANT",IF($F42="",0,1),1)))</f>
        <v>0</v>
      </c>
      <c r="R42" s="27" t="str">
        <f aca="false">IF(OR($Q42=0,$D42&lt;&gt;"STOCK EXISTANT"),"",SUMIFS(MVT_BRUT,MVT_LOT,$E42,MVT_EMPL,$F42)+$G42)</f>
        <v/>
      </c>
      <c r="S42" s="27" t="str">
        <f aca="false">IF($A42="","",SUMIFS(RES_QTEVAL,RES_IDST,$A42))</f>
        <v/>
      </c>
      <c r="T42" s="28" t="str">
        <f aca="false">IF($A42="","",COUNTIFS(RES_IDST,$A42))</f>
        <v/>
      </c>
      <c r="U42" s="27" t="str">
        <f aca="false">IF(OR($A42="",$T42=0),"",$G42-$S42)</f>
        <v/>
      </c>
      <c r="V42" s="30" t="str">
        <f aca="false">IF(OR($A42="",$T42=0,NOT(ISNUMBER($G42)),$G42&lt;=0),"",$S42/$G42)</f>
        <v/>
      </c>
      <c r="W42" s="26" t="str">
        <f aca="false">IF($D42="","",IF($Q42=0,"DONNEES MANQUANTES",IF($D42="STOCK EXISTANT",IF($R42&lt;=0,"EMPLACEMENT INCOHERENT",IF($G42&gt;$R42+0.001,"STOCK INSUFFISANT",IF($T42=0,"EN COURS",IF($S42&gt;$G42+0.001,"BLOQUE",IF(AND($U42&gt;P_TOL,$L42=""),"A JUSTIFIER","OK"))))),IF($T42=0,"EN COURS",IF($S42&gt;$G42+0.001,"BLOQUE",IF(AND($U42&gt;P_TOL,$L42=""),"A JUSTIFIER","OK"))))))</f>
        <v/>
      </c>
      <c r="X42" s="28" t="n">
        <f aca="false">IF(OR($W42="",$W42="DONNEES MANQUANTES",$W42="EMPLACEMENT INCOHERENT",$W42="STOCK INSUFFISANT"),0,1)</f>
        <v>0</v>
      </c>
      <c r="Y42" s="26" t="str">
        <f aca="false">IF($D42="","",IF($Q42=0,"A COMPLETER : "&amp;IF($B42="","DATE ENVOI; ","")&amp;IF($C42="","SOUS-TRAITANT; ","")&amp;IF($E42="","LOT SOURCE; ","")&amp;IF(OR(NOT(ISNUMBER($G42)),$G42&lt;=0),"QTE ENVOYEE &gt; 0; ","")&amp;IF(AND($D42="STOCK EXISTANT",$F42=""),"EMPL. SOURCE; ",""),IF($W42="EMPLACEMENT INCOHERENT","Le lot "&amp;$E42&amp;" n'existe pas sur "&amp;$F42&amp;" (stock 0).",IF($W42="STOCK INSUFFISANT","Disponible avant envoi : "&amp;TEXT($R42,"#,##0.00")&amp;" kg. Ligne NON comptee en stock.",IF($W42="BLOQUE","Total des sorties ("&amp;TEXT($S42,"#,##0.00")&amp;" kg) superieur a la quantite envoyee.",IF($W42="EN COURS","Envoi enregistre, resultats non connus. A completer dans ST_RESULTATS.",IF($W42="A JUSTIFIER","Ecart de "&amp;TEXT($U42,"#,##0.00")&amp;" kg : renseigner JUSTIFICATION ECART (colonne L).",IF($O42="LOT NON REFERENCE","Creer d'abord la fiche du lot dans l'onglet LOTS.",""))))))))</f>
        <v/>
      </c>
      <c r="Z42" s="27" t="n">
        <f aca="false">IF(OR($X42=0,$T42&gt;0),0,$G42)</f>
        <v>0</v>
      </c>
      <c r="AA42" s="26" t="n">
        <f aca="false">IF($Q42=0,0,IF(OR($E42=R_LOT,COUNTIFS(RES_IDST,$A42,RES_LOTEFF,R_LOT)&gt;0),1,0))</f>
        <v>0</v>
      </c>
      <c r="AB42" s="26" t="str">
        <f aca="false">IF($AA42=0,"",COUNTIF($AA$5:$AA42,1))</f>
        <v/>
      </c>
    </row>
    <row r="43" customFormat="false" ht="15" hidden="false" customHeight="false" outlineLevel="0" collapsed="false">
      <c r="A43" s="26" t="str">
        <f aca="false">IF($D43="","","ST-"&amp;TEXT(ROW()-4,"000"))</f>
        <v/>
      </c>
      <c r="B43" s="25"/>
      <c r="C43" s="24"/>
      <c r="D43" s="24"/>
      <c r="E43" s="24"/>
      <c r="F43" s="24"/>
      <c r="G43" s="29"/>
      <c r="H43" s="24"/>
      <c r="I43" s="24"/>
      <c r="J43" s="24"/>
      <c r="K43" s="25"/>
      <c r="L43" s="24"/>
      <c r="M43" s="24"/>
      <c r="N43" s="24"/>
      <c r="O43" s="26" t="str">
        <f aca="false">IF($E43="","",IFERROR(INDEX(LOT_PRODE,MATCH($E43,LOT_KEY,0)),"LOT NON REFERENCE"))</f>
        <v/>
      </c>
      <c r="P43" s="26" t="str">
        <f aca="false">IF($E43="","",IFERROR(INDEX(LOT_FOURNE,MATCH($E43,LOT_KEY,0)),""))</f>
        <v/>
      </c>
      <c r="Q43" s="28" t="n">
        <f aca="false">IF($D43="",0,IF(OR($B43="",$C43="",$E43="",NOT(ISNUMBER($G43)),$G43&lt;=0),0,IF($D43="STOCK EXISTANT",IF($F43="",0,1),1)))</f>
        <v>0</v>
      </c>
      <c r="R43" s="27" t="str">
        <f aca="false">IF(OR($Q43=0,$D43&lt;&gt;"STOCK EXISTANT"),"",SUMIFS(MVT_BRUT,MVT_LOT,$E43,MVT_EMPL,$F43)+$G43)</f>
        <v/>
      </c>
      <c r="S43" s="27" t="str">
        <f aca="false">IF($A43="","",SUMIFS(RES_QTEVAL,RES_IDST,$A43))</f>
        <v/>
      </c>
      <c r="T43" s="28" t="str">
        <f aca="false">IF($A43="","",COUNTIFS(RES_IDST,$A43))</f>
        <v/>
      </c>
      <c r="U43" s="27" t="str">
        <f aca="false">IF(OR($A43="",$T43=0),"",$G43-$S43)</f>
        <v/>
      </c>
      <c r="V43" s="30" t="str">
        <f aca="false">IF(OR($A43="",$T43=0,NOT(ISNUMBER($G43)),$G43&lt;=0),"",$S43/$G43)</f>
        <v/>
      </c>
      <c r="W43" s="26" t="str">
        <f aca="false">IF($D43="","",IF($Q43=0,"DONNEES MANQUANTES",IF($D43="STOCK EXISTANT",IF($R43&lt;=0,"EMPLACEMENT INCOHERENT",IF($G43&gt;$R43+0.001,"STOCK INSUFFISANT",IF($T43=0,"EN COURS",IF($S43&gt;$G43+0.001,"BLOQUE",IF(AND($U43&gt;P_TOL,$L43=""),"A JUSTIFIER","OK"))))),IF($T43=0,"EN COURS",IF($S43&gt;$G43+0.001,"BLOQUE",IF(AND($U43&gt;P_TOL,$L43=""),"A JUSTIFIER","OK"))))))</f>
        <v/>
      </c>
      <c r="X43" s="28" t="n">
        <f aca="false">IF(OR($W43="",$W43="DONNEES MANQUANTES",$W43="EMPLACEMENT INCOHERENT",$W43="STOCK INSUFFISANT"),0,1)</f>
        <v>0</v>
      </c>
      <c r="Y43" s="26" t="str">
        <f aca="false">IF($D43="","",IF($Q43=0,"A COMPLETER : "&amp;IF($B43="","DATE ENVOI; ","")&amp;IF($C43="","SOUS-TRAITANT; ","")&amp;IF($E43="","LOT SOURCE; ","")&amp;IF(OR(NOT(ISNUMBER($G43)),$G43&lt;=0),"QTE ENVOYEE &gt; 0; ","")&amp;IF(AND($D43="STOCK EXISTANT",$F43=""),"EMPL. SOURCE; ",""),IF($W43="EMPLACEMENT INCOHERENT","Le lot "&amp;$E43&amp;" n'existe pas sur "&amp;$F43&amp;" (stock 0).",IF($W43="STOCK INSUFFISANT","Disponible avant envoi : "&amp;TEXT($R43,"#,##0.00")&amp;" kg. Ligne NON comptee en stock.",IF($W43="BLOQUE","Total des sorties ("&amp;TEXT($S43,"#,##0.00")&amp;" kg) superieur a la quantite envoyee.",IF($W43="EN COURS","Envoi enregistre, resultats non connus. A completer dans ST_RESULTATS.",IF($W43="A JUSTIFIER","Ecart de "&amp;TEXT($U43,"#,##0.00")&amp;" kg : renseigner JUSTIFICATION ECART (colonne L).",IF($O43="LOT NON REFERENCE","Creer d'abord la fiche du lot dans l'onglet LOTS.",""))))))))</f>
        <v/>
      </c>
      <c r="Z43" s="27" t="n">
        <f aca="false">IF(OR($X43=0,$T43&gt;0),0,$G43)</f>
        <v>0</v>
      </c>
      <c r="AA43" s="26" t="n">
        <f aca="false">IF($Q43=0,0,IF(OR($E43=R_LOT,COUNTIFS(RES_IDST,$A43,RES_LOTEFF,R_LOT)&gt;0),1,0))</f>
        <v>0</v>
      </c>
      <c r="AB43" s="26" t="str">
        <f aca="false">IF($AA43=0,"",COUNTIF($AA$5:$AA43,1))</f>
        <v/>
      </c>
    </row>
    <row r="44" customFormat="false" ht="15" hidden="false" customHeight="false" outlineLevel="0" collapsed="false">
      <c r="A44" s="26" t="str">
        <f aca="false">IF($D44="","","ST-"&amp;TEXT(ROW()-4,"000"))</f>
        <v/>
      </c>
      <c r="B44" s="25"/>
      <c r="C44" s="24"/>
      <c r="D44" s="24"/>
      <c r="E44" s="24"/>
      <c r="F44" s="24"/>
      <c r="G44" s="29"/>
      <c r="H44" s="24"/>
      <c r="I44" s="24"/>
      <c r="J44" s="24"/>
      <c r="K44" s="25"/>
      <c r="L44" s="24"/>
      <c r="M44" s="24"/>
      <c r="N44" s="24"/>
      <c r="O44" s="26" t="str">
        <f aca="false">IF($E44="","",IFERROR(INDEX(LOT_PRODE,MATCH($E44,LOT_KEY,0)),"LOT NON REFERENCE"))</f>
        <v/>
      </c>
      <c r="P44" s="26" t="str">
        <f aca="false">IF($E44="","",IFERROR(INDEX(LOT_FOURNE,MATCH($E44,LOT_KEY,0)),""))</f>
        <v/>
      </c>
      <c r="Q44" s="28" t="n">
        <f aca="false">IF($D44="",0,IF(OR($B44="",$C44="",$E44="",NOT(ISNUMBER($G44)),$G44&lt;=0),0,IF($D44="STOCK EXISTANT",IF($F44="",0,1),1)))</f>
        <v>0</v>
      </c>
      <c r="R44" s="27" t="str">
        <f aca="false">IF(OR($Q44=0,$D44&lt;&gt;"STOCK EXISTANT"),"",SUMIFS(MVT_BRUT,MVT_LOT,$E44,MVT_EMPL,$F44)+$G44)</f>
        <v/>
      </c>
      <c r="S44" s="27" t="str">
        <f aca="false">IF($A44="","",SUMIFS(RES_QTEVAL,RES_IDST,$A44))</f>
        <v/>
      </c>
      <c r="T44" s="28" t="str">
        <f aca="false">IF($A44="","",COUNTIFS(RES_IDST,$A44))</f>
        <v/>
      </c>
      <c r="U44" s="27" t="str">
        <f aca="false">IF(OR($A44="",$T44=0),"",$G44-$S44)</f>
        <v/>
      </c>
      <c r="V44" s="30" t="str">
        <f aca="false">IF(OR($A44="",$T44=0,NOT(ISNUMBER($G44)),$G44&lt;=0),"",$S44/$G44)</f>
        <v/>
      </c>
      <c r="W44" s="26" t="str">
        <f aca="false">IF($D44="","",IF($Q44=0,"DONNEES MANQUANTES",IF($D44="STOCK EXISTANT",IF($R44&lt;=0,"EMPLACEMENT INCOHERENT",IF($G44&gt;$R44+0.001,"STOCK INSUFFISANT",IF($T44=0,"EN COURS",IF($S44&gt;$G44+0.001,"BLOQUE",IF(AND($U44&gt;P_TOL,$L44=""),"A JUSTIFIER","OK"))))),IF($T44=0,"EN COURS",IF($S44&gt;$G44+0.001,"BLOQUE",IF(AND($U44&gt;P_TOL,$L44=""),"A JUSTIFIER","OK"))))))</f>
        <v/>
      </c>
      <c r="X44" s="28" t="n">
        <f aca="false">IF(OR($W44="",$W44="DONNEES MANQUANTES",$W44="EMPLACEMENT INCOHERENT",$W44="STOCK INSUFFISANT"),0,1)</f>
        <v>0</v>
      </c>
      <c r="Y44" s="26" t="str">
        <f aca="false">IF($D44="","",IF($Q44=0,"A COMPLETER : "&amp;IF($B44="","DATE ENVOI; ","")&amp;IF($C44="","SOUS-TRAITANT; ","")&amp;IF($E44="","LOT SOURCE; ","")&amp;IF(OR(NOT(ISNUMBER($G44)),$G44&lt;=0),"QTE ENVOYEE &gt; 0; ","")&amp;IF(AND($D44="STOCK EXISTANT",$F44=""),"EMPL. SOURCE; ",""),IF($W44="EMPLACEMENT INCOHERENT","Le lot "&amp;$E44&amp;" n'existe pas sur "&amp;$F44&amp;" (stock 0).",IF($W44="STOCK INSUFFISANT","Disponible avant envoi : "&amp;TEXT($R44,"#,##0.00")&amp;" kg. Ligne NON comptee en stock.",IF($W44="BLOQUE","Total des sorties ("&amp;TEXT($S44,"#,##0.00")&amp;" kg) superieur a la quantite envoyee.",IF($W44="EN COURS","Envoi enregistre, resultats non connus. A completer dans ST_RESULTATS.",IF($W44="A JUSTIFIER","Ecart de "&amp;TEXT($U44,"#,##0.00")&amp;" kg : renseigner JUSTIFICATION ECART (colonne L).",IF($O44="LOT NON REFERENCE","Creer d'abord la fiche du lot dans l'onglet LOTS.",""))))))))</f>
        <v/>
      </c>
      <c r="Z44" s="27" t="n">
        <f aca="false">IF(OR($X44=0,$T44&gt;0),0,$G44)</f>
        <v>0</v>
      </c>
      <c r="AA44" s="26" t="n">
        <f aca="false">IF($Q44=0,0,IF(OR($E44=R_LOT,COUNTIFS(RES_IDST,$A44,RES_LOTEFF,R_LOT)&gt;0),1,0))</f>
        <v>0</v>
      </c>
      <c r="AB44" s="26" t="str">
        <f aca="false">IF($AA44=0,"",COUNTIF($AA$5:$AA44,1))</f>
        <v/>
      </c>
    </row>
    <row r="45" customFormat="false" ht="15" hidden="false" customHeight="false" outlineLevel="0" collapsed="false">
      <c r="A45" s="26" t="str">
        <f aca="false">IF($D45="","","ST-"&amp;TEXT(ROW()-4,"000"))</f>
        <v/>
      </c>
      <c r="B45" s="25"/>
      <c r="C45" s="24"/>
      <c r="D45" s="24"/>
      <c r="E45" s="24"/>
      <c r="F45" s="24"/>
      <c r="G45" s="29"/>
      <c r="H45" s="24"/>
      <c r="I45" s="24"/>
      <c r="J45" s="24"/>
      <c r="K45" s="25"/>
      <c r="L45" s="24"/>
      <c r="M45" s="24"/>
      <c r="N45" s="24"/>
      <c r="O45" s="26" t="str">
        <f aca="false">IF($E45="","",IFERROR(INDEX(LOT_PRODE,MATCH($E45,LOT_KEY,0)),"LOT NON REFERENCE"))</f>
        <v/>
      </c>
      <c r="P45" s="26" t="str">
        <f aca="false">IF($E45="","",IFERROR(INDEX(LOT_FOURNE,MATCH($E45,LOT_KEY,0)),""))</f>
        <v/>
      </c>
      <c r="Q45" s="28" t="n">
        <f aca="false">IF($D45="",0,IF(OR($B45="",$C45="",$E45="",NOT(ISNUMBER($G45)),$G45&lt;=0),0,IF($D45="STOCK EXISTANT",IF($F45="",0,1),1)))</f>
        <v>0</v>
      </c>
      <c r="R45" s="27" t="str">
        <f aca="false">IF(OR($Q45=0,$D45&lt;&gt;"STOCK EXISTANT"),"",SUMIFS(MVT_BRUT,MVT_LOT,$E45,MVT_EMPL,$F45)+$G45)</f>
        <v/>
      </c>
      <c r="S45" s="27" t="str">
        <f aca="false">IF($A45="","",SUMIFS(RES_QTEVAL,RES_IDST,$A45))</f>
        <v/>
      </c>
      <c r="T45" s="28" t="str">
        <f aca="false">IF($A45="","",COUNTIFS(RES_IDST,$A45))</f>
        <v/>
      </c>
      <c r="U45" s="27" t="str">
        <f aca="false">IF(OR($A45="",$T45=0),"",$G45-$S45)</f>
        <v/>
      </c>
      <c r="V45" s="30" t="str">
        <f aca="false">IF(OR($A45="",$T45=0,NOT(ISNUMBER($G45)),$G45&lt;=0),"",$S45/$G45)</f>
        <v/>
      </c>
      <c r="W45" s="26" t="str">
        <f aca="false">IF($D45="","",IF($Q45=0,"DONNEES MANQUANTES",IF($D45="STOCK EXISTANT",IF($R45&lt;=0,"EMPLACEMENT INCOHERENT",IF($G45&gt;$R45+0.001,"STOCK INSUFFISANT",IF($T45=0,"EN COURS",IF($S45&gt;$G45+0.001,"BLOQUE",IF(AND($U45&gt;P_TOL,$L45=""),"A JUSTIFIER","OK"))))),IF($T45=0,"EN COURS",IF($S45&gt;$G45+0.001,"BLOQUE",IF(AND($U45&gt;P_TOL,$L45=""),"A JUSTIFIER","OK"))))))</f>
        <v/>
      </c>
      <c r="X45" s="28" t="n">
        <f aca="false">IF(OR($W45="",$W45="DONNEES MANQUANTES",$W45="EMPLACEMENT INCOHERENT",$W45="STOCK INSUFFISANT"),0,1)</f>
        <v>0</v>
      </c>
      <c r="Y45" s="26" t="str">
        <f aca="false">IF($D45="","",IF($Q45=0,"A COMPLETER : "&amp;IF($B45="","DATE ENVOI; ","")&amp;IF($C45="","SOUS-TRAITANT; ","")&amp;IF($E45="","LOT SOURCE; ","")&amp;IF(OR(NOT(ISNUMBER($G45)),$G45&lt;=0),"QTE ENVOYEE &gt; 0; ","")&amp;IF(AND($D45="STOCK EXISTANT",$F45=""),"EMPL. SOURCE; ",""),IF($W45="EMPLACEMENT INCOHERENT","Le lot "&amp;$E45&amp;" n'existe pas sur "&amp;$F45&amp;" (stock 0).",IF($W45="STOCK INSUFFISANT","Disponible avant envoi : "&amp;TEXT($R45,"#,##0.00")&amp;" kg. Ligne NON comptee en stock.",IF($W45="BLOQUE","Total des sorties ("&amp;TEXT($S45,"#,##0.00")&amp;" kg) superieur a la quantite envoyee.",IF($W45="EN COURS","Envoi enregistre, resultats non connus. A completer dans ST_RESULTATS.",IF($W45="A JUSTIFIER","Ecart de "&amp;TEXT($U45,"#,##0.00")&amp;" kg : renseigner JUSTIFICATION ECART (colonne L).",IF($O45="LOT NON REFERENCE","Creer d'abord la fiche du lot dans l'onglet LOTS.",""))))))))</f>
        <v/>
      </c>
      <c r="Z45" s="27" t="n">
        <f aca="false">IF(OR($X45=0,$T45&gt;0),0,$G45)</f>
        <v>0</v>
      </c>
      <c r="AA45" s="26" t="n">
        <f aca="false">IF($Q45=0,0,IF(OR($E45=R_LOT,COUNTIFS(RES_IDST,$A45,RES_LOTEFF,R_LOT)&gt;0),1,0))</f>
        <v>0</v>
      </c>
      <c r="AB45" s="26" t="str">
        <f aca="false">IF($AA45=0,"",COUNTIF($AA$5:$AA45,1))</f>
        <v/>
      </c>
    </row>
    <row r="46" customFormat="false" ht="15" hidden="false" customHeight="false" outlineLevel="0" collapsed="false">
      <c r="A46" s="26" t="str">
        <f aca="false">IF($D46="","","ST-"&amp;TEXT(ROW()-4,"000"))</f>
        <v/>
      </c>
      <c r="B46" s="25"/>
      <c r="C46" s="24"/>
      <c r="D46" s="24"/>
      <c r="E46" s="24"/>
      <c r="F46" s="24"/>
      <c r="G46" s="29"/>
      <c r="H46" s="24"/>
      <c r="I46" s="24"/>
      <c r="J46" s="24"/>
      <c r="K46" s="25"/>
      <c r="L46" s="24"/>
      <c r="M46" s="24"/>
      <c r="N46" s="24"/>
      <c r="O46" s="26" t="str">
        <f aca="false">IF($E46="","",IFERROR(INDEX(LOT_PRODE,MATCH($E46,LOT_KEY,0)),"LOT NON REFERENCE"))</f>
        <v/>
      </c>
      <c r="P46" s="26" t="str">
        <f aca="false">IF($E46="","",IFERROR(INDEX(LOT_FOURNE,MATCH($E46,LOT_KEY,0)),""))</f>
        <v/>
      </c>
      <c r="Q46" s="28" t="n">
        <f aca="false">IF($D46="",0,IF(OR($B46="",$C46="",$E46="",NOT(ISNUMBER($G46)),$G46&lt;=0),0,IF($D46="STOCK EXISTANT",IF($F46="",0,1),1)))</f>
        <v>0</v>
      </c>
      <c r="R46" s="27" t="str">
        <f aca="false">IF(OR($Q46=0,$D46&lt;&gt;"STOCK EXISTANT"),"",SUMIFS(MVT_BRUT,MVT_LOT,$E46,MVT_EMPL,$F46)+$G46)</f>
        <v/>
      </c>
      <c r="S46" s="27" t="str">
        <f aca="false">IF($A46="","",SUMIFS(RES_QTEVAL,RES_IDST,$A46))</f>
        <v/>
      </c>
      <c r="T46" s="28" t="str">
        <f aca="false">IF($A46="","",COUNTIFS(RES_IDST,$A46))</f>
        <v/>
      </c>
      <c r="U46" s="27" t="str">
        <f aca="false">IF(OR($A46="",$T46=0),"",$G46-$S46)</f>
        <v/>
      </c>
      <c r="V46" s="30" t="str">
        <f aca="false">IF(OR($A46="",$T46=0,NOT(ISNUMBER($G46)),$G46&lt;=0),"",$S46/$G46)</f>
        <v/>
      </c>
      <c r="W46" s="26" t="str">
        <f aca="false">IF($D46="","",IF($Q46=0,"DONNEES MANQUANTES",IF($D46="STOCK EXISTANT",IF($R46&lt;=0,"EMPLACEMENT INCOHERENT",IF($G46&gt;$R46+0.001,"STOCK INSUFFISANT",IF($T46=0,"EN COURS",IF($S46&gt;$G46+0.001,"BLOQUE",IF(AND($U46&gt;P_TOL,$L46=""),"A JUSTIFIER","OK"))))),IF($T46=0,"EN COURS",IF($S46&gt;$G46+0.001,"BLOQUE",IF(AND($U46&gt;P_TOL,$L46=""),"A JUSTIFIER","OK"))))))</f>
        <v/>
      </c>
      <c r="X46" s="28" t="n">
        <f aca="false">IF(OR($W46="",$W46="DONNEES MANQUANTES",$W46="EMPLACEMENT INCOHERENT",$W46="STOCK INSUFFISANT"),0,1)</f>
        <v>0</v>
      </c>
      <c r="Y46" s="26" t="str">
        <f aca="false">IF($D46="","",IF($Q46=0,"A COMPLETER : "&amp;IF($B46="","DATE ENVOI; ","")&amp;IF($C46="","SOUS-TRAITANT; ","")&amp;IF($E46="","LOT SOURCE; ","")&amp;IF(OR(NOT(ISNUMBER($G46)),$G46&lt;=0),"QTE ENVOYEE &gt; 0; ","")&amp;IF(AND($D46="STOCK EXISTANT",$F46=""),"EMPL. SOURCE; ",""),IF($W46="EMPLACEMENT INCOHERENT","Le lot "&amp;$E46&amp;" n'existe pas sur "&amp;$F46&amp;" (stock 0).",IF($W46="STOCK INSUFFISANT","Disponible avant envoi : "&amp;TEXT($R46,"#,##0.00")&amp;" kg. Ligne NON comptee en stock.",IF($W46="BLOQUE","Total des sorties ("&amp;TEXT($S46,"#,##0.00")&amp;" kg) superieur a la quantite envoyee.",IF($W46="EN COURS","Envoi enregistre, resultats non connus. A completer dans ST_RESULTATS.",IF($W46="A JUSTIFIER","Ecart de "&amp;TEXT($U46,"#,##0.00")&amp;" kg : renseigner JUSTIFICATION ECART (colonne L).",IF($O46="LOT NON REFERENCE","Creer d'abord la fiche du lot dans l'onglet LOTS.",""))))))))</f>
        <v/>
      </c>
      <c r="Z46" s="27" t="n">
        <f aca="false">IF(OR($X46=0,$T46&gt;0),0,$G46)</f>
        <v>0</v>
      </c>
      <c r="AA46" s="26" t="n">
        <f aca="false">IF($Q46=0,0,IF(OR($E46=R_LOT,COUNTIFS(RES_IDST,$A46,RES_LOTEFF,R_LOT)&gt;0),1,0))</f>
        <v>0</v>
      </c>
      <c r="AB46" s="26" t="str">
        <f aca="false">IF($AA46=0,"",COUNTIF($AA$5:$AA46,1))</f>
        <v/>
      </c>
    </row>
    <row r="47" customFormat="false" ht="15" hidden="false" customHeight="false" outlineLevel="0" collapsed="false">
      <c r="A47" s="26" t="str">
        <f aca="false">IF($D47="","","ST-"&amp;TEXT(ROW()-4,"000"))</f>
        <v/>
      </c>
      <c r="B47" s="25"/>
      <c r="C47" s="24"/>
      <c r="D47" s="24"/>
      <c r="E47" s="24"/>
      <c r="F47" s="24"/>
      <c r="G47" s="29"/>
      <c r="H47" s="24"/>
      <c r="I47" s="24"/>
      <c r="J47" s="24"/>
      <c r="K47" s="25"/>
      <c r="L47" s="24"/>
      <c r="M47" s="24"/>
      <c r="N47" s="24"/>
      <c r="O47" s="26" t="str">
        <f aca="false">IF($E47="","",IFERROR(INDEX(LOT_PRODE,MATCH($E47,LOT_KEY,0)),"LOT NON REFERENCE"))</f>
        <v/>
      </c>
      <c r="P47" s="26" t="str">
        <f aca="false">IF($E47="","",IFERROR(INDEX(LOT_FOURNE,MATCH($E47,LOT_KEY,0)),""))</f>
        <v/>
      </c>
      <c r="Q47" s="28" t="n">
        <f aca="false">IF($D47="",0,IF(OR($B47="",$C47="",$E47="",NOT(ISNUMBER($G47)),$G47&lt;=0),0,IF($D47="STOCK EXISTANT",IF($F47="",0,1),1)))</f>
        <v>0</v>
      </c>
      <c r="R47" s="27" t="str">
        <f aca="false">IF(OR($Q47=0,$D47&lt;&gt;"STOCK EXISTANT"),"",SUMIFS(MVT_BRUT,MVT_LOT,$E47,MVT_EMPL,$F47)+$G47)</f>
        <v/>
      </c>
      <c r="S47" s="27" t="str">
        <f aca="false">IF($A47="","",SUMIFS(RES_QTEVAL,RES_IDST,$A47))</f>
        <v/>
      </c>
      <c r="T47" s="28" t="str">
        <f aca="false">IF($A47="","",COUNTIFS(RES_IDST,$A47))</f>
        <v/>
      </c>
      <c r="U47" s="27" t="str">
        <f aca="false">IF(OR($A47="",$T47=0),"",$G47-$S47)</f>
        <v/>
      </c>
      <c r="V47" s="30" t="str">
        <f aca="false">IF(OR($A47="",$T47=0,NOT(ISNUMBER($G47)),$G47&lt;=0),"",$S47/$G47)</f>
        <v/>
      </c>
      <c r="W47" s="26" t="str">
        <f aca="false">IF($D47="","",IF($Q47=0,"DONNEES MANQUANTES",IF($D47="STOCK EXISTANT",IF($R47&lt;=0,"EMPLACEMENT INCOHERENT",IF($G47&gt;$R47+0.001,"STOCK INSUFFISANT",IF($T47=0,"EN COURS",IF($S47&gt;$G47+0.001,"BLOQUE",IF(AND($U47&gt;P_TOL,$L47=""),"A JUSTIFIER","OK"))))),IF($T47=0,"EN COURS",IF($S47&gt;$G47+0.001,"BLOQUE",IF(AND($U47&gt;P_TOL,$L47=""),"A JUSTIFIER","OK"))))))</f>
        <v/>
      </c>
      <c r="X47" s="28" t="n">
        <f aca="false">IF(OR($W47="",$W47="DONNEES MANQUANTES",$W47="EMPLACEMENT INCOHERENT",$W47="STOCK INSUFFISANT"),0,1)</f>
        <v>0</v>
      </c>
      <c r="Y47" s="26" t="str">
        <f aca="false">IF($D47="","",IF($Q47=0,"A COMPLETER : "&amp;IF($B47="","DATE ENVOI; ","")&amp;IF($C47="","SOUS-TRAITANT; ","")&amp;IF($E47="","LOT SOURCE; ","")&amp;IF(OR(NOT(ISNUMBER($G47)),$G47&lt;=0),"QTE ENVOYEE &gt; 0; ","")&amp;IF(AND($D47="STOCK EXISTANT",$F47=""),"EMPL. SOURCE; ",""),IF($W47="EMPLACEMENT INCOHERENT","Le lot "&amp;$E47&amp;" n'existe pas sur "&amp;$F47&amp;" (stock 0).",IF($W47="STOCK INSUFFISANT","Disponible avant envoi : "&amp;TEXT($R47,"#,##0.00")&amp;" kg. Ligne NON comptee en stock.",IF($W47="BLOQUE","Total des sorties ("&amp;TEXT($S47,"#,##0.00")&amp;" kg) superieur a la quantite envoyee.",IF($W47="EN COURS","Envoi enregistre, resultats non connus. A completer dans ST_RESULTATS.",IF($W47="A JUSTIFIER","Ecart de "&amp;TEXT($U47,"#,##0.00")&amp;" kg : renseigner JUSTIFICATION ECART (colonne L).",IF($O47="LOT NON REFERENCE","Creer d'abord la fiche du lot dans l'onglet LOTS.",""))))))))</f>
        <v/>
      </c>
      <c r="Z47" s="27" t="n">
        <f aca="false">IF(OR($X47=0,$T47&gt;0),0,$G47)</f>
        <v>0</v>
      </c>
      <c r="AA47" s="26" t="n">
        <f aca="false">IF($Q47=0,0,IF(OR($E47=R_LOT,COUNTIFS(RES_IDST,$A47,RES_LOTEFF,R_LOT)&gt;0),1,0))</f>
        <v>0</v>
      </c>
      <c r="AB47" s="26" t="str">
        <f aca="false">IF($AA47=0,"",COUNTIF($AA$5:$AA47,1))</f>
        <v/>
      </c>
    </row>
    <row r="48" customFormat="false" ht="15" hidden="false" customHeight="false" outlineLevel="0" collapsed="false">
      <c r="A48" s="26" t="str">
        <f aca="false">IF($D48="","","ST-"&amp;TEXT(ROW()-4,"000"))</f>
        <v/>
      </c>
      <c r="B48" s="25"/>
      <c r="C48" s="24"/>
      <c r="D48" s="24"/>
      <c r="E48" s="24"/>
      <c r="F48" s="24"/>
      <c r="G48" s="29"/>
      <c r="H48" s="24"/>
      <c r="I48" s="24"/>
      <c r="J48" s="24"/>
      <c r="K48" s="25"/>
      <c r="L48" s="24"/>
      <c r="M48" s="24"/>
      <c r="N48" s="24"/>
      <c r="O48" s="26" t="str">
        <f aca="false">IF($E48="","",IFERROR(INDEX(LOT_PRODE,MATCH($E48,LOT_KEY,0)),"LOT NON REFERENCE"))</f>
        <v/>
      </c>
      <c r="P48" s="26" t="str">
        <f aca="false">IF($E48="","",IFERROR(INDEX(LOT_FOURNE,MATCH($E48,LOT_KEY,0)),""))</f>
        <v/>
      </c>
      <c r="Q48" s="28" t="n">
        <f aca="false">IF($D48="",0,IF(OR($B48="",$C48="",$E48="",NOT(ISNUMBER($G48)),$G48&lt;=0),0,IF($D48="STOCK EXISTANT",IF($F48="",0,1),1)))</f>
        <v>0</v>
      </c>
      <c r="R48" s="27" t="str">
        <f aca="false">IF(OR($Q48=0,$D48&lt;&gt;"STOCK EXISTANT"),"",SUMIFS(MVT_BRUT,MVT_LOT,$E48,MVT_EMPL,$F48)+$G48)</f>
        <v/>
      </c>
      <c r="S48" s="27" t="str">
        <f aca="false">IF($A48="","",SUMIFS(RES_QTEVAL,RES_IDST,$A48))</f>
        <v/>
      </c>
      <c r="T48" s="28" t="str">
        <f aca="false">IF($A48="","",COUNTIFS(RES_IDST,$A48))</f>
        <v/>
      </c>
      <c r="U48" s="27" t="str">
        <f aca="false">IF(OR($A48="",$T48=0),"",$G48-$S48)</f>
        <v/>
      </c>
      <c r="V48" s="30" t="str">
        <f aca="false">IF(OR($A48="",$T48=0,NOT(ISNUMBER($G48)),$G48&lt;=0),"",$S48/$G48)</f>
        <v/>
      </c>
      <c r="W48" s="26" t="str">
        <f aca="false">IF($D48="","",IF($Q48=0,"DONNEES MANQUANTES",IF($D48="STOCK EXISTANT",IF($R48&lt;=0,"EMPLACEMENT INCOHERENT",IF($G48&gt;$R48+0.001,"STOCK INSUFFISANT",IF($T48=0,"EN COURS",IF($S48&gt;$G48+0.001,"BLOQUE",IF(AND($U48&gt;P_TOL,$L48=""),"A JUSTIFIER","OK"))))),IF($T48=0,"EN COURS",IF($S48&gt;$G48+0.001,"BLOQUE",IF(AND($U48&gt;P_TOL,$L48=""),"A JUSTIFIER","OK"))))))</f>
        <v/>
      </c>
      <c r="X48" s="28" t="n">
        <f aca="false">IF(OR($W48="",$W48="DONNEES MANQUANTES",$W48="EMPLACEMENT INCOHERENT",$W48="STOCK INSUFFISANT"),0,1)</f>
        <v>0</v>
      </c>
      <c r="Y48" s="26" t="str">
        <f aca="false">IF($D48="","",IF($Q48=0,"A COMPLETER : "&amp;IF($B48="","DATE ENVOI; ","")&amp;IF($C48="","SOUS-TRAITANT; ","")&amp;IF($E48="","LOT SOURCE; ","")&amp;IF(OR(NOT(ISNUMBER($G48)),$G48&lt;=0),"QTE ENVOYEE &gt; 0; ","")&amp;IF(AND($D48="STOCK EXISTANT",$F48=""),"EMPL. SOURCE; ",""),IF($W48="EMPLACEMENT INCOHERENT","Le lot "&amp;$E48&amp;" n'existe pas sur "&amp;$F48&amp;" (stock 0).",IF($W48="STOCK INSUFFISANT","Disponible avant envoi : "&amp;TEXT($R48,"#,##0.00")&amp;" kg. Ligne NON comptee en stock.",IF($W48="BLOQUE","Total des sorties ("&amp;TEXT($S48,"#,##0.00")&amp;" kg) superieur a la quantite envoyee.",IF($W48="EN COURS","Envoi enregistre, resultats non connus. A completer dans ST_RESULTATS.",IF($W48="A JUSTIFIER","Ecart de "&amp;TEXT($U48,"#,##0.00")&amp;" kg : renseigner JUSTIFICATION ECART (colonne L).",IF($O48="LOT NON REFERENCE","Creer d'abord la fiche du lot dans l'onglet LOTS.",""))))))))</f>
        <v/>
      </c>
      <c r="Z48" s="27" t="n">
        <f aca="false">IF(OR($X48=0,$T48&gt;0),0,$G48)</f>
        <v>0</v>
      </c>
      <c r="AA48" s="26" t="n">
        <f aca="false">IF($Q48=0,0,IF(OR($E48=R_LOT,COUNTIFS(RES_IDST,$A48,RES_LOTEFF,R_LOT)&gt;0),1,0))</f>
        <v>0</v>
      </c>
      <c r="AB48" s="26" t="str">
        <f aca="false">IF($AA48=0,"",COUNTIF($AA$5:$AA48,1))</f>
        <v/>
      </c>
    </row>
    <row r="49" customFormat="false" ht="15" hidden="false" customHeight="false" outlineLevel="0" collapsed="false">
      <c r="A49" s="26" t="str">
        <f aca="false">IF($D49="","","ST-"&amp;TEXT(ROW()-4,"000"))</f>
        <v/>
      </c>
      <c r="B49" s="25"/>
      <c r="C49" s="24"/>
      <c r="D49" s="24"/>
      <c r="E49" s="24"/>
      <c r="F49" s="24"/>
      <c r="G49" s="29"/>
      <c r="H49" s="24"/>
      <c r="I49" s="24"/>
      <c r="J49" s="24"/>
      <c r="K49" s="25"/>
      <c r="L49" s="24"/>
      <c r="M49" s="24"/>
      <c r="N49" s="24"/>
      <c r="O49" s="26" t="str">
        <f aca="false">IF($E49="","",IFERROR(INDEX(LOT_PRODE,MATCH($E49,LOT_KEY,0)),"LOT NON REFERENCE"))</f>
        <v/>
      </c>
      <c r="P49" s="26" t="str">
        <f aca="false">IF($E49="","",IFERROR(INDEX(LOT_FOURNE,MATCH($E49,LOT_KEY,0)),""))</f>
        <v/>
      </c>
      <c r="Q49" s="28" t="n">
        <f aca="false">IF($D49="",0,IF(OR($B49="",$C49="",$E49="",NOT(ISNUMBER($G49)),$G49&lt;=0),0,IF($D49="STOCK EXISTANT",IF($F49="",0,1),1)))</f>
        <v>0</v>
      </c>
      <c r="R49" s="27" t="str">
        <f aca="false">IF(OR($Q49=0,$D49&lt;&gt;"STOCK EXISTANT"),"",SUMIFS(MVT_BRUT,MVT_LOT,$E49,MVT_EMPL,$F49)+$G49)</f>
        <v/>
      </c>
      <c r="S49" s="27" t="str">
        <f aca="false">IF($A49="","",SUMIFS(RES_QTEVAL,RES_IDST,$A49))</f>
        <v/>
      </c>
      <c r="T49" s="28" t="str">
        <f aca="false">IF($A49="","",COUNTIFS(RES_IDST,$A49))</f>
        <v/>
      </c>
      <c r="U49" s="27" t="str">
        <f aca="false">IF(OR($A49="",$T49=0),"",$G49-$S49)</f>
        <v/>
      </c>
      <c r="V49" s="30" t="str">
        <f aca="false">IF(OR($A49="",$T49=0,NOT(ISNUMBER($G49)),$G49&lt;=0),"",$S49/$G49)</f>
        <v/>
      </c>
      <c r="W49" s="26" t="str">
        <f aca="false">IF($D49="","",IF($Q49=0,"DONNEES MANQUANTES",IF($D49="STOCK EXISTANT",IF($R49&lt;=0,"EMPLACEMENT INCOHERENT",IF($G49&gt;$R49+0.001,"STOCK INSUFFISANT",IF($T49=0,"EN COURS",IF($S49&gt;$G49+0.001,"BLOQUE",IF(AND($U49&gt;P_TOL,$L49=""),"A JUSTIFIER","OK"))))),IF($T49=0,"EN COURS",IF($S49&gt;$G49+0.001,"BLOQUE",IF(AND($U49&gt;P_TOL,$L49=""),"A JUSTIFIER","OK"))))))</f>
        <v/>
      </c>
      <c r="X49" s="28" t="n">
        <f aca="false">IF(OR($W49="",$W49="DONNEES MANQUANTES",$W49="EMPLACEMENT INCOHERENT",$W49="STOCK INSUFFISANT"),0,1)</f>
        <v>0</v>
      </c>
      <c r="Y49" s="26" t="str">
        <f aca="false">IF($D49="","",IF($Q49=0,"A COMPLETER : "&amp;IF($B49="","DATE ENVOI; ","")&amp;IF($C49="","SOUS-TRAITANT; ","")&amp;IF($E49="","LOT SOURCE; ","")&amp;IF(OR(NOT(ISNUMBER($G49)),$G49&lt;=0),"QTE ENVOYEE &gt; 0; ","")&amp;IF(AND($D49="STOCK EXISTANT",$F49=""),"EMPL. SOURCE; ",""),IF($W49="EMPLACEMENT INCOHERENT","Le lot "&amp;$E49&amp;" n'existe pas sur "&amp;$F49&amp;" (stock 0).",IF($W49="STOCK INSUFFISANT","Disponible avant envoi : "&amp;TEXT($R49,"#,##0.00")&amp;" kg. Ligne NON comptee en stock.",IF($W49="BLOQUE","Total des sorties ("&amp;TEXT($S49,"#,##0.00")&amp;" kg) superieur a la quantite envoyee.",IF($W49="EN COURS","Envoi enregistre, resultats non connus. A completer dans ST_RESULTATS.",IF($W49="A JUSTIFIER","Ecart de "&amp;TEXT($U49,"#,##0.00")&amp;" kg : renseigner JUSTIFICATION ECART (colonne L).",IF($O49="LOT NON REFERENCE","Creer d'abord la fiche du lot dans l'onglet LOTS.",""))))))))</f>
        <v/>
      </c>
      <c r="Z49" s="27" t="n">
        <f aca="false">IF(OR($X49=0,$T49&gt;0),0,$G49)</f>
        <v>0</v>
      </c>
      <c r="AA49" s="26" t="n">
        <f aca="false">IF($Q49=0,0,IF(OR($E49=R_LOT,COUNTIFS(RES_IDST,$A49,RES_LOTEFF,R_LOT)&gt;0),1,0))</f>
        <v>0</v>
      </c>
      <c r="AB49" s="26" t="str">
        <f aca="false">IF($AA49=0,"",COUNTIF($AA$5:$AA49,1))</f>
        <v/>
      </c>
    </row>
    <row r="50" customFormat="false" ht="15" hidden="false" customHeight="false" outlineLevel="0" collapsed="false">
      <c r="A50" s="26" t="str">
        <f aca="false">IF($D50="","","ST-"&amp;TEXT(ROW()-4,"000"))</f>
        <v/>
      </c>
      <c r="B50" s="25"/>
      <c r="C50" s="24"/>
      <c r="D50" s="24"/>
      <c r="E50" s="24"/>
      <c r="F50" s="24"/>
      <c r="G50" s="29"/>
      <c r="H50" s="24"/>
      <c r="I50" s="24"/>
      <c r="J50" s="24"/>
      <c r="K50" s="25"/>
      <c r="L50" s="24"/>
      <c r="M50" s="24"/>
      <c r="N50" s="24"/>
      <c r="O50" s="26" t="str">
        <f aca="false">IF($E50="","",IFERROR(INDEX(LOT_PRODE,MATCH($E50,LOT_KEY,0)),"LOT NON REFERENCE"))</f>
        <v/>
      </c>
      <c r="P50" s="26" t="str">
        <f aca="false">IF($E50="","",IFERROR(INDEX(LOT_FOURNE,MATCH($E50,LOT_KEY,0)),""))</f>
        <v/>
      </c>
      <c r="Q50" s="28" t="n">
        <f aca="false">IF($D50="",0,IF(OR($B50="",$C50="",$E50="",NOT(ISNUMBER($G50)),$G50&lt;=0),0,IF($D50="STOCK EXISTANT",IF($F50="",0,1),1)))</f>
        <v>0</v>
      </c>
      <c r="R50" s="27" t="str">
        <f aca="false">IF(OR($Q50=0,$D50&lt;&gt;"STOCK EXISTANT"),"",SUMIFS(MVT_BRUT,MVT_LOT,$E50,MVT_EMPL,$F50)+$G50)</f>
        <v/>
      </c>
      <c r="S50" s="27" t="str">
        <f aca="false">IF($A50="","",SUMIFS(RES_QTEVAL,RES_IDST,$A50))</f>
        <v/>
      </c>
      <c r="T50" s="28" t="str">
        <f aca="false">IF($A50="","",COUNTIFS(RES_IDST,$A50))</f>
        <v/>
      </c>
      <c r="U50" s="27" t="str">
        <f aca="false">IF(OR($A50="",$T50=0),"",$G50-$S50)</f>
        <v/>
      </c>
      <c r="V50" s="30" t="str">
        <f aca="false">IF(OR($A50="",$T50=0,NOT(ISNUMBER($G50)),$G50&lt;=0),"",$S50/$G50)</f>
        <v/>
      </c>
      <c r="W50" s="26" t="str">
        <f aca="false">IF($D50="","",IF($Q50=0,"DONNEES MANQUANTES",IF($D50="STOCK EXISTANT",IF($R50&lt;=0,"EMPLACEMENT INCOHERENT",IF($G50&gt;$R50+0.001,"STOCK INSUFFISANT",IF($T50=0,"EN COURS",IF($S50&gt;$G50+0.001,"BLOQUE",IF(AND($U50&gt;P_TOL,$L50=""),"A JUSTIFIER","OK"))))),IF($T50=0,"EN COURS",IF($S50&gt;$G50+0.001,"BLOQUE",IF(AND($U50&gt;P_TOL,$L50=""),"A JUSTIFIER","OK"))))))</f>
        <v/>
      </c>
      <c r="X50" s="28" t="n">
        <f aca="false">IF(OR($W50="",$W50="DONNEES MANQUANTES",$W50="EMPLACEMENT INCOHERENT",$W50="STOCK INSUFFISANT"),0,1)</f>
        <v>0</v>
      </c>
      <c r="Y50" s="26" t="str">
        <f aca="false">IF($D50="","",IF($Q50=0,"A COMPLETER : "&amp;IF($B50="","DATE ENVOI; ","")&amp;IF($C50="","SOUS-TRAITANT; ","")&amp;IF($E50="","LOT SOURCE; ","")&amp;IF(OR(NOT(ISNUMBER($G50)),$G50&lt;=0),"QTE ENVOYEE &gt; 0; ","")&amp;IF(AND($D50="STOCK EXISTANT",$F50=""),"EMPL. SOURCE; ",""),IF($W50="EMPLACEMENT INCOHERENT","Le lot "&amp;$E50&amp;" n'existe pas sur "&amp;$F50&amp;" (stock 0).",IF($W50="STOCK INSUFFISANT","Disponible avant envoi : "&amp;TEXT($R50,"#,##0.00")&amp;" kg. Ligne NON comptee en stock.",IF($W50="BLOQUE","Total des sorties ("&amp;TEXT($S50,"#,##0.00")&amp;" kg) superieur a la quantite envoyee.",IF($W50="EN COURS","Envoi enregistre, resultats non connus. A completer dans ST_RESULTATS.",IF($W50="A JUSTIFIER","Ecart de "&amp;TEXT($U50,"#,##0.00")&amp;" kg : renseigner JUSTIFICATION ECART (colonne L).",IF($O50="LOT NON REFERENCE","Creer d'abord la fiche du lot dans l'onglet LOTS.",""))))))))</f>
        <v/>
      </c>
      <c r="Z50" s="27" t="n">
        <f aca="false">IF(OR($X50=0,$T50&gt;0),0,$G50)</f>
        <v>0</v>
      </c>
      <c r="AA50" s="26" t="n">
        <f aca="false">IF($Q50=0,0,IF(OR($E50=R_LOT,COUNTIFS(RES_IDST,$A50,RES_LOTEFF,R_LOT)&gt;0),1,0))</f>
        <v>0</v>
      </c>
      <c r="AB50" s="26" t="str">
        <f aca="false">IF($AA50=0,"",COUNTIF($AA$5:$AA50,1))</f>
        <v/>
      </c>
    </row>
    <row r="51" customFormat="false" ht="15" hidden="false" customHeight="false" outlineLevel="0" collapsed="false">
      <c r="A51" s="26" t="str">
        <f aca="false">IF($D51="","","ST-"&amp;TEXT(ROW()-4,"000"))</f>
        <v/>
      </c>
      <c r="B51" s="25"/>
      <c r="C51" s="24"/>
      <c r="D51" s="24"/>
      <c r="E51" s="24"/>
      <c r="F51" s="24"/>
      <c r="G51" s="29"/>
      <c r="H51" s="24"/>
      <c r="I51" s="24"/>
      <c r="J51" s="24"/>
      <c r="K51" s="25"/>
      <c r="L51" s="24"/>
      <c r="M51" s="24"/>
      <c r="N51" s="24"/>
      <c r="O51" s="26" t="str">
        <f aca="false">IF($E51="","",IFERROR(INDEX(LOT_PRODE,MATCH($E51,LOT_KEY,0)),"LOT NON REFERENCE"))</f>
        <v/>
      </c>
      <c r="P51" s="26" t="str">
        <f aca="false">IF($E51="","",IFERROR(INDEX(LOT_FOURNE,MATCH($E51,LOT_KEY,0)),""))</f>
        <v/>
      </c>
      <c r="Q51" s="28" t="n">
        <f aca="false">IF($D51="",0,IF(OR($B51="",$C51="",$E51="",NOT(ISNUMBER($G51)),$G51&lt;=0),0,IF($D51="STOCK EXISTANT",IF($F51="",0,1),1)))</f>
        <v>0</v>
      </c>
      <c r="R51" s="27" t="str">
        <f aca="false">IF(OR($Q51=0,$D51&lt;&gt;"STOCK EXISTANT"),"",SUMIFS(MVT_BRUT,MVT_LOT,$E51,MVT_EMPL,$F51)+$G51)</f>
        <v/>
      </c>
      <c r="S51" s="27" t="str">
        <f aca="false">IF($A51="","",SUMIFS(RES_QTEVAL,RES_IDST,$A51))</f>
        <v/>
      </c>
      <c r="T51" s="28" t="str">
        <f aca="false">IF($A51="","",COUNTIFS(RES_IDST,$A51))</f>
        <v/>
      </c>
      <c r="U51" s="27" t="str">
        <f aca="false">IF(OR($A51="",$T51=0),"",$G51-$S51)</f>
        <v/>
      </c>
      <c r="V51" s="30" t="str">
        <f aca="false">IF(OR($A51="",$T51=0,NOT(ISNUMBER($G51)),$G51&lt;=0),"",$S51/$G51)</f>
        <v/>
      </c>
      <c r="W51" s="26" t="str">
        <f aca="false">IF($D51="","",IF($Q51=0,"DONNEES MANQUANTES",IF($D51="STOCK EXISTANT",IF($R51&lt;=0,"EMPLACEMENT INCOHERENT",IF($G51&gt;$R51+0.001,"STOCK INSUFFISANT",IF($T51=0,"EN COURS",IF($S51&gt;$G51+0.001,"BLOQUE",IF(AND($U51&gt;P_TOL,$L51=""),"A JUSTIFIER","OK"))))),IF($T51=0,"EN COURS",IF($S51&gt;$G51+0.001,"BLOQUE",IF(AND($U51&gt;P_TOL,$L51=""),"A JUSTIFIER","OK"))))))</f>
        <v/>
      </c>
      <c r="X51" s="28" t="n">
        <f aca="false">IF(OR($W51="",$W51="DONNEES MANQUANTES",$W51="EMPLACEMENT INCOHERENT",$W51="STOCK INSUFFISANT"),0,1)</f>
        <v>0</v>
      </c>
      <c r="Y51" s="26" t="str">
        <f aca="false">IF($D51="","",IF($Q51=0,"A COMPLETER : "&amp;IF($B51="","DATE ENVOI; ","")&amp;IF($C51="","SOUS-TRAITANT; ","")&amp;IF($E51="","LOT SOURCE; ","")&amp;IF(OR(NOT(ISNUMBER($G51)),$G51&lt;=0),"QTE ENVOYEE &gt; 0; ","")&amp;IF(AND($D51="STOCK EXISTANT",$F51=""),"EMPL. SOURCE; ",""),IF($W51="EMPLACEMENT INCOHERENT","Le lot "&amp;$E51&amp;" n'existe pas sur "&amp;$F51&amp;" (stock 0).",IF($W51="STOCK INSUFFISANT","Disponible avant envoi : "&amp;TEXT($R51,"#,##0.00")&amp;" kg. Ligne NON comptee en stock.",IF($W51="BLOQUE","Total des sorties ("&amp;TEXT($S51,"#,##0.00")&amp;" kg) superieur a la quantite envoyee.",IF($W51="EN COURS","Envoi enregistre, resultats non connus. A completer dans ST_RESULTATS.",IF($W51="A JUSTIFIER","Ecart de "&amp;TEXT($U51,"#,##0.00")&amp;" kg : renseigner JUSTIFICATION ECART (colonne L).",IF($O51="LOT NON REFERENCE","Creer d'abord la fiche du lot dans l'onglet LOTS.",""))))))))</f>
        <v/>
      </c>
      <c r="Z51" s="27" t="n">
        <f aca="false">IF(OR($X51=0,$T51&gt;0),0,$G51)</f>
        <v>0</v>
      </c>
      <c r="AA51" s="26" t="n">
        <f aca="false">IF($Q51=0,0,IF(OR($E51=R_LOT,COUNTIFS(RES_IDST,$A51,RES_LOTEFF,R_LOT)&gt;0),1,0))</f>
        <v>0</v>
      </c>
      <c r="AB51" s="26" t="str">
        <f aca="false">IF($AA51=0,"",COUNTIF($AA$5:$AA51,1))</f>
        <v/>
      </c>
    </row>
    <row r="52" customFormat="false" ht="15" hidden="false" customHeight="false" outlineLevel="0" collapsed="false">
      <c r="A52" s="26" t="str">
        <f aca="false">IF($D52="","","ST-"&amp;TEXT(ROW()-4,"000"))</f>
        <v/>
      </c>
      <c r="B52" s="25"/>
      <c r="C52" s="24"/>
      <c r="D52" s="24"/>
      <c r="E52" s="24"/>
      <c r="F52" s="24"/>
      <c r="G52" s="29"/>
      <c r="H52" s="24"/>
      <c r="I52" s="24"/>
      <c r="J52" s="24"/>
      <c r="K52" s="25"/>
      <c r="L52" s="24"/>
      <c r="M52" s="24"/>
      <c r="N52" s="24"/>
      <c r="O52" s="26" t="str">
        <f aca="false">IF($E52="","",IFERROR(INDEX(LOT_PRODE,MATCH($E52,LOT_KEY,0)),"LOT NON REFERENCE"))</f>
        <v/>
      </c>
      <c r="P52" s="26" t="str">
        <f aca="false">IF($E52="","",IFERROR(INDEX(LOT_FOURNE,MATCH($E52,LOT_KEY,0)),""))</f>
        <v/>
      </c>
      <c r="Q52" s="28" t="n">
        <f aca="false">IF($D52="",0,IF(OR($B52="",$C52="",$E52="",NOT(ISNUMBER($G52)),$G52&lt;=0),0,IF($D52="STOCK EXISTANT",IF($F52="",0,1),1)))</f>
        <v>0</v>
      </c>
      <c r="R52" s="27" t="str">
        <f aca="false">IF(OR($Q52=0,$D52&lt;&gt;"STOCK EXISTANT"),"",SUMIFS(MVT_BRUT,MVT_LOT,$E52,MVT_EMPL,$F52)+$G52)</f>
        <v/>
      </c>
      <c r="S52" s="27" t="str">
        <f aca="false">IF($A52="","",SUMIFS(RES_QTEVAL,RES_IDST,$A52))</f>
        <v/>
      </c>
      <c r="T52" s="28" t="str">
        <f aca="false">IF($A52="","",COUNTIFS(RES_IDST,$A52))</f>
        <v/>
      </c>
      <c r="U52" s="27" t="str">
        <f aca="false">IF(OR($A52="",$T52=0),"",$G52-$S52)</f>
        <v/>
      </c>
      <c r="V52" s="30" t="str">
        <f aca="false">IF(OR($A52="",$T52=0,NOT(ISNUMBER($G52)),$G52&lt;=0),"",$S52/$G52)</f>
        <v/>
      </c>
      <c r="W52" s="26" t="str">
        <f aca="false">IF($D52="","",IF($Q52=0,"DONNEES MANQUANTES",IF($D52="STOCK EXISTANT",IF($R52&lt;=0,"EMPLACEMENT INCOHERENT",IF($G52&gt;$R52+0.001,"STOCK INSUFFISANT",IF($T52=0,"EN COURS",IF($S52&gt;$G52+0.001,"BLOQUE",IF(AND($U52&gt;P_TOL,$L52=""),"A JUSTIFIER","OK"))))),IF($T52=0,"EN COURS",IF($S52&gt;$G52+0.001,"BLOQUE",IF(AND($U52&gt;P_TOL,$L52=""),"A JUSTIFIER","OK"))))))</f>
        <v/>
      </c>
      <c r="X52" s="28" t="n">
        <f aca="false">IF(OR($W52="",$W52="DONNEES MANQUANTES",$W52="EMPLACEMENT INCOHERENT",$W52="STOCK INSUFFISANT"),0,1)</f>
        <v>0</v>
      </c>
      <c r="Y52" s="26" t="str">
        <f aca="false">IF($D52="","",IF($Q52=0,"A COMPLETER : "&amp;IF($B52="","DATE ENVOI; ","")&amp;IF($C52="","SOUS-TRAITANT; ","")&amp;IF($E52="","LOT SOURCE; ","")&amp;IF(OR(NOT(ISNUMBER($G52)),$G52&lt;=0),"QTE ENVOYEE &gt; 0; ","")&amp;IF(AND($D52="STOCK EXISTANT",$F52=""),"EMPL. SOURCE; ",""),IF($W52="EMPLACEMENT INCOHERENT","Le lot "&amp;$E52&amp;" n'existe pas sur "&amp;$F52&amp;" (stock 0).",IF($W52="STOCK INSUFFISANT","Disponible avant envoi : "&amp;TEXT($R52,"#,##0.00")&amp;" kg. Ligne NON comptee en stock.",IF($W52="BLOQUE","Total des sorties ("&amp;TEXT($S52,"#,##0.00")&amp;" kg) superieur a la quantite envoyee.",IF($W52="EN COURS","Envoi enregistre, resultats non connus. A completer dans ST_RESULTATS.",IF($W52="A JUSTIFIER","Ecart de "&amp;TEXT($U52,"#,##0.00")&amp;" kg : renseigner JUSTIFICATION ECART (colonne L).",IF($O52="LOT NON REFERENCE","Creer d'abord la fiche du lot dans l'onglet LOTS.",""))))))))</f>
        <v/>
      </c>
      <c r="Z52" s="27" t="n">
        <f aca="false">IF(OR($X52=0,$T52&gt;0),0,$G52)</f>
        <v>0</v>
      </c>
      <c r="AA52" s="26" t="n">
        <f aca="false">IF($Q52=0,0,IF(OR($E52=R_LOT,COUNTIFS(RES_IDST,$A52,RES_LOTEFF,R_LOT)&gt;0),1,0))</f>
        <v>0</v>
      </c>
      <c r="AB52" s="26" t="str">
        <f aca="false">IF($AA52=0,"",COUNTIF($AA$5:$AA52,1))</f>
        <v/>
      </c>
    </row>
    <row r="53" customFormat="false" ht="15" hidden="false" customHeight="false" outlineLevel="0" collapsed="false">
      <c r="A53" s="26" t="str">
        <f aca="false">IF($D53="","","ST-"&amp;TEXT(ROW()-4,"000"))</f>
        <v/>
      </c>
      <c r="B53" s="25"/>
      <c r="C53" s="24"/>
      <c r="D53" s="24"/>
      <c r="E53" s="24"/>
      <c r="F53" s="24"/>
      <c r="G53" s="29"/>
      <c r="H53" s="24"/>
      <c r="I53" s="24"/>
      <c r="J53" s="24"/>
      <c r="K53" s="25"/>
      <c r="L53" s="24"/>
      <c r="M53" s="24"/>
      <c r="N53" s="24"/>
      <c r="O53" s="26" t="str">
        <f aca="false">IF($E53="","",IFERROR(INDEX(LOT_PRODE,MATCH($E53,LOT_KEY,0)),"LOT NON REFERENCE"))</f>
        <v/>
      </c>
      <c r="P53" s="26" t="str">
        <f aca="false">IF($E53="","",IFERROR(INDEX(LOT_FOURNE,MATCH($E53,LOT_KEY,0)),""))</f>
        <v/>
      </c>
      <c r="Q53" s="28" t="n">
        <f aca="false">IF($D53="",0,IF(OR($B53="",$C53="",$E53="",NOT(ISNUMBER($G53)),$G53&lt;=0),0,IF($D53="STOCK EXISTANT",IF($F53="",0,1),1)))</f>
        <v>0</v>
      </c>
      <c r="R53" s="27" t="str">
        <f aca="false">IF(OR($Q53=0,$D53&lt;&gt;"STOCK EXISTANT"),"",SUMIFS(MVT_BRUT,MVT_LOT,$E53,MVT_EMPL,$F53)+$G53)</f>
        <v/>
      </c>
      <c r="S53" s="27" t="str">
        <f aca="false">IF($A53="","",SUMIFS(RES_QTEVAL,RES_IDST,$A53))</f>
        <v/>
      </c>
      <c r="T53" s="28" t="str">
        <f aca="false">IF($A53="","",COUNTIFS(RES_IDST,$A53))</f>
        <v/>
      </c>
      <c r="U53" s="27" t="str">
        <f aca="false">IF(OR($A53="",$T53=0),"",$G53-$S53)</f>
        <v/>
      </c>
      <c r="V53" s="30" t="str">
        <f aca="false">IF(OR($A53="",$T53=0,NOT(ISNUMBER($G53)),$G53&lt;=0),"",$S53/$G53)</f>
        <v/>
      </c>
      <c r="W53" s="26" t="str">
        <f aca="false">IF($D53="","",IF($Q53=0,"DONNEES MANQUANTES",IF($D53="STOCK EXISTANT",IF($R53&lt;=0,"EMPLACEMENT INCOHERENT",IF($G53&gt;$R53+0.001,"STOCK INSUFFISANT",IF($T53=0,"EN COURS",IF($S53&gt;$G53+0.001,"BLOQUE",IF(AND($U53&gt;P_TOL,$L53=""),"A JUSTIFIER","OK"))))),IF($T53=0,"EN COURS",IF($S53&gt;$G53+0.001,"BLOQUE",IF(AND($U53&gt;P_TOL,$L53=""),"A JUSTIFIER","OK"))))))</f>
        <v/>
      </c>
      <c r="X53" s="28" t="n">
        <f aca="false">IF(OR($W53="",$W53="DONNEES MANQUANTES",$W53="EMPLACEMENT INCOHERENT",$W53="STOCK INSUFFISANT"),0,1)</f>
        <v>0</v>
      </c>
      <c r="Y53" s="26" t="str">
        <f aca="false">IF($D53="","",IF($Q53=0,"A COMPLETER : "&amp;IF($B53="","DATE ENVOI; ","")&amp;IF($C53="","SOUS-TRAITANT; ","")&amp;IF($E53="","LOT SOURCE; ","")&amp;IF(OR(NOT(ISNUMBER($G53)),$G53&lt;=0),"QTE ENVOYEE &gt; 0; ","")&amp;IF(AND($D53="STOCK EXISTANT",$F53=""),"EMPL. SOURCE; ",""),IF($W53="EMPLACEMENT INCOHERENT","Le lot "&amp;$E53&amp;" n'existe pas sur "&amp;$F53&amp;" (stock 0).",IF($W53="STOCK INSUFFISANT","Disponible avant envoi : "&amp;TEXT($R53,"#,##0.00")&amp;" kg. Ligne NON comptee en stock.",IF($W53="BLOQUE","Total des sorties ("&amp;TEXT($S53,"#,##0.00")&amp;" kg) superieur a la quantite envoyee.",IF($W53="EN COURS","Envoi enregistre, resultats non connus. A completer dans ST_RESULTATS.",IF($W53="A JUSTIFIER","Ecart de "&amp;TEXT($U53,"#,##0.00")&amp;" kg : renseigner JUSTIFICATION ECART (colonne L).",IF($O53="LOT NON REFERENCE","Creer d'abord la fiche du lot dans l'onglet LOTS.",""))))))))</f>
        <v/>
      </c>
      <c r="Z53" s="27" t="n">
        <f aca="false">IF(OR($X53=0,$T53&gt;0),0,$G53)</f>
        <v>0</v>
      </c>
      <c r="AA53" s="26" t="n">
        <f aca="false">IF($Q53=0,0,IF(OR($E53=R_LOT,COUNTIFS(RES_IDST,$A53,RES_LOTEFF,R_LOT)&gt;0),1,0))</f>
        <v>0</v>
      </c>
      <c r="AB53" s="26" t="str">
        <f aca="false">IF($AA53=0,"",COUNTIF($AA$5:$AA53,1))</f>
        <v/>
      </c>
    </row>
    <row r="54" customFormat="false" ht="15" hidden="false" customHeight="false" outlineLevel="0" collapsed="false">
      <c r="A54" s="26" t="str">
        <f aca="false">IF($D54="","","ST-"&amp;TEXT(ROW()-4,"000"))</f>
        <v/>
      </c>
      <c r="B54" s="25"/>
      <c r="C54" s="24"/>
      <c r="D54" s="24"/>
      <c r="E54" s="24"/>
      <c r="F54" s="24"/>
      <c r="G54" s="29"/>
      <c r="H54" s="24"/>
      <c r="I54" s="24"/>
      <c r="J54" s="24"/>
      <c r="K54" s="25"/>
      <c r="L54" s="24"/>
      <c r="M54" s="24"/>
      <c r="N54" s="24"/>
      <c r="O54" s="26" t="str">
        <f aca="false">IF($E54="","",IFERROR(INDEX(LOT_PRODE,MATCH($E54,LOT_KEY,0)),"LOT NON REFERENCE"))</f>
        <v/>
      </c>
      <c r="P54" s="26" t="str">
        <f aca="false">IF($E54="","",IFERROR(INDEX(LOT_FOURNE,MATCH($E54,LOT_KEY,0)),""))</f>
        <v/>
      </c>
      <c r="Q54" s="28" t="n">
        <f aca="false">IF($D54="",0,IF(OR($B54="",$C54="",$E54="",NOT(ISNUMBER($G54)),$G54&lt;=0),0,IF($D54="STOCK EXISTANT",IF($F54="",0,1),1)))</f>
        <v>0</v>
      </c>
      <c r="R54" s="27" t="str">
        <f aca="false">IF(OR($Q54=0,$D54&lt;&gt;"STOCK EXISTANT"),"",SUMIFS(MVT_BRUT,MVT_LOT,$E54,MVT_EMPL,$F54)+$G54)</f>
        <v/>
      </c>
      <c r="S54" s="27" t="str">
        <f aca="false">IF($A54="","",SUMIFS(RES_QTEVAL,RES_IDST,$A54))</f>
        <v/>
      </c>
      <c r="T54" s="28" t="str">
        <f aca="false">IF($A54="","",COUNTIFS(RES_IDST,$A54))</f>
        <v/>
      </c>
      <c r="U54" s="27" t="str">
        <f aca="false">IF(OR($A54="",$T54=0),"",$G54-$S54)</f>
        <v/>
      </c>
      <c r="V54" s="30" t="str">
        <f aca="false">IF(OR($A54="",$T54=0,NOT(ISNUMBER($G54)),$G54&lt;=0),"",$S54/$G54)</f>
        <v/>
      </c>
      <c r="W54" s="26" t="str">
        <f aca="false">IF($D54="","",IF($Q54=0,"DONNEES MANQUANTES",IF($D54="STOCK EXISTANT",IF($R54&lt;=0,"EMPLACEMENT INCOHERENT",IF($G54&gt;$R54+0.001,"STOCK INSUFFISANT",IF($T54=0,"EN COURS",IF($S54&gt;$G54+0.001,"BLOQUE",IF(AND($U54&gt;P_TOL,$L54=""),"A JUSTIFIER","OK"))))),IF($T54=0,"EN COURS",IF($S54&gt;$G54+0.001,"BLOQUE",IF(AND($U54&gt;P_TOL,$L54=""),"A JUSTIFIER","OK"))))))</f>
        <v/>
      </c>
      <c r="X54" s="28" t="n">
        <f aca="false">IF(OR($W54="",$W54="DONNEES MANQUANTES",$W54="EMPLACEMENT INCOHERENT",$W54="STOCK INSUFFISANT"),0,1)</f>
        <v>0</v>
      </c>
      <c r="Y54" s="26" t="str">
        <f aca="false">IF($D54="","",IF($Q54=0,"A COMPLETER : "&amp;IF($B54="","DATE ENVOI; ","")&amp;IF($C54="","SOUS-TRAITANT; ","")&amp;IF($E54="","LOT SOURCE; ","")&amp;IF(OR(NOT(ISNUMBER($G54)),$G54&lt;=0),"QTE ENVOYEE &gt; 0; ","")&amp;IF(AND($D54="STOCK EXISTANT",$F54=""),"EMPL. SOURCE; ",""),IF($W54="EMPLACEMENT INCOHERENT","Le lot "&amp;$E54&amp;" n'existe pas sur "&amp;$F54&amp;" (stock 0).",IF($W54="STOCK INSUFFISANT","Disponible avant envoi : "&amp;TEXT($R54,"#,##0.00")&amp;" kg. Ligne NON comptee en stock.",IF($W54="BLOQUE","Total des sorties ("&amp;TEXT($S54,"#,##0.00")&amp;" kg) superieur a la quantite envoyee.",IF($W54="EN COURS","Envoi enregistre, resultats non connus. A completer dans ST_RESULTATS.",IF($W54="A JUSTIFIER","Ecart de "&amp;TEXT($U54,"#,##0.00")&amp;" kg : renseigner JUSTIFICATION ECART (colonne L).",IF($O54="LOT NON REFERENCE","Creer d'abord la fiche du lot dans l'onglet LOTS.",""))))))))</f>
        <v/>
      </c>
      <c r="Z54" s="27" t="n">
        <f aca="false">IF(OR($X54=0,$T54&gt;0),0,$G54)</f>
        <v>0</v>
      </c>
      <c r="AA54" s="26" t="n">
        <f aca="false">IF($Q54=0,0,IF(OR($E54=R_LOT,COUNTIFS(RES_IDST,$A54,RES_LOTEFF,R_LOT)&gt;0),1,0))</f>
        <v>0</v>
      </c>
      <c r="AB54" s="26" t="str">
        <f aca="false">IF($AA54=0,"",COUNTIF($AA$5:$AA54,1))</f>
        <v/>
      </c>
    </row>
    <row r="55" customFormat="false" ht="15" hidden="false" customHeight="false" outlineLevel="0" collapsed="false">
      <c r="A55" s="26" t="str">
        <f aca="false">IF($D55="","","ST-"&amp;TEXT(ROW()-4,"000"))</f>
        <v/>
      </c>
      <c r="B55" s="25"/>
      <c r="C55" s="24"/>
      <c r="D55" s="24"/>
      <c r="E55" s="24"/>
      <c r="F55" s="24"/>
      <c r="G55" s="29"/>
      <c r="H55" s="24"/>
      <c r="I55" s="24"/>
      <c r="J55" s="24"/>
      <c r="K55" s="25"/>
      <c r="L55" s="24"/>
      <c r="M55" s="24"/>
      <c r="N55" s="24"/>
      <c r="O55" s="26" t="str">
        <f aca="false">IF($E55="","",IFERROR(INDEX(LOT_PRODE,MATCH($E55,LOT_KEY,0)),"LOT NON REFERENCE"))</f>
        <v/>
      </c>
      <c r="P55" s="26" t="str">
        <f aca="false">IF($E55="","",IFERROR(INDEX(LOT_FOURNE,MATCH($E55,LOT_KEY,0)),""))</f>
        <v/>
      </c>
      <c r="Q55" s="28" t="n">
        <f aca="false">IF($D55="",0,IF(OR($B55="",$C55="",$E55="",NOT(ISNUMBER($G55)),$G55&lt;=0),0,IF($D55="STOCK EXISTANT",IF($F55="",0,1),1)))</f>
        <v>0</v>
      </c>
      <c r="R55" s="27" t="str">
        <f aca="false">IF(OR($Q55=0,$D55&lt;&gt;"STOCK EXISTANT"),"",SUMIFS(MVT_BRUT,MVT_LOT,$E55,MVT_EMPL,$F55)+$G55)</f>
        <v/>
      </c>
      <c r="S55" s="27" t="str">
        <f aca="false">IF($A55="","",SUMIFS(RES_QTEVAL,RES_IDST,$A55))</f>
        <v/>
      </c>
      <c r="T55" s="28" t="str">
        <f aca="false">IF($A55="","",COUNTIFS(RES_IDST,$A55))</f>
        <v/>
      </c>
      <c r="U55" s="27" t="str">
        <f aca="false">IF(OR($A55="",$T55=0),"",$G55-$S55)</f>
        <v/>
      </c>
      <c r="V55" s="30" t="str">
        <f aca="false">IF(OR($A55="",$T55=0,NOT(ISNUMBER($G55)),$G55&lt;=0),"",$S55/$G55)</f>
        <v/>
      </c>
      <c r="W55" s="26" t="str">
        <f aca="false">IF($D55="","",IF($Q55=0,"DONNEES MANQUANTES",IF($D55="STOCK EXISTANT",IF($R55&lt;=0,"EMPLACEMENT INCOHERENT",IF($G55&gt;$R55+0.001,"STOCK INSUFFISANT",IF($T55=0,"EN COURS",IF($S55&gt;$G55+0.001,"BLOQUE",IF(AND($U55&gt;P_TOL,$L55=""),"A JUSTIFIER","OK"))))),IF($T55=0,"EN COURS",IF($S55&gt;$G55+0.001,"BLOQUE",IF(AND($U55&gt;P_TOL,$L55=""),"A JUSTIFIER","OK"))))))</f>
        <v/>
      </c>
      <c r="X55" s="28" t="n">
        <f aca="false">IF(OR($W55="",$W55="DONNEES MANQUANTES",$W55="EMPLACEMENT INCOHERENT",$W55="STOCK INSUFFISANT"),0,1)</f>
        <v>0</v>
      </c>
      <c r="Y55" s="26" t="str">
        <f aca="false">IF($D55="","",IF($Q55=0,"A COMPLETER : "&amp;IF($B55="","DATE ENVOI; ","")&amp;IF($C55="","SOUS-TRAITANT; ","")&amp;IF($E55="","LOT SOURCE; ","")&amp;IF(OR(NOT(ISNUMBER($G55)),$G55&lt;=0),"QTE ENVOYEE &gt; 0; ","")&amp;IF(AND($D55="STOCK EXISTANT",$F55=""),"EMPL. SOURCE; ",""),IF($W55="EMPLACEMENT INCOHERENT","Le lot "&amp;$E55&amp;" n'existe pas sur "&amp;$F55&amp;" (stock 0).",IF($W55="STOCK INSUFFISANT","Disponible avant envoi : "&amp;TEXT($R55,"#,##0.00")&amp;" kg. Ligne NON comptee en stock.",IF($W55="BLOQUE","Total des sorties ("&amp;TEXT($S55,"#,##0.00")&amp;" kg) superieur a la quantite envoyee.",IF($W55="EN COURS","Envoi enregistre, resultats non connus. A completer dans ST_RESULTATS.",IF($W55="A JUSTIFIER","Ecart de "&amp;TEXT($U55,"#,##0.00")&amp;" kg : renseigner JUSTIFICATION ECART (colonne L).",IF($O55="LOT NON REFERENCE","Creer d'abord la fiche du lot dans l'onglet LOTS.",""))))))))</f>
        <v/>
      </c>
      <c r="Z55" s="27" t="n">
        <f aca="false">IF(OR($X55=0,$T55&gt;0),0,$G55)</f>
        <v>0</v>
      </c>
      <c r="AA55" s="26" t="n">
        <f aca="false">IF($Q55=0,0,IF(OR($E55=R_LOT,COUNTIFS(RES_IDST,$A55,RES_LOTEFF,R_LOT)&gt;0),1,0))</f>
        <v>0</v>
      </c>
      <c r="AB55" s="26" t="str">
        <f aca="false">IF($AA55=0,"",COUNTIF($AA$5:$AA55,1))</f>
        <v/>
      </c>
    </row>
    <row r="56" customFormat="false" ht="15" hidden="false" customHeight="false" outlineLevel="0" collapsed="false">
      <c r="A56" s="26" t="str">
        <f aca="false">IF($D56="","","ST-"&amp;TEXT(ROW()-4,"000"))</f>
        <v/>
      </c>
      <c r="B56" s="25"/>
      <c r="C56" s="24"/>
      <c r="D56" s="24"/>
      <c r="E56" s="24"/>
      <c r="F56" s="24"/>
      <c r="G56" s="29"/>
      <c r="H56" s="24"/>
      <c r="I56" s="24"/>
      <c r="J56" s="24"/>
      <c r="K56" s="25"/>
      <c r="L56" s="24"/>
      <c r="M56" s="24"/>
      <c r="N56" s="24"/>
      <c r="O56" s="26" t="str">
        <f aca="false">IF($E56="","",IFERROR(INDEX(LOT_PRODE,MATCH($E56,LOT_KEY,0)),"LOT NON REFERENCE"))</f>
        <v/>
      </c>
      <c r="P56" s="26" t="str">
        <f aca="false">IF($E56="","",IFERROR(INDEX(LOT_FOURNE,MATCH($E56,LOT_KEY,0)),""))</f>
        <v/>
      </c>
      <c r="Q56" s="28" t="n">
        <f aca="false">IF($D56="",0,IF(OR($B56="",$C56="",$E56="",NOT(ISNUMBER($G56)),$G56&lt;=0),0,IF($D56="STOCK EXISTANT",IF($F56="",0,1),1)))</f>
        <v>0</v>
      </c>
      <c r="R56" s="27" t="str">
        <f aca="false">IF(OR($Q56=0,$D56&lt;&gt;"STOCK EXISTANT"),"",SUMIFS(MVT_BRUT,MVT_LOT,$E56,MVT_EMPL,$F56)+$G56)</f>
        <v/>
      </c>
      <c r="S56" s="27" t="str">
        <f aca="false">IF($A56="","",SUMIFS(RES_QTEVAL,RES_IDST,$A56))</f>
        <v/>
      </c>
      <c r="T56" s="28" t="str">
        <f aca="false">IF($A56="","",COUNTIFS(RES_IDST,$A56))</f>
        <v/>
      </c>
      <c r="U56" s="27" t="str">
        <f aca="false">IF(OR($A56="",$T56=0),"",$G56-$S56)</f>
        <v/>
      </c>
      <c r="V56" s="30" t="str">
        <f aca="false">IF(OR($A56="",$T56=0,NOT(ISNUMBER($G56)),$G56&lt;=0),"",$S56/$G56)</f>
        <v/>
      </c>
      <c r="W56" s="26" t="str">
        <f aca="false">IF($D56="","",IF($Q56=0,"DONNEES MANQUANTES",IF($D56="STOCK EXISTANT",IF($R56&lt;=0,"EMPLACEMENT INCOHERENT",IF($G56&gt;$R56+0.001,"STOCK INSUFFISANT",IF($T56=0,"EN COURS",IF($S56&gt;$G56+0.001,"BLOQUE",IF(AND($U56&gt;P_TOL,$L56=""),"A JUSTIFIER","OK"))))),IF($T56=0,"EN COURS",IF($S56&gt;$G56+0.001,"BLOQUE",IF(AND($U56&gt;P_TOL,$L56=""),"A JUSTIFIER","OK"))))))</f>
        <v/>
      </c>
      <c r="X56" s="28" t="n">
        <f aca="false">IF(OR($W56="",$W56="DONNEES MANQUANTES",$W56="EMPLACEMENT INCOHERENT",$W56="STOCK INSUFFISANT"),0,1)</f>
        <v>0</v>
      </c>
      <c r="Y56" s="26" t="str">
        <f aca="false">IF($D56="","",IF($Q56=0,"A COMPLETER : "&amp;IF($B56="","DATE ENVOI; ","")&amp;IF($C56="","SOUS-TRAITANT; ","")&amp;IF($E56="","LOT SOURCE; ","")&amp;IF(OR(NOT(ISNUMBER($G56)),$G56&lt;=0),"QTE ENVOYEE &gt; 0; ","")&amp;IF(AND($D56="STOCK EXISTANT",$F56=""),"EMPL. SOURCE; ",""),IF($W56="EMPLACEMENT INCOHERENT","Le lot "&amp;$E56&amp;" n'existe pas sur "&amp;$F56&amp;" (stock 0).",IF($W56="STOCK INSUFFISANT","Disponible avant envoi : "&amp;TEXT($R56,"#,##0.00")&amp;" kg. Ligne NON comptee en stock.",IF($W56="BLOQUE","Total des sorties ("&amp;TEXT($S56,"#,##0.00")&amp;" kg) superieur a la quantite envoyee.",IF($W56="EN COURS","Envoi enregistre, resultats non connus. A completer dans ST_RESULTATS.",IF($W56="A JUSTIFIER","Ecart de "&amp;TEXT($U56,"#,##0.00")&amp;" kg : renseigner JUSTIFICATION ECART (colonne L).",IF($O56="LOT NON REFERENCE","Creer d'abord la fiche du lot dans l'onglet LOTS.",""))))))))</f>
        <v/>
      </c>
      <c r="Z56" s="27" t="n">
        <f aca="false">IF(OR($X56=0,$T56&gt;0),0,$G56)</f>
        <v>0</v>
      </c>
      <c r="AA56" s="26" t="n">
        <f aca="false">IF($Q56=0,0,IF(OR($E56=R_LOT,COUNTIFS(RES_IDST,$A56,RES_LOTEFF,R_LOT)&gt;0),1,0))</f>
        <v>0</v>
      </c>
      <c r="AB56" s="26" t="str">
        <f aca="false">IF($AA56=0,"",COUNTIF($AA$5:$AA56,1))</f>
        <v/>
      </c>
    </row>
    <row r="57" customFormat="false" ht="15" hidden="false" customHeight="false" outlineLevel="0" collapsed="false">
      <c r="A57" s="26" t="str">
        <f aca="false">IF($D57="","","ST-"&amp;TEXT(ROW()-4,"000"))</f>
        <v/>
      </c>
      <c r="B57" s="25"/>
      <c r="C57" s="24"/>
      <c r="D57" s="24"/>
      <c r="E57" s="24"/>
      <c r="F57" s="24"/>
      <c r="G57" s="29"/>
      <c r="H57" s="24"/>
      <c r="I57" s="24"/>
      <c r="J57" s="24"/>
      <c r="K57" s="25"/>
      <c r="L57" s="24"/>
      <c r="M57" s="24"/>
      <c r="N57" s="24"/>
      <c r="O57" s="26" t="str">
        <f aca="false">IF($E57="","",IFERROR(INDEX(LOT_PRODE,MATCH($E57,LOT_KEY,0)),"LOT NON REFERENCE"))</f>
        <v/>
      </c>
      <c r="P57" s="26" t="str">
        <f aca="false">IF($E57="","",IFERROR(INDEX(LOT_FOURNE,MATCH($E57,LOT_KEY,0)),""))</f>
        <v/>
      </c>
      <c r="Q57" s="28" t="n">
        <f aca="false">IF($D57="",0,IF(OR($B57="",$C57="",$E57="",NOT(ISNUMBER($G57)),$G57&lt;=0),0,IF($D57="STOCK EXISTANT",IF($F57="",0,1),1)))</f>
        <v>0</v>
      </c>
      <c r="R57" s="27" t="str">
        <f aca="false">IF(OR($Q57=0,$D57&lt;&gt;"STOCK EXISTANT"),"",SUMIFS(MVT_BRUT,MVT_LOT,$E57,MVT_EMPL,$F57)+$G57)</f>
        <v/>
      </c>
      <c r="S57" s="27" t="str">
        <f aca="false">IF($A57="","",SUMIFS(RES_QTEVAL,RES_IDST,$A57))</f>
        <v/>
      </c>
      <c r="T57" s="28" t="str">
        <f aca="false">IF($A57="","",COUNTIFS(RES_IDST,$A57))</f>
        <v/>
      </c>
      <c r="U57" s="27" t="str">
        <f aca="false">IF(OR($A57="",$T57=0),"",$G57-$S57)</f>
        <v/>
      </c>
      <c r="V57" s="30" t="str">
        <f aca="false">IF(OR($A57="",$T57=0,NOT(ISNUMBER($G57)),$G57&lt;=0),"",$S57/$G57)</f>
        <v/>
      </c>
      <c r="W57" s="26" t="str">
        <f aca="false">IF($D57="","",IF($Q57=0,"DONNEES MANQUANTES",IF($D57="STOCK EXISTANT",IF($R57&lt;=0,"EMPLACEMENT INCOHERENT",IF($G57&gt;$R57+0.001,"STOCK INSUFFISANT",IF($T57=0,"EN COURS",IF($S57&gt;$G57+0.001,"BLOQUE",IF(AND($U57&gt;P_TOL,$L57=""),"A JUSTIFIER","OK"))))),IF($T57=0,"EN COURS",IF($S57&gt;$G57+0.001,"BLOQUE",IF(AND($U57&gt;P_TOL,$L57=""),"A JUSTIFIER","OK"))))))</f>
        <v/>
      </c>
      <c r="X57" s="28" t="n">
        <f aca="false">IF(OR($W57="",$W57="DONNEES MANQUANTES",$W57="EMPLACEMENT INCOHERENT",$W57="STOCK INSUFFISANT"),0,1)</f>
        <v>0</v>
      </c>
      <c r="Y57" s="26" t="str">
        <f aca="false">IF($D57="","",IF($Q57=0,"A COMPLETER : "&amp;IF($B57="","DATE ENVOI; ","")&amp;IF($C57="","SOUS-TRAITANT; ","")&amp;IF($E57="","LOT SOURCE; ","")&amp;IF(OR(NOT(ISNUMBER($G57)),$G57&lt;=0),"QTE ENVOYEE &gt; 0; ","")&amp;IF(AND($D57="STOCK EXISTANT",$F57=""),"EMPL. SOURCE; ",""),IF($W57="EMPLACEMENT INCOHERENT","Le lot "&amp;$E57&amp;" n'existe pas sur "&amp;$F57&amp;" (stock 0).",IF($W57="STOCK INSUFFISANT","Disponible avant envoi : "&amp;TEXT($R57,"#,##0.00")&amp;" kg. Ligne NON comptee en stock.",IF($W57="BLOQUE","Total des sorties ("&amp;TEXT($S57,"#,##0.00")&amp;" kg) superieur a la quantite envoyee.",IF($W57="EN COURS","Envoi enregistre, resultats non connus. A completer dans ST_RESULTATS.",IF($W57="A JUSTIFIER","Ecart de "&amp;TEXT($U57,"#,##0.00")&amp;" kg : renseigner JUSTIFICATION ECART (colonne L).",IF($O57="LOT NON REFERENCE","Creer d'abord la fiche du lot dans l'onglet LOTS.",""))))))))</f>
        <v/>
      </c>
      <c r="Z57" s="27" t="n">
        <f aca="false">IF(OR($X57=0,$T57&gt;0),0,$G57)</f>
        <v>0</v>
      </c>
      <c r="AA57" s="26" t="n">
        <f aca="false">IF($Q57=0,0,IF(OR($E57=R_LOT,COUNTIFS(RES_IDST,$A57,RES_LOTEFF,R_LOT)&gt;0),1,0))</f>
        <v>0</v>
      </c>
      <c r="AB57" s="26" t="str">
        <f aca="false">IF($AA57=0,"",COUNTIF($AA$5:$AA57,1))</f>
        <v/>
      </c>
    </row>
    <row r="58" customFormat="false" ht="15" hidden="false" customHeight="false" outlineLevel="0" collapsed="false">
      <c r="A58" s="26" t="str">
        <f aca="false">IF($D58="","","ST-"&amp;TEXT(ROW()-4,"000"))</f>
        <v/>
      </c>
      <c r="B58" s="25"/>
      <c r="C58" s="24"/>
      <c r="D58" s="24"/>
      <c r="E58" s="24"/>
      <c r="F58" s="24"/>
      <c r="G58" s="29"/>
      <c r="H58" s="24"/>
      <c r="I58" s="24"/>
      <c r="J58" s="24"/>
      <c r="K58" s="25"/>
      <c r="L58" s="24"/>
      <c r="M58" s="24"/>
      <c r="N58" s="24"/>
      <c r="O58" s="26" t="str">
        <f aca="false">IF($E58="","",IFERROR(INDEX(LOT_PRODE,MATCH($E58,LOT_KEY,0)),"LOT NON REFERENCE"))</f>
        <v/>
      </c>
      <c r="P58" s="26" t="str">
        <f aca="false">IF($E58="","",IFERROR(INDEX(LOT_FOURNE,MATCH($E58,LOT_KEY,0)),""))</f>
        <v/>
      </c>
      <c r="Q58" s="28" t="n">
        <f aca="false">IF($D58="",0,IF(OR($B58="",$C58="",$E58="",NOT(ISNUMBER($G58)),$G58&lt;=0),0,IF($D58="STOCK EXISTANT",IF($F58="",0,1),1)))</f>
        <v>0</v>
      </c>
      <c r="R58" s="27" t="str">
        <f aca="false">IF(OR($Q58=0,$D58&lt;&gt;"STOCK EXISTANT"),"",SUMIFS(MVT_BRUT,MVT_LOT,$E58,MVT_EMPL,$F58)+$G58)</f>
        <v/>
      </c>
      <c r="S58" s="27" t="str">
        <f aca="false">IF($A58="","",SUMIFS(RES_QTEVAL,RES_IDST,$A58))</f>
        <v/>
      </c>
      <c r="T58" s="28" t="str">
        <f aca="false">IF($A58="","",COUNTIFS(RES_IDST,$A58))</f>
        <v/>
      </c>
      <c r="U58" s="27" t="str">
        <f aca="false">IF(OR($A58="",$T58=0),"",$G58-$S58)</f>
        <v/>
      </c>
      <c r="V58" s="30" t="str">
        <f aca="false">IF(OR($A58="",$T58=0,NOT(ISNUMBER($G58)),$G58&lt;=0),"",$S58/$G58)</f>
        <v/>
      </c>
      <c r="W58" s="26" t="str">
        <f aca="false">IF($D58="","",IF($Q58=0,"DONNEES MANQUANTES",IF($D58="STOCK EXISTANT",IF($R58&lt;=0,"EMPLACEMENT INCOHERENT",IF($G58&gt;$R58+0.001,"STOCK INSUFFISANT",IF($T58=0,"EN COURS",IF($S58&gt;$G58+0.001,"BLOQUE",IF(AND($U58&gt;P_TOL,$L58=""),"A JUSTIFIER","OK"))))),IF($T58=0,"EN COURS",IF($S58&gt;$G58+0.001,"BLOQUE",IF(AND($U58&gt;P_TOL,$L58=""),"A JUSTIFIER","OK"))))))</f>
        <v/>
      </c>
      <c r="X58" s="28" t="n">
        <f aca="false">IF(OR($W58="",$W58="DONNEES MANQUANTES",$W58="EMPLACEMENT INCOHERENT",$W58="STOCK INSUFFISANT"),0,1)</f>
        <v>0</v>
      </c>
      <c r="Y58" s="26" t="str">
        <f aca="false">IF($D58="","",IF($Q58=0,"A COMPLETER : "&amp;IF($B58="","DATE ENVOI; ","")&amp;IF($C58="","SOUS-TRAITANT; ","")&amp;IF($E58="","LOT SOURCE; ","")&amp;IF(OR(NOT(ISNUMBER($G58)),$G58&lt;=0),"QTE ENVOYEE &gt; 0; ","")&amp;IF(AND($D58="STOCK EXISTANT",$F58=""),"EMPL. SOURCE; ",""),IF($W58="EMPLACEMENT INCOHERENT","Le lot "&amp;$E58&amp;" n'existe pas sur "&amp;$F58&amp;" (stock 0).",IF($W58="STOCK INSUFFISANT","Disponible avant envoi : "&amp;TEXT($R58,"#,##0.00")&amp;" kg. Ligne NON comptee en stock.",IF($W58="BLOQUE","Total des sorties ("&amp;TEXT($S58,"#,##0.00")&amp;" kg) superieur a la quantite envoyee.",IF($W58="EN COURS","Envoi enregistre, resultats non connus. A completer dans ST_RESULTATS.",IF($W58="A JUSTIFIER","Ecart de "&amp;TEXT($U58,"#,##0.00")&amp;" kg : renseigner JUSTIFICATION ECART (colonne L).",IF($O58="LOT NON REFERENCE","Creer d'abord la fiche du lot dans l'onglet LOTS.",""))))))))</f>
        <v/>
      </c>
      <c r="Z58" s="27" t="n">
        <f aca="false">IF(OR($X58=0,$T58&gt;0),0,$G58)</f>
        <v>0</v>
      </c>
      <c r="AA58" s="26" t="n">
        <f aca="false">IF($Q58=0,0,IF(OR($E58=R_LOT,COUNTIFS(RES_IDST,$A58,RES_LOTEFF,R_LOT)&gt;0),1,0))</f>
        <v>0</v>
      </c>
      <c r="AB58" s="26" t="str">
        <f aca="false">IF($AA58=0,"",COUNTIF($AA$5:$AA58,1))</f>
        <v/>
      </c>
    </row>
    <row r="59" customFormat="false" ht="15" hidden="false" customHeight="false" outlineLevel="0" collapsed="false">
      <c r="A59" s="26" t="str">
        <f aca="false">IF($D59="","","ST-"&amp;TEXT(ROW()-4,"000"))</f>
        <v/>
      </c>
      <c r="B59" s="25"/>
      <c r="C59" s="24"/>
      <c r="D59" s="24"/>
      <c r="E59" s="24"/>
      <c r="F59" s="24"/>
      <c r="G59" s="29"/>
      <c r="H59" s="24"/>
      <c r="I59" s="24"/>
      <c r="J59" s="24"/>
      <c r="K59" s="25"/>
      <c r="L59" s="24"/>
      <c r="M59" s="24"/>
      <c r="N59" s="24"/>
      <c r="O59" s="26" t="str">
        <f aca="false">IF($E59="","",IFERROR(INDEX(LOT_PRODE,MATCH($E59,LOT_KEY,0)),"LOT NON REFERENCE"))</f>
        <v/>
      </c>
      <c r="P59" s="26" t="str">
        <f aca="false">IF($E59="","",IFERROR(INDEX(LOT_FOURNE,MATCH($E59,LOT_KEY,0)),""))</f>
        <v/>
      </c>
      <c r="Q59" s="28" t="n">
        <f aca="false">IF($D59="",0,IF(OR($B59="",$C59="",$E59="",NOT(ISNUMBER($G59)),$G59&lt;=0),0,IF($D59="STOCK EXISTANT",IF($F59="",0,1),1)))</f>
        <v>0</v>
      </c>
      <c r="R59" s="27" t="str">
        <f aca="false">IF(OR($Q59=0,$D59&lt;&gt;"STOCK EXISTANT"),"",SUMIFS(MVT_BRUT,MVT_LOT,$E59,MVT_EMPL,$F59)+$G59)</f>
        <v/>
      </c>
      <c r="S59" s="27" t="str">
        <f aca="false">IF($A59="","",SUMIFS(RES_QTEVAL,RES_IDST,$A59))</f>
        <v/>
      </c>
      <c r="T59" s="28" t="str">
        <f aca="false">IF($A59="","",COUNTIFS(RES_IDST,$A59))</f>
        <v/>
      </c>
      <c r="U59" s="27" t="str">
        <f aca="false">IF(OR($A59="",$T59=0),"",$G59-$S59)</f>
        <v/>
      </c>
      <c r="V59" s="30" t="str">
        <f aca="false">IF(OR($A59="",$T59=0,NOT(ISNUMBER($G59)),$G59&lt;=0),"",$S59/$G59)</f>
        <v/>
      </c>
      <c r="W59" s="26" t="str">
        <f aca="false">IF($D59="","",IF($Q59=0,"DONNEES MANQUANTES",IF($D59="STOCK EXISTANT",IF($R59&lt;=0,"EMPLACEMENT INCOHERENT",IF($G59&gt;$R59+0.001,"STOCK INSUFFISANT",IF($T59=0,"EN COURS",IF($S59&gt;$G59+0.001,"BLOQUE",IF(AND($U59&gt;P_TOL,$L59=""),"A JUSTIFIER","OK"))))),IF($T59=0,"EN COURS",IF($S59&gt;$G59+0.001,"BLOQUE",IF(AND($U59&gt;P_TOL,$L59=""),"A JUSTIFIER","OK"))))))</f>
        <v/>
      </c>
      <c r="X59" s="28" t="n">
        <f aca="false">IF(OR($W59="",$W59="DONNEES MANQUANTES",$W59="EMPLACEMENT INCOHERENT",$W59="STOCK INSUFFISANT"),0,1)</f>
        <v>0</v>
      </c>
      <c r="Y59" s="26" t="str">
        <f aca="false">IF($D59="","",IF($Q59=0,"A COMPLETER : "&amp;IF($B59="","DATE ENVOI; ","")&amp;IF($C59="","SOUS-TRAITANT; ","")&amp;IF($E59="","LOT SOURCE; ","")&amp;IF(OR(NOT(ISNUMBER($G59)),$G59&lt;=0),"QTE ENVOYEE &gt; 0; ","")&amp;IF(AND($D59="STOCK EXISTANT",$F59=""),"EMPL. SOURCE; ",""),IF($W59="EMPLACEMENT INCOHERENT","Le lot "&amp;$E59&amp;" n'existe pas sur "&amp;$F59&amp;" (stock 0).",IF($W59="STOCK INSUFFISANT","Disponible avant envoi : "&amp;TEXT($R59,"#,##0.00")&amp;" kg. Ligne NON comptee en stock.",IF($W59="BLOQUE","Total des sorties ("&amp;TEXT($S59,"#,##0.00")&amp;" kg) superieur a la quantite envoyee.",IF($W59="EN COURS","Envoi enregistre, resultats non connus. A completer dans ST_RESULTATS.",IF($W59="A JUSTIFIER","Ecart de "&amp;TEXT($U59,"#,##0.00")&amp;" kg : renseigner JUSTIFICATION ECART (colonne L).",IF($O59="LOT NON REFERENCE","Creer d'abord la fiche du lot dans l'onglet LOTS.",""))))))))</f>
        <v/>
      </c>
      <c r="Z59" s="27" t="n">
        <f aca="false">IF(OR($X59=0,$T59&gt;0),0,$G59)</f>
        <v>0</v>
      </c>
      <c r="AA59" s="26" t="n">
        <f aca="false">IF($Q59=0,0,IF(OR($E59=R_LOT,COUNTIFS(RES_IDST,$A59,RES_LOTEFF,R_LOT)&gt;0),1,0))</f>
        <v>0</v>
      </c>
      <c r="AB59" s="26" t="str">
        <f aca="false">IF($AA59=0,"",COUNTIF($AA$5:$AA59,1))</f>
        <v/>
      </c>
    </row>
    <row r="60" customFormat="false" ht="15" hidden="false" customHeight="false" outlineLevel="0" collapsed="false">
      <c r="A60" s="26" t="str">
        <f aca="false">IF($D60="","","ST-"&amp;TEXT(ROW()-4,"000"))</f>
        <v/>
      </c>
      <c r="B60" s="25"/>
      <c r="C60" s="24"/>
      <c r="D60" s="24"/>
      <c r="E60" s="24"/>
      <c r="F60" s="24"/>
      <c r="G60" s="29"/>
      <c r="H60" s="24"/>
      <c r="I60" s="24"/>
      <c r="J60" s="24"/>
      <c r="K60" s="25"/>
      <c r="L60" s="24"/>
      <c r="M60" s="24"/>
      <c r="N60" s="24"/>
      <c r="O60" s="26" t="str">
        <f aca="false">IF($E60="","",IFERROR(INDEX(LOT_PRODE,MATCH($E60,LOT_KEY,0)),"LOT NON REFERENCE"))</f>
        <v/>
      </c>
      <c r="P60" s="26" t="str">
        <f aca="false">IF($E60="","",IFERROR(INDEX(LOT_FOURNE,MATCH($E60,LOT_KEY,0)),""))</f>
        <v/>
      </c>
      <c r="Q60" s="28" t="n">
        <f aca="false">IF($D60="",0,IF(OR($B60="",$C60="",$E60="",NOT(ISNUMBER($G60)),$G60&lt;=0),0,IF($D60="STOCK EXISTANT",IF($F60="",0,1),1)))</f>
        <v>0</v>
      </c>
      <c r="R60" s="27" t="str">
        <f aca="false">IF(OR($Q60=0,$D60&lt;&gt;"STOCK EXISTANT"),"",SUMIFS(MVT_BRUT,MVT_LOT,$E60,MVT_EMPL,$F60)+$G60)</f>
        <v/>
      </c>
      <c r="S60" s="27" t="str">
        <f aca="false">IF($A60="","",SUMIFS(RES_QTEVAL,RES_IDST,$A60))</f>
        <v/>
      </c>
      <c r="T60" s="28" t="str">
        <f aca="false">IF($A60="","",COUNTIFS(RES_IDST,$A60))</f>
        <v/>
      </c>
      <c r="U60" s="27" t="str">
        <f aca="false">IF(OR($A60="",$T60=0),"",$G60-$S60)</f>
        <v/>
      </c>
      <c r="V60" s="30" t="str">
        <f aca="false">IF(OR($A60="",$T60=0,NOT(ISNUMBER($G60)),$G60&lt;=0),"",$S60/$G60)</f>
        <v/>
      </c>
      <c r="W60" s="26" t="str">
        <f aca="false">IF($D60="","",IF($Q60=0,"DONNEES MANQUANTES",IF($D60="STOCK EXISTANT",IF($R60&lt;=0,"EMPLACEMENT INCOHERENT",IF($G60&gt;$R60+0.001,"STOCK INSUFFISANT",IF($T60=0,"EN COURS",IF($S60&gt;$G60+0.001,"BLOQUE",IF(AND($U60&gt;P_TOL,$L60=""),"A JUSTIFIER","OK"))))),IF($T60=0,"EN COURS",IF($S60&gt;$G60+0.001,"BLOQUE",IF(AND($U60&gt;P_TOL,$L60=""),"A JUSTIFIER","OK"))))))</f>
        <v/>
      </c>
      <c r="X60" s="28" t="n">
        <f aca="false">IF(OR($W60="",$W60="DONNEES MANQUANTES",$W60="EMPLACEMENT INCOHERENT",$W60="STOCK INSUFFISANT"),0,1)</f>
        <v>0</v>
      </c>
      <c r="Y60" s="26" t="str">
        <f aca="false">IF($D60="","",IF($Q60=0,"A COMPLETER : "&amp;IF($B60="","DATE ENVOI; ","")&amp;IF($C60="","SOUS-TRAITANT; ","")&amp;IF($E60="","LOT SOURCE; ","")&amp;IF(OR(NOT(ISNUMBER($G60)),$G60&lt;=0),"QTE ENVOYEE &gt; 0; ","")&amp;IF(AND($D60="STOCK EXISTANT",$F60=""),"EMPL. SOURCE; ",""),IF($W60="EMPLACEMENT INCOHERENT","Le lot "&amp;$E60&amp;" n'existe pas sur "&amp;$F60&amp;" (stock 0).",IF($W60="STOCK INSUFFISANT","Disponible avant envoi : "&amp;TEXT($R60,"#,##0.00")&amp;" kg. Ligne NON comptee en stock.",IF($W60="BLOQUE","Total des sorties ("&amp;TEXT($S60,"#,##0.00")&amp;" kg) superieur a la quantite envoyee.",IF($W60="EN COURS","Envoi enregistre, resultats non connus. A completer dans ST_RESULTATS.",IF($W60="A JUSTIFIER","Ecart de "&amp;TEXT($U60,"#,##0.00")&amp;" kg : renseigner JUSTIFICATION ECART (colonne L).",IF($O60="LOT NON REFERENCE","Creer d'abord la fiche du lot dans l'onglet LOTS.",""))))))))</f>
        <v/>
      </c>
      <c r="Z60" s="27" t="n">
        <f aca="false">IF(OR($X60=0,$T60&gt;0),0,$G60)</f>
        <v>0</v>
      </c>
      <c r="AA60" s="26" t="n">
        <f aca="false">IF($Q60=0,0,IF(OR($E60=R_LOT,COUNTIFS(RES_IDST,$A60,RES_LOTEFF,R_LOT)&gt;0),1,0))</f>
        <v>0</v>
      </c>
      <c r="AB60" s="26" t="str">
        <f aca="false">IF($AA60=0,"",COUNTIF($AA$5:$AA60,1))</f>
        <v/>
      </c>
    </row>
    <row r="61" customFormat="false" ht="15" hidden="false" customHeight="false" outlineLevel="0" collapsed="false">
      <c r="A61" s="26" t="str">
        <f aca="false">IF($D61="","","ST-"&amp;TEXT(ROW()-4,"000"))</f>
        <v/>
      </c>
      <c r="B61" s="25"/>
      <c r="C61" s="24"/>
      <c r="D61" s="24"/>
      <c r="E61" s="24"/>
      <c r="F61" s="24"/>
      <c r="G61" s="29"/>
      <c r="H61" s="24"/>
      <c r="I61" s="24"/>
      <c r="J61" s="24"/>
      <c r="K61" s="25"/>
      <c r="L61" s="24"/>
      <c r="M61" s="24"/>
      <c r="N61" s="24"/>
      <c r="O61" s="26" t="str">
        <f aca="false">IF($E61="","",IFERROR(INDEX(LOT_PRODE,MATCH($E61,LOT_KEY,0)),"LOT NON REFERENCE"))</f>
        <v/>
      </c>
      <c r="P61" s="26" t="str">
        <f aca="false">IF($E61="","",IFERROR(INDEX(LOT_FOURNE,MATCH($E61,LOT_KEY,0)),""))</f>
        <v/>
      </c>
      <c r="Q61" s="28" t="n">
        <f aca="false">IF($D61="",0,IF(OR($B61="",$C61="",$E61="",NOT(ISNUMBER($G61)),$G61&lt;=0),0,IF($D61="STOCK EXISTANT",IF($F61="",0,1),1)))</f>
        <v>0</v>
      </c>
      <c r="R61" s="27" t="str">
        <f aca="false">IF(OR($Q61=0,$D61&lt;&gt;"STOCK EXISTANT"),"",SUMIFS(MVT_BRUT,MVT_LOT,$E61,MVT_EMPL,$F61)+$G61)</f>
        <v/>
      </c>
      <c r="S61" s="27" t="str">
        <f aca="false">IF($A61="","",SUMIFS(RES_QTEVAL,RES_IDST,$A61))</f>
        <v/>
      </c>
      <c r="T61" s="28" t="str">
        <f aca="false">IF($A61="","",COUNTIFS(RES_IDST,$A61))</f>
        <v/>
      </c>
      <c r="U61" s="27" t="str">
        <f aca="false">IF(OR($A61="",$T61=0),"",$G61-$S61)</f>
        <v/>
      </c>
      <c r="V61" s="30" t="str">
        <f aca="false">IF(OR($A61="",$T61=0,NOT(ISNUMBER($G61)),$G61&lt;=0),"",$S61/$G61)</f>
        <v/>
      </c>
      <c r="W61" s="26" t="str">
        <f aca="false">IF($D61="","",IF($Q61=0,"DONNEES MANQUANTES",IF($D61="STOCK EXISTANT",IF($R61&lt;=0,"EMPLACEMENT INCOHERENT",IF($G61&gt;$R61+0.001,"STOCK INSUFFISANT",IF($T61=0,"EN COURS",IF($S61&gt;$G61+0.001,"BLOQUE",IF(AND($U61&gt;P_TOL,$L61=""),"A JUSTIFIER","OK"))))),IF($T61=0,"EN COURS",IF($S61&gt;$G61+0.001,"BLOQUE",IF(AND($U61&gt;P_TOL,$L61=""),"A JUSTIFIER","OK"))))))</f>
        <v/>
      </c>
      <c r="X61" s="28" t="n">
        <f aca="false">IF(OR($W61="",$W61="DONNEES MANQUANTES",$W61="EMPLACEMENT INCOHERENT",$W61="STOCK INSUFFISANT"),0,1)</f>
        <v>0</v>
      </c>
      <c r="Y61" s="26" t="str">
        <f aca="false">IF($D61="","",IF($Q61=0,"A COMPLETER : "&amp;IF($B61="","DATE ENVOI; ","")&amp;IF($C61="","SOUS-TRAITANT; ","")&amp;IF($E61="","LOT SOURCE; ","")&amp;IF(OR(NOT(ISNUMBER($G61)),$G61&lt;=0),"QTE ENVOYEE &gt; 0; ","")&amp;IF(AND($D61="STOCK EXISTANT",$F61=""),"EMPL. SOURCE; ",""),IF($W61="EMPLACEMENT INCOHERENT","Le lot "&amp;$E61&amp;" n'existe pas sur "&amp;$F61&amp;" (stock 0).",IF($W61="STOCK INSUFFISANT","Disponible avant envoi : "&amp;TEXT($R61,"#,##0.00")&amp;" kg. Ligne NON comptee en stock.",IF($W61="BLOQUE","Total des sorties ("&amp;TEXT($S61,"#,##0.00")&amp;" kg) superieur a la quantite envoyee.",IF($W61="EN COURS","Envoi enregistre, resultats non connus. A completer dans ST_RESULTATS.",IF($W61="A JUSTIFIER","Ecart de "&amp;TEXT($U61,"#,##0.00")&amp;" kg : renseigner JUSTIFICATION ECART (colonne L).",IF($O61="LOT NON REFERENCE","Creer d'abord la fiche du lot dans l'onglet LOTS.",""))))))))</f>
        <v/>
      </c>
      <c r="Z61" s="27" t="n">
        <f aca="false">IF(OR($X61=0,$T61&gt;0),0,$G61)</f>
        <v>0</v>
      </c>
      <c r="AA61" s="26" t="n">
        <f aca="false">IF($Q61=0,0,IF(OR($E61=R_LOT,COUNTIFS(RES_IDST,$A61,RES_LOTEFF,R_LOT)&gt;0),1,0))</f>
        <v>0</v>
      </c>
      <c r="AB61" s="26" t="str">
        <f aca="false">IF($AA61=0,"",COUNTIF($AA$5:$AA61,1))</f>
        <v/>
      </c>
    </row>
    <row r="62" customFormat="false" ht="15" hidden="false" customHeight="false" outlineLevel="0" collapsed="false">
      <c r="A62" s="26" t="str">
        <f aca="false">IF($D62="","","ST-"&amp;TEXT(ROW()-4,"000"))</f>
        <v/>
      </c>
      <c r="B62" s="25"/>
      <c r="C62" s="24"/>
      <c r="D62" s="24"/>
      <c r="E62" s="24"/>
      <c r="F62" s="24"/>
      <c r="G62" s="29"/>
      <c r="H62" s="24"/>
      <c r="I62" s="24"/>
      <c r="J62" s="24"/>
      <c r="K62" s="25"/>
      <c r="L62" s="24"/>
      <c r="M62" s="24"/>
      <c r="N62" s="24"/>
      <c r="O62" s="26" t="str">
        <f aca="false">IF($E62="","",IFERROR(INDEX(LOT_PRODE,MATCH($E62,LOT_KEY,0)),"LOT NON REFERENCE"))</f>
        <v/>
      </c>
      <c r="P62" s="26" t="str">
        <f aca="false">IF($E62="","",IFERROR(INDEX(LOT_FOURNE,MATCH($E62,LOT_KEY,0)),""))</f>
        <v/>
      </c>
      <c r="Q62" s="28" t="n">
        <f aca="false">IF($D62="",0,IF(OR($B62="",$C62="",$E62="",NOT(ISNUMBER($G62)),$G62&lt;=0),0,IF($D62="STOCK EXISTANT",IF($F62="",0,1),1)))</f>
        <v>0</v>
      </c>
      <c r="R62" s="27" t="str">
        <f aca="false">IF(OR($Q62=0,$D62&lt;&gt;"STOCK EXISTANT"),"",SUMIFS(MVT_BRUT,MVT_LOT,$E62,MVT_EMPL,$F62)+$G62)</f>
        <v/>
      </c>
      <c r="S62" s="27" t="str">
        <f aca="false">IF($A62="","",SUMIFS(RES_QTEVAL,RES_IDST,$A62))</f>
        <v/>
      </c>
      <c r="T62" s="28" t="str">
        <f aca="false">IF($A62="","",COUNTIFS(RES_IDST,$A62))</f>
        <v/>
      </c>
      <c r="U62" s="27" t="str">
        <f aca="false">IF(OR($A62="",$T62=0),"",$G62-$S62)</f>
        <v/>
      </c>
      <c r="V62" s="30" t="str">
        <f aca="false">IF(OR($A62="",$T62=0,NOT(ISNUMBER($G62)),$G62&lt;=0),"",$S62/$G62)</f>
        <v/>
      </c>
      <c r="W62" s="26" t="str">
        <f aca="false">IF($D62="","",IF($Q62=0,"DONNEES MANQUANTES",IF($D62="STOCK EXISTANT",IF($R62&lt;=0,"EMPLACEMENT INCOHERENT",IF($G62&gt;$R62+0.001,"STOCK INSUFFISANT",IF($T62=0,"EN COURS",IF($S62&gt;$G62+0.001,"BLOQUE",IF(AND($U62&gt;P_TOL,$L62=""),"A JUSTIFIER","OK"))))),IF($T62=0,"EN COURS",IF($S62&gt;$G62+0.001,"BLOQUE",IF(AND($U62&gt;P_TOL,$L62=""),"A JUSTIFIER","OK"))))))</f>
        <v/>
      </c>
      <c r="X62" s="28" t="n">
        <f aca="false">IF(OR($W62="",$W62="DONNEES MANQUANTES",$W62="EMPLACEMENT INCOHERENT",$W62="STOCK INSUFFISANT"),0,1)</f>
        <v>0</v>
      </c>
      <c r="Y62" s="26" t="str">
        <f aca="false">IF($D62="","",IF($Q62=0,"A COMPLETER : "&amp;IF($B62="","DATE ENVOI; ","")&amp;IF($C62="","SOUS-TRAITANT; ","")&amp;IF($E62="","LOT SOURCE; ","")&amp;IF(OR(NOT(ISNUMBER($G62)),$G62&lt;=0),"QTE ENVOYEE &gt; 0; ","")&amp;IF(AND($D62="STOCK EXISTANT",$F62=""),"EMPL. SOURCE; ",""),IF($W62="EMPLACEMENT INCOHERENT","Le lot "&amp;$E62&amp;" n'existe pas sur "&amp;$F62&amp;" (stock 0).",IF($W62="STOCK INSUFFISANT","Disponible avant envoi : "&amp;TEXT($R62,"#,##0.00")&amp;" kg. Ligne NON comptee en stock.",IF($W62="BLOQUE","Total des sorties ("&amp;TEXT($S62,"#,##0.00")&amp;" kg) superieur a la quantite envoyee.",IF($W62="EN COURS","Envoi enregistre, resultats non connus. A completer dans ST_RESULTATS.",IF($W62="A JUSTIFIER","Ecart de "&amp;TEXT($U62,"#,##0.00")&amp;" kg : renseigner JUSTIFICATION ECART (colonne L).",IF($O62="LOT NON REFERENCE","Creer d'abord la fiche du lot dans l'onglet LOTS.",""))))))))</f>
        <v/>
      </c>
      <c r="Z62" s="27" t="n">
        <f aca="false">IF(OR($X62=0,$T62&gt;0),0,$G62)</f>
        <v>0</v>
      </c>
      <c r="AA62" s="26" t="n">
        <f aca="false">IF($Q62=0,0,IF(OR($E62=R_LOT,COUNTIFS(RES_IDST,$A62,RES_LOTEFF,R_LOT)&gt;0),1,0))</f>
        <v>0</v>
      </c>
      <c r="AB62" s="26" t="str">
        <f aca="false">IF($AA62=0,"",COUNTIF($AA$5:$AA62,1))</f>
        <v/>
      </c>
    </row>
    <row r="63" customFormat="false" ht="15" hidden="false" customHeight="false" outlineLevel="0" collapsed="false">
      <c r="A63" s="26" t="str">
        <f aca="false">IF($D63="","","ST-"&amp;TEXT(ROW()-4,"000"))</f>
        <v/>
      </c>
      <c r="B63" s="25"/>
      <c r="C63" s="24"/>
      <c r="D63" s="24"/>
      <c r="E63" s="24"/>
      <c r="F63" s="24"/>
      <c r="G63" s="29"/>
      <c r="H63" s="24"/>
      <c r="I63" s="24"/>
      <c r="J63" s="24"/>
      <c r="K63" s="25"/>
      <c r="L63" s="24"/>
      <c r="M63" s="24"/>
      <c r="N63" s="24"/>
      <c r="O63" s="26" t="str">
        <f aca="false">IF($E63="","",IFERROR(INDEX(LOT_PRODE,MATCH($E63,LOT_KEY,0)),"LOT NON REFERENCE"))</f>
        <v/>
      </c>
      <c r="P63" s="26" t="str">
        <f aca="false">IF($E63="","",IFERROR(INDEX(LOT_FOURNE,MATCH($E63,LOT_KEY,0)),""))</f>
        <v/>
      </c>
      <c r="Q63" s="28" t="n">
        <f aca="false">IF($D63="",0,IF(OR($B63="",$C63="",$E63="",NOT(ISNUMBER($G63)),$G63&lt;=0),0,IF($D63="STOCK EXISTANT",IF($F63="",0,1),1)))</f>
        <v>0</v>
      </c>
      <c r="R63" s="27" t="str">
        <f aca="false">IF(OR($Q63=0,$D63&lt;&gt;"STOCK EXISTANT"),"",SUMIFS(MVT_BRUT,MVT_LOT,$E63,MVT_EMPL,$F63)+$G63)</f>
        <v/>
      </c>
      <c r="S63" s="27" t="str">
        <f aca="false">IF($A63="","",SUMIFS(RES_QTEVAL,RES_IDST,$A63))</f>
        <v/>
      </c>
      <c r="T63" s="28" t="str">
        <f aca="false">IF($A63="","",COUNTIFS(RES_IDST,$A63))</f>
        <v/>
      </c>
      <c r="U63" s="27" t="str">
        <f aca="false">IF(OR($A63="",$T63=0),"",$G63-$S63)</f>
        <v/>
      </c>
      <c r="V63" s="30" t="str">
        <f aca="false">IF(OR($A63="",$T63=0,NOT(ISNUMBER($G63)),$G63&lt;=0),"",$S63/$G63)</f>
        <v/>
      </c>
      <c r="W63" s="26" t="str">
        <f aca="false">IF($D63="","",IF($Q63=0,"DONNEES MANQUANTES",IF($D63="STOCK EXISTANT",IF($R63&lt;=0,"EMPLACEMENT INCOHERENT",IF($G63&gt;$R63+0.001,"STOCK INSUFFISANT",IF($T63=0,"EN COURS",IF($S63&gt;$G63+0.001,"BLOQUE",IF(AND($U63&gt;P_TOL,$L63=""),"A JUSTIFIER","OK"))))),IF($T63=0,"EN COURS",IF($S63&gt;$G63+0.001,"BLOQUE",IF(AND($U63&gt;P_TOL,$L63=""),"A JUSTIFIER","OK"))))))</f>
        <v/>
      </c>
      <c r="X63" s="28" t="n">
        <f aca="false">IF(OR($W63="",$W63="DONNEES MANQUANTES",$W63="EMPLACEMENT INCOHERENT",$W63="STOCK INSUFFISANT"),0,1)</f>
        <v>0</v>
      </c>
      <c r="Y63" s="26" t="str">
        <f aca="false">IF($D63="","",IF($Q63=0,"A COMPLETER : "&amp;IF($B63="","DATE ENVOI; ","")&amp;IF($C63="","SOUS-TRAITANT; ","")&amp;IF($E63="","LOT SOURCE; ","")&amp;IF(OR(NOT(ISNUMBER($G63)),$G63&lt;=0),"QTE ENVOYEE &gt; 0; ","")&amp;IF(AND($D63="STOCK EXISTANT",$F63=""),"EMPL. SOURCE; ",""),IF($W63="EMPLACEMENT INCOHERENT","Le lot "&amp;$E63&amp;" n'existe pas sur "&amp;$F63&amp;" (stock 0).",IF($W63="STOCK INSUFFISANT","Disponible avant envoi : "&amp;TEXT($R63,"#,##0.00")&amp;" kg. Ligne NON comptee en stock.",IF($W63="BLOQUE","Total des sorties ("&amp;TEXT($S63,"#,##0.00")&amp;" kg) superieur a la quantite envoyee.",IF($W63="EN COURS","Envoi enregistre, resultats non connus. A completer dans ST_RESULTATS.",IF($W63="A JUSTIFIER","Ecart de "&amp;TEXT($U63,"#,##0.00")&amp;" kg : renseigner JUSTIFICATION ECART (colonne L).",IF($O63="LOT NON REFERENCE","Creer d'abord la fiche du lot dans l'onglet LOTS.",""))))))))</f>
        <v/>
      </c>
      <c r="Z63" s="27" t="n">
        <f aca="false">IF(OR($X63=0,$T63&gt;0),0,$G63)</f>
        <v>0</v>
      </c>
      <c r="AA63" s="26" t="n">
        <f aca="false">IF($Q63=0,0,IF(OR($E63=R_LOT,COUNTIFS(RES_IDST,$A63,RES_LOTEFF,R_LOT)&gt;0),1,0))</f>
        <v>0</v>
      </c>
      <c r="AB63" s="26" t="str">
        <f aca="false">IF($AA63=0,"",COUNTIF($AA$5:$AA63,1))</f>
        <v/>
      </c>
    </row>
    <row r="64" customFormat="false" ht="15" hidden="false" customHeight="false" outlineLevel="0" collapsed="false">
      <c r="A64" s="26" t="str">
        <f aca="false">IF($D64="","","ST-"&amp;TEXT(ROW()-4,"000"))</f>
        <v/>
      </c>
      <c r="B64" s="25"/>
      <c r="C64" s="24"/>
      <c r="D64" s="24"/>
      <c r="E64" s="24"/>
      <c r="F64" s="24"/>
      <c r="G64" s="29"/>
      <c r="H64" s="24"/>
      <c r="I64" s="24"/>
      <c r="J64" s="24"/>
      <c r="K64" s="25"/>
      <c r="L64" s="24"/>
      <c r="M64" s="24"/>
      <c r="N64" s="24"/>
      <c r="O64" s="26" t="str">
        <f aca="false">IF($E64="","",IFERROR(INDEX(LOT_PRODE,MATCH($E64,LOT_KEY,0)),"LOT NON REFERENCE"))</f>
        <v/>
      </c>
      <c r="P64" s="26" t="str">
        <f aca="false">IF($E64="","",IFERROR(INDEX(LOT_FOURNE,MATCH($E64,LOT_KEY,0)),""))</f>
        <v/>
      </c>
      <c r="Q64" s="28" t="n">
        <f aca="false">IF($D64="",0,IF(OR($B64="",$C64="",$E64="",NOT(ISNUMBER($G64)),$G64&lt;=0),0,IF($D64="STOCK EXISTANT",IF($F64="",0,1),1)))</f>
        <v>0</v>
      </c>
      <c r="R64" s="27" t="str">
        <f aca="false">IF(OR($Q64=0,$D64&lt;&gt;"STOCK EXISTANT"),"",SUMIFS(MVT_BRUT,MVT_LOT,$E64,MVT_EMPL,$F64)+$G64)</f>
        <v/>
      </c>
      <c r="S64" s="27" t="str">
        <f aca="false">IF($A64="","",SUMIFS(RES_QTEVAL,RES_IDST,$A64))</f>
        <v/>
      </c>
      <c r="T64" s="28" t="str">
        <f aca="false">IF($A64="","",COUNTIFS(RES_IDST,$A64))</f>
        <v/>
      </c>
      <c r="U64" s="27" t="str">
        <f aca="false">IF(OR($A64="",$T64=0),"",$G64-$S64)</f>
        <v/>
      </c>
      <c r="V64" s="30" t="str">
        <f aca="false">IF(OR($A64="",$T64=0,NOT(ISNUMBER($G64)),$G64&lt;=0),"",$S64/$G64)</f>
        <v/>
      </c>
      <c r="W64" s="26" t="str">
        <f aca="false">IF($D64="","",IF($Q64=0,"DONNEES MANQUANTES",IF($D64="STOCK EXISTANT",IF($R64&lt;=0,"EMPLACEMENT INCOHERENT",IF($G64&gt;$R64+0.001,"STOCK INSUFFISANT",IF($T64=0,"EN COURS",IF($S64&gt;$G64+0.001,"BLOQUE",IF(AND($U64&gt;P_TOL,$L64=""),"A JUSTIFIER","OK"))))),IF($T64=0,"EN COURS",IF($S64&gt;$G64+0.001,"BLOQUE",IF(AND($U64&gt;P_TOL,$L64=""),"A JUSTIFIER","OK"))))))</f>
        <v/>
      </c>
      <c r="X64" s="28" t="n">
        <f aca="false">IF(OR($W64="",$W64="DONNEES MANQUANTES",$W64="EMPLACEMENT INCOHERENT",$W64="STOCK INSUFFISANT"),0,1)</f>
        <v>0</v>
      </c>
      <c r="Y64" s="26" t="str">
        <f aca="false">IF($D64="","",IF($Q64=0,"A COMPLETER : "&amp;IF($B64="","DATE ENVOI; ","")&amp;IF($C64="","SOUS-TRAITANT; ","")&amp;IF($E64="","LOT SOURCE; ","")&amp;IF(OR(NOT(ISNUMBER($G64)),$G64&lt;=0),"QTE ENVOYEE &gt; 0; ","")&amp;IF(AND($D64="STOCK EXISTANT",$F64=""),"EMPL. SOURCE; ",""),IF($W64="EMPLACEMENT INCOHERENT","Le lot "&amp;$E64&amp;" n'existe pas sur "&amp;$F64&amp;" (stock 0).",IF($W64="STOCK INSUFFISANT","Disponible avant envoi : "&amp;TEXT($R64,"#,##0.00")&amp;" kg. Ligne NON comptee en stock.",IF($W64="BLOQUE","Total des sorties ("&amp;TEXT($S64,"#,##0.00")&amp;" kg) superieur a la quantite envoyee.",IF($W64="EN COURS","Envoi enregistre, resultats non connus. A completer dans ST_RESULTATS.",IF($W64="A JUSTIFIER","Ecart de "&amp;TEXT($U64,"#,##0.00")&amp;" kg : renseigner JUSTIFICATION ECART (colonne L).",IF($O64="LOT NON REFERENCE","Creer d'abord la fiche du lot dans l'onglet LOTS.",""))))))))</f>
        <v/>
      </c>
      <c r="Z64" s="27" t="n">
        <f aca="false">IF(OR($X64=0,$T64&gt;0),0,$G64)</f>
        <v>0</v>
      </c>
      <c r="AA64" s="26" t="n">
        <f aca="false">IF($Q64=0,0,IF(OR($E64=R_LOT,COUNTIFS(RES_IDST,$A64,RES_LOTEFF,R_LOT)&gt;0),1,0))</f>
        <v>0</v>
      </c>
      <c r="AB64" s="26" t="str">
        <f aca="false">IF($AA64=0,"",COUNTIF($AA$5:$AA64,1))</f>
        <v/>
      </c>
    </row>
    <row r="65" customFormat="false" ht="15" hidden="false" customHeight="false" outlineLevel="0" collapsed="false">
      <c r="A65" s="26" t="str">
        <f aca="false">IF($D65="","","ST-"&amp;TEXT(ROW()-4,"000"))</f>
        <v/>
      </c>
      <c r="B65" s="25"/>
      <c r="C65" s="24"/>
      <c r="D65" s="24"/>
      <c r="E65" s="24"/>
      <c r="F65" s="24"/>
      <c r="G65" s="29"/>
      <c r="H65" s="24"/>
      <c r="I65" s="24"/>
      <c r="J65" s="24"/>
      <c r="K65" s="25"/>
      <c r="L65" s="24"/>
      <c r="M65" s="24"/>
      <c r="N65" s="24"/>
      <c r="O65" s="26" t="str">
        <f aca="false">IF($E65="","",IFERROR(INDEX(LOT_PRODE,MATCH($E65,LOT_KEY,0)),"LOT NON REFERENCE"))</f>
        <v/>
      </c>
      <c r="P65" s="26" t="str">
        <f aca="false">IF($E65="","",IFERROR(INDEX(LOT_FOURNE,MATCH($E65,LOT_KEY,0)),""))</f>
        <v/>
      </c>
      <c r="Q65" s="28" t="n">
        <f aca="false">IF($D65="",0,IF(OR($B65="",$C65="",$E65="",NOT(ISNUMBER($G65)),$G65&lt;=0),0,IF($D65="STOCK EXISTANT",IF($F65="",0,1),1)))</f>
        <v>0</v>
      </c>
      <c r="R65" s="27" t="str">
        <f aca="false">IF(OR($Q65=0,$D65&lt;&gt;"STOCK EXISTANT"),"",SUMIFS(MVT_BRUT,MVT_LOT,$E65,MVT_EMPL,$F65)+$G65)</f>
        <v/>
      </c>
      <c r="S65" s="27" t="str">
        <f aca="false">IF($A65="","",SUMIFS(RES_QTEVAL,RES_IDST,$A65))</f>
        <v/>
      </c>
      <c r="T65" s="28" t="str">
        <f aca="false">IF($A65="","",COUNTIFS(RES_IDST,$A65))</f>
        <v/>
      </c>
      <c r="U65" s="27" t="str">
        <f aca="false">IF(OR($A65="",$T65=0),"",$G65-$S65)</f>
        <v/>
      </c>
      <c r="V65" s="30" t="str">
        <f aca="false">IF(OR($A65="",$T65=0,NOT(ISNUMBER($G65)),$G65&lt;=0),"",$S65/$G65)</f>
        <v/>
      </c>
      <c r="W65" s="26" t="str">
        <f aca="false">IF($D65="","",IF($Q65=0,"DONNEES MANQUANTES",IF($D65="STOCK EXISTANT",IF($R65&lt;=0,"EMPLACEMENT INCOHERENT",IF($G65&gt;$R65+0.001,"STOCK INSUFFISANT",IF($T65=0,"EN COURS",IF($S65&gt;$G65+0.001,"BLOQUE",IF(AND($U65&gt;P_TOL,$L65=""),"A JUSTIFIER","OK"))))),IF($T65=0,"EN COURS",IF($S65&gt;$G65+0.001,"BLOQUE",IF(AND($U65&gt;P_TOL,$L65=""),"A JUSTIFIER","OK"))))))</f>
        <v/>
      </c>
      <c r="X65" s="28" t="n">
        <f aca="false">IF(OR($W65="",$W65="DONNEES MANQUANTES",$W65="EMPLACEMENT INCOHERENT",$W65="STOCK INSUFFISANT"),0,1)</f>
        <v>0</v>
      </c>
      <c r="Y65" s="26" t="str">
        <f aca="false">IF($D65="","",IF($Q65=0,"A COMPLETER : "&amp;IF($B65="","DATE ENVOI; ","")&amp;IF($C65="","SOUS-TRAITANT; ","")&amp;IF($E65="","LOT SOURCE; ","")&amp;IF(OR(NOT(ISNUMBER($G65)),$G65&lt;=0),"QTE ENVOYEE &gt; 0; ","")&amp;IF(AND($D65="STOCK EXISTANT",$F65=""),"EMPL. SOURCE; ",""),IF($W65="EMPLACEMENT INCOHERENT","Le lot "&amp;$E65&amp;" n'existe pas sur "&amp;$F65&amp;" (stock 0).",IF($W65="STOCK INSUFFISANT","Disponible avant envoi : "&amp;TEXT($R65,"#,##0.00")&amp;" kg. Ligne NON comptee en stock.",IF($W65="BLOQUE","Total des sorties ("&amp;TEXT($S65,"#,##0.00")&amp;" kg) superieur a la quantite envoyee.",IF($W65="EN COURS","Envoi enregistre, resultats non connus. A completer dans ST_RESULTATS.",IF($W65="A JUSTIFIER","Ecart de "&amp;TEXT($U65,"#,##0.00")&amp;" kg : renseigner JUSTIFICATION ECART (colonne L).",IF($O65="LOT NON REFERENCE","Creer d'abord la fiche du lot dans l'onglet LOTS.",""))))))))</f>
        <v/>
      </c>
      <c r="Z65" s="27" t="n">
        <f aca="false">IF(OR($X65=0,$T65&gt;0),0,$G65)</f>
        <v>0</v>
      </c>
      <c r="AA65" s="26" t="n">
        <f aca="false">IF($Q65=0,0,IF(OR($E65=R_LOT,COUNTIFS(RES_IDST,$A65,RES_LOTEFF,R_LOT)&gt;0),1,0))</f>
        <v>0</v>
      </c>
      <c r="AB65" s="26" t="str">
        <f aca="false">IF($AA65=0,"",COUNTIF($AA$5:$AA65,1))</f>
        <v/>
      </c>
    </row>
    <row r="66" customFormat="false" ht="15" hidden="false" customHeight="false" outlineLevel="0" collapsed="false">
      <c r="A66" s="26" t="str">
        <f aca="false">IF($D66="","","ST-"&amp;TEXT(ROW()-4,"000"))</f>
        <v/>
      </c>
      <c r="B66" s="25"/>
      <c r="C66" s="24"/>
      <c r="D66" s="24"/>
      <c r="E66" s="24"/>
      <c r="F66" s="24"/>
      <c r="G66" s="29"/>
      <c r="H66" s="24"/>
      <c r="I66" s="24"/>
      <c r="J66" s="24"/>
      <c r="K66" s="25"/>
      <c r="L66" s="24"/>
      <c r="M66" s="24"/>
      <c r="N66" s="24"/>
      <c r="O66" s="26" t="str">
        <f aca="false">IF($E66="","",IFERROR(INDEX(LOT_PRODE,MATCH($E66,LOT_KEY,0)),"LOT NON REFERENCE"))</f>
        <v/>
      </c>
      <c r="P66" s="26" t="str">
        <f aca="false">IF($E66="","",IFERROR(INDEX(LOT_FOURNE,MATCH($E66,LOT_KEY,0)),""))</f>
        <v/>
      </c>
      <c r="Q66" s="28" t="n">
        <f aca="false">IF($D66="",0,IF(OR($B66="",$C66="",$E66="",NOT(ISNUMBER($G66)),$G66&lt;=0),0,IF($D66="STOCK EXISTANT",IF($F66="",0,1),1)))</f>
        <v>0</v>
      </c>
      <c r="R66" s="27" t="str">
        <f aca="false">IF(OR($Q66=0,$D66&lt;&gt;"STOCK EXISTANT"),"",SUMIFS(MVT_BRUT,MVT_LOT,$E66,MVT_EMPL,$F66)+$G66)</f>
        <v/>
      </c>
      <c r="S66" s="27" t="str">
        <f aca="false">IF($A66="","",SUMIFS(RES_QTEVAL,RES_IDST,$A66))</f>
        <v/>
      </c>
      <c r="T66" s="28" t="str">
        <f aca="false">IF($A66="","",COUNTIFS(RES_IDST,$A66))</f>
        <v/>
      </c>
      <c r="U66" s="27" t="str">
        <f aca="false">IF(OR($A66="",$T66=0),"",$G66-$S66)</f>
        <v/>
      </c>
      <c r="V66" s="30" t="str">
        <f aca="false">IF(OR($A66="",$T66=0,NOT(ISNUMBER($G66)),$G66&lt;=0),"",$S66/$G66)</f>
        <v/>
      </c>
      <c r="W66" s="26" t="str">
        <f aca="false">IF($D66="","",IF($Q66=0,"DONNEES MANQUANTES",IF($D66="STOCK EXISTANT",IF($R66&lt;=0,"EMPLACEMENT INCOHERENT",IF($G66&gt;$R66+0.001,"STOCK INSUFFISANT",IF($T66=0,"EN COURS",IF($S66&gt;$G66+0.001,"BLOQUE",IF(AND($U66&gt;P_TOL,$L66=""),"A JUSTIFIER","OK"))))),IF($T66=0,"EN COURS",IF($S66&gt;$G66+0.001,"BLOQUE",IF(AND($U66&gt;P_TOL,$L66=""),"A JUSTIFIER","OK"))))))</f>
        <v/>
      </c>
      <c r="X66" s="28" t="n">
        <f aca="false">IF(OR($W66="",$W66="DONNEES MANQUANTES",$W66="EMPLACEMENT INCOHERENT",$W66="STOCK INSUFFISANT"),0,1)</f>
        <v>0</v>
      </c>
      <c r="Y66" s="26" t="str">
        <f aca="false">IF($D66="","",IF($Q66=0,"A COMPLETER : "&amp;IF($B66="","DATE ENVOI; ","")&amp;IF($C66="","SOUS-TRAITANT; ","")&amp;IF($E66="","LOT SOURCE; ","")&amp;IF(OR(NOT(ISNUMBER($G66)),$G66&lt;=0),"QTE ENVOYEE &gt; 0; ","")&amp;IF(AND($D66="STOCK EXISTANT",$F66=""),"EMPL. SOURCE; ",""),IF($W66="EMPLACEMENT INCOHERENT","Le lot "&amp;$E66&amp;" n'existe pas sur "&amp;$F66&amp;" (stock 0).",IF($W66="STOCK INSUFFISANT","Disponible avant envoi : "&amp;TEXT($R66,"#,##0.00")&amp;" kg. Ligne NON comptee en stock.",IF($W66="BLOQUE","Total des sorties ("&amp;TEXT($S66,"#,##0.00")&amp;" kg) superieur a la quantite envoyee.",IF($W66="EN COURS","Envoi enregistre, resultats non connus. A completer dans ST_RESULTATS.",IF($W66="A JUSTIFIER","Ecart de "&amp;TEXT($U66,"#,##0.00")&amp;" kg : renseigner JUSTIFICATION ECART (colonne L).",IF($O66="LOT NON REFERENCE","Creer d'abord la fiche du lot dans l'onglet LOTS.",""))))))))</f>
        <v/>
      </c>
      <c r="Z66" s="27" t="n">
        <f aca="false">IF(OR($X66=0,$T66&gt;0),0,$G66)</f>
        <v>0</v>
      </c>
      <c r="AA66" s="26" t="n">
        <f aca="false">IF($Q66=0,0,IF(OR($E66=R_LOT,COUNTIFS(RES_IDST,$A66,RES_LOTEFF,R_LOT)&gt;0),1,0))</f>
        <v>0</v>
      </c>
      <c r="AB66" s="26" t="str">
        <f aca="false">IF($AA66=0,"",COUNTIF($AA$5:$AA66,1))</f>
        <v/>
      </c>
    </row>
    <row r="67" customFormat="false" ht="15" hidden="false" customHeight="false" outlineLevel="0" collapsed="false">
      <c r="A67" s="26" t="str">
        <f aca="false">IF($D67="","","ST-"&amp;TEXT(ROW()-4,"000"))</f>
        <v/>
      </c>
      <c r="B67" s="25"/>
      <c r="C67" s="24"/>
      <c r="D67" s="24"/>
      <c r="E67" s="24"/>
      <c r="F67" s="24"/>
      <c r="G67" s="29"/>
      <c r="H67" s="24"/>
      <c r="I67" s="24"/>
      <c r="J67" s="24"/>
      <c r="K67" s="25"/>
      <c r="L67" s="24"/>
      <c r="M67" s="24"/>
      <c r="N67" s="24"/>
      <c r="O67" s="26" t="str">
        <f aca="false">IF($E67="","",IFERROR(INDEX(LOT_PRODE,MATCH($E67,LOT_KEY,0)),"LOT NON REFERENCE"))</f>
        <v/>
      </c>
      <c r="P67" s="26" t="str">
        <f aca="false">IF($E67="","",IFERROR(INDEX(LOT_FOURNE,MATCH($E67,LOT_KEY,0)),""))</f>
        <v/>
      </c>
      <c r="Q67" s="28" t="n">
        <f aca="false">IF($D67="",0,IF(OR($B67="",$C67="",$E67="",NOT(ISNUMBER($G67)),$G67&lt;=0),0,IF($D67="STOCK EXISTANT",IF($F67="",0,1),1)))</f>
        <v>0</v>
      </c>
      <c r="R67" s="27" t="str">
        <f aca="false">IF(OR($Q67=0,$D67&lt;&gt;"STOCK EXISTANT"),"",SUMIFS(MVT_BRUT,MVT_LOT,$E67,MVT_EMPL,$F67)+$G67)</f>
        <v/>
      </c>
      <c r="S67" s="27" t="str">
        <f aca="false">IF($A67="","",SUMIFS(RES_QTEVAL,RES_IDST,$A67))</f>
        <v/>
      </c>
      <c r="T67" s="28" t="str">
        <f aca="false">IF($A67="","",COUNTIFS(RES_IDST,$A67))</f>
        <v/>
      </c>
      <c r="U67" s="27" t="str">
        <f aca="false">IF(OR($A67="",$T67=0),"",$G67-$S67)</f>
        <v/>
      </c>
      <c r="V67" s="30" t="str">
        <f aca="false">IF(OR($A67="",$T67=0,NOT(ISNUMBER($G67)),$G67&lt;=0),"",$S67/$G67)</f>
        <v/>
      </c>
      <c r="W67" s="26" t="str">
        <f aca="false">IF($D67="","",IF($Q67=0,"DONNEES MANQUANTES",IF($D67="STOCK EXISTANT",IF($R67&lt;=0,"EMPLACEMENT INCOHERENT",IF($G67&gt;$R67+0.001,"STOCK INSUFFISANT",IF($T67=0,"EN COURS",IF($S67&gt;$G67+0.001,"BLOQUE",IF(AND($U67&gt;P_TOL,$L67=""),"A JUSTIFIER","OK"))))),IF($T67=0,"EN COURS",IF($S67&gt;$G67+0.001,"BLOQUE",IF(AND($U67&gt;P_TOL,$L67=""),"A JUSTIFIER","OK"))))))</f>
        <v/>
      </c>
      <c r="X67" s="28" t="n">
        <f aca="false">IF(OR($W67="",$W67="DONNEES MANQUANTES",$W67="EMPLACEMENT INCOHERENT",$W67="STOCK INSUFFISANT"),0,1)</f>
        <v>0</v>
      </c>
      <c r="Y67" s="26" t="str">
        <f aca="false">IF($D67="","",IF($Q67=0,"A COMPLETER : "&amp;IF($B67="","DATE ENVOI; ","")&amp;IF($C67="","SOUS-TRAITANT; ","")&amp;IF($E67="","LOT SOURCE; ","")&amp;IF(OR(NOT(ISNUMBER($G67)),$G67&lt;=0),"QTE ENVOYEE &gt; 0; ","")&amp;IF(AND($D67="STOCK EXISTANT",$F67=""),"EMPL. SOURCE; ",""),IF($W67="EMPLACEMENT INCOHERENT","Le lot "&amp;$E67&amp;" n'existe pas sur "&amp;$F67&amp;" (stock 0).",IF($W67="STOCK INSUFFISANT","Disponible avant envoi : "&amp;TEXT($R67,"#,##0.00")&amp;" kg. Ligne NON comptee en stock.",IF($W67="BLOQUE","Total des sorties ("&amp;TEXT($S67,"#,##0.00")&amp;" kg) superieur a la quantite envoyee.",IF($W67="EN COURS","Envoi enregistre, resultats non connus. A completer dans ST_RESULTATS.",IF($W67="A JUSTIFIER","Ecart de "&amp;TEXT($U67,"#,##0.00")&amp;" kg : renseigner JUSTIFICATION ECART (colonne L).",IF($O67="LOT NON REFERENCE","Creer d'abord la fiche du lot dans l'onglet LOTS.",""))))))))</f>
        <v/>
      </c>
      <c r="Z67" s="27" t="n">
        <f aca="false">IF(OR($X67=0,$T67&gt;0),0,$G67)</f>
        <v>0</v>
      </c>
      <c r="AA67" s="26" t="n">
        <f aca="false">IF($Q67=0,0,IF(OR($E67=R_LOT,COUNTIFS(RES_IDST,$A67,RES_LOTEFF,R_LOT)&gt;0),1,0))</f>
        <v>0</v>
      </c>
      <c r="AB67" s="26" t="str">
        <f aca="false">IF($AA67=0,"",COUNTIF($AA$5:$AA67,1))</f>
        <v/>
      </c>
    </row>
    <row r="68" customFormat="false" ht="15" hidden="false" customHeight="false" outlineLevel="0" collapsed="false">
      <c r="A68" s="26" t="str">
        <f aca="false">IF($D68="","","ST-"&amp;TEXT(ROW()-4,"000"))</f>
        <v/>
      </c>
      <c r="B68" s="25"/>
      <c r="C68" s="24"/>
      <c r="D68" s="24"/>
      <c r="E68" s="24"/>
      <c r="F68" s="24"/>
      <c r="G68" s="29"/>
      <c r="H68" s="24"/>
      <c r="I68" s="24"/>
      <c r="J68" s="24"/>
      <c r="K68" s="25"/>
      <c r="L68" s="24"/>
      <c r="M68" s="24"/>
      <c r="N68" s="24"/>
      <c r="O68" s="26" t="str">
        <f aca="false">IF($E68="","",IFERROR(INDEX(LOT_PRODE,MATCH($E68,LOT_KEY,0)),"LOT NON REFERENCE"))</f>
        <v/>
      </c>
      <c r="P68" s="26" t="str">
        <f aca="false">IF($E68="","",IFERROR(INDEX(LOT_FOURNE,MATCH($E68,LOT_KEY,0)),""))</f>
        <v/>
      </c>
      <c r="Q68" s="28" t="n">
        <f aca="false">IF($D68="",0,IF(OR($B68="",$C68="",$E68="",NOT(ISNUMBER($G68)),$G68&lt;=0),0,IF($D68="STOCK EXISTANT",IF($F68="",0,1),1)))</f>
        <v>0</v>
      </c>
      <c r="R68" s="27" t="str">
        <f aca="false">IF(OR($Q68=0,$D68&lt;&gt;"STOCK EXISTANT"),"",SUMIFS(MVT_BRUT,MVT_LOT,$E68,MVT_EMPL,$F68)+$G68)</f>
        <v/>
      </c>
      <c r="S68" s="27" t="str">
        <f aca="false">IF($A68="","",SUMIFS(RES_QTEVAL,RES_IDST,$A68))</f>
        <v/>
      </c>
      <c r="T68" s="28" t="str">
        <f aca="false">IF($A68="","",COUNTIFS(RES_IDST,$A68))</f>
        <v/>
      </c>
      <c r="U68" s="27" t="str">
        <f aca="false">IF(OR($A68="",$T68=0),"",$G68-$S68)</f>
        <v/>
      </c>
      <c r="V68" s="30" t="str">
        <f aca="false">IF(OR($A68="",$T68=0,NOT(ISNUMBER($G68)),$G68&lt;=0),"",$S68/$G68)</f>
        <v/>
      </c>
      <c r="W68" s="26" t="str">
        <f aca="false">IF($D68="","",IF($Q68=0,"DONNEES MANQUANTES",IF($D68="STOCK EXISTANT",IF($R68&lt;=0,"EMPLACEMENT INCOHERENT",IF($G68&gt;$R68+0.001,"STOCK INSUFFISANT",IF($T68=0,"EN COURS",IF($S68&gt;$G68+0.001,"BLOQUE",IF(AND($U68&gt;P_TOL,$L68=""),"A JUSTIFIER","OK"))))),IF($T68=0,"EN COURS",IF($S68&gt;$G68+0.001,"BLOQUE",IF(AND($U68&gt;P_TOL,$L68=""),"A JUSTIFIER","OK"))))))</f>
        <v/>
      </c>
      <c r="X68" s="28" t="n">
        <f aca="false">IF(OR($W68="",$W68="DONNEES MANQUANTES",$W68="EMPLACEMENT INCOHERENT",$W68="STOCK INSUFFISANT"),0,1)</f>
        <v>0</v>
      </c>
      <c r="Y68" s="26" t="str">
        <f aca="false">IF($D68="","",IF($Q68=0,"A COMPLETER : "&amp;IF($B68="","DATE ENVOI; ","")&amp;IF($C68="","SOUS-TRAITANT; ","")&amp;IF($E68="","LOT SOURCE; ","")&amp;IF(OR(NOT(ISNUMBER($G68)),$G68&lt;=0),"QTE ENVOYEE &gt; 0; ","")&amp;IF(AND($D68="STOCK EXISTANT",$F68=""),"EMPL. SOURCE; ",""),IF($W68="EMPLACEMENT INCOHERENT","Le lot "&amp;$E68&amp;" n'existe pas sur "&amp;$F68&amp;" (stock 0).",IF($W68="STOCK INSUFFISANT","Disponible avant envoi : "&amp;TEXT($R68,"#,##0.00")&amp;" kg. Ligne NON comptee en stock.",IF($W68="BLOQUE","Total des sorties ("&amp;TEXT($S68,"#,##0.00")&amp;" kg) superieur a la quantite envoyee.",IF($W68="EN COURS","Envoi enregistre, resultats non connus. A completer dans ST_RESULTATS.",IF($W68="A JUSTIFIER","Ecart de "&amp;TEXT($U68,"#,##0.00")&amp;" kg : renseigner JUSTIFICATION ECART (colonne L).",IF($O68="LOT NON REFERENCE","Creer d'abord la fiche du lot dans l'onglet LOTS.",""))))))))</f>
        <v/>
      </c>
      <c r="Z68" s="27" t="n">
        <f aca="false">IF(OR($X68=0,$T68&gt;0),0,$G68)</f>
        <v>0</v>
      </c>
      <c r="AA68" s="26" t="n">
        <f aca="false">IF($Q68=0,0,IF(OR($E68=R_LOT,COUNTIFS(RES_IDST,$A68,RES_LOTEFF,R_LOT)&gt;0),1,0))</f>
        <v>0</v>
      </c>
      <c r="AB68" s="26" t="str">
        <f aca="false">IF($AA68=0,"",COUNTIF($AA$5:$AA68,1))</f>
        <v/>
      </c>
    </row>
    <row r="69" customFormat="false" ht="15" hidden="false" customHeight="false" outlineLevel="0" collapsed="false">
      <c r="A69" s="26" t="str">
        <f aca="false">IF($D69="","","ST-"&amp;TEXT(ROW()-4,"000"))</f>
        <v/>
      </c>
      <c r="B69" s="25"/>
      <c r="C69" s="24"/>
      <c r="D69" s="24"/>
      <c r="E69" s="24"/>
      <c r="F69" s="24"/>
      <c r="G69" s="29"/>
      <c r="H69" s="24"/>
      <c r="I69" s="24"/>
      <c r="J69" s="24"/>
      <c r="K69" s="25"/>
      <c r="L69" s="24"/>
      <c r="M69" s="24"/>
      <c r="N69" s="24"/>
      <c r="O69" s="26" t="str">
        <f aca="false">IF($E69="","",IFERROR(INDEX(LOT_PRODE,MATCH($E69,LOT_KEY,0)),"LOT NON REFERENCE"))</f>
        <v/>
      </c>
      <c r="P69" s="26" t="str">
        <f aca="false">IF($E69="","",IFERROR(INDEX(LOT_FOURNE,MATCH($E69,LOT_KEY,0)),""))</f>
        <v/>
      </c>
      <c r="Q69" s="28" t="n">
        <f aca="false">IF($D69="",0,IF(OR($B69="",$C69="",$E69="",NOT(ISNUMBER($G69)),$G69&lt;=0),0,IF($D69="STOCK EXISTANT",IF($F69="",0,1),1)))</f>
        <v>0</v>
      </c>
      <c r="R69" s="27" t="str">
        <f aca="false">IF(OR($Q69=0,$D69&lt;&gt;"STOCK EXISTANT"),"",SUMIFS(MVT_BRUT,MVT_LOT,$E69,MVT_EMPL,$F69)+$G69)</f>
        <v/>
      </c>
      <c r="S69" s="27" t="str">
        <f aca="false">IF($A69="","",SUMIFS(RES_QTEVAL,RES_IDST,$A69))</f>
        <v/>
      </c>
      <c r="T69" s="28" t="str">
        <f aca="false">IF($A69="","",COUNTIFS(RES_IDST,$A69))</f>
        <v/>
      </c>
      <c r="U69" s="27" t="str">
        <f aca="false">IF(OR($A69="",$T69=0),"",$G69-$S69)</f>
        <v/>
      </c>
      <c r="V69" s="30" t="str">
        <f aca="false">IF(OR($A69="",$T69=0,NOT(ISNUMBER($G69)),$G69&lt;=0),"",$S69/$G69)</f>
        <v/>
      </c>
      <c r="W69" s="26" t="str">
        <f aca="false">IF($D69="","",IF($Q69=0,"DONNEES MANQUANTES",IF($D69="STOCK EXISTANT",IF($R69&lt;=0,"EMPLACEMENT INCOHERENT",IF($G69&gt;$R69+0.001,"STOCK INSUFFISANT",IF($T69=0,"EN COURS",IF($S69&gt;$G69+0.001,"BLOQUE",IF(AND($U69&gt;P_TOL,$L69=""),"A JUSTIFIER","OK"))))),IF($T69=0,"EN COURS",IF($S69&gt;$G69+0.001,"BLOQUE",IF(AND($U69&gt;P_TOL,$L69=""),"A JUSTIFIER","OK"))))))</f>
        <v/>
      </c>
      <c r="X69" s="28" t="n">
        <f aca="false">IF(OR($W69="",$W69="DONNEES MANQUANTES",$W69="EMPLACEMENT INCOHERENT",$W69="STOCK INSUFFISANT"),0,1)</f>
        <v>0</v>
      </c>
      <c r="Y69" s="26" t="str">
        <f aca="false">IF($D69="","",IF($Q69=0,"A COMPLETER : "&amp;IF($B69="","DATE ENVOI; ","")&amp;IF($C69="","SOUS-TRAITANT; ","")&amp;IF($E69="","LOT SOURCE; ","")&amp;IF(OR(NOT(ISNUMBER($G69)),$G69&lt;=0),"QTE ENVOYEE &gt; 0; ","")&amp;IF(AND($D69="STOCK EXISTANT",$F69=""),"EMPL. SOURCE; ",""),IF($W69="EMPLACEMENT INCOHERENT","Le lot "&amp;$E69&amp;" n'existe pas sur "&amp;$F69&amp;" (stock 0).",IF($W69="STOCK INSUFFISANT","Disponible avant envoi : "&amp;TEXT($R69,"#,##0.00")&amp;" kg. Ligne NON comptee en stock.",IF($W69="BLOQUE","Total des sorties ("&amp;TEXT($S69,"#,##0.00")&amp;" kg) superieur a la quantite envoyee.",IF($W69="EN COURS","Envoi enregistre, resultats non connus. A completer dans ST_RESULTATS.",IF($W69="A JUSTIFIER","Ecart de "&amp;TEXT($U69,"#,##0.00")&amp;" kg : renseigner JUSTIFICATION ECART (colonne L).",IF($O69="LOT NON REFERENCE","Creer d'abord la fiche du lot dans l'onglet LOTS.",""))))))))</f>
        <v/>
      </c>
      <c r="Z69" s="27" t="n">
        <f aca="false">IF(OR($X69=0,$T69&gt;0),0,$G69)</f>
        <v>0</v>
      </c>
      <c r="AA69" s="26" t="n">
        <f aca="false">IF($Q69=0,0,IF(OR($E69=R_LOT,COUNTIFS(RES_IDST,$A69,RES_LOTEFF,R_LOT)&gt;0),1,0))</f>
        <v>0</v>
      </c>
      <c r="AB69" s="26" t="str">
        <f aca="false">IF($AA69=0,"",COUNTIF($AA$5:$AA69,1))</f>
        <v/>
      </c>
    </row>
    <row r="70" customFormat="false" ht="15" hidden="false" customHeight="false" outlineLevel="0" collapsed="false">
      <c r="A70" s="26" t="str">
        <f aca="false">IF($D70="","","ST-"&amp;TEXT(ROW()-4,"000"))</f>
        <v/>
      </c>
      <c r="B70" s="25"/>
      <c r="C70" s="24"/>
      <c r="D70" s="24"/>
      <c r="E70" s="24"/>
      <c r="F70" s="24"/>
      <c r="G70" s="29"/>
      <c r="H70" s="24"/>
      <c r="I70" s="24"/>
      <c r="J70" s="24"/>
      <c r="K70" s="25"/>
      <c r="L70" s="24"/>
      <c r="M70" s="24"/>
      <c r="N70" s="24"/>
      <c r="O70" s="26" t="str">
        <f aca="false">IF($E70="","",IFERROR(INDEX(LOT_PRODE,MATCH($E70,LOT_KEY,0)),"LOT NON REFERENCE"))</f>
        <v/>
      </c>
      <c r="P70" s="26" t="str">
        <f aca="false">IF($E70="","",IFERROR(INDEX(LOT_FOURNE,MATCH($E70,LOT_KEY,0)),""))</f>
        <v/>
      </c>
      <c r="Q70" s="28" t="n">
        <f aca="false">IF($D70="",0,IF(OR($B70="",$C70="",$E70="",NOT(ISNUMBER($G70)),$G70&lt;=0),0,IF($D70="STOCK EXISTANT",IF($F70="",0,1),1)))</f>
        <v>0</v>
      </c>
      <c r="R70" s="27" t="str">
        <f aca="false">IF(OR($Q70=0,$D70&lt;&gt;"STOCK EXISTANT"),"",SUMIFS(MVT_BRUT,MVT_LOT,$E70,MVT_EMPL,$F70)+$G70)</f>
        <v/>
      </c>
      <c r="S70" s="27" t="str">
        <f aca="false">IF($A70="","",SUMIFS(RES_QTEVAL,RES_IDST,$A70))</f>
        <v/>
      </c>
      <c r="T70" s="28" t="str">
        <f aca="false">IF($A70="","",COUNTIFS(RES_IDST,$A70))</f>
        <v/>
      </c>
      <c r="U70" s="27" t="str">
        <f aca="false">IF(OR($A70="",$T70=0),"",$G70-$S70)</f>
        <v/>
      </c>
      <c r="V70" s="30" t="str">
        <f aca="false">IF(OR($A70="",$T70=0,NOT(ISNUMBER($G70)),$G70&lt;=0),"",$S70/$G70)</f>
        <v/>
      </c>
      <c r="W70" s="26" t="str">
        <f aca="false">IF($D70="","",IF($Q70=0,"DONNEES MANQUANTES",IF($D70="STOCK EXISTANT",IF($R70&lt;=0,"EMPLACEMENT INCOHERENT",IF($G70&gt;$R70+0.001,"STOCK INSUFFISANT",IF($T70=0,"EN COURS",IF($S70&gt;$G70+0.001,"BLOQUE",IF(AND($U70&gt;P_TOL,$L70=""),"A JUSTIFIER","OK"))))),IF($T70=0,"EN COURS",IF($S70&gt;$G70+0.001,"BLOQUE",IF(AND($U70&gt;P_TOL,$L70=""),"A JUSTIFIER","OK"))))))</f>
        <v/>
      </c>
      <c r="X70" s="28" t="n">
        <f aca="false">IF(OR($W70="",$W70="DONNEES MANQUANTES",$W70="EMPLACEMENT INCOHERENT",$W70="STOCK INSUFFISANT"),0,1)</f>
        <v>0</v>
      </c>
      <c r="Y70" s="26" t="str">
        <f aca="false">IF($D70="","",IF($Q70=0,"A COMPLETER : "&amp;IF($B70="","DATE ENVOI; ","")&amp;IF($C70="","SOUS-TRAITANT; ","")&amp;IF($E70="","LOT SOURCE; ","")&amp;IF(OR(NOT(ISNUMBER($G70)),$G70&lt;=0),"QTE ENVOYEE &gt; 0; ","")&amp;IF(AND($D70="STOCK EXISTANT",$F70=""),"EMPL. SOURCE; ",""),IF($W70="EMPLACEMENT INCOHERENT","Le lot "&amp;$E70&amp;" n'existe pas sur "&amp;$F70&amp;" (stock 0).",IF($W70="STOCK INSUFFISANT","Disponible avant envoi : "&amp;TEXT($R70,"#,##0.00")&amp;" kg. Ligne NON comptee en stock.",IF($W70="BLOQUE","Total des sorties ("&amp;TEXT($S70,"#,##0.00")&amp;" kg) superieur a la quantite envoyee.",IF($W70="EN COURS","Envoi enregistre, resultats non connus. A completer dans ST_RESULTATS.",IF($W70="A JUSTIFIER","Ecart de "&amp;TEXT($U70,"#,##0.00")&amp;" kg : renseigner JUSTIFICATION ECART (colonne L).",IF($O70="LOT NON REFERENCE","Creer d'abord la fiche du lot dans l'onglet LOTS.",""))))))))</f>
        <v/>
      </c>
      <c r="Z70" s="27" t="n">
        <f aca="false">IF(OR($X70=0,$T70&gt;0),0,$G70)</f>
        <v>0</v>
      </c>
      <c r="AA70" s="26" t="n">
        <f aca="false">IF($Q70=0,0,IF(OR($E70=R_LOT,COUNTIFS(RES_IDST,$A70,RES_LOTEFF,R_LOT)&gt;0),1,0))</f>
        <v>0</v>
      </c>
      <c r="AB70" s="26" t="str">
        <f aca="false">IF($AA70=0,"",COUNTIF($AA$5:$AA70,1))</f>
        <v/>
      </c>
    </row>
    <row r="71" customFormat="false" ht="15" hidden="false" customHeight="false" outlineLevel="0" collapsed="false">
      <c r="A71" s="26" t="str">
        <f aca="false">IF($D71="","","ST-"&amp;TEXT(ROW()-4,"000"))</f>
        <v/>
      </c>
      <c r="B71" s="25"/>
      <c r="C71" s="24"/>
      <c r="D71" s="24"/>
      <c r="E71" s="24"/>
      <c r="F71" s="24"/>
      <c r="G71" s="29"/>
      <c r="H71" s="24"/>
      <c r="I71" s="24"/>
      <c r="J71" s="24"/>
      <c r="K71" s="25"/>
      <c r="L71" s="24"/>
      <c r="M71" s="24"/>
      <c r="N71" s="24"/>
      <c r="O71" s="26" t="str">
        <f aca="false">IF($E71="","",IFERROR(INDEX(LOT_PRODE,MATCH($E71,LOT_KEY,0)),"LOT NON REFERENCE"))</f>
        <v/>
      </c>
      <c r="P71" s="26" t="str">
        <f aca="false">IF($E71="","",IFERROR(INDEX(LOT_FOURNE,MATCH($E71,LOT_KEY,0)),""))</f>
        <v/>
      </c>
      <c r="Q71" s="28" t="n">
        <f aca="false">IF($D71="",0,IF(OR($B71="",$C71="",$E71="",NOT(ISNUMBER($G71)),$G71&lt;=0),0,IF($D71="STOCK EXISTANT",IF($F71="",0,1),1)))</f>
        <v>0</v>
      </c>
      <c r="R71" s="27" t="str">
        <f aca="false">IF(OR($Q71=0,$D71&lt;&gt;"STOCK EXISTANT"),"",SUMIFS(MVT_BRUT,MVT_LOT,$E71,MVT_EMPL,$F71)+$G71)</f>
        <v/>
      </c>
      <c r="S71" s="27" t="str">
        <f aca="false">IF($A71="","",SUMIFS(RES_QTEVAL,RES_IDST,$A71))</f>
        <v/>
      </c>
      <c r="T71" s="28" t="str">
        <f aca="false">IF($A71="","",COUNTIFS(RES_IDST,$A71))</f>
        <v/>
      </c>
      <c r="U71" s="27" t="str">
        <f aca="false">IF(OR($A71="",$T71=0),"",$G71-$S71)</f>
        <v/>
      </c>
      <c r="V71" s="30" t="str">
        <f aca="false">IF(OR($A71="",$T71=0,NOT(ISNUMBER($G71)),$G71&lt;=0),"",$S71/$G71)</f>
        <v/>
      </c>
      <c r="W71" s="26" t="str">
        <f aca="false">IF($D71="","",IF($Q71=0,"DONNEES MANQUANTES",IF($D71="STOCK EXISTANT",IF($R71&lt;=0,"EMPLACEMENT INCOHERENT",IF($G71&gt;$R71+0.001,"STOCK INSUFFISANT",IF($T71=0,"EN COURS",IF($S71&gt;$G71+0.001,"BLOQUE",IF(AND($U71&gt;P_TOL,$L71=""),"A JUSTIFIER","OK"))))),IF($T71=0,"EN COURS",IF($S71&gt;$G71+0.001,"BLOQUE",IF(AND($U71&gt;P_TOL,$L71=""),"A JUSTIFIER","OK"))))))</f>
        <v/>
      </c>
      <c r="X71" s="28" t="n">
        <f aca="false">IF(OR($W71="",$W71="DONNEES MANQUANTES",$W71="EMPLACEMENT INCOHERENT",$W71="STOCK INSUFFISANT"),0,1)</f>
        <v>0</v>
      </c>
      <c r="Y71" s="26" t="str">
        <f aca="false">IF($D71="","",IF($Q71=0,"A COMPLETER : "&amp;IF($B71="","DATE ENVOI; ","")&amp;IF($C71="","SOUS-TRAITANT; ","")&amp;IF($E71="","LOT SOURCE; ","")&amp;IF(OR(NOT(ISNUMBER($G71)),$G71&lt;=0),"QTE ENVOYEE &gt; 0; ","")&amp;IF(AND($D71="STOCK EXISTANT",$F71=""),"EMPL. SOURCE; ",""),IF($W71="EMPLACEMENT INCOHERENT","Le lot "&amp;$E71&amp;" n'existe pas sur "&amp;$F71&amp;" (stock 0).",IF($W71="STOCK INSUFFISANT","Disponible avant envoi : "&amp;TEXT($R71,"#,##0.00")&amp;" kg. Ligne NON comptee en stock.",IF($W71="BLOQUE","Total des sorties ("&amp;TEXT($S71,"#,##0.00")&amp;" kg) superieur a la quantite envoyee.",IF($W71="EN COURS","Envoi enregistre, resultats non connus. A completer dans ST_RESULTATS.",IF($W71="A JUSTIFIER","Ecart de "&amp;TEXT($U71,"#,##0.00")&amp;" kg : renseigner JUSTIFICATION ECART (colonne L).",IF($O71="LOT NON REFERENCE","Creer d'abord la fiche du lot dans l'onglet LOTS.",""))))))))</f>
        <v/>
      </c>
      <c r="Z71" s="27" t="n">
        <f aca="false">IF(OR($X71=0,$T71&gt;0),0,$G71)</f>
        <v>0</v>
      </c>
      <c r="AA71" s="26" t="n">
        <f aca="false">IF($Q71=0,0,IF(OR($E71=R_LOT,COUNTIFS(RES_IDST,$A71,RES_LOTEFF,R_LOT)&gt;0),1,0))</f>
        <v>0</v>
      </c>
      <c r="AB71" s="26" t="str">
        <f aca="false">IF($AA71=0,"",COUNTIF($AA$5:$AA71,1))</f>
        <v/>
      </c>
    </row>
    <row r="72" customFormat="false" ht="15" hidden="false" customHeight="false" outlineLevel="0" collapsed="false">
      <c r="A72" s="26" t="str">
        <f aca="false">IF($D72="","","ST-"&amp;TEXT(ROW()-4,"000"))</f>
        <v/>
      </c>
      <c r="B72" s="25"/>
      <c r="C72" s="24"/>
      <c r="D72" s="24"/>
      <c r="E72" s="24"/>
      <c r="F72" s="24"/>
      <c r="G72" s="29"/>
      <c r="H72" s="24"/>
      <c r="I72" s="24"/>
      <c r="J72" s="24"/>
      <c r="K72" s="25"/>
      <c r="L72" s="24"/>
      <c r="M72" s="24"/>
      <c r="N72" s="24"/>
      <c r="O72" s="26" t="str">
        <f aca="false">IF($E72="","",IFERROR(INDEX(LOT_PRODE,MATCH($E72,LOT_KEY,0)),"LOT NON REFERENCE"))</f>
        <v/>
      </c>
      <c r="P72" s="26" t="str">
        <f aca="false">IF($E72="","",IFERROR(INDEX(LOT_FOURNE,MATCH($E72,LOT_KEY,0)),""))</f>
        <v/>
      </c>
      <c r="Q72" s="28" t="n">
        <f aca="false">IF($D72="",0,IF(OR($B72="",$C72="",$E72="",NOT(ISNUMBER($G72)),$G72&lt;=0),0,IF($D72="STOCK EXISTANT",IF($F72="",0,1),1)))</f>
        <v>0</v>
      </c>
      <c r="R72" s="27" t="str">
        <f aca="false">IF(OR($Q72=0,$D72&lt;&gt;"STOCK EXISTANT"),"",SUMIFS(MVT_BRUT,MVT_LOT,$E72,MVT_EMPL,$F72)+$G72)</f>
        <v/>
      </c>
      <c r="S72" s="27" t="str">
        <f aca="false">IF($A72="","",SUMIFS(RES_QTEVAL,RES_IDST,$A72))</f>
        <v/>
      </c>
      <c r="T72" s="28" t="str">
        <f aca="false">IF($A72="","",COUNTIFS(RES_IDST,$A72))</f>
        <v/>
      </c>
      <c r="U72" s="27" t="str">
        <f aca="false">IF(OR($A72="",$T72=0),"",$G72-$S72)</f>
        <v/>
      </c>
      <c r="V72" s="30" t="str">
        <f aca="false">IF(OR($A72="",$T72=0,NOT(ISNUMBER($G72)),$G72&lt;=0),"",$S72/$G72)</f>
        <v/>
      </c>
      <c r="W72" s="26" t="str">
        <f aca="false">IF($D72="","",IF($Q72=0,"DONNEES MANQUANTES",IF($D72="STOCK EXISTANT",IF($R72&lt;=0,"EMPLACEMENT INCOHERENT",IF($G72&gt;$R72+0.001,"STOCK INSUFFISANT",IF($T72=0,"EN COURS",IF($S72&gt;$G72+0.001,"BLOQUE",IF(AND($U72&gt;P_TOL,$L72=""),"A JUSTIFIER","OK"))))),IF($T72=0,"EN COURS",IF($S72&gt;$G72+0.001,"BLOQUE",IF(AND($U72&gt;P_TOL,$L72=""),"A JUSTIFIER","OK"))))))</f>
        <v/>
      </c>
      <c r="X72" s="28" t="n">
        <f aca="false">IF(OR($W72="",$W72="DONNEES MANQUANTES",$W72="EMPLACEMENT INCOHERENT",$W72="STOCK INSUFFISANT"),0,1)</f>
        <v>0</v>
      </c>
      <c r="Y72" s="26" t="str">
        <f aca="false">IF($D72="","",IF($Q72=0,"A COMPLETER : "&amp;IF($B72="","DATE ENVOI; ","")&amp;IF($C72="","SOUS-TRAITANT; ","")&amp;IF($E72="","LOT SOURCE; ","")&amp;IF(OR(NOT(ISNUMBER($G72)),$G72&lt;=0),"QTE ENVOYEE &gt; 0; ","")&amp;IF(AND($D72="STOCK EXISTANT",$F72=""),"EMPL. SOURCE; ",""),IF($W72="EMPLACEMENT INCOHERENT","Le lot "&amp;$E72&amp;" n'existe pas sur "&amp;$F72&amp;" (stock 0).",IF($W72="STOCK INSUFFISANT","Disponible avant envoi : "&amp;TEXT($R72,"#,##0.00")&amp;" kg. Ligne NON comptee en stock.",IF($W72="BLOQUE","Total des sorties ("&amp;TEXT($S72,"#,##0.00")&amp;" kg) superieur a la quantite envoyee.",IF($W72="EN COURS","Envoi enregistre, resultats non connus. A completer dans ST_RESULTATS.",IF($W72="A JUSTIFIER","Ecart de "&amp;TEXT($U72,"#,##0.00")&amp;" kg : renseigner JUSTIFICATION ECART (colonne L).",IF($O72="LOT NON REFERENCE","Creer d'abord la fiche du lot dans l'onglet LOTS.",""))))))))</f>
        <v/>
      </c>
      <c r="Z72" s="27" t="n">
        <f aca="false">IF(OR($X72=0,$T72&gt;0),0,$G72)</f>
        <v>0</v>
      </c>
      <c r="AA72" s="26" t="n">
        <f aca="false">IF($Q72=0,0,IF(OR($E72=R_LOT,COUNTIFS(RES_IDST,$A72,RES_LOTEFF,R_LOT)&gt;0),1,0))</f>
        <v>0</v>
      </c>
      <c r="AB72" s="26" t="str">
        <f aca="false">IF($AA72=0,"",COUNTIF($AA$5:$AA72,1))</f>
        <v/>
      </c>
    </row>
    <row r="73" customFormat="false" ht="15" hidden="false" customHeight="false" outlineLevel="0" collapsed="false">
      <c r="A73" s="26" t="str">
        <f aca="false">IF($D73="","","ST-"&amp;TEXT(ROW()-4,"000"))</f>
        <v/>
      </c>
      <c r="B73" s="25"/>
      <c r="C73" s="24"/>
      <c r="D73" s="24"/>
      <c r="E73" s="24"/>
      <c r="F73" s="24"/>
      <c r="G73" s="29"/>
      <c r="H73" s="24"/>
      <c r="I73" s="24"/>
      <c r="J73" s="24"/>
      <c r="K73" s="25"/>
      <c r="L73" s="24"/>
      <c r="M73" s="24"/>
      <c r="N73" s="24"/>
      <c r="O73" s="26" t="str">
        <f aca="false">IF($E73="","",IFERROR(INDEX(LOT_PRODE,MATCH($E73,LOT_KEY,0)),"LOT NON REFERENCE"))</f>
        <v/>
      </c>
      <c r="P73" s="26" t="str">
        <f aca="false">IF($E73="","",IFERROR(INDEX(LOT_FOURNE,MATCH($E73,LOT_KEY,0)),""))</f>
        <v/>
      </c>
      <c r="Q73" s="28" t="n">
        <f aca="false">IF($D73="",0,IF(OR($B73="",$C73="",$E73="",NOT(ISNUMBER($G73)),$G73&lt;=0),0,IF($D73="STOCK EXISTANT",IF($F73="",0,1),1)))</f>
        <v>0</v>
      </c>
      <c r="R73" s="27" t="str">
        <f aca="false">IF(OR($Q73=0,$D73&lt;&gt;"STOCK EXISTANT"),"",SUMIFS(MVT_BRUT,MVT_LOT,$E73,MVT_EMPL,$F73)+$G73)</f>
        <v/>
      </c>
      <c r="S73" s="27" t="str">
        <f aca="false">IF($A73="","",SUMIFS(RES_QTEVAL,RES_IDST,$A73))</f>
        <v/>
      </c>
      <c r="T73" s="28" t="str">
        <f aca="false">IF($A73="","",COUNTIFS(RES_IDST,$A73))</f>
        <v/>
      </c>
      <c r="U73" s="27" t="str">
        <f aca="false">IF(OR($A73="",$T73=0),"",$G73-$S73)</f>
        <v/>
      </c>
      <c r="V73" s="30" t="str">
        <f aca="false">IF(OR($A73="",$T73=0,NOT(ISNUMBER($G73)),$G73&lt;=0),"",$S73/$G73)</f>
        <v/>
      </c>
      <c r="W73" s="26" t="str">
        <f aca="false">IF($D73="","",IF($Q73=0,"DONNEES MANQUANTES",IF($D73="STOCK EXISTANT",IF($R73&lt;=0,"EMPLACEMENT INCOHERENT",IF($G73&gt;$R73+0.001,"STOCK INSUFFISANT",IF($T73=0,"EN COURS",IF($S73&gt;$G73+0.001,"BLOQUE",IF(AND($U73&gt;P_TOL,$L73=""),"A JUSTIFIER","OK"))))),IF($T73=0,"EN COURS",IF($S73&gt;$G73+0.001,"BLOQUE",IF(AND($U73&gt;P_TOL,$L73=""),"A JUSTIFIER","OK"))))))</f>
        <v/>
      </c>
      <c r="X73" s="28" t="n">
        <f aca="false">IF(OR($W73="",$W73="DONNEES MANQUANTES",$W73="EMPLACEMENT INCOHERENT",$W73="STOCK INSUFFISANT"),0,1)</f>
        <v>0</v>
      </c>
      <c r="Y73" s="26" t="str">
        <f aca="false">IF($D73="","",IF($Q73=0,"A COMPLETER : "&amp;IF($B73="","DATE ENVOI; ","")&amp;IF($C73="","SOUS-TRAITANT; ","")&amp;IF($E73="","LOT SOURCE; ","")&amp;IF(OR(NOT(ISNUMBER($G73)),$G73&lt;=0),"QTE ENVOYEE &gt; 0; ","")&amp;IF(AND($D73="STOCK EXISTANT",$F73=""),"EMPL. SOURCE; ",""),IF($W73="EMPLACEMENT INCOHERENT","Le lot "&amp;$E73&amp;" n'existe pas sur "&amp;$F73&amp;" (stock 0).",IF($W73="STOCK INSUFFISANT","Disponible avant envoi : "&amp;TEXT($R73,"#,##0.00")&amp;" kg. Ligne NON comptee en stock.",IF($W73="BLOQUE","Total des sorties ("&amp;TEXT($S73,"#,##0.00")&amp;" kg) superieur a la quantite envoyee.",IF($W73="EN COURS","Envoi enregistre, resultats non connus. A completer dans ST_RESULTATS.",IF($W73="A JUSTIFIER","Ecart de "&amp;TEXT($U73,"#,##0.00")&amp;" kg : renseigner JUSTIFICATION ECART (colonne L).",IF($O73="LOT NON REFERENCE","Creer d'abord la fiche du lot dans l'onglet LOTS.",""))))))))</f>
        <v/>
      </c>
      <c r="Z73" s="27" t="n">
        <f aca="false">IF(OR($X73=0,$T73&gt;0),0,$G73)</f>
        <v>0</v>
      </c>
      <c r="AA73" s="26" t="n">
        <f aca="false">IF($Q73=0,0,IF(OR($E73=R_LOT,COUNTIFS(RES_IDST,$A73,RES_LOTEFF,R_LOT)&gt;0),1,0))</f>
        <v>0</v>
      </c>
      <c r="AB73" s="26" t="str">
        <f aca="false">IF($AA73=0,"",COUNTIF($AA$5:$AA73,1))</f>
        <v/>
      </c>
    </row>
    <row r="74" customFormat="false" ht="15" hidden="false" customHeight="false" outlineLevel="0" collapsed="false">
      <c r="A74" s="26" t="str">
        <f aca="false">IF($D74="","","ST-"&amp;TEXT(ROW()-4,"000"))</f>
        <v/>
      </c>
      <c r="B74" s="25"/>
      <c r="C74" s="24"/>
      <c r="D74" s="24"/>
      <c r="E74" s="24"/>
      <c r="F74" s="24"/>
      <c r="G74" s="29"/>
      <c r="H74" s="24"/>
      <c r="I74" s="24"/>
      <c r="J74" s="24"/>
      <c r="K74" s="25"/>
      <c r="L74" s="24"/>
      <c r="M74" s="24"/>
      <c r="N74" s="24"/>
      <c r="O74" s="26" t="str">
        <f aca="false">IF($E74="","",IFERROR(INDEX(LOT_PRODE,MATCH($E74,LOT_KEY,0)),"LOT NON REFERENCE"))</f>
        <v/>
      </c>
      <c r="P74" s="26" t="str">
        <f aca="false">IF($E74="","",IFERROR(INDEX(LOT_FOURNE,MATCH($E74,LOT_KEY,0)),""))</f>
        <v/>
      </c>
      <c r="Q74" s="28" t="n">
        <f aca="false">IF($D74="",0,IF(OR($B74="",$C74="",$E74="",NOT(ISNUMBER($G74)),$G74&lt;=0),0,IF($D74="STOCK EXISTANT",IF($F74="",0,1),1)))</f>
        <v>0</v>
      </c>
      <c r="R74" s="27" t="str">
        <f aca="false">IF(OR($Q74=0,$D74&lt;&gt;"STOCK EXISTANT"),"",SUMIFS(MVT_BRUT,MVT_LOT,$E74,MVT_EMPL,$F74)+$G74)</f>
        <v/>
      </c>
      <c r="S74" s="27" t="str">
        <f aca="false">IF($A74="","",SUMIFS(RES_QTEVAL,RES_IDST,$A74))</f>
        <v/>
      </c>
      <c r="T74" s="28" t="str">
        <f aca="false">IF($A74="","",COUNTIFS(RES_IDST,$A74))</f>
        <v/>
      </c>
      <c r="U74" s="27" t="str">
        <f aca="false">IF(OR($A74="",$T74=0),"",$G74-$S74)</f>
        <v/>
      </c>
      <c r="V74" s="30" t="str">
        <f aca="false">IF(OR($A74="",$T74=0,NOT(ISNUMBER($G74)),$G74&lt;=0),"",$S74/$G74)</f>
        <v/>
      </c>
      <c r="W74" s="26" t="str">
        <f aca="false">IF($D74="","",IF($Q74=0,"DONNEES MANQUANTES",IF($D74="STOCK EXISTANT",IF($R74&lt;=0,"EMPLACEMENT INCOHERENT",IF($G74&gt;$R74+0.001,"STOCK INSUFFISANT",IF($T74=0,"EN COURS",IF($S74&gt;$G74+0.001,"BLOQUE",IF(AND($U74&gt;P_TOL,$L74=""),"A JUSTIFIER","OK"))))),IF($T74=0,"EN COURS",IF($S74&gt;$G74+0.001,"BLOQUE",IF(AND($U74&gt;P_TOL,$L74=""),"A JUSTIFIER","OK"))))))</f>
        <v/>
      </c>
      <c r="X74" s="28" t="n">
        <f aca="false">IF(OR($W74="",$W74="DONNEES MANQUANTES",$W74="EMPLACEMENT INCOHERENT",$W74="STOCK INSUFFISANT"),0,1)</f>
        <v>0</v>
      </c>
      <c r="Y74" s="26" t="str">
        <f aca="false">IF($D74="","",IF($Q74=0,"A COMPLETER : "&amp;IF($B74="","DATE ENVOI; ","")&amp;IF($C74="","SOUS-TRAITANT; ","")&amp;IF($E74="","LOT SOURCE; ","")&amp;IF(OR(NOT(ISNUMBER($G74)),$G74&lt;=0),"QTE ENVOYEE &gt; 0; ","")&amp;IF(AND($D74="STOCK EXISTANT",$F74=""),"EMPL. SOURCE; ",""),IF($W74="EMPLACEMENT INCOHERENT","Le lot "&amp;$E74&amp;" n'existe pas sur "&amp;$F74&amp;" (stock 0).",IF($W74="STOCK INSUFFISANT","Disponible avant envoi : "&amp;TEXT($R74,"#,##0.00")&amp;" kg. Ligne NON comptee en stock.",IF($W74="BLOQUE","Total des sorties ("&amp;TEXT($S74,"#,##0.00")&amp;" kg) superieur a la quantite envoyee.",IF($W74="EN COURS","Envoi enregistre, resultats non connus. A completer dans ST_RESULTATS.",IF($W74="A JUSTIFIER","Ecart de "&amp;TEXT($U74,"#,##0.00")&amp;" kg : renseigner JUSTIFICATION ECART (colonne L).",IF($O74="LOT NON REFERENCE","Creer d'abord la fiche du lot dans l'onglet LOTS.",""))))))))</f>
        <v/>
      </c>
      <c r="Z74" s="27" t="n">
        <f aca="false">IF(OR($X74=0,$T74&gt;0),0,$G74)</f>
        <v>0</v>
      </c>
      <c r="AA74" s="26" t="n">
        <f aca="false">IF($Q74=0,0,IF(OR($E74=R_LOT,COUNTIFS(RES_IDST,$A74,RES_LOTEFF,R_LOT)&gt;0),1,0))</f>
        <v>0</v>
      </c>
      <c r="AB74" s="26" t="str">
        <f aca="false">IF($AA74=0,"",COUNTIF($AA$5:$AA74,1))</f>
        <v/>
      </c>
    </row>
    <row r="75" customFormat="false" ht="15" hidden="false" customHeight="false" outlineLevel="0" collapsed="false">
      <c r="A75" s="26" t="str">
        <f aca="false">IF($D75="","","ST-"&amp;TEXT(ROW()-4,"000"))</f>
        <v/>
      </c>
      <c r="B75" s="25"/>
      <c r="C75" s="24"/>
      <c r="D75" s="24"/>
      <c r="E75" s="24"/>
      <c r="F75" s="24"/>
      <c r="G75" s="29"/>
      <c r="H75" s="24"/>
      <c r="I75" s="24"/>
      <c r="J75" s="24"/>
      <c r="K75" s="25"/>
      <c r="L75" s="24"/>
      <c r="M75" s="24"/>
      <c r="N75" s="24"/>
      <c r="O75" s="26" t="str">
        <f aca="false">IF($E75="","",IFERROR(INDEX(LOT_PRODE,MATCH($E75,LOT_KEY,0)),"LOT NON REFERENCE"))</f>
        <v/>
      </c>
      <c r="P75" s="26" t="str">
        <f aca="false">IF($E75="","",IFERROR(INDEX(LOT_FOURNE,MATCH($E75,LOT_KEY,0)),""))</f>
        <v/>
      </c>
      <c r="Q75" s="28" t="n">
        <f aca="false">IF($D75="",0,IF(OR($B75="",$C75="",$E75="",NOT(ISNUMBER($G75)),$G75&lt;=0),0,IF($D75="STOCK EXISTANT",IF($F75="",0,1),1)))</f>
        <v>0</v>
      </c>
      <c r="R75" s="27" t="str">
        <f aca="false">IF(OR($Q75=0,$D75&lt;&gt;"STOCK EXISTANT"),"",SUMIFS(MVT_BRUT,MVT_LOT,$E75,MVT_EMPL,$F75)+$G75)</f>
        <v/>
      </c>
      <c r="S75" s="27" t="str">
        <f aca="false">IF($A75="","",SUMIFS(RES_QTEVAL,RES_IDST,$A75))</f>
        <v/>
      </c>
      <c r="T75" s="28" t="str">
        <f aca="false">IF($A75="","",COUNTIFS(RES_IDST,$A75))</f>
        <v/>
      </c>
      <c r="U75" s="27" t="str">
        <f aca="false">IF(OR($A75="",$T75=0),"",$G75-$S75)</f>
        <v/>
      </c>
      <c r="V75" s="30" t="str">
        <f aca="false">IF(OR($A75="",$T75=0,NOT(ISNUMBER($G75)),$G75&lt;=0),"",$S75/$G75)</f>
        <v/>
      </c>
      <c r="W75" s="26" t="str">
        <f aca="false">IF($D75="","",IF($Q75=0,"DONNEES MANQUANTES",IF($D75="STOCK EXISTANT",IF($R75&lt;=0,"EMPLACEMENT INCOHERENT",IF($G75&gt;$R75+0.001,"STOCK INSUFFISANT",IF($T75=0,"EN COURS",IF($S75&gt;$G75+0.001,"BLOQUE",IF(AND($U75&gt;P_TOL,$L75=""),"A JUSTIFIER","OK"))))),IF($T75=0,"EN COURS",IF($S75&gt;$G75+0.001,"BLOQUE",IF(AND($U75&gt;P_TOL,$L75=""),"A JUSTIFIER","OK"))))))</f>
        <v/>
      </c>
      <c r="X75" s="28" t="n">
        <f aca="false">IF(OR($W75="",$W75="DONNEES MANQUANTES",$W75="EMPLACEMENT INCOHERENT",$W75="STOCK INSUFFISANT"),0,1)</f>
        <v>0</v>
      </c>
      <c r="Y75" s="26" t="str">
        <f aca="false">IF($D75="","",IF($Q75=0,"A COMPLETER : "&amp;IF($B75="","DATE ENVOI; ","")&amp;IF($C75="","SOUS-TRAITANT; ","")&amp;IF($E75="","LOT SOURCE; ","")&amp;IF(OR(NOT(ISNUMBER($G75)),$G75&lt;=0),"QTE ENVOYEE &gt; 0; ","")&amp;IF(AND($D75="STOCK EXISTANT",$F75=""),"EMPL. SOURCE; ",""),IF($W75="EMPLACEMENT INCOHERENT","Le lot "&amp;$E75&amp;" n'existe pas sur "&amp;$F75&amp;" (stock 0).",IF($W75="STOCK INSUFFISANT","Disponible avant envoi : "&amp;TEXT($R75,"#,##0.00")&amp;" kg. Ligne NON comptee en stock.",IF($W75="BLOQUE","Total des sorties ("&amp;TEXT($S75,"#,##0.00")&amp;" kg) superieur a la quantite envoyee.",IF($W75="EN COURS","Envoi enregistre, resultats non connus. A completer dans ST_RESULTATS.",IF($W75="A JUSTIFIER","Ecart de "&amp;TEXT($U75,"#,##0.00")&amp;" kg : renseigner JUSTIFICATION ECART (colonne L).",IF($O75="LOT NON REFERENCE","Creer d'abord la fiche du lot dans l'onglet LOTS.",""))))))))</f>
        <v/>
      </c>
      <c r="Z75" s="27" t="n">
        <f aca="false">IF(OR($X75=0,$T75&gt;0),0,$G75)</f>
        <v>0</v>
      </c>
      <c r="AA75" s="26" t="n">
        <f aca="false">IF($Q75=0,0,IF(OR($E75=R_LOT,COUNTIFS(RES_IDST,$A75,RES_LOTEFF,R_LOT)&gt;0),1,0))</f>
        <v>0</v>
      </c>
      <c r="AB75" s="26" t="str">
        <f aca="false">IF($AA75=0,"",COUNTIF($AA$5:$AA75,1))</f>
        <v/>
      </c>
    </row>
    <row r="76" customFormat="false" ht="15" hidden="false" customHeight="false" outlineLevel="0" collapsed="false">
      <c r="A76" s="26" t="str">
        <f aca="false">IF($D76="","","ST-"&amp;TEXT(ROW()-4,"000"))</f>
        <v/>
      </c>
      <c r="B76" s="25"/>
      <c r="C76" s="24"/>
      <c r="D76" s="24"/>
      <c r="E76" s="24"/>
      <c r="F76" s="24"/>
      <c r="G76" s="29"/>
      <c r="H76" s="24"/>
      <c r="I76" s="24"/>
      <c r="J76" s="24"/>
      <c r="K76" s="25"/>
      <c r="L76" s="24"/>
      <c r="M76" s="24"/>
      <c r="N76" s="24"/>
      <c r="O76" s="26" t="str">
        <f aca="false">IF($E76="","",IFERROR(INDEX(LOT_PRODE,MATCH($E76,LOT_KEY,0)),"LOT NON REFERENCE"))</f>
        <v/>
      </c>
      <c r="P76" s="26" t="str">
        <f aca="false">IF($E76="","",IFERROR(INDEX(LOT_FOURNE,MATCH($E76,LOT_KEY,0)),""))</f>
        <v/>
      </c>
      <c r="Q76" s="28" t="n">
        <f aca="false">IF($D76="",0,IF(OR($B76="",$C76="",$E76="",NOT(ISNUMBER($G76)),$G76&lt;=0),0,IF($D76="STOCK EXISTANT",IF($F76="",0,1),1)))</f>
        <v>0</v>
      </c>
      <c r="R76" s="27" t="str">
        <f aca="false">IF(OR($Q76=0,$D76&lt;&gt;"STOCK EXISTANT"),"",SUMIFS(MVT_BRUT,MVT_LOT,$E76,MVT_EMPL,$F76)+$G76)</f>
        <v/>
      </c>
      <c r="S76" s="27" t="str">
        <f aca="false">IF($A76="","",SUMIFS(RES_QTEVAL,RES_IDST,$A76))</f>
        <v/>
      </c>
      <c r="T76" s="28" t="str">
        <f aca="false">IF($A76="","",COUNTIFS(RES_IDST,$A76))</f>
        <v/>
      </c>
      <c r="U76" s="27" t="str">
        <f aca="false">IF(OR($A76="",$T76=0),"",$G76-$S76)</f>
        <v/>
      </c>
      <c r="V76" s="30" t="str">
        <f aca="false">IF(OR($A76="",$T76=0,NOT(ISNUMBER($G76)),$G76&lt;=0),"",$S76/$G76)</f>
        <v/>
      </c>
      <c r="W76" s="26" t="str">
        <f aca="false">IF($D76="","",IF($Q76=0,"DONNEES MANQUANTES",IF($D76="STOCK EXISTANT",IF($R76&lt;=0,"EMPLACEMENT INCOHERENT",IF($G76&gt;$R76+0.001,"STOCK INSUFFISANT",IF($T76=0,"EN COURS",IF($S76&gt;$G76+0.001,"BLOQUE",IF(AND($U76&gt;P_TOL,$L76=""),"A JUSTIFIER","OK"))))),IF($T76=0,"EN COURS",IF($S76&gt;$G76+0.001,"BLOQUE",IF(AND($U76&gt;P_TOL,$L76=""),"A JUSTIFIER","OK"))))))</f>
        <v/>
      </c>
      <c r="X76" s="28" t="n">
        <f aca="false">IF(OR($W76="",$W76="DONNEES MANQUANTES",$W76="EMPLACEMENT INCOHERENT",$W76="STOCK INSUFFISANT"),0,1)</f>
        <v>0</v>
      </c>
      <c r="Y76" s="26" t="str">
        <f aca="false">IF($D76="","",IF($Q76=0,"A COMPLETER : "&amp;IF($B76="","DATE ENVOI; ","")&amp;IF($C76="","SOUS-TRAITANT; ","")&amp;IF($E76="","LOT SOURCE; ","")&amp;IF(OR(NOT(ISNUMBER($G76)),$G76&lt;=0),"QTE ENVOYEE &gt; 0; ","")&amp;IF(AND($D76="STOCK EXISTANT",$F76=""),"EMPL. SOURCE; ",""),IF($W76="EMPLACEMENT INCOHERENT","Le lot "&amp;$E76&amp;" n'existe pas sur "&amp;$F76&amp;" (stock 0).",IF($W76="STOCK INSUFFISANT","Disponible avant envoi : "&amp;TEXT($R76,"#,##0.00")&amp;" kg. Ligne NON comptee en stock.",IF($W76="BLOQUE","Total des sorties ("&amp;TEXT($S76,"#,##0.00")&amp;" kg) superieur a la quantite envoyee.",IF($W76="EN COURS","Envoi enregistre, resultats non connus. A completer dans ST_RESULTATS.",IF($W76="A JUSTIFIER","Ecart de "&amp;TEXT($U76,"#,##0.00")&amp;" kg : renseigner JUSTIFICATION ECART (colonne L).",IF($O76="LOT NON REFERENCE","Creer d'abord la fiche du lot dans l'onglet LOTS.",""))))))))</f>
        <v/>
      </c>
      <c r="Z76" s="27" t="n">
        <f aca="false">IF(OR($X76=0,$T76&gt;0),0,$G76)</f>
        <v>0</v>
      </c>
      <c r="AA76" s="26" t="n">
        <f aca="false">IF($Q76=0,0,IF(OR($E76=R_LOT,COUNTIFS(RES_IDST,$A76,RES_LOTEFF,R_LOT)&gt;0),1,0))</f>
        <v>0</v>
      </c>
      <c r="AB76" s="26" t="str">
        <f aca="false">IF($AA76=0,"",COUNTIF($AA$5:$AA76,1))</f>
        <v/>
      </c>
    </row>
    <row r="77" customFormat="false" ht="15" hidden="false" customHeight="false" outlineLevel="0" collapsed="false">
      <c r="A77" s="26" t="str">
        <f aca="false">IF($D77="","","ST-"&amp;TEXT(ROW()-4,"000"))</f>
        <v/>
      </c>
      <c r="B77" s="25"/>
      <c r="C77" s="24"/>
      <c r="D77" s="24"/>
      <c r="E77" s="24"/>
      <c r="F77" s="24"/>
      <c r="G77" s="29"/>
      <c r="H77" s="24"/>
      <c r="I77" s="24"/>
      <c r="J77" s="24"/>
      <c r="K77" s="25"/>
      <c r="L77" s="24"/>
      <c r="M77" s="24"/>
      <c r="N77" s="24"/>
      <c r="O77" s="26" t="str">
        <f aca="false">IF($E77="","",IFERROR(INDEX(LOT_PRODE,MATCH($E77,LOT_KEY,0)),"LOT NON REFERENCE"))</f>
        <v/>
      </c>
      <c r="P77" s="26" t="str">
        <f aca="false">IF($E77="","",IFERROR(INDEX(LOT_FOURNE,MATCH($E77,LOT_KEY,0)),""))</f>
        <v/>
      </c>
      <c r="Q77" s="28" t="n">
        <f aca="false">IF($D77="",0,IF(OR($B77="",$C77="",$E77="",NOT(ISNUMBER($G77)),$G77&lt;=0),0,IF($D77="STOCK EXISTANT",IF($F77="",0,1),1)))</f>
        <v>0</v>
      </c>
      <c r="R77" s="27" t="str">
        <f aca="false">IF(OR($Q77=0,$D77&lt;&gt;"STOCK EXISTANT"),"",SUMIFS(MVT_BRUT,MVT_LOT,$E77,MVT_EMPL,$F77)+$G77)</f>
        <v/>
      </c>
      <c r="S77" s="27" t="str">
        <f aca="false">IF($A77="","",SUMIFS(RES_QTEVAL,RES_IDST,$A77))</f>
        <v/>
      </c>
      <c r="T77" s="28" t="str">
        <f aca="false">IF($A77="","",COUNTIFS(RES_IDST,$A77))</f>
        <v/>
      </c>
      <c r="U77" s="27" t="str">
        <f aca="false">IF(OR($A77="",$T77=0),"",$G77-$S77)</f>
        <v/>
      </c>
      <c r="V77" s="30" t="str">
        <f aca="false">IF(OR($A77="",$T77=0,NOT(ISNUMBER($G77)),$G77&lt;=0),"",$S77/$G77)</f>
        <v/>
      </c>
      <c r="W77" s="26" t="str">
        <f aca="false">IF($D77="","",IF($Q77=0,"DONNEES MANQUANTES",IF($D77="STOCK EXISTANT",IF($R77&lt;=0,"EMPLACEMENT INCOHERENT",IF($G77&gt;$R77+0.001,"STOCK INSUFFISANT",IF($T77=0,"EN COURS",IF($S77&gt;$G77+0.001,"BLOQUE",IF(AND($U77&gt;P_TOL,$L77=""),"A JUSTIFIER","OK"))))),IF($T77=0,"EN COURS",IF($S77&gt;$G77+0.001,"BLOQUE",IF(AND($U77&gt;P_TOL,$L77=""),"A JUSTIFIER","OK"))))))</f>
        <v/>
      </c>
      <c r="X77" s="28" t="n">
        <f aca="false">IF(OR($W77="",$W77="DONNEES MANQUANTES",$W77="EMPLACEMENT INCOHERENT",$W77="STOCK INSUFFISANT"),0,1)</f>
        <v>0</v>
      </c>
      <c r="Y77" s="26" t="str">
        <f aca="false">IF($D77="","",IF($Q77=0,"A COMPLETER : "&amp;IF($B77="","DATE ENVOI; ","")&amp;IF($C77="","SOUS-TRAITANT; ","")&amp;IF($E77="","LOT SOURCE; ","")&amp;IF(OR(NOT(ISNUMBER($G77)),$G77&lt;=0),"QTE ENVOYEE &gt; 0; ","")&amp;IF(AND($D77="STOCK EXISTANT",$F77=""),"EMPL. SOURCE; ",""),IF($W77="EMPLACEMENT INCOHERENT","Le lot "&amp;$E77&amp;" n'existe pas sur "&amp;$F77&amp;" (stock 0).",IF($W77="STOCK INSUFFISANT","Disponible avant envoi : "&amp;TEXT($R77,"#,##0.00")&amp;" kg. Ligne NON comptee en stock.",IF($W77="BLOQUE","Total des sorties ("&amp;TEXT($S77,"#,##0.00")&amp;" kg) superieur a la quantite envoyee.",IF($W77="EN COURS","Envoi enregistre, resultats non connus. A completer dans ST_RESULTATS.",IF($W77="A JUSTIFIER","Ecart de "&amp;TEXT($U77,"#,##0.00")&amp;" kg : renseigner JUSTIFICATION ECART (colonne L).",IF($O77="LOT NON REFERENCE","Creer d'abord la fiche du lot dans l'onglet LOTS.",""))))))))</f>
        <v/>
      </c>
      <c r="Z77" s="27" t="n">
        <f aca="false">IF(OR($X77=0,$T77&gt;0),0,$G77)</f>
        <v>0</v>
      </c>
      <c r="AA77" s="26" t="n">
        <f aca="false">IF($Q77=0,0,IF(OR($E77=R_LOT,COUNTIFS(RES_IDST,$A77,RES_LOTEFF,R_LOT)&gt;0),1,0))</f>
        <v>0</v>
      </c>
      <c r="AB77" s="26" t="str">
        <f aca="false">IF($AA77=0,"",COUNTIF($AA$5:$AA77,1))</f>
        <v/>
      </c>
    </row>
    <row r="78" customFormat="false" ht="15" hidden="false" customHeight="false" outlineLevel="0" collapsed="false">
      <c r="A78" s="26" t="str">
        <f aca="false">IF($D78="","","ST-"&amp;TEXT(ROW()-4,"000"))</f>
        <v/>
      </c>
      <c r="B78" s="25"/>
      <c r="C78" s="24"/>
      <c r="D78" s="24"/>
      <c r="E78" s="24"/>
      <c r="F78" s="24"/>
      <c r="G78" s="29"/>
      <c r="H78" s="24"/>
      <c r="I78" s="24"/>
      <c r="J78" s="24"/>
      <c r="K78" s="25"/>
      <c r="L78" s="24"/>
      <c r="M78" s="24"/>
      <c r="N78" s="24"/>
      <c r="O78" s="26" t="str">
        <f aca="false">IF($E78="","",IFERROR(INDEX(LOT_PRODE,MATCH($E78,LOT_KEY,0)),"LOT NON REFERENCE"))</f>
        <v/>
      </c>
      <c r="P78" s="26" t="str">
        <f aca="false">IF($E78="","",IFERROR(INDEX(LOT_FOURNE,MATCH($E78,LOT_KEY,0)),""))</f>
        <v/>
      </c>
      <c r="Q78" s="28" t="n">
        <f aca="false">IF($D78="",0,IF(OR($B78="",$C78="",$E78="",NOT(ISNUMBER($G78)),$G78&lt;=0),0,IF($D78="STOCK EXISTANT",IF($F78="",0,1),1)))</f>
        <v>0</v>
      </c>
      <c r="R78" s="27" t="str">
        <f aca="false">IF(OR($Q78=0,$D78&lt;&gt;"STOCK EXISTANT"),"",SUMIFS(MVT_BRUT,MVT_LOT,$E78,MVT_EMPL,$F78)+$G78)</f>
        <v/>
      </c>
      <c r="S78" s="27" t="str">
        <f aca="false">IF($A78="","",SUMIFS(RES_QTEVAL,RES_IDST,$A78))</f>
        <v/>
      </c>
      <c r="T78" s="28" t="str">
        <f aca="false">IF($A78="","",COUNTIFS(RES_IDST,$A78))</f>
        <v/>
      </c>
      <c r="U78" s="27" t="str">
        <f aca="false">IF(OR($A78="",$T78=0),"",$G78-$S78)</f>
        <v/>
      </c>
      <c r="V78" s="30" t="str">
        <f aca="false">IF(OR($A78="",$T78=0,NOT(ISNUMBER($G78)),$G78&lt;=0),"",$S78/$G78)</f>
        <v/>
      </c>
      <c r="W78" s="26" t="str">
        <f aca="false">IF($D78="","",IF($Q78=0,"DONNEES MANQUANTES",IF($D78="STOCK EXISTANT",IF($R78&lt;=0,"EMPLACEMENT INCOHERENT",IF($G78&gt;$R78+0.001,"STOCK INSUFFISANT",IF($T78=0,"EN COURS",IF($S78&gt;$G78+0.001,"BLOQUE",IF(AND($U78&gt;P_TOL,$L78=""),"A JUSTIFIER","OK"))))),IF($T78=0,"EN COURS",IF($S78&gt;$G78+0.001,"BLOQUE",IF(AND($U78&gt;P_TOL,$L78=""),"A JUSTIFIER","OK"))))))</f>
        <v/>
      </c>
      <c r="X78" s="28" t="n">
        <f aca="false">IF(OR($W78="",$W78="DONNEES MANQUANTES",$W78="EMPLACEMENT INCOHERENT",$W78="STOCK INSUFFISANT"),0,1)</f>
        <v>0</v>
      </c>
      <c r="Y78" s="26" t="str">
        <f aca="false">IF($D78="","",IF($Q78=0,"A COMPLETER : "&amp;IF($B78="","DATE ENVOI; ","")&amp;IF($C78="","SOUS-TRAITANT; ","")&amp;IF($E78="","LOT SOURCE; ","")&amp;IF(OR(NOT(ISNUMBER($G78)),$G78&lt;=0),"QTE ENVOYEE &gt; 0; ","")&amp;IF(AND($D78="STOCK EXISTANT",$F78=""),"EMPL. SOURCE; ",""),IF($W78="EMPLACEMENT INCOHERENT","Le lot "&amp;$E78&amp;" n'existe pas sur "&amp;$F78&amp;" (stock 0).",IF($W78="STOCK INSUFFISANT","Disponible avant envoi : "&amp;TEXT($R78,"#,##0.00")&amp;" kg. Ligne NON comptee en stock.",IF($W78="BLOQUE","Total des sorties ("&amp;TEXT($S78,"#,##0.00")&amp;" kg) superieur a la quantite envoyee.",IF($W78="EN COURS","Envoi enregistre, resultats non connus. A completer dans ST_RESULTATS.",IF($W78="A JUSTIFIER","Ecart de "&amp;TEXT($U78,"#,##0.00")&amp;" kg : renseigner JUSTIFICATION ECART (colonne L).",IF($O78="LOT NON REFERENCE","Creer d'abord la fiche du lot dans l'onglet LOTS.",""))))))))</f>
        <v/>
      </c>
      <c r="Z78" s="27" t="n">
        <f aca="false">IF(OR($X78=0,$T78&gt;0),0,$G78)</f>
        <v>0</v>
      </c>
      <c r="AA78" s="26" t="n">
        <f aca="false">IF($Q78=0,0,IF(OR($E78=R_LOT,COUNTIFS(RES_IDST,$A78,RES_LOTEFF,R_LOT)&gt;0),1,0))</f>
        <v>0</v>
      </c>
      <c r="AB78" s="26" t="str">
        <f aca="false">IF($AA78=0,"",COUNTIF($AA$5:$AA78,1))</f>
        <v/>
      </c>
    </row>
    <row r="79" customFormat="false" ht="15" hidden="false" customHeight="false" outlineLevel="0" collapsed="false">
      <c r="A79" s="26" t="str">
        <f aca="false">IF($D79="","","ST-"&amp;TEXT(ROW()-4,"000"))</f>
        <v/>
      </c>
      <c r="B79" s="25"/>
      <c r="C79" s="24"/>
      <c r="D79" s="24"/>
      <c r="E79" s="24"/>
      <c r="F79" s="24"/>
      <c r="G79" s="29"/>
      <c r="H79" s="24"/>
      <c r="I79" s="24"/>
      <c r="J79" s="24"/>
      <c r="K79" s="25"/>
      <c r="L79" s="24"/>
      <c r="M79" s="24"/>
      <c r="N79" s="24"/>
      <c r="O79" s="26" t="str">
        <f aca="false">IF($E79="","",IFERROR(INDEX(LOT_PRODE,MATCH($E79,LOT_KEY,0)),"LOT NON REFERENCE"))</f>
        <v/>
      </c>
      <c r="P79" s="26" t="str">
        <f aca="false">IF($E79="","",IFERROR(INDEX(LOT_FOURNE,MATCH($E79,LOT_KEY,0)),""))</f>
        <v/>
      </c>
      <c r="Q79" s="28" t="n">
        <f aca="false">IF($D79="",0,IF(OR($B79="",$C79="",$E79="",NOT(ISNUMBER($G79)),$G79&lt;=0),0,IF($D79="STOCK EXISTANT",IF($F79="",0,1),1)))</f>
        <v>0</v>
      </c>
      <c r="R79" s="27" t="str">
        <f aca="false">IF(OR($Q79=0,$D79&lt;&gt;"STOCK EXISTANT"),"",SUMIFS(MVT_BRUT,MVT_LOT,$E79,MVT_EMPL,$F79)+$G79)</f>
        <v/>
      </c>
      <c r="S79" s="27" t="str">
        <f aca="false">IF($A79="","",SUMIFS(RES_QTEVAL,RES_IDST,$A79))</f>
        <v/>
      </c>
      <c r="T79" s="28" t="str">
        <f aca="false">IF($A79="","",COUNTIFS(RES_IDST,$A79))</f>
        <v/>
      </c>
      <c r="U79" s="27" t="str">
        <f aca="false">IF(OR($A79="",$T79=0),"",$G79-$S79)</f>
        <v/>
      </c>
      <c r="V79" s="30" t="str">
        <f aca="false">IF(OR($A79="",$T79=0,NOT(ISNUMBER($G79)),$G79&lt;=0),"",$S79/$G79)</f>
        <v/>
      </c>
      <c r="W79" s="26" t="str">
        <f aca="false">IF($D79="","",IF($Q79=0,"DONNEES MANQUANTES",IF($D79="STOCK EXISTANT",IF($R79&lt;=0,"EMPLACEMENT INCOHERENT",IF($G79&gt;$R79+0.001,"STOCK INSUFFISANT",IF($T79=0,"EN COURS",IF($S79&gt;$G79+0.001,"BLOQUE",IF(AND($U79&gt;P_TOL,$L79=""),"A JUSTIFIER","OK"))))),IF($T79=0,"EN COURS",IF($S79&gt;$G79+0.001,"BLOQUE",IF(AND($U79&gt;P_TOL,$L79=""),"A JUSTIFIER","OK"))))))</f>
        <v/>
      </c>
      <c r="X79" s="28" t="n">
        <f aca="false">IF(OR($W79="",$W79="DONNEES MANQUANTES",$W79="EMPLACEMENT INCOHERENT",$W79="STOCK INSUFFISANT"),0,1)</f>
        <v>0</v>
      </c>
      <c r="Y79" s="26" t="str">
        <f aca="false">IF($D79="","",IF($Q79=0,"A COMPLETER : "&amp;IF($B79="","DATE ENVOI; ","")&amp;IF($C79="","SOUS-TRAITANT; ","")&amp;IF($E79="","LOT SOURCE; ","")&amp;IF(OR(NOT(ISNUMBER($G79)),$G79&lt;=0),"QTE ENVOYEE &gt; 0; ","")&amp;IF(AND($D79="STOCK EXISTANT",$F79=""),"EMPL. SOURCE; ",""),IF($W79="EMPLACEMENT INCOHERENT","Le lot "&amp;$E79&amp;" n'existe pas sur "&amp;$F79&amp;" (stock 0).",IF($W79="STOCK INSUFFISANT","Disponible avant envoi : "&amp;TEXT($R79,"#,##0.00")&amp;" kg. Ligne NON comptee en stock.",IF($W79="BLOQUE","Total des sorties ("&amp;TEXT($S79,"#,##0.00")&amp;" kg) superieur a la quantite envoyee.",IF($W79="EN COURS","Envoi enregistre, resultats non connus. A completer dans ST_RESULTATS.",IF($W79="A JUSTIFIER","Ecart de "&amp;TEXT($U79,"#,##0.00")&amp;" kg : renseigner JUSTIFICATION ECART (colonne L).",IF($O79="LOT NON REFERENCE","Creer d'abord la fiche du lot dans l'onglet LOTS.",""))))))))</f>
        <v/>
      </c>
      <c r="Z79" s="27" t="n">
        <f aca="false">IF(OR($X79=0,$T79&gt;0),0,$G79)</f>
        <v>0</v>
      </c>
      <c r="AA79" s="26" t="n">
        <f aca="false">IF($Q79=0,0,IF(OR($E79=R_LOT,COUNTIFS(RES_IDST,$A79,RES_LOTEFF,R_LOT)&gt;0),1,0))</f>
        <v>0</v>
      </c>
      <c r="AB79" s="26" t="str">
        <f aca="false">IF($AA79=0,"",COUNTIF($AA$5:$AA79,1))</f>
        <v/>
      </c>
    </row>
    <row r="80" customFormat="false" ht="15" hidden="false" customHeight="false" outlineLevel="0" collapsed="false">
      <c r="A80" s="26" t="str">
        <f aca="false">IF($D80="","","ST-"&amp;TEXT(ROW()-4,"000"))</f>
        <v/>
      </c>
      <c r="B80" s="25"/>
      <c r="C80" s="24"/>
      <c r="D80" s="24"/>
      <c r="E80" s="24"/>
      <c r="F80" s="24"/>
      <c r="G80" s="29"/>
      <c r="H80" s="24"/>
      <c r="I80" s="24"/>
      <c r="J80" s="24"/>
      <c r="K80" s="25"/>
      <c r="L80" s="24"/>
      <c r="M80" s="24"/>
      <c r="N80" s="24"/>
      <c r="O80" s="26" t="str">
        <f aca="false">IF($E80="","",IFERROR(INDEX(LOT_PRODE,MATCH($E80,LOT_KEY,0)),"LOT NON REFERENCE"))</f>
        <v/>
      </c>
      <c r="P80" s="26" t="str">
        <f aca="false">IF($E80="","",IFERROR(INDEX(LOT_FOURNE,MATCH($E80,LOT_KEY,0)),""))</f>
        <v/>
      </c>
      <c r="Q80" s="28" t="n">
        <f aca="false">IF($D80="",0,IF(OR($B80="",$C80="",$E80="",NOT(ISNUMBER($G80)),$G80&lt;=0),0,IF($D80="STOCK EXISTANT",IF($F80="",0,1),1)))</f>
        <v>0</v>
      </c>
      <c r="R80" s="27" t="str">
        <f aca="false">IF(OR($Q80=0,$D80&lt;&gt;"STOCK EXISTANT"),"",SUMIFS(MVT_BRUT,MVT_LOT,$E80,MVT_EMPL,$F80)+$G80)</f>
        <v/>
      </c>
      <c r="S80" s="27" t="str">
        <f aca="false">IF($A80="","",SUMIFS(RES_QTEVAL,RES_IDST,$A80))</f>
        <v/>
      </c>
      <c r="T80" s="28" t="str">
        <f aca="false">IF($A80="","",COUNTIFS(RES_IDST,$A80))</f>
        <v/>
      </c>
      <c r="U80" s="27" t="str">
        <f aca="false">IF(OR($A80="",$T80=0),"",$G80-$S80)</f>
        <v/>
      </c>
      <c r="V80" s="30" t="str">
        <f aca="false">IF(OR($A80="",$T80=0,NOT(ISNUMBER($G80)),$G80&lt;=0),"",$S80/$G80)</f>
        <v/>
      </c>
      <c r="W80" s="26" t="str">
        <f aca="false">IF($D80="","",IF($Q80=0,"DONNEES MANQUANTES",IF($D80="STOCK EXISTANT",IF($R80&lt;=0,"EMPLACEMENT INCOHERENT",IF($G80&gt;$R80+0.001,"STOCK INSUFFISANT",IF($T80=0,"EN COURS",IF($S80&gt;$G80+0.001,"BLOQUE",IF(AND($U80&gt;P_TOL,$L80=""),"A JUSTIFIER","OK"))))),IF($T80=0,"EN COURS",IF($S80&gt;$G80+0.001,"BLOQUE",IF(AND($U80&gt;P_TOL,$L80=""),"A JUSTIFIER","OK"))))))</f>
        <v/>
      </c>
      <c r="X80" s="28" t="n">
        <f aca="false">IF(OR($W80="",$W80="DONNEES MANQUANTES",$W80="EMPLACEMENT INCOHERENT",$W80="STOCK INSUFFISANT"),0,1)</f>
        <v>0</v>
      </c>
      <c r="Y80" s="26" t="str">
        <f aca="false">IF($D80="","",IF($Q80=0,"A COMPLETER : "&amp;IF($B80="","DATE ENVOI; ","")&amp;IF($C80="","SOUS-TRAITANT; ","")&amp;IF($E80="","LOT SOURCE; ","")&amp;IF(OR(NOT(ISNUMBER($G80)),$G80&lt;=0),"QTE ENVOYEE &gt; 0; ","")&amp;IF(AND($D80="STOCK EXISTANT",$F80=""),"EMPL. SOURCE; ",""),IF($W80="EMPLACEMENT INCOHERENT","Le lot "&amp;$E80&amp;" n'existe pas sur "&amp;$F80&amp;" (stock 0).",IF($W80="STOCK INSUFFISANT","Disponible avant envoi : "&amp;TEXT($R80,"#,##0.00")&amp;" kg. Ligne NON comptee en stock.",IF($W80="BLOQUE","Total des sorties ("&amp;TEXT($S80,"#,##0.00")&amp;" kg) superieur a la quantite envoyee.",IF($W80="EN COURS","Envoi enregistre, resultats non connus. A completer dans ST_RESULTATS.",IF($W80="A JUSTIFIER","Ecart de "&amp;TEXT($U80,"#,##0.00")&amp;" kg : renseigner JUSTIFICATION ECART (colonne L).",IF($O80="LOT NON REFERENCE","Creer d'abord la fiche du lot dans l'onglet LOTS.",""))))))))</f>
        <v/>
      </c>
      <c r="Z80" s="27" t="n">
        <f aca="false">IF(OR($X80=0,$T80&gt;0),0,$G80)</f>
        <v>0</v>
      </c>
      <c r="AA80" s="26" t="n">
        <f aca="false">IF($Q80=0,0,IF(OR($E80=R_LOT,COUNTIFS(RES_IDST,$A80,RES_LOTEFF,R_LOT)&gt;0),1,0))</f>
        <v>0</v>
      </c>
      <c r="AB80" s="26" t="str">
        <f aca="false">IF($AA80=0,"",COUNTIF($AA$5:$AA80,1))</f>
        <v/>
      </c>
    </row>
    <row r="81" customFormat="false" ht="15" hidden="false" customHeight="false" outlineLevel="0" collapsed="false">
      <c r="A81" s="26" t="str">
        <f aca="false">IF($D81="","","ST-"&amp;TEXT(ROW()-4,"000"))</f>
        <v/>
      </c>
      <c r="B81" s="25"/>
      <c r="C81" s="24"/>
      <c r="D81" s="24"/>
      <c r="E81" s="24"/>
      <c r="F81" s="24"/>
      <c r="G81" s="29"/>
      <c r="H81" s="24"/>
      <c r="I81" s="24"/>
      <c r="J81" s="24"/>
      <c r="K81" s="25"/>
      <c r="L81" s="24"/>
      <c r="M81" s="24"/>
      <c r="N81" s="24"/>
      <c r="O81" s="26" t="str">
        <f aca="false">IF($E81="","",IFERROR(INDEX(LOT_PRODE,MATCH($E81,LOT_KEY,0)),"LOT NON REFERENCE"))</f>
        <v/>
      </c>
      <c r="P81" s="26" t="str">
        <f aca="false">IF($E81="","",IFERROR(INDEX(LOT_FOURNE,MATCH($E81,LOT_KEY,0)),""))</f>
        <v/>
      </c>
      <c r="Q81" s="28" t="n">
        <f aca="false">IF($D81="",0,IF(OR($B81="",$C81="",$E81="",NOT(ISNUMBER($G81)),$G81&lt;=0),0,IF($D81="STOCK EXISTANT",IF($F81="",0,1),1)))</f>
        <v>0</v>
      </c>
      <c r="R81" s="27" t="str">
        <f aca="false">IF(OR($Q81=0,$D81&lt;&gt;"STOCK EXISTANT"),"",SUMIFS(MVT_BRUT,MVT_LOT,$E81,MVT_EMPL,$F81)+$G81)</f>
        <v/>
      </c>
      <c r="S81" s="27" t="str">
        <f aca="false">IF($A81="","",SUMIFS(RES_QTEVAL,RES_IDST,$A81))</f>
        <v/>
      </c>
      <c r="T81" s="28" t="str">
        <f aca="false">IF($A81="","",COUNTIFS(RES_IDST,$A81))</f>
        <v/>
      </c>
      <c r="U81" s="27" t="str">
        <f aca="false">IF(OR($A81="",$T81=0),"",$G81-$S81)</f>
        <v/>
      </c>
      <c r="V81" s="30" t="str">
        <f aca="false">IF(OR($A81="",$T81=0,NOT(ISNUMBER($G81)),$G81&lt;=0),"",$S81/$G81)</f>
        <v/>
      </c>
      <c r="W81" s="26" t="str">
        <f aca="false">IF($D81="","",IF($Q81=0,"DONNEES MANQUANTES",IF($D81="STOCK EXISTANT",IF($R81&lt;=0,"EMPLACEMENT INCOHERENT",IF($G81&gt;$R81+0.001,"STOCK INSUFFISANT",IF($T81=0,"EN COURS",IF($S81&gt;$G81+0.001,"BLOQUE",IF(AND($U81&gt;P_TOL,$L81=""),"A JUSTIFIER","OK"))))),IF($T81=0,"EN COURS",IF($S81&gt;$G81+0.001,"BLOQUE",IF(AND($U81&gt;P_TOL,$L81=""),"A JUSTIFIER","OK"))))))</f>
        <v/>
      </c>
      <c r="X81" s="28" t="n">
        <f aca="false">IF(OR($W81="",$W81="DONNEES MANQUANTES",$W81="EMPLACEMENT INCOHERENT",$W81="STOCK INSUFFISANT"),0,1)</f>
        <v>0</v>
      </c>
      <c r="Y81" s="26" t="str">
        <f aca="false">IF($D81="","",IF($Q81=0,"A COMPLETER : "&amp;IF($B81="","DATE ENVOI; ","")&amp;IF($C81="","SOUS-TRAITANT; ","")&amp;IF($E81="","LOT SOURCE; ","")&amp;IF(OR(NOT(ISNUMBER($G81)),$G81&lt;=0),"QTE ENVOYEE &gt; 0; ","")&amp;IF(AND($D81="STOCK EXISTANT",$F81=""),"EMPL. SOURCE; ",""),IF($W81="EMPLACEMENT INCOHERENT","Le lot "&amp;$E81&amp;" n'existe pas sur "&amp;$F81&amp;" (stock 0).",IF($W81="STOCK INSUFFISANT","Disponible avant envoi : "&amp;TEXT($R81,"#,##0.00")&amp;" kg. Ligne NON comptee en stock.",IF($W81="BLOQUE","Total des sorties ("&amp;TEXT($S81,"#,##0.00")&amp;" kg) superieur a la quantite envoyee.",IF($W81="EN COURS","Envoi enregistre, resultats non connus. A completer dans ST_RESULTATS.",IF($W81="A JUSTIFIER","Ecart de "&amp;TEXT($U81,"#,##0.00")&amp;" kg : renseigner JUSTIFICATION ECART (colonne L).",IF($O81="LOT NON REFERENCE","Creer d'abord la fiche du lot dans l'onglet LOTS.",""))))))))</f>
        <v/>
      </c>
      <c r="Z81" s="27" t="n">
        <f aca="false">IF(OR($X81=0,$T81&gt;0),0,$G81)</f>
        <v>0</v>
      </c>
      <c r="AA81" s="26" t="n">
        <f aca="false">IF($Q81=0,0,IF(OR($E81=R_LOT,COUNTIFS(RES_IDST,$A81,RES_LOTEFF,R_LOT)&gt;0),1,0))</f>
        <v>0</v>
      </c>
      <c r="AB81" s="26" t="str">
        <f aca="false">IF($AA81=0,"",COUNTIF($AA$5:$AA81,1))</f>
        <v/>
      </c>
    </row>
    <row r="82" customFormat="false" ht="15" hidden="false" customHeight="false" outlineLevel="0" collapsed="false">
      <c r="A82" s="26" t="str">
        <f aca="false">IF($D82="","","ST-"&amp;TEXT(ROW()-4,"000"))</f>
        <v/>
      </c>
      <c r="B82" s="25"/>
      <c r="C82" s="24"/>
      <c r="D82" s="24"/>
      <c r="E82" s="24"/>
      <c r="F82" s="24"/>
      <c r="G82" s="29"/>
      <c r="H82" s="24"/>
      <c r="I82" s="24"/>
      <c r="J82" s="24"/>
      <c r="K82" s="25"/>
      <c r="L82" s="24"/>
      <c r="M82" s="24"/>
      <c r="N82" s="24"/>
      <c r="O82" s="26" t="str">
        <f aca="false">IF($E82="","",IFERROR(INDEX(LOT_PRODE,MATCH($E82,LOT_KEY,0)),"LOT NON REFERENCE"))</f>
        <v/>
      </c>
      <c r="P82" s="26" t="str">
        <f aca="false">IF($E82="","",IFERROR(INDEX(LOT_FOURNE,MATCH($E82,LOT_KEY,0)),""))</f>
        <v/>
      </c>
      <c r="Q82" s="28" t="n">
        <f aca="false">IF($D82="",0,IF(OR($B82="",$C82="",$E82="",NOT(ISNUMBER($G82)),$G82&lt;=0),0,IF($D82="STOCK EXISTANT",IF($F82="",0,1),1)))</f>
        <v>0</v>
      </c>
      <c r="R82" s="27" t="str">
        <f aca="false">IF(OR($Q82=0,$D82&lt;&gt;"STOCK EXISTANT"),"",SUMIFS(MVT_BRUT,MVT_LOT,$E82,MVT_EMPL,$F82)+$G82)</f>
        <v/>
      </c>
      <c r="S82" s="27" t="str">
        <f aca="false">IF($A82="","",SUMIFS(RES_QTEVAL,RES_IDST,$A82))</f>
        <v/>
      </c>
      <c r="T82" s="28" t="str">
        <f aca="false">IF($A82="","",COUNTIFS(RES_IDST,$A82))</f>
        <v/>
      </c>
      <c r="U82" s="27" t="str">
        <f aca="false">IF(OR($A82="",$T82=0),"",$G82-$S82)</f>
        <v/>
      </c>
      <c r="V82" s="30" t="str">
        <f aca="false">IF(OR($A82="",$T82=0,NOT(ISNUMBER($G82)),$G82&lt;=0),"",$S82/$G82)</f>
        <v/>
      </c>
      <c r="W82" s="26" t="str">
        <f aca="false">IF($D82="","",IF($Q82=0,"DONNEES MANQUANTES",IF($D82="STOCK EXISTANT",IF($R82&lt;=0,"EMPLACEMENT INCOHERENT",IF($G82&gt;$R82+0.001,"STOCK INSUFFISANT",IF($T82=0,"EN COURS",IF($S82&gt;$G82+0.001,"BLOQUE",IF(AND($U82&gt;P_TOL,$L82=""),"A JUSTIFIER","OK"))))),IF($T82=0,"EN COURS",IF($S82&gt;$G82+0.001,"BLOQUE",IF(AND($U82&gt;P_TOL,$L82=""),"A JUSTIFIER","OK"))))))</f>
        <v/>
      </c>
      <c r="X82" s="28" t="n">
        <f aca="false">IF(OR($W82="",$W82="DONNEES MANQUANTES",$W82="EMPLACEMENT INCOHERENT",$W82="STOCK INSUFFISANT"),0,1)</f>
        <v>0</v>
      </c>
      <c r="Y82" s="26" t="str">
        <f aca="false">IF($D82="","",IF($Q82=0,"A COMPLETER : "&amp;IF($B82="","DATE ENVOI; ","")&amp;IF($C82="","SOUS-TRAITANT; ","")&amp;IF($E82="","LOT SOURCE; ","")&amp;IF(OR(NOT(ISNUMBER($G82)),$G82&lt;=0),"QTE ENVOYEE &gt; 0; ","")&amp;IF(AND($D82="STOCK EXISTANT",$F82=""),"EMPL. SOURCE; ",""),IF($W82="EMPLACEMENT INCOHERENT","Le lot "&amp;$E82&amp;" n'existe pas sur "&amp;$F82&amp;" (stock 0).",IF($W82="STOCK INSUFFISANT","Disponible avant envoi : "&amp;TEXT($R82,"#,##0.00")&amp;" kg. Ligne NON comptee en stock.",IF($W82="BLOQUE","Total des sorties ("&amp;TEXT($S82,"#,##0.00")&amp;" kg) superieur a la quantite envoyee.",IF($W82="EN COURS","Envoi enregistre, resultats non connus. A completer dans ST_RESULTATS.",IF($W82="A JUSTIFIER","Ecart de "&amp;TEXT($U82,"#,##0.00")&amp;" kg : renseigner JUSTIFICATION ECART (colonne L).",IF($O82="LOT NON REFERENCE","Creer d'abord la fiche du lot dans l'onglet LOTS.",""))))))))</f>
        <v/>
      </c>
      <c r="Z82" s="27" t="n">
        <f aca="false">IF(OR($X82=0,$T82&gt;0),0,$G82)</f>
        <v>0</v>
      </c>
      <c r="AA82" s="26" t="n">
        <f aca="false">IF($Q82=0,0,IF(OR($E82=R_LOT,COUNTIFS(RES_IDST,$A82,RES_LOTEFF,R_LOT)&gt;0),1,0))</f>
        <v>0</v>
      </c>
      <c r="AB82" s="26" t="str">
        <f aca="false">IF($AA82=0,"",COUNTIF($AA$5:$AA82,1))</f>
        <v/>
      </c>
    </row>
    <row r="83" customFormat="false" ht="15" hidden="false" customHeight="false" outlineLevel="0" collapsed="false">
      <c r="A83" s="26" t="str">
        <f aca="false">IF($D83="","","ST-"&amp;TEXT(ROW()-4,"000"))</f>
        <v/>
      </c>
      <c r="B83" s="25"/>
      <c r="C83" s="24"/>
      <c r="D83" s="24"/>
      <c r="E83" s="24"/>
      <c r="F83" s="24"/>
      <c r="G83" s="29"/>
      <c r="H83" s="24"/>
      <c r="I83" s="24"/>
      <c r="J83" s="24"/>
      <c r="K83" s="25"/>
      <c r="L83" s="24"/>
      <c r="M83" s="24"/>
      <c r="N83" s="24"/>
      <c r="O83" s="26" t="str">
        <f aca="false">IF($E83="","",IFERROR(INDEX(LOT_PRODE,MATCH($E83,LOT_KEY,0)),"LOT NON REFERENCE"))</f>
        <v/>
      </c>
      <c r="P83" s="26" t="str">
        <f aca="false">IF($E83="","",IFERROR(INDEX(LOT_FOURNE,MATCH($E83,LOT_KEY,0)),""))</f>
        <v/>
      </c>
      <c r="Q83" s="28" t="n">
        <f aca="false">IF($D83="",0,IF(OR($B83="",$C83="",$E83="",NOT(ISNUMBER($G83)),$G83&lt;=0),0,IF($D83="STOCK EXISTANT",IF($F83="",0,1),1)))</f>
        <v>0</v>
      </c>
      <c r="R83" s="27" t="str">
        <f aca="false">IF(OR($Q83=0,$D83&lt;&gt;"STOCK EXISTANT"),"",SUMIFS(MVT_BRUT,MVT_LOT,$E83,MVT_EMPL,$F83)+$G83)</f>
        <v/>
      </c>
      <c r="S83" s="27" t="str">
        <f aca="false">IF($A83="","",SUMIFS(RES_QTEVAL,RES_IDST,$A83))</f>
        <v/>
      </c>
      <c r="T83" s="28" t="str">
        <f aca="false">IF($A83="","",COUNTIFS(RES_IDST,$A83))</f>
        <v/>
      </c>
      <c r="U83" s="27" t="str">
        <f aca="false">IF(OR($A83="",$T83=0),"",$G83-$S83)</f>
        <v/>
      </c>
      <c r="V83" s="30" t="str">
        <f aca="false">IF(OR($A83="",$T83=0,NOT(ISNUMBER($G83)),$G83&lt;=0),"",$S83/$G83)</f>
        <v/>
      </c>
      <c r="W83" s="26" t="str">
        <f aca="false">IF($D83="","",IF($Q83=0,"DONNEES MANQUANTES",IF($D83="STOCK EXISTANT",IF($R83&lt;=0,"EMPLACEMENT INCOHERENT",IF($G83&gt;$R83+0.001,"STOCK INSUFFISANT",IF($T83=0,"EN COURS",IF($S83&gt;$G83+0.001,"BLOQUE",IF(AND($U83&gt;P_TOL,$L83=""),"A JUSTIFIER","OK"))))),IF($T83=0,"EN COURS",IF($S83&gt;$G83+0.001,"BLOQUE",IF(AND($U83&gt;P_TOL,$L83=""),"A JUSTIFIER","OK"))))))</f>
        <v/>
      </c>
      <c r="X83" s="28" t="n">
        <f aca="false">IF(OR($W83="",$W83="DONNEES MANQUANTES",$W83="EMPLACEMENT INCOHERENT",$W83="STOCK INSUFFISANT"),0,1)</f>
        <v>0</v>
      </c>
      <c r="Y83" s="26" t="str">
        <f aca="false">IF($D83="","",IF($Q83=0,"A COMPLETER : "&amp;IF($B83="","DATE ENVOI; ","")&amp;IF($C83="","SOUS-TRAITANT; ","")&amp;IF($E83="","LOT SOURCE; ","")&amp;IF(OR(NOT(ISNUMBER($G83)),$G83&lt;=0),"QTE ENVOYEE &gt; 0; ","")&amp;IF(AND($D83="STOCK EXISTANT",$F83=""),"EMPL. SOURCE; ",""),IF($W83="EMPLACEMENT INCOHERENT","Le lot "&amp;$E83&amp;" n'existe pas sur "&amp;$F83&amp;" (stock 0).",IF($W83="STOCK INSUFFISANT","Disponible avant envoi : "&amp;TEXT($R83,"#,##0.00")&amp;" kg. Ligne NON comptee en stock.",IF($W83="BLOQUE","Total des sorties ("&amp;TEXT($S83,"#,##0.00")&amp;" kg) superieur a la quantite envoyee.",IF($W83="EN COURS","Envoi enregistre, resultats non connus. A completer dans ST_RESULTATS.",IF($W83="A JUSTIFIER","Ecart de "&amp;TEXT($U83,"#,##0.00")&amp;" kg : renseigner JUSTIFICATION ECART (colonne L).",IF($O83="LOT NON REFERENCE","Creer d'abord la fiche du lot dans l'onglet LOTS.",""))))))))</f>
        <v/>
      </c>
      <c r="Z83" s="27" t="n">
        <f aca="false">IF(OR($X83=0,$T83&gt;0),0,$G83)</f>
        <v>0</v>
      </c>
      <c r="AA83" s="26" t="n">
        <f aca="false">IF($Q83=0,0,IF(OR($E83=R_LOT,COUNTIFS(RES_IDST,$A83,RES_LOTEFF,R_LOT)&gt;0),1,0))</f>
        <v>0</v>
      </c>
      <c r="AB83" s="26" t="str">
        <f aca="false">IF($AA83=0,"",COUNTIF($AA$5:$AA83,1))</f>
        <v/>
      </c>
    </row>
    <row r="84" customFormat="false" ht="15" hidden="false" customHeight="false" outlineLevel="0" collapsed="false">
      <c r="A84" s="26" t="str">
        <f aca="false">IF($D84="","","ST-"&amp;TEXT(ROW()-4,"000"))</f>
        <v/>
      </c>
      <c r="B84" s="25"/>
      <c r="C84" s="24"/>
      <c r="D84" s="24"/>
      <c r="E84" s="24"/>
      <c r="F84" s="24"/>
      <c r="G84" s="29"/>
      <c r="H84" s="24"/>
      <c r="I84" s="24"/>
      <c r="J84" s="24"/>
      <c r="K84" s="25"/>
      <c r="L84" s="24"/>
      <c r="M84" s="24"/>
      <c r="N84" s="24"/>
      <c r="O84" s="26" t="str">
        <f aca="false">IF($E84="","",IFERROR(INDEX(LOT_PRODE,MATCH($E84,LOT_KEY,0)),"LOT NON REFERENCE"))</f>
        <v/>
      </c>
      <c r="P84" s="26" t="str">
        <f aca="false">IF($E84="","",IFERROR(INDEX(LOT_FOURNE,MATCH($E84,LOT_KEY,0)),""))</f>
        <v/>
      </c>
      <c r="Q84" s="28" t="n">
        <f aca="false">IF($D84="",0,IF(OR($B84="",$C84="",$E84="",NOT(ISNUMBER($G84)),$G84&lt;=0),0,IF($D84="STOCK EXISTANT",IF($F84="",0,1),1)))</f>
        <v>0</v>
      </c>
      <c r="R84" s="27" t="str">
        <f aca="false">IF(OR($Q84=0,$D84&lt;&gt;"STOCK EXISTANT"),"",SUMIFS(MVT_BRUT,MVT_LOT,$E84,MVT_EMPL,$F84)+$G84)</f>
        <v/>
      </c>
      <c r="S84" s="27" t="str">
        <f aca="false">IF($A84="","",SUMIFS(RES_QTEVAL,RES_IDST,$A84))</f>
        <v/>
      </c>
      <c r="T84" s="28" t="str">
        <f aca="false">IF($A84="","",COUNTIFS(RES_IDST,$A84))</f>
        <v/>
      </c>
      <c r="U84" s="27" t="str">
        <f aca="false">IF(OR($A84="",$T84=0),"",$G84-$S84)</f>
        <v/>
      </c>
      <c r="V84" s="30" t="str">
        <f aca="false">IF(OR($A84="",$T84=0,NOT(ISNUMBER($G84)),$G84&lt;=0),"",$S84/$G84)</f>
        <v/>
      </c>
      <c r="W84" s="26" t="str">
        <f aca="false">IF($D84="","",IF($Q84=0,"DONNEES MANQUANTES",IF($D84="STOCK EXISTANT",IF($R84&lt;=0,"EMPLACEMENT INCOHERENT",IF($G84&gt;$R84+0.001,"STOCK INSUFFISANT",IF($T84=0,"EN COURS",IF($S84&gt;$G84+0.001,"BLOQUE",IF(AND($U84&gt;P_TOL,$L84=""),"A JUSTIFIER","OK"))))),IF($T84=0,"EN COURS",IF($S84&gt;$G84+0.001,"BLOQUE",IF(AND($U84&gt;P_TOL,$L84=""),"A JUSTIFIER","OK"))))))</f>
        <v/>
      </c>
      <c r="X84" s="28" t="n">
        <f aca="false">IF(OR($W84="",$W84="DONNEES MANQUANTES",$W84="EMPLACEMENT INCOHERENT",$W84="STOCK INSUFFISANT"),0,1)</f>
        <v>0</v>
      </c>
      <c r="Y84" s="26" t="str">
        <f aca="false">IF($D84="","",IF($Q84=0,"A COMPLETER : "&amp;IF($B84="","DATE ENVOI; ","")&amp;IF($C84="","SOUS-TRAITANT; ","")&amp;IF($E84="","LOT SOURCE; ","")&amp;IF(OR(NOT(ISNUMBER($G84)),$G84&lt;=0),"QTE ENVOYEE &gt; 0; ","")&amp;IF(AND($D84="STOCK EXISTANT",$F84=""),"EMPL. SOURCE; ",""),IF($W84="EMPLACEMENT INCOHERENT","Le lot "&amp;$E84&amp;" n'existe pas sur "&amp;$F84&amp;" (stock 0).",IF($W84="STOCK INSUFFISANT","Disponible avant envoi : "&amp;TEXT($R84,"#,##0.00")&amp;" kg. Ligne NON comptee en stock.",IF($W84="BLOQUE","Total des sorties ("&amp;TEXT($S84,"#,##0.00")&amp;" kg) superieur a la quantite envoyee.",IF($W84="EN COURS","Envoi enregistre, resultats non connus. A completer dans ST_RESULTATS.",IF($W84="A JUSTIFIER","Ecart de "&amp;TEXT($U84,"#,##0.00")&amp;" kg : renseigner JUSTIFICATION ECART (colonne L).",IF($O84="LOT NON REFERENCE","Creer d'abord la fiche du lot dans l'onglet LOTS.",""))))))))</f>
        <v/>
      </c>
      <c r="Z84" s="27" t="n">
        <f aca="false">IF(OR($X84=0,$T84&gt;0),0,$G84)</f>
        <v>0</v>
      </c>
      <c r="AA84" s="26" t="n">
        <f aca="false">IF($Q84=0,0,IF(OR($E84=R_LOT,COUNTIFS(RES_IDST,$A84,RES_LOTEFF,R_LOT)&gt;0),1,0))</f>
        <v>0</v>
      </c>
      <c r="AB84" s="26" t="str">
        <f aca="false">IF($AA84=0,"",COUNTIF($AA$5:$AA84,1))</f>
        <v/>
      </c>
    </row>
    <row r="85" customFormat="false" ht="15" hidden="false" customHeight="false" outlineLevel="0" collapsed="false">
      <c r="A85" s="26" t="str">
        <f aca="false">IF($D85="","","ST-"&amp;TEXT(ROW()-4,"000"))</f>
        <v/>
      </c>
      <c r="B85" s="25"/>
      <c r="C85" s="24"/>
      <c r="D85" s="24"/>
      <c r="E85" s="24"/>
      <c r="F85" s="24"/>
      <c r="G85" s="29"/>
      <c r="H85" s="24"/>
      <c r="I85" s="24"/>
      <c r="J85" s="24"/>
      <c r="K85" s="25"/>
      <c r="L85" s="24"/>
      <c r="M85" s="24"/>
      <c r="N85" s="24"/>
      <c r="O85" s="26" t="str">
        <f aca="false">IF($E85="","",IFERROR(INDEX(LOT_PRODE,MATCH($E85,LOT_KEY,0)),"LOT NON REFERENCE"))</f>
        <v/>
      </c>
      <c r="P85" s="26" t="str">
        <f aca="false">IF($E85="","",IFERROR(INDEX(LOT_FOURNE,MATCH($E85,LOT_KEY,0)),""))</f>
        <v/>
      </c>
      <c r="Q85" s="28" t="n">
        <f aca="false">IF($D85="",0,IF(OR($B85="",$C85="",$E85="",NOT(ISNUMBER($G85)),$G85&lt;=0),0,IF($D85="STOCK EXISTANT",IF($F85="",0,1),1)))</f>
        <v>0</v>
      </c>
      <c r="R85" s="27" t="str">
        <f aca="false">IF(OR($Q85=0,$D85&lt;&gt;"STOCK EXISTANT"),"",SUMIFS(MVT_BRUT,MVT_LOT,$E85,MVT_EMPL,$F85)+$G85)</f>
        <v/>
      </c>
      <c r="S85" s="27" t="str">
        <f aca="false">IF($A85="","",SUMIFS(RES_QTEVAL,RES_IDST,$A85))</f>
        <v/>
      </c>
      <c r="T85" s="28" t="str">
        <f aca="false">IF($A85="","",COUNTIFS(RES_IDST,$A85))</f>
        <v/>
      </c>
      <c r="U85" s="27" t="str">
        <f aca="false">IF(OR($A85="",$T85=0),"",$G85-$S85)</f>
        <v/>
      </c>
      <c r="V85" s="30" t="str">
        <f aca="false">IF(OR($A85="",$T85=0,NOT(ISNUMBER($G85)),$G85&lt;=0),"",$S85/$G85)</f>
        <v/>
      </c>
      <c r="W85" s="26" t="str">
        <f aca="false">IF($D85="","",IF($Q85=0,"DONNEES MANQUANTES",IF($D85="STOCK EXISTANT",IF($R85&lt;=0,"EMPLACEMENT INCOHERENT",IF($G85&gt;$R85+0.001,"STOCK INSUFFISANT",IF($T85=0,"EN COURS",IF($S85&gt;$G85+0.001,"BLOQUE",IF(AND($U85&gt;P_TOL,$L85=""),"A JUSTIFIER","OK"))))),IF($T85=0,"EN COURS",IF($S85&gt;$G85+0.001,"BLOQUE",IF(AND($U85&gt;P_TOL,$L85=""),"A JUSTIFIER","OK"))))))</f>
        <v/>
      </c>
      <c r="X85" s="28" t="n">
        <f aca="false">IF(OR($W85="",$W85="DONNEES MANQUANTES",$W85="EMPLACEMENT INCOHERENT",$W85="STOCK INSUFFISANT"),0,1)</f>
        <v>0</v>
      </c>
      <c r="Y85" s="26" t="str">
        <f aca="false">IF($D85="","",IF($Q85=0,"A COMPLETER : "&amp;IF($B85="","DATE ENVOI; ","")&amp;IF($C85="","SOUS-TRAITANT; ","")&amp;IF($E85="","LOT SOURCE; ","")&amp;IF(OR(NOT(ISNUMBER($G85)),$G85&lt;=0),"QTE ENVOYEE &gt; 0; ","")&amp;IF(AND($D85="STOCK EXISTANT",$F85=""),"EMPL. SOURCE; ",""),IF($W85="EMPLACEMENT INCOHERENT","Le lot "&amp;$E85&amp;" n'existe pas sur "&amp;$F85&amp;" (stock 0).",IF($W85="STOCK INSUFFISANT","Disponible avant envoi : "&amp;TEXT($R85,"#,##0.00")&amp;" kg. Ligne NON comptee en stock.",IF($W85="BLOQUE","Total des sorties ("&amp;TEXT($S85,"#,##0.00")&amp;" kg) superieur a la quantite envoyee.",IF($W85="EN COURS","Envoi enregistre, resultats non connus. A completer dans ST_RESULTATS.",IF($W85="A JUSTIFIER","Ecart de "&amp;TEXT($U85,"#,##0.00")&amp;" kg : renseigner JUSTIFICATION ECART (colonne L).",IF($O85="LOT NON REFERENCE","Creer d'abord la fiche du lot dans l'onglet LOTS.",""))))))))</f>
        <v/>
      </c>
      <c r="Z85" s="27" t="n">
        <f aca="false">IF(OR($X85=0,$T85&gt;0),0,$G85)</f>
        <v>0</v>
      </c>
      <c r="AA85" s="26" t="n">
        <f aca="false">IF($Q85=0,0,IF(OR($E85=R_LOT,COUNTIFS(RES_IDST,$A85,RES_LOTEFF,R_LOT)&gt;0),1,0))</f>
        <v>0</v>
      </c>
      <c r="AB85" s="26" t="str">
        <f aca="false">IF($AA85=0,"",COUNTIF($AA$5:$AA85,1))</f>
        <v/>
      </c>
    </row>
    <row r="86" customFormat="false" ht="15" hidden="false" customHeight="false" outlineLevel="0" collapsed="false">
      <c r="A86" s="26" t="str">
        <f aca="false">IF($D86="","","ST-"&amp;TEXT(ROW()-4,"000"))</f>
        <v/>
      </c>
      <c r="B86" s="25"/>
      <c r="C86" s="24"/>
      <c r="D86" s="24"/>
      <c r="E86" s="24"/>
      <c r="F86" s="24"/>
      <c r="G86" s="29"/>
      <c r="H86" s="24"/>
      <c r="I86" s="24"/>
      <c r="J86" s="24"/>
      <c r="K86" s="25"/>
      <c r="L86" s="24"/>
      <c r="M86" s="24"/>
      <c r="N86" s="24"/>
      <c r="O86" s="26" t="str">
        <f aca="false">IF($E86="","",IFERROR(INDEX(LOT_PRODE,MATCH($E86,LOT_KEY,0)),"LOT NON REFERENCE"))</f>
        <v/>
      </c>
      <c r="P86" s="26" t="str">
        <f aca="false">IF($E86="","",IFERROR(INDEX(LOT_FOURNE,MATCH($E86,LOT_KEY,0)),""))</f>
        <v/>
      </c>
      <c r="Q86" s="28" t="n">
        <f aca="false">IF($D86="",0,IF(OR($B86="",$C86="",$E86="",NOT(ISNUMBER($G86)),$G86&lt;=0),0,IF($D86="STOCK EXISTANT",IF($F86="",0,1),1)))</f>
        <v>0</v>
      </c>
      <c r="R86" s="27" t="str">
        <f aca="false">IF(OR($Q86=0,$D86&lt;&gt;"STOCK EXISTANT"),"",SUMIFS(MVT_BRUT,MVT_LOT,$E86,MVT_EMPL,$F86)+$G86)</f>
        <v/>
      </c>
      <c r="S86" s="27" t="str">
        <f aca="false">IF($A86="","",SUMIFS(RES_QTEVAL,RES_IDST,$A86))</f>
        <v/>
      </c>
      <c r="T86" s="28" t="str">
        <f aca="false">IF($A86="","",COUNTIFS(RES_IDST,$A86))</f>
        <v/>
      </c>
      <c r="U86" s="27" t="str">
        <f aca="false">IF(OR($A86="",$T86=0),"",$G86-$S86)</f>
        <v/>
      </c>
      <c r="V86" s="30" t="str">
        <f aca="false">IF(OR($A86="",$T86=0,NOT(ISNUMBER($G86)),$G86&lt;=0),"",$S86/$G86)</f>
        <v/>
      </c>
      <c r="W86" s="26" t="str">
        <f aca="false">IF($D86="","",IF($Q86=0,"DONNEES MANQUANTES",IF($D86="STOCK EXISTANT",IF($R86&lt;=0,"EMPLACEMENT INCOHERENT",IF($G86&gt;$R86+0.001,"STOCK INSUFFISANT",IF($T86=0,"EN COURS",IF($S86&gt;$G86+0.001,"BLOQUE",IF(AND($U86&gt;P_TOL,$L86=""),"A JUSTIFIER","OK"))))),IF($T86=0,"EN COURS",IF($S86&gt;$G86+0.001,"BLOQUE",IF(AND($U86&gt;P_TOL,$L86=""),"A JUSTIFIER","OK"))))))</f>
        <v/>
      </c>
      <c r="X86" s="28" t="n">
        <f aca="false">IF(OR($W86="",$W86="DONNEES MANQUANTES",$W86="EMPLACEMENT INCOHERENT",$W86="STOCK INSUFFISANT"),0,1)</f>
        <v>0</v>
      </c>
      <c r="Y86" s="26" t="str">
        <f aca="false">IF($D86="","",IF($Q86=0,"A COMPLETER : "&amp;IF($B86="","DATE ENVOI; ","")&amp;IF($C86="","SOUS-TRAITANT; ","")&amp;IF($E86="","LOT SOURCE; ","")&amp;IF(OR(NOT(ISNUMBER($G86)),$G86&lt;=0),"QTE ENVOYEE &gt; 0; ","")&amp;IF(AND($D86="STOCK EXISTANT",$F86=""),"EMPL. SOURCE; ",""),IF($W86="EMPLACEMENT INCOHERENT","Le lot "&amp;$E86&amp;" n'existe pas sur "&amp;$F86&amp;" (stock 0).",IF($W86="STOCK INSUFFISANT","Disponible avant envoi : "&amp;TEXT($R86,"#,##0.00")&amp;" kg. Ligne NON comptee en stock.",IF($W86="BLOQUE","Total des sorties ("&amp;TEXT($S86,"#,##0.00")&amp;" kg) superieur a la quantite envoyee.",IF($W86="EN COURS","Envoi enregistre, resultats non connus. A completer dans ST_RESULTATS.",IF($W86="A JUSTIFIER","Ecart de "&amp;TEXT($U86,"#,##0.00")&amp;" kg : renseigner JUSTIFICATION ECART (colonne L).",IF($O86="LOT NON REFERENCE","Creer d'abord la fiche du lot dans l'onglet LOTS.",""))))))))</f>
        <v/>
      </c>
      <c r="Z86" s="27" t="n">
        <f aca="false">IF(OR($X86=0,$T86&gt;0),0,$G86)</f>
        <v>0</v>
      </c>
      <c r="AA86" s="26" t="n">
        <f aca="false">IF($Q86=0,0,IF(OR($E86=R_LOT,COUNTIFS(RES_IDST,$A86,RES_LOTEFF,R_LOT)&gt;0),1,0))</f>
        <v>0</v>
      </c>
      <c r="AB86" s="26" t="str">
        <f aca="false">IF($AA86=0,"",COUNTIF($AA$5:$AA86,1))</f>
        <v/>
      </c>
    </row>
    <row r="87" customFormat="false" ht="15" hidden="false" customHeight="false" outlineLevel="0" collapsed="false">
      <c r="A87" s="26" t="str">
        <f aca="false">IF($D87="","","ST-"&amp;TEXT(ROW()-4,"000"))</f>
        <v/>
      </c>
      <c r="B87" s="25"/>
      <c r="C87" s="24"/>
      <c r="D87" s="24"/>
      <c r="E87" s="24"/>
      <c r="F87" s="24"/>
      <c r="G87" s="29"/>
      <c r="H87" s="24"/>
      <c r="I87" s="24"/>
      <c r="J87" s="24"/>
      <c r="K87" s="25"/>
      <c r="L87" s="24"/>
      <c r="M87" s="24"/>
      <c r="N87" s="24"/>
      <c r="O87" s="26" t="str">
        <f aca="false">IF($E87="","",IFERROR(INDEX(LOT_PRODE,MATCH($E87,LOT_KEY,0)),"LOT NON REFERENCE"))</f>
        <v/>
      </c>
      <c r="P87" s="26" t="str">
        <f aca="false">IF($E87="","",IFERROR(INDEX(LOT_FOURNE,MATCH($E87,LOT_KEY,0)),""))</f>
        <v/>
      </c>
      <c r="Q87" s="28" t="n">
        <f aca="false">IF($D87="",0,IF(OR($B87="",$C87="",$E87="",NOT(ISNUMBER($G87)),$G87&lt;=0),0,IF($D87="STOCK EXISTANT",IF($F87="",0,1),1)))</f>
        <v>0</v>
      </c>
      <c r="R87" s="27" t="str">
        <f aca="false">IF(OR($Q87=0,$D87&lt;&gt;"STOCK EXISTANT"),"",SUMIFS(MVT_BRUT,MVT_LOT,$E87,MVT_EMPL,$F87)+$G87)</f>
        <v/>
      </c>
      <c r="S87" s="27" t="str">
        <f aca="false">IF($A87="","",SUMIFS(RES_QTEVAL,RES_IDST,$A87))</f>
        <v/>
      </c>
      <c r="T87" s="28" t="str">
        <f aca="false">IF($A87="","",COUNTIFS(RES_IDST,$A87))</f>
        <v/>
      </c>
      <c r="U87" s="27" t="str">
        <f aca="false">IF(OR($A87="",$T87=0),"",$G87-$S87)</f>
        <v/>
      </c>
      <c r="V87" s="30" t="str">
        <f aca="false">IF(OR($A87="",$T87=0,NOT(ISNUMBER($G87)),$G87&lt;=0),"",$S87/$G87)</f>
        <v/>
      </c>
      <c r="W87" s="26" t="str">
        <f aca="false">IF($D87="","",IF($Q87=0,"DONNEES MANQUANTES",IF($D87="STOCK EXISTANT",IF($R87&lt;=0,"EMPLACEMENT INCOHERENT",IF($G87&gt;$R87+0.001,"STOCK INSUFFISANT",IF($T87=0,"EN COURS",IF($S87&gt;$G87+0.001,"BLOQUE",IF(AND($U87&gt;P_TOL,$L87=""),"A JUSTIFIER","OK"))))),IF($T87=0,"EN COURS",IF($S87&gt;$G87+0.001,"BLOQUE",IF(AND($U87&gt;P_TOL,$L87=""),"A JUSTIFIER","OK"))))))</f>
        <v/>
      </c>
      <c r="X87" s="28" t="n">
        <f aca="false">IF(OR($W87="",$W87="DONNEES MANQUANTES",$W87="EMPLACEMENT INCOHERENT",$W87="STOCK INSUFFISANT"),0,1)</f>
        <v>0</v>
      </c>
      <c r="Y87" s="26" t="str">
        <f aca="false">IF($D87="","",IF($Q87=0,"A COMPLETER : "&amp;IF($B87="","DATE ENVOI; ","")&amp;IF($C87="","SOUS-TRAITANT; ","")&amp;IF($E87="","LOT SOURCE; ","")&amp;IF(OR(NOT(ISNUMBER($G87)),$G87&lt;=0),"QTE ENVOYEE &gt; 0; ","")&amp;IF(AND($D87="STOCK EXISTANT",$F87=""),"EMPL. SOURCE; ",""),IF($W87="EMPLACEMENT INCOHERENT","Le lot "&amp;$E87&amp;" n'existe pas sur "&amp;$F87&amp;" (stock 0).",IF($W87="STOCK INSUFFISANT","Disponible avant envoi : "&amp;TEXT($R87,"#,##0.00")&amp;" kg. Ligne NON comptee en stock.",IF($W87="BLOQUE","Total des sorties ("&amp;TEXT($S87,"#,##0.00")&amp;" kg) superieur a la quantite envoyee.",IF($W87="EN COURS","Envoi enregistre, resultats non connus. A completer dans ST_RESULTATS.",IF($W87="A JUSTIFIER","Ecart de "&amp;TEXT($U87,"#,##0.00")&amp;" kg : renseigner JUSTIFICATION ECART (colonne L).",IF($O87="LOT NON REFERENCE","Creer d'abord la fiche du lot dans l'onglet LOTS.",""))))))))</f>
        <v/>
      </c>
      <c r="Z87" s="27" t="n">
        <f aca="false">IF(OR($X87=0,$T87&gt;0),0,$G87)</f>
        <v>0</v>
      </c>
      <c r="AA87" s="26" t="n">
        <f aca="false">IF($Q87=0,0,IF(OR($E87=R_LOT,COUNTIFS(RES_IDST,$A87,RES_LOTEFF,R_LOT)&gt;0),1,0))</f>
        <v>0</v>
      </c>
      <c r="AB87" s="26" t="str">
        <f aca="false">IF($AA87=0,"",COUNTIF($AA$5:$AA87,1))</f>
        <v/>
      </c>
    </row>
    <row r="88" customFormat="false" ht="15" hidden="false" customHeight="false" outlineLevel="0" collapsed="false">
      <c r="A88" s="26" t="str">
        <f aca="false">IF($D88="","","ST-"&amp;TEXT(ROW()-4,"000"))</f>
        <v/>
      </c>
      <c r="B88" s="25"/>
      <c r="C88" s="24"/>
      <c r="D88" s="24"/>
      <c r="E88" s="24"/>
      <c r="F88" s="24"/>
      <c r="G88" s="29"/>
      <c r="H88" s="24"/>
      <c r="I88" s="24"/>
      <c r="J88" s="24"/>
      <c r="K88" s="25"/>
      <c r="L88" s="24"/>
      <c r="M88" s="24"/>
      <c r="N88" s="24"/>
      <c r="O88" s="26" t="str">
        <f aca="false">IF($E88="","",IFERROR(INDEX(LOT_PRODE,MATCH($E88,LOT_KEY,0)),"LOT NON REFERENCE"))</f>
        <v/>
      </c>
      <c r="P88" s="26" t="str">
        <f aca="false">IF($E88="","",IFERROR(INDEX(LOT_FOURNE,MATCH($E88,LOT_KEY,0)),""))</f>
        <v/>
      </c>
      <c r="Q88" s="28" t="n">
        <f aca="false">IF($D88="",0,IF(OR($B88="",$C88="",$E88="",NOT(ISNUMBER($G88)),$G88&lt;=0),0,IF($D88="STOCK EXISTANT",IF($F88="",0,1),1)))</f>
        <v>0</v>
      </c>
      <c r="R88" s="27" t="str">
        <f aca="false">IF(OR($Q88=0,$D88&lt;&gt;"STOCK EXISTANT"),"",SUMIFS(MVT_BRUT,MVT_LOT,$E88,MVT_EMPL,$F88)+$G88)</f>
        <v/>
      </c>
      <c r="S88" s="27" t="str">
        <f aca="false">IF($A88="","",SUMIFS(RES_QTEVAL,RES_IDST,$A88))</f>
        <v/>
      </c>
      <c r="T88" s="28" t="str">
        <f aca="false">IF($A88="","",COUNTIFS(RES_IDST,$A88))</f>
        <v/>
      </c>
      <c r="U88" s="27" t="str">
        <f aca="false">IF(OR($A88="",$T88=0),"",$G88-$S88)</f>
        <v/>
      </c>
      <c r="V88" s="30" t="str">
        <f aca="false">IF(OR($A88="",$T88=0,NOT(ISNUMBER($G88)),$G88&lt;=0),"",$S88/$G88)</f>
        <v/>
      </c>
      <c r="W88" s="26" t="str">
        <f aca="false">IF($D88="","",IF($Q88=0,"DONNEES MANQUANTES",IF($D88="STOCK EXISTANT",IF($R88&lt;=0,"EMPLACEMENT INCOHERENT",IF($G88&gt;$R88+0.001,"STOCK INSUFFISANT",IF($T88=0,"EN COURS",IF($S88&gt;$G88+0.001,"BLOQUE",IF(AND($U88&gt;P_TOL,$L88=""),"A JUSTIFIER","OK"))))),IF($T88=0,"EN COURS",IF($S88&gt;$G88+0.001,"BLOQUE",IF(AND($U88&gt;P_TOL,$L88=""),"A JUSTIFIER","OK"))))))</f>
        <v/>
      </c>
      <c r="X88" s="28" t="n">
        <f aca="false">IF(OR($W88="",$W88="DONNEES MANQUANTES",$W88="EMPLACEMENT INCOHERENT",$W88="STOCK INSUFFISANT"),0,1)</f>
        <v>0</v>
      </c>
      <c r="Y88" s="26" t="str">
        <f aca="false">IF($D88="","",IF($Q88=0,"A COMPLETER : "&amp;IF($B88="","DATE ENVOI; ","")&amp;IF($C88="","SOUS-TRAITANT; ","")&amp;IF($E88="","LOT SOURCE; ","")&amp;IF(OR(NOT(ISNUMBER($G88)),$G88&lt;=0),"QTE ENVOYEE &gt; 0; ","")&amp;IF(AND($D88="STOCK EXISTANT",$F88=""),"EMPL. SOURCE; ",""),IF($W88="EMPLACEMENT INCOHERENT","Le lot "&amp;$E88&amp;" n'existe pas sur "&amp;$F88&amp;" (stock 0).",IF($W88="STOCK INSUFFISANT","Disponible avant envoi : "&amp;TEXT($R88,"#,##0.00")&amp;" kg. Ligne NON comptee en stock.",IF($W88="BLOQUE","Total des sorties ("&amp;TEXT($S88,"#,##0.00")&amp;" kg) superieur a la quantite envoyee.",IF($W88="EN COURS","Envoi enregistre, resultats non connus. A completer dans ST_RESULTATS.",IF($W88="A JUSTIFIER","Ecart de "&amp;TEXT($U88,"#,##0.00")&amp;" kg : renseigner JUSTIFICATION ECART (colonne L).",IF($O88="LOT NON REFERENCE","Creer d'abord la fiche du lot dans l'onglet LOTS.",""))))))))</f>
        <v/>
      </c>
      <c r="Z88" s="27" t="n">
        <f aca="false">IF(OR($X88=0,$T88&gt;0),0,$G88)</f>
        <v>0</v>
      </c>
      <c r="AA88" s="26" t="n">
        <f aca="false">IF($Q88=0,0,IF(OR($E88=R_LOT,COUNTIFS(RES_IDST,$A88,RES_LOTEFF,R_LOT)&gt;0),1,0))</f>
        <v>0</v>
      </c>
      <c r="AB88" s="26" t="str">
        <f aca="false">IF($AA88=0,"",COUNTIF($AA$5:$AA88,1))</f>
        <v/>
      </c>
    </row>
    <row r="89" customFormat="false" ht="15" hidden="false" customHeight="false" outlineLevel="0" collapsed="false">
      <c r="A89" s="26" t="str">
        <f aca="false">IF($D89="","","ST-"&amp;TEXT(ROW()-4,"000"))</f>
        <v/>
      </c>
      <c r="B89" s="25"/>
      <c r="C89" s="24"/>
      <c r="D89" s="24"/>
      <c r="E89" s="24"/>
      <c r="F89" s="24"/>
      <c r="G89" s="29"/>
      <c r="H89" s="24"/>
      <c r="I89" s="24"/>
      <c r="J89" s="24"/>
      <c r="K89" s="25"/>
      <c r="L89" s="24"/>
      <c r="M89" s="24"/>
      <c r="N89" s="24"/>
      <c r="O89" s="26" t="str">
        <f aca="false">IF($E89="","",IFERROR(INDEX(LOT_PRODE,MATCH($E89,LOT_KEY,0)),"LOT NON REFERENCE"))</f>
        <v/>
      </c>
      <c r="P89" s="26" t="str">
        <f aca="false">IF($E89="","",IFERROR(INDEX(LOT_FOURNE,MATCH($E89,LOT_KEY,0)),""))</f>
        <v/>
      </c>
      <c r="Q89" s="28" t="n">
        <f aca="false">IF($D89="",0,IF(OR($B89="",$C89="",$E89="",NOT(ISNUMBER($G89)),$G89&lt;=0),0,IF($D89="STOCK EXISTANT",IF($F89="",0,1),1)))</f>
        <v>0</v>
      </c>
      <c r="R89" s="27" t="str">
        <f aca="false">IF(OR($Q89=0,$D89&lt;&gt;"STOCK EXISTANT"),"",SUMIFS(MVT_BRUT,MVT_LOT,$E89,MVT_EMPL,$F89)+$G89)</f>
        <v/>
      </c>
      <c r="S89" s="27" t="str">
        <f aca="false">IF($A89="","",SUMIFS(RES_QTEVAL,RES_IDST,$A89))</f>
        <v/>
      </c>
      <c r="T89" s="28" t="str">
        <f aca="false">IF($A89="","",COUNTIFS(RES_IDST,$A89))</f>
        <v/>
      </c>
      <c r="U89" s="27" t="str">
        <f aca="false">IF(OR($A89="",$T89=0),"",$G89-$S89)</f>
        <v/>
      </c>
      <c r="V89" s="30" t="str">
        <f aca="false">IF(OR($A89="",$T89=0,NOT(ISNUMBER($G89)),$G89&lt;=0),"",$S89/$G89)</f>
        <v/>
      </c>
      <c r="W89" s="26" t="str">
        <f aca="false">IF($D89="","",IF($Q89=0,"DONNEES MANQUANTES",IF($D89="STOCK EXISTANT",IF($R89&lt;=0,"EMPLACEMENT INCOHERENT",IF($G89&gt;$R89+0.001,"STOCK INSUFFISANT",IF($T89=0,"EN COURS",IF($S89&gt;$G89+0.001,"BLOQUE",IF(AND($U89&gt;P_TOL,$L89=""),"A JUSTIFIER","OK"))))),IF($T89=0,"EN COURS",IF($S89&gt;$G89+0.001,"BLOQUE",IF(AND($U89&gt;P_TOL,$L89=""),"A JUSTIFIER","OK"))))))</f>
        <v/>
      </c>
      <c r="X89" s="28" t="n">
        <f aca="false">IF(OR($W89="",$W89="DONNEES MANQUANTES",$W89="EMPLACEMENT INCOHERENT",$W89="STOCK INSUFFISANT"),0,1)</f>
        <v>0</v>
      </c>
      <c r="Y89" s="26" t="str">
        <f aca="false">IF($D89="","",IF($Q89=0,"A COMPLETER : "&amp;IF($B89="","DATE ENVOI; ","")&amp;IF($C89="","SOUS-TRAITANT; ","")&amp;IF($E89="","LOT SOURCE; ","")&amp;IF(OR(NOT(ISNUMBER($G89)),$G89&lt;=0),"QTE ENVOYEE &gt; 0; ","")&amp;IF(AND($D89="STOCK EXISTANT",$F89=""),"EMPL. SOURCE; ",""),IF($W89="EMPLACEMENT INCOHERENT","Le lot "&amp;$E89&amp;" n'existe pas sur "&amp;$F89&amp;" (stock 0).",IF($W89="STOCK INSUFFISANT","Disponible avant envoi : "&amp;TEXT($R89,"#,##0.00")&amp;" kg. Ligne NON comptee en stock.",IF($W89="BLOQUE","Total des sorties ("&amp;TEXT($S89,"#,##0.00")&amp;" kg) superieur a la quantite envoyee.",IF($W89="EN COURS","Envoi enregistre, resultats non connus. A completer dans ST_RESULTATS.",IF($W89="A JUSTIFIER","Ecart de "&amp;TEXT($U89,"#,##0.00")&amp;" kg : renseigner JUSTIFICATION ECART (colonne L).",IF($O89="LOT NON REFERENCE","Creer d'abord la fiche du lot dans l'onglet LOTS.",""))))))))</f>
        <v/>
      </c>
      <c r="Z89" s="27" t="n">
        <f aca="false">IF(OR($X89=0,$T89&gt;0),0,$G89)</f>
        <v>0</v>
      </c>
      <c r="AA89" s="26" t="n">
        <f aca="false">IF($Q89=0,0,IF(OR($E89=R_LOT,COUNTIFS(RES_IDST,$A89,RES_LOTEFF,R_LOT)&gt;0),1,0))</f>
        <v>0</v>
      </c>
      <c r="AB89" s="26" t="str">
        <f aca="false">IF($AA89=0,"",COUNTIF($AA$5:$AA89,1))</f>
        <v/>
      </c>
    </row>
    <row r="90" customFormat="false" ht="15" hidden="false" customHeight="false" outlineLevel="0" collapsed="false">
      <c r="A90" s="26" t="str">
        <f aca="false">IF($D90="","","ST-"&amp;TEXT(ROW()-4,"000"))</f>
        <v/>
      </c>
      <c r="B90" s="25"/>
      <c r="C90" s="24"/>
      <c r="D90" s="24"/>
      <c r="E90" s="24"/>
      <c r="F90" s="24"/>
      <c r="G90" s="29"/>
      <c r="H90" s="24"/>
      <c r="I90" s="24"/>
      <c r="J90" s="24"/>
      <c r="K90" s="25"/>
      <c r="L90" s="24"/>
      <c r="M90" s="24"/>
      <c r="N90" s="24"/>
      <c r="O90" s="26" t="str">
        <f aca="false">IF($E90="","",IFERROR(INDEX(LOT_PRODE,MATCH($E90,LOT_KEY,0)),"LOT NON REFERENCE"))</f>
        <v/>
      </c>
      <c r="P90" s="26" t="str">
        <f aca="false">IF($E90="","",IFERROR(INDEX(LOT_FOURNE,MATCH($E90,LOT_KEY,0)),""))</f>
        <v/>
      </c>
      <c r="Q90" s="28" t="n">
        <f aca="false">IF($D90="",0,IF(OR($B90="",$C90="",$E90="",NOT(ISNUMBER($G90)),$G90&lt;=0),0,IF($D90="STOCK EXISTANT",IF($F90="",0,1),1)))</f>
        <v>0</v>
      </c>
      <c r="R90" s="27" t="str">
        <f aca="false">IF(OR($Q90=0,$D90&lt;&gt;"STOCK EXISTANT"),"",SUMIFS(MVT_BRUT,MVT_LOT,$E90,MVT_EMPL,$F90)+$G90)</f>
        <v/>
      </c>
      <c r="S90" s="27" t="str">
        <f aca="false">IF($A90="","",SUMIFS(RES_QTEVAL,RES_IDST,$A90))</f>
        <v/>
      </c>
      <c r="T90" s="28" t="str">
        <f aca="false">IF($A90="","",COUNTIFS(RES_IDST,$A90))</f>
        <v/>
      </c>
      <c r="U90" s="27" t="str">
        <f aca="false">IF(OR($A90="",$T90=0),"",$G90-$S90)</f>
        <v/>
      </c>
      <c r="V90" s="30" t="str">
        <f aca="false">IF(OR($A90="",$T90=0,NOT(ISNUMBER($G90)),$G90&lt;=0),"",$S90/$G90)</f>
        <v/>
      </c>
      <c r="W90" s="26" t="str">
        <f aca="false">IF($D90="","",IF($Q90=0,"DONNEES MANQUANTES",IF($D90="STOCK EXISTANT",IF($R90&lt;=0,"EMPLACEMENT INCOHERENT",IF($G90&gt;$R90+0.001,"STOCK INSUFFISANT",IF($T90=0,"EN COURS",IF($S90&gt;$G90+0.001,"BLOQUE",IF(AND($U90&gt;P_TOL,$L90=""),"A JUSTIFIER","OK"))))),IF($T90=0,"EN COURS",IF($S90&gt;$G90+0.001,"BLOQUE",IF(AND($U90&gt;P_TOL,$L90=""),"A JUSTIFIER","OK"))))))</f>
        <v/>
      </c>
      <c r="X90" s="28" t="n">
        <f aca="false">IF(OR($W90="",$W90="DONNEES MANQUANTES",$W90="EMPLACEMENT INCOHERENT",$W90="STOCK INSUFFISANT"),0,1)</f>
        <v>0</v>
      </c>
      <c r="Y90" s="26" t="str">
        <f aca="false">IF($D90="","",IF($Q90=0,"A COMPLETER : "&amp;IF($B90="","DATE ENVOI; ","")&amp;IF($C90="","SOUS-TRAITANT; ","")&amp;IF($E90="","LOT SOURCE; ","")&amp;IF(OR(NOT(ISNUMBER($G90)),$G90&lt;=0),"QTE ENVOYEE &gt; 0; ","")&amp;IF(AND($D90="STOCK EXISTANT",$F90=""),"EMPL. SOURCE; ",""),IF($W90="EMPLACEMENT INCOHERENT","Le lot "&amp;$E90&amp;" n'existe pas sur "&amp;$F90&amp;" (stock 0).",IF($W90="STOCK INSUFFISANT","Disponible avant envoi : "&amp;TEXT($R90,"#,##0.00")&amp;" kg. Ligne NON comptee en stock.",IF($W90="BLOQUE","Total des sorties ("&amp;TEXT($S90,"#,##0.00")&amp;" kg) superieur a la quantite envoyee.",IF($W90="EN COURS","Envoi enregistre, resultats non connus. A completer dans ST_RESULTATS.",IF($W90="A JUSTIFIER","Ecart de "&amp;TEXT($U90,"#,##0.00")&amp;" kg : renseigner JUSTIFICATION ECART (colonne L).",IF($O90="LOT NON REFERENCE","Creer d'abord la fiche du lot dans l'onglet LOTS.",""))))))))</f>
        <v/>
      </c>
      <c r="Z90" s="27" t="n">
        <f aca="false">IF(OR($X90=0,$T90&gt;0),0,$G90)</f>
        <v>0</v>
      </c>
      <c r="AA90" s="26" t="n">
        <f aca="false">IF($Q90=0,0,IF(OR($E90=R_LOT,COUNTIFS(RES_IDST,$A90,RES_LOTEFF,R_LOT)&gt;0),1,0))</f>
        <v>0</v>
      </c>
      <c r="AB90" s="26" t="str">
        <f aca="false">IF($AA90=0,"",COUNTIF($AA$5:$AA90,1))</f>
        <v/>
      </c>
    </row>
    <row r="91" customFormat="false" ht="15" hidden="false" customHeight="false" outlineLevel="0" collapsed="false">
      <c r="A91" s="26" t="str">
        <f aca="false">IF($D91="","","ST-"&amp;TEXT(ROW()-4,"000"))</f>
        <v/>
      </c>
      <c r="B91" s="25"/>
      <c r="C91" s="24"/>
      <c r="D91" s="24"/>
      <c r="E91" s="24"/>
      <c r="F91" s="24"/>
      <c r="G91" s="29"/>
      <c r="H91" s="24"/>
      <c r="I91" s="24"/>
      <c r="J91" s="24"/>
      <c r="K91" s="25"/>
      <c r="L91" s="24"/>
      <c r="M91" s="24"/>
      <c r="N91" s="24"/>
      <c r="O91" s="26" t="str">
        <f aca="false">IF($E91="","",IFERROR(INDEX(LOT_PRODE,MATCH($E91,LOT_KEY,0)),"LOT NON REFERENCE"))</f>
        <v/>
      </c>
      <c r="P91" s="26" t="str">
        <f aca="false">IF($E91="","",IFERROR(INDEX(LOT_FOURNE,MATCH($E91,LOT_KEY,0)),""))</f>
        <v/>
      </c>
      <c r="Q91" s="28" t="n">
        <f aca="false">IF($D91="",0,IF(OR($B91="",$C91="",$E91="",NOT(ISNUMBER($G91)),$G91&lt;=0),0,IF($D91="STOCK EXISTANT",IF($F91="",0,1),1)))</f>
        <v>0</v>
      </c>
      <c r="R91" s="27" t="str">
        <f aca="false">IF(OR($Q91=0,$D91&lt;&gt;"STOCK EXISTANT"),"",SUMIFS(MVT_BRUT,MVT_LOT,$E91,MVT_EMPL,$F91)+$G91)</f>
        <v/>
      </c>
      <c r="S91" s="27" t="str">
        <f aca="false">IF($A91="","",SUMIFS(RES_QTEVAL,RES_IDST,$A91))</f>
        <v/>
      </c>
      <c r="T91" s="28" t="str">
        <f aca="false">IF($A91="","",COUNTIFS(RES_IDST,$A91))</f>
        <v/>
      </c>
      <c r="U91" s="27" t="str">
        <f aca="false">IF(OR($A91="",$T91=0),"",$G91-$S91)</f>
        <v/>
      </c>
      <c r="V91" s="30" t="str">
        <f aca="false">IF(OR($A91="",$T91=0,NOT(ISNUMBER($G91)),$G91&lt;=0),"",$S91/$G91)</f>
        <v/>
      </c>
      <c r="W91" s="26" t="str">
        <f aca="false">IF($D91="","",IF($Q91=0,"DONNEES MANQUANTES",IF($D91="STOCK EXISTANT",IF($R91&lt;=0,"EMPLACEMENT INCOHERENT",IF($G91&gt;$R91+0.001,"STOCK INSUFFISANT",IF($T91=0,"EN COURS",IF($S91&gt;$G91+0.001,"BLOQUE",IF(AND($U91&gt;P_TOL,$L91=""),"A JUSTIFIER","OK"))))),IF($T91=0,"EN COURS",IF($S91&gt;$G91+0.001,"BLOQUE",IF(AND($U91&gt;P_TOL,$L91=""),"A JUSTIFIER","OK"))))))</f>
        <v/>
      </c>
      <c r="X91" s="28" t="n">
        <f aca="false">IF(OR($W91="",$W91="DONNEES MANQUANTES",$W91="EMPLACEMENT INCOHERENT",$W91="STOCK INSUFFISANT"),0,1)</f>
        <v>0</v>
      </c>
      <c r="Y91" s="26" t="str">
        <f aca="false">IF($D91="","",IF($Q91=0,"A COMPLETER : "&amp;IF($B91="","DATE ENVOI; ","")&amp;IF($C91="","SOUS-TRAITANT; ","")&amp;IF($E91="","LOT SOURCE; ","")&amp;IF(OR(NOT(ISNUMBER($G91)),$G91&lt;=0),"QTE ENVOYEE &gt; 0; ","")&amp;IF(AND($D91="STOCK EXISTANT",$F91=""),"EMPL. SOURCE; ",""),IF($W91="EMPLACEMENT INCOHERENT","Le lot "&amp;$E91&amp;" n'existe pas sur "&amp;$F91&amp;" (stock 0).",IF($W91="STOCK INSUFFISANT","Disponible avant envoi : "&amp;TEXT($R91,"#,##0.00")&amp;" kg. Ligne NON comptee en stock.",IF($W91="BLOQUE","Total des sorties ("&amp;TEXT($S91,"#,##0.00")&amp;" kg) superieur a la quantite envoyee.",IF($W91="EN COURS","Envoi enregistre, resultats non connus. A completer dans ST_RESULTATS.",IF($W91="A JUSTIFIER","Ecart de "&amp;TEXT($U91,"#,##0.00")&amp;" kg : renseigner JUSTIFICATION ECART (colonne L).",IF($O91="LOT NON REFERENCE","Creer d'abord la fiche du lot dans l'onglet LOTS.",""))))))))</f>
        <v/>
      </c>
      <c r="Z91" s="27" t="n">
        <f aca="false">IF(OR($X91=0,$T91&gt;0),0,$G91)</f>
        <v>0</v>
      </c>
      <c r="AA91" s="26" t="n">
        <f aca="false">IF($Q91=0,0,IF(OR($E91=R_LOT,COUNTIFS(RES_IDST,$A91,RES_LOTEFF,R_LOT)&gt;0),1,0))</f>
        <v>0</v>
      </c>
      <c r="AB91" s="26" t="str">
        <f aca="false">IF($AA91=0,"",COUNTIF($AA$5:$AA91,1))</f>
        <v/>
      </c>
    </row>
    <row r="92" customFormat="false" ht="15" hidden="false" customHeight="false" outlineLevel="0" collapsed="false">
      <c r="A92" s="26" t="str">
        <f aca="false">IF($D92="","","ST-"&amp;TEXT(ROW()-4,"000"))</f>
        <v/>
      </c>
      <c r="B92" s="25"/>
      <c r="C92" s="24"/>
      <c r="D92" s="24"/>
      <c r="E92" s="24"/>
      <c r="F92" s="24"/>
      <c r="G92" s="29"/>
      <c r="H92" s="24"/>
      <c r="I92" s="24"/>
      <c r="J92" s="24"/>
      <c r="K92" s="25"/>
      <c r="L92" s="24"/>
      <c r="M92" s="24"/>
      <c r="N92" s="24"/>
      <c r="O92" s="26" t="str">
        <f aca="false">IF($E92="","",IFERROR(INDEX(LOT_PRODE,MATCH($E92,LOT_KEY,0)),"LOT NON REFERENCE"))</f>
        <v/>
      </c>
      <c r="P92" s="26" t="str">
        <f aca="false">IF($E92="","",IFERROR(INDEX(LOT_FOURNE,MATCH($E92,LOT_KEY,0)),""))</f>
        <v/>
      </c>
      <c r="Q92" s="28" t="n">
        <f aca="false">IF($D92="",0,IF(OR($B92="",$C92="",$E92="",NOT(ISNUMBER($G92)),$G92&lt;=0),0,IF($D92="STOCK EXISTANT",IF($F92="",0,1),1)))</f>
        <v>0</v>
      </c>
      <c r="R92" s="27" t="str">
        <f aca="false">IF(OR($Q92=0,$D92&lt;&gt;"STOCK EXISTANT"),"",SUMIFS(MVT_BRUT,MVT_LOT,$E92,MVT_EMPL,$F92)+$G92)</f>
        <v/>
      </c>
      <c r="S92" s="27" t="str">
        <f aca="false">IF($A92="","",SUMIFS(RES_QTEVAL,RES_IDST,$A92))</f>
        <v/>
      </c>
      <c r="T92" s="28" t="str">
        <f aca="false">IF($A92="","",COUNTIFS(RES_IDST,$A92))</f>
        <v/>
      </c>
      <c r="U92" s="27" t="str">
        <f aca="false">IF(OR($A92="",$T92=0),"",$G92-$S92)</f>
        <v/>
      </c>
      <c r="V92" s="30" t="str">
        <f aca="false">IF(OR($A92="",$T92=0,NOT(ISNUMBER($G92)),$G92&lt;=0),"",$S92/$G92)</f>
        <v/>
      </c>
      <c r="W92" s="26" t="str">
        <f aca="false">IF($D92="","",IF($Q92=0,"DONNEES MANQUANTES",IF($D92="STOCK EXISTANT",IF($R92&lt;=0,"EMPLACEMENT INCOHERENT",IF($G92&gt;$R92+0.001,"STOCK INSUFFISANT",IF($T92=0,"EN COURS",IF($S92&gt;$G92+0.001,"BLOQUE",IF(AND($U92&gt;P_TOL,$L92=""),"A JUSTIFIER","OK"))))),IF($T92=0,"EN COURS",IF($S92&gt;$G92+0.001,"BLOQUE",IF(AND($U92&gt;P_TOL,$L92=""),"A JUSTIFIER","OK"))))))</f>
        <v/>
      </c>
      <c r="X92" s="28" t="n">
        <f aca="false">IF(OR($W92="",$W92="DONNEES MANQUANTES",$W92="EMPLACEMENT INCOHERENT",$W92="STOCK INSUFFISANT"),0,1)</f>
        <v>0</v>
      </c>
      <c r="Y92" s="26" t="str">
        <f aca="false">IF($D92="","",IF($Q92=0,"A COMPLETER : "&amp;IF($B92="","DATE ENVOI; ","")&amp;IF($C92="","SOUS-TRAITANT; ","")&amp;IF($E92="","LOT SOURCE; ","")&amp;IF(OR(NOT(ISNUMBER($G92)),$G92&lt;=0),"QTE ENVOYEE &gt; 0; ","")&amp;IF(AND($D92="STOCK EXISTANT",$F92=""),"EMPL. SOURCE; ",""),IF($W92="EMPLACEMENT INCOHERENT","Le lot "&amp;$E92&amp;" n'existe pas sur "&amp;$F92&amp;" (stock 0).",IF($W92="STOCK INSUFFISANT","Disponible avant envoi : "&amp;TEXT($R92,"#,##0.00")&amp;" kg. Ligne NON comptee en stock.",IF($W92="BLOQUE","Total des sorties ("&amp;TEXT($S92,"#,##0.00")&amp;" kg) superieur a la quantite envoyee.",IF($W92="EN COURS","Envoi enregistre, resultats non connus. A completer dans ST_RESULTATS.",IF($W92="A JUSTIFIER","Ecart de "&amp;TEXT($U92,"#,##0.00")&amp;" kg : renseigner JUSTIFICATION ECART (colonne L).",IF($O92="LOT NON REFERENCE","Creer d'abord la fiche du lot dans l'onglet LOTS.",""))))))))</f>
        <v/>
      </c>
      <c r="Z92" s="27" t="n">
        <f aca="false">IF(OR($X92=0,$T92&gt;0),0,$G92)</f>
        <v>0</v>
      </c>
      <c r="AA92" s="26" t="n">
        <f aca="false">IF($Q92=0,0,IF(OR($E92=R_LOT,COUNTIFS(RES_IDST,$A92,RES_LOTEFF,R_LOT)&gt;0),1,0))</f>
        <v>0</v>
      </c>
      <c r="AB92" s="26" t="str">
        <f aca="false">IF($AA92=0,"",COUNTIF($AA$5:$AA92,1))</f>
        <v/>
      </c>
    </row>
    <row r="93" customFormat="false" ht="15" hidden="false" customHeight="false" outlineLevel="0" collapsed="false">
      <c r="A93" s="26" t="str">
        <f aca="false">IF($D93="","","ST-"&amp;TEXT(ROW()-4,"000"))</f>
        <v/>
      </c>
      <c r="B93" s="25"/>
      <c r="C93" s="24"/>
      <c r="D93" s="24"/>
      <c r="E93" s="24"/>
      <c r="F93" s="24"/>
      <c r="G93" s="29"/>
      <c r="H93" s="24"/>
      <c r="I93" s="24"/>
      <c r="J93" s="24"/>
      <c r="K93" s="25"/>
      <c r="L93" s="24"/>
      <c r="M93" s="24"/>
      <c r="N93" s="24"/>
      <c r="O93" s="26" t="str">
        <f aca="false">IF($E93="","",IFERROR(INDEX(LOT_PRODE,MATCH($E93,LOT_KEY,0)),"LOT NON REFERENCE"))</f>
        <v/>
      </c>
      <c r="P93" s="26" t="str">
        <f aca="false">IF($E93="","",IFERROR(INDEX(LOT_FOURNE,MATCH($E93,LOT_KEY,0)),""))</f>
        <v/>
      </c>
      <c r="Q93" s="28" t="n">
        <f aca="false">IF($D93="",0,IF(OR($B93="",$C93="",$E93="",NOT(ISNUMBER($G93)),$G93&lt;=0),0,IF($D93="STOCK EXISTANT",IF($F93="",0,1),1)))</f>
        <v>0</v>
      </c>
      <c r="R93" s="27" t="str">
        <f aca="false">IF(OR($Q93=0,$D93&lt;&gt;"STOCK EXISTANT"),"",SUMIFS(MVT_BRUT,MVT_LOT,$E93,MVT_EMPL,$F93)+$G93)</f>
        <v/>
      </c>
      <c r="S93" s="27" t="str">
        <f aca="false">IF($A93="","",SUMIFS(RES_QTEVAL,RES_IDST,$A93))</f>
        <v/>
      </c>
      <c r="T93" s="28" t="str">
        <f aca="false">IF($A93="","",COUNTIFS(RES_IDST,$A93))</f>
        <v/>
      </c>
      <c r="U93" s="27" t="str">
        <f aca="false">IF(OR($A93="",$T93=0),"",$G93-$S93)</f>
        <v/>
      </c>
      <c r="V93" s="30" t="str">
        <f aca="false">IF(OR($A93="",$T93=0,NOT(ISNUMBER($G93)),$G93&lt;=0),"",$S93/$G93)</f>
        <v/>
      </c>
      <c r="W93" s="26" t="str">
        <f aca="false">IF($D93="","",IF($Q93=0,"DONNEES MANQUANTES",IF($D93="STOCK EXISTANT",IF($R93&lt;=0,"EMPLACEMENT INCOHERENT",IF($G93&gt;$R93+0.001,"STOCK INSUFFISANT",IF($T93=0,"EN COURS",IF($S93&gt;$G93+0.001,"BLOQUE",IF(AND($U93&gt;P_TOL,$L93=""),"A JUSTIFIER","OK"))))),IF($T93=0,"EN COURS",IF($S93&gt;$G93+0.001,"BLOQUE",IF(AND($U93&gt;P_TOL,$L93=""),"A JUSTIFIER","OK"))))))</f>
        <v/>
      </c>
      <c r="X93" s="28" t="n">
        <f aca="false">IF(OR($W93="",$W93="DONNEES MANQUANTES",$W93="EMPLACEMENT INCOHERENT",$W93="STOCK INSUFFISANT"),0,1)</f>
        <v>0</v>
      </c>
      <c r="Y93" s="26" t="str">
        <f aca="false">IF($D93="","",IF($Q93=0,"A COMPLETER : "&amp;IF($B93="","DATE ENVOI; ","")&amp;IF($C93="","SOUS-TRAITANT; ","")&amp;IF($E93="","LOT SOURCE; ","")&amp;IF(OR(NOT(ISNUMBER($G93)),$G93&lt;=0),"QTE ENVOYEE &gt; 0; ","")&amp;IF(AND($D93="STOCK EXISTANT",$F93=""),"EMPL. SOURCE; ",""),IF($W93="EMPLACEMENT INCOHERENT","Le lot "&amp;$E93&amp;" n'existe pas sur "&amp;$F93&amp;" (stock 0).",IF($W93="STOCK INSUFFISANT","Disponible avant envoi : "&amp;TEXT($R93,"#,##0.00")&amp;" kg. Ligne NON comptee en stock.",IF($W93="BLOQUE","Total des sorties ("&amp;TEXT($S93,"#,##0.00")&amp;" kg) superieur a la quantite envoyee.",IF($W93="EN COURS","Envoi enregistre, resultats non connus. A completer dans ST_RESULTATS.",IF($W93="A JUSTIFIER","Ecart de "&amp;TEXT($U93,"#,##0.00")&amp;" kg : renseigner JUSTIFICATION ECART (colonne L).",IF($O93="LOT NON REFERENCE","Creer d'abord la fiche du lot dans l'onglet LOTS.",""))))))))</f>
        <v/>
      </c>
      <c r="Z93" s="27" t="n">
        <f aca="false">IF(OR($X93=0,$T93&gt;0),0,$G93)</f>
        <v>0</v>
      </c>
      <c r="AA93" s="26" t="n">
        <f aca="false">IF($Q93=0,0,IF(OR($E93=R_LOT,COUNTIFS(RES_IDST,$A93,RES_LOTEFF,R_LOT)&gt;0),1,0))</f>
        <v>0</v>
      </c>
      <c r="AB93" s="26" t="str">
        <f aca="false">IF($AA93=0,"",COUNTIF($AA$5:$AA93,1))</f>
        <v/>
      </c>
    </row>
    <row r="94" customFormat="false" ht="15" hidden="false" customHeight="false" outlineLevel="0" collapsed="false">
      <c r="A94" s="26" t="str">
        <f aca="false">IF($D94="","","ST-"&amp;TEXT(ROW()-4,"000"))</f>
        <v/>
      </c>
      <c r="B94" s="25"/>
      <c r="C94" s="24"/>
      <c r="D94" s="24"/>
      <c r="E94" s="24"/>
      <c r="F94" s="24"/>
      <c r="G94" s="29"/>
      <c r="H94" s="24"/>
      <c r="I94" s="24"/>
      <c r="J94" s="24"/>
      <c r="K94" s="25"/>
      <c r="L94" s="24"/>
      <c r="M94" s="24"/>
      <c r="N94" s="24"/>
      <c r="O94" s="26" t="str">
        <f aca="false">IF($E94="","",IFERROR(INDEX(LOT_PRODE,MATCH($E94,LOT_KEY,0)),"LOT NON REFERENCE"))</f>
        <v/>
      </c>
      <c r="P94" s="26" t="str">
        <f aca="false">IF($E94="","",IFERROR(INDEX(LOT_FOURNE,MATCH($E94,LOT_KEY,0)),""))</f>
        <v/>
      </c>
      <c r="Q94" s="28" t="n">
        <f aca="false">IF($D94="",0,IF(OR($B94="",$C94="",$E94="",NOT(ISNUMBER($G94)),$G94&lt;=0),0,IF($D94="STOCK EXISTANT",IF($F94="",0,1),1)))</f>
        <v>0</v>
      </c>
      <c r="R94" s="27" t="str">
        <f aca="false">IF(OR($Q94=0,$D94&lt;&gt;"STOCK EXISTANT"),"",SUMIFS(MVT_BRUT,MVT_LOT,$E94,MVT_EMPL,$F94)+$G94)</f>
        <v/>
      </c>
      <c r="S94" s="27" t="str">
        <f aca="false">IF($A94="","",SUMIFS(RES_QTEVAL,RES_IDST,$A94))</f>
        <v/>
      </c>
      <c r="T94" s="28" t="str">
        <f aca="false">IF($A94="","",COUNTIFS(RES_IDST,$A94))</f>
        <v/>
      </c>
      <c r="U94" s="27" t="str">
        <f aca="false">IF(OR($A94="",$T94=0),"",$G94-$S94)</f>
        <v/>
      </c>
      <c r="V94" s="30" t="str">
        <f aca="false">IF(OR($A94="",$T94=0,NOT(ISNUMBER($G94)),$G94&lt;=0),"",$S94/$G94)</f>
        <v/>
      </c>
      <c r="W94" s="26" t="str">
        <f aca="false">IF($D94="","",IF($Q94=0,"DONNEES MANQUANTES",IF($D94="STOCK EXISTANT",IF($R94&lt;=0,"EMPLACEMENT INCOHERENT",IF($G94&gt;$R94+0.001,"STOCK INSUFFISANT",IF($T94=0,"EN COURS",IF($S94&gt;$G94+0.001,"BLOQUE",IF(AND($U94&gt;P_TOL,$L94=""),"A JUSTIFIER","OK"))))),IF($T94=0,"EN COURS",IF($S94&gt;$G94+0.001,"BLOQUE",IF(AND($U94&gt;P_TOL,$L94=""),"A JUSTIFIER","OK"))))))</f>
        <v/>
      </c>
      <c r="X94" s="28" t="n">
        <f aca="false">IF(OR($W94="",$W94="DONNEES MANQUANTES",$W94="EMPLACEMENT INCOHERENT",$W94="STOCK INSUFFISANT"),0,1)</f>
        <v>0</v>
      </c>
      <c r="Y94" s="26" t="str">
        <f aca="false">IF($D94="","",IF($Q94=0,"A COMPLETER : "&amp;IF($B94="","DATE ENVOI; ","")&amp;IF($C94="","SOUS-TRAITANT; ","")&amp;IF($E94="","LOT SOURCE; ","")&amp;IF(OR(NOT(ISNUMBER($G94)),$G94&lt;=0),"QTE ENVOYEE &gt; 0; ","")&amp;IF(AND($D94="STOCK EXISTANT",$F94=""),"EMPL. SOURCE; ",""),IF($W94="EMPLACEMENT INCOHERENT","Le lot "&amp;$E94&amp;" n'existe pas sur "&amp;$F94&amp;" (stock 0).",IF($W94="STOCK INSUFFISANT","Disponible avant envoi : "&amp;TEXT($R94,"#,##0.00")&amp;" kg. Ligne NON comptee en stock.",IF($W94="BLOQUE","Total des sorties ("&amp;TEXT($S94,"#,##0.00")&amp;" kg) superieur a la quantite envoyee.",IF($W94="EN COURS","Envoi enregistre, resultats non connus. A completer dans ST_RESULTATS.",IF($W94="A JUSTIFIER","Ecart de "&amp;TEXT($U94,"#,##0.00")&amp;" kg : renseigner JUSTIFICATION ECART (colonne L).",IF($O94="LOT NON REFERENCE","Creer d'abord la fiche du lot dans l'onglet LOTS.",""))))))))</f>
        <v/>
      </c>
      <c r="Z94" s="27" t="n">
        <f aca="false">IF(OR($X94=0,$T94&gt;0),0,$G94)</f>
        <v>0</v>
      </c>
      <c r="AA94" s="26" t="n">
        <f aca="false">IF($Q94=0,0,IF(OR($E94=R_LOT,COUNTIFS(RES_IDST,$A94,RES_LOTEFF,R_LOT)&gt;0),1,0))</f>
        <v>0</v>
      </c>
      <c r="AB94" s="26" t="str">
        <f aca="false">IF($AA94=0,"",COUNTIF($AA$5:$AA94,1))</f>
        <v/>
      </c>
    </row>
    <row r="95" customFormat="false" ht="15" hidden="false" customHeight="false" outlineLevel="0" collapsed="false">
      <c r="A95" s="26" t="str">
        <f aca="false">IF($D95="","","ST-"&amp;TEXT(ROW()-4,"000"))</f>
        <v/>
      </c>
      <c r="B95" s="25"/>
      <c r="C95" s="24"/>
      <c r="D95" s="24"/>
      <c r="E95" s="24"/>
      <c r="F95" s="24"/>
      <c r="G95" s="29"/>
      <c r="H95" s="24"/>
      <c r="I95" s="24"/>
      <c r="J95" s="24"/>
      <c r="K95" s="25"/>
      <c r="L95" s="24"/>
      <c r="M95" s="24"/>
      <c r="N95" s="24"/>
      <c r="O95" s="26" t="str">
        <f aca="false">IF($E95="","",IFERROR(INDEX(LOT_PRODE,MATCH($E95,LOT_KEY,0)),"LOT NON REFERENCE"))</f>
        <v/>
      </c>
      <c r="P95" s="26" t="str">
        <f aca="false">IF($E95="","",IFERROR(INDEX(LOT_FOURNE,MATCH($E95,LOT_KEY,0)),""))</f>
        <v/>
      </c>
      <c r="Q95" s="28" t="n">
        <f aca="false">IF($D95="",0,IF(OR($B95="",$C95="",$E95="",NOT(ISNUMBER($G95)),$G95&lt;=0),0,IF($D95="STOCK EXISTANT",IF($F95="",0,1),1)))</f>
        <v>0</v>
      </c>
      <c r="R95" s="27" t="str">
        <f aca="false">IF(OR($Q95=0,$D95&lt;&gt;"STOCK EXISTANT"),"",SUMIFS(MVT_BRUT,MVT_LOT,$E95,MVT_EMPL,$F95)+$G95)</f>
        <v/>
      </c>
      <c r="S95" s="27" t="str">
        <f aca="false">IF($A95="","",SUMIFS(RES_QTEVAL,RES_IDST,$A95))</f>
        <v/>
      </c>
      <c r="T95" s="28" t="str">
        <f aca="false">IF($A95="","",COUNTIFS(RES_IDST,$A95))</f>
        <v/>
      </c>
      <c r="U95" s="27" t="str">
        <f aca="false">IF(OR($A95="",$T95=0),"",$G95-$S95)</f>
        <v/>
      </c>
      <c r="V95" s="30" t="str">
        <f aca="false">IF(OR($A95="",$T95=0,NOT(ISNUMBER($G95)),$G95&lt;=0),"",$S95/$G95)</f>
        <v/>
      </c>
      <c r="W95" s="26" t="str">
        <f aca="false">IF($D95="","",IF($Q95=0,"DONNEES MANQUANTES",IF($D95="STOCK EXISTANT",IF($R95&lt;=0,"EMPLACEMENT INCOHERENT",IF($G95&gt;$R95+0.001,"STOCK INSUFFISANT",IF($T95=0,"EN COURS",IF($S95&gt;$G95+0.001,"BLOQUE",IF(AND($U95&gt;P_TOL,$L95=""),"A JUSTIFIER","OK"))))),IF($T95=0,"EN COURS",IF($S95&gt;$G95+0.001,"BLOQUE",IF(AND($U95&gt;P_TOL,$L95=""),"A JUSTIFIER","OK"))))))</f>
        <v/>
      </c>
      <c r="X95" s="28" t="n">
        <f aca="false">IF(OR($W95="",$W95="DONNEES MANQUANTES",$W95="EMPLACEMENT INCOHERENT",$W95="STOCK INSUFFISANT"),0,1)</f>
        <v>0</v>
      </c>
      <c r="Y95" s="26" t="str">
        <f aca="false">IF($D95="","",IF($Q95=0,"A COMPLETER : "&amp;IF($B95="","DATE ENVOI; ","")&amp;IF($C95="","SOUS-TRAITANT; ","")&amp;IF($E95="","LOT SOURCE; ","")&amp;IF(OR(NOT(ISNUMBER($G95)),$G95&lt;=0),"QTE ENVOYEE &gt; 0; ","")&amp;IF(AND($D95="STOCK EXISTANT",$F95=""),"EMPL. SOURCE; ",""),IF($W95="EMPLACEMENT INCOHERENT","Le lot "&amp;$E95&amp;" n'existe pas sur "&amp;$F95&amp;" (stock 0).",IF($W95="STOCK INSUFFISANT","Disponible avant envoi : "&amp;TEXT($R95,"#,##0.00")&amp;" kg. Ligne NON comptee en stock.",IF($W95="BLOQUE","Total des sorties ("&amp;TEXT($S95,"#,##0.00")&amp;" kg) superieur a la quantite envoyee.",IF($W95="EN COURS","Envoi enregistre, resultats non connus. A completer dans ST_RESULTATS.",IF($W95="A JUSTIFIER","Ecart de "&amp;TEXT($U95,"#,##0.00")&amp;" kg : renseigner JUSTIFICATION ECART (colonne L).",IF($O95="LOT NON REFERENCE","Creer d'abord la fiche du lot dans l'onglet LOTS.",""))))))))</f>
        <v/>
      </c>
      <c r="Z95" s="27" t="n">
        <f aca="false">IF(OR($X95=0,$T95&gt;0),0,$G95)</f>
        <v>0</v>
      </c>
      <c r="AA95" s="26" t="n">
        <f aca="false">IF($Q95=0,0,IF(OR($E95=R_LOT,COUNTIFS(RES_IDST,$A95,RES_LOTEFF,R_LOT)&gt;0),1,0))</f>
        <v>0</v>
      </c>
      <c r="AB95" s="26" t="str">
        <f aca="false">IF($AA95=0,"",COUNTIF($AA$5:$AA95,1))</f>
        <v/>
      </c>
    </row>
    <row r="96" customFormat="false" ht="15" hidden="false" customHeight="false" outlineLevel="0" collapsed="false">
      <c r="A96" s="26" t="str">
        <f aca="false">IF($D96="","","ST-"&amp;TEXT(ROW()-4,"000"))</f>
        <v/>
      </c>
      <c r="B96" s="25"/>
      <c r="C96" s="24"/>
      <c r="D96" s="24"/>
      <c r="E96" s="24"/>
      <c r="F96" s="24"/>
      <c r="G96" s="29"/>
      <c r="H96" s="24"/>
      <c r="I96" s="24"/>
      <c r="J96" s="24"/>
      <c r="K96" s="25"/>
      <c r="L96" s="24"/>
      <c r="M96" s="24"/>
      <c r="N96" s="24"/>
      <c r="O96" s="26" t="str">
        <f aca="false">IF($E96="","",IFERROR(INDEX(LOT_PRODE,MATCH($E96,LOT_KEY,0)),"LOT NON REFERENCE"))</f>
        <v/>
      </c>
      <c r="P96" s="26" t="str">
        <f aca="false">IF($E96="","",IFERROR(INDEX(LOT_FOURNE,MATCH($E96,LOT_KEY,0)),""))</f>
        <v/>
      </c>
      <c r="Q96" s="28" t="n">
        <f aca="false">IF($D96="",0,IF(OR($B96="",$C96="",$E96="",NOT(ISNUMBER($G96)),$G96&lt;=0),0,IF($D96="STOCK EXISTANT",IF($F96="",0,1),1)))</f>
        <v>0</v>
      </c>
      <c r="R96" s="27" t="str">
        <f aca="false">IF(OR($Q96=0,$D96&lt;&gt;"STOCK EXISTANT"),"",SUMIFS(MVT_BRUT,MVT_LOT,$E96,MVT_EMPL,$F96)+$G96)</f>
        <v/>
      </c>
      <c r="S96" s="27" t="str">
        <f aca="false">IF($A96="","",SUMIFS(RES_QTEVAL,RES_IDST,$A96))</f>
        <v/>
      </c>
      <c r="T96" s="28" t="str">
        <f aca="false">IF($A96="","",COUNTIFS(RES_IDST,$A96))</f>
        <v/>
      </c>
      <c r="U96" s="27" t="str">
        <f aca="false">IF(OR($A96="",$T96=0),"",$G96-$S96)</f>
        <v/>
      </c>
      <c r="V96" s="30" t="str">
        <f aca="false">IF(OR($A96="",$T96=0,NOT(ISNUMBER($G96)),$G96&lt;=0),"",$S96/$G96)</f>
        <v/>
      </c>
      <c r="W96" s="26" t="str">
        <f aca="false">IF($D96="","",IF($Q96=0,"DONNEES MANQUANTES",IF($D96="STOCK EXISTANT",IF($R96&lt;=0,"EMPLACEMENT INCOHERENT",IF($G96&gt;$R96+0.001,"STOCK INSUFFISANT",IF($T96=0,"EN COURS",IF($S96&gt;$G96+0.001,"BLOQUE",IF(AND($U96&gt;P_TOL,$L96=""),"A JUSTIFIER","OK"))))),IF($T96=0,"EN COURS",IF($S96&gt;$G96+0.001,"BLOQUE",IF(AND($U96&gt;P_TOL,$L96=""),"A JUSTIFIER","OK"))))))</f>
        <v/>
      </c>
      <c r="X96" s="28" t="n">
        <f aca="false">IF(OR($W96="",$W96="DONNEES MANQUANTES",$W96="EMPLACEMENT INCOHERENT",$W96="STOCK INSUFFISANT"),0,1)</f>
        <v>0</v>
      </c>
      <c r="Y96" s="26" t="str">
        <f aca="false">IF($D96="","",IF($Q96=0,"A COMPLETER : "&amp;IF($B96="","DATE ENVOI; ","")&amp;IF($C96="","SOUS-TRAITANT; ","")&amp;IF($E96="","LOT SOURCE; ","")&amp;IF(OR(NOT(ISNUMBER($G96)),$G96&lt;=0),"QTE ENVOYEE &gt; 0; ","")&amp;IF(AND($D96="STOCK EXISTANT",$F96=""),"EMPL. SOURCE; ",""),IF($W96="EMPLACEMENT INCOHERENT","Le lot "&amp;$E96&amp;" n'existe pas sur "&amp;$F96&amp;" (stock 0).",IF($W96="STOCK INSUFFISANT","Disponible avant envoi : "&amp;TEXT($R96,"#,##0.00")&amp;" kg. Ligne NON comptee en stock.",IF($W96="BLOQUE","Total des sorties ("&amp;TEXT($S96,"#,##0.00")&amp;" kg) superieur a la quantite envoyee.",IF($W96="EN COURS","Envoi enregistre, resultats non connus. A completer dans ST_RESULTATS.",IF($W96="A JUSTIFIER","Ecart de "&amp;TEXT($U96,"#,##0.00")&amp;" kg : renseigner JUSTIFICATION ECART (colonne L).",IF($O96="LOT NON REFERENCE","Creer d'abord la fiche du lot dans l'onglet LOTS.",""))))))))</f>
        <v/>
      </c>
      <c r="Z96" s="27" t="n">
        <f aca="false">IF(OR($X96=0,$T96&gt;0),0,$G96)</f>
        <v>0</v>
      </c>
      <c r="AA96" s="26" t="n">
        <f aca="false">IF($Q96=0,0,IF(OR($E96=R_LOT,COUNTIFS(RES_IDST,$A96,RES_LOTEFF,R_LOT)&gt;0),1,0))</f>
        <v>0</v>
      </c>
      <c r="AB96" s="26" t="str">
        <f aca="false">IF($AA96=0,"",COUNTIF($AA$5:$AA96,1))</f>
        <v/>
      </c>
    </row>
    <row r="97" customFormat="false" ht="15" hidden="false" customHeight="false" outlineLevel="0" collapsed="false">
      <c r="A97" s="26" t="str">
        <f aca="false">IF($D97="","","ST-"&amp;TEXT(ROW()-4,"000"))</f>
        <v/>
      </c>
      <c r="B97" s="25"/>
      <c r="C97" s="24"/>
      <c r="D97" s="24"/>
      <c r="E97" s="24"/>
      <c r="F97" s="24"/>
      <c r="G97" s="29"/>
      <c r="H97" s="24"/>
      <c r="I97" s="24"/>
      <c r="J97" s="24"/>
      <c r="K97" s="25"/>
      <c r="L97" s="24"/>
      <c r="M97" s="24"/>
      <c r="N97" s="24"/>
      <c r="O97" s="26" t="str">
        <f aca="false">IF($E97="","",IFERROR(INDEX(LOT_PRODE,MATCH($E97,LOT_KEY,0)),"LOT NON REFERENCE"))</f>
        <v/>
      </c>
      <c r="P97" s="26" t="str">
        <f aca="false">IF($E97="","",IFERROR(INDEX(LOT_FOURNE,MATCH($E97,LOT_KEY,0)),""))</f>
        <v/>
      </c>
      <c r="Q97" s="28" t="n">
        <f aca="false">IF($D97="",0,IF(OR($B97="",$C97="",$E97="",NOT(ISNUMBER($G97)),$G97&lt;=0),0,IF($D97="STOCK EXISTANT",IF($F97="",0,1),1)))</f>
        <v>0</v>
      </c>
      <c r="R97" s="27" t="str">
        <f aca="false">IF(OR($Q97=0,$D97&lt;&gt;"STOCK EXISTANT"),"",SUMIFS(MVT_BRUT,MVT_LOT,$E97,MVT_EMPL,$F97)+$G97)</f>
        <v/>
      </c>
      <c r="S97" s="27" t="str">
        <f aca="false">IF($A97="","",SUMIFS(RES_QTEVAL,RES_IDST,$A97))</f>
        <v/>
      </c>
      <c r="T97" s="28" t="str">
        <f aca="false">IF($A97="","",COUNTIFS(RES_IDST,$A97))</f>
        <v/>
      </c>
      <c r="U97" s="27" t="str">
        <f aca="false">IF(OR($A97="",$T97=0),"",$G97-$S97)</f>
        <v/>
      </c>
      <c r="V97" s="30" t="str">
        <f aca="false">IF(OR($A97="",$T97=0,NOT(ISNUMBER($G97)),$G97&lt;=0),"",$S97/$G97)</f>
        <v/>
      </c>
      <c r="W97" s="26" t="str">
        <f aca="false">IF($D97="","",IF($Q97=0,"DONNEES MANQUANTES",IF($D97="STOCK EXISTANT",IF($R97&lt;=0,"EMPLACEMENT INCOHERENT",IF($G97&gt;$R97+0.001,"STOCK INSUFFISANT",IF($T97=0,"EN COURS",IF($S97&gt;$G97+0.001,"BLOQUE",IF(AND($U97&gt;P_TOL,$L97=""),"A JUSTIFIER","OK"))))),IF($T97=0,"EN COURS",IF($S97&gt;$G97+0.001,"BLOQUE",IF(AND($U97&gt;P_TOL,$L97=""),"A JUSTIFIER","OK"))))))</f>
        <v/>
      </c>
      <c r="X97" s="28" t="n">
        <f aca="false">IF(OR($W97="",$W97="DONNEES MANQUANTES",$W97="EMPLACEMENT INCOHERENT",$W97="STOCK INSUFFISANT"),0,1)</f>
        <v>0</v>
      </c>
      <c r="Y97" s="26" t="str">
        <f aca="false">IF($D97="","",IF($Q97=0,"A COMPLETER : "&amp;IF($B97="","DATE ENVOI; ","")&amp;IF($C97="","SOUS-TRAITANT; ","")&amp;IF($E97="","LOT SOURCE; ","")&amp;IF(OR(NOT(ISNUMBER($G97)),$G97&lt;=0),"QTE ENVOYEE &gt; 0; ","")&amp;IF(AND($D97="STOCK EXISTANT",$F97=""),"EMPL. SOURCE; ",""),IF($W97="EMPLACEMENT INCOHERENT","Le lot "&amp;$E97&amp;" n'existe pas sur "&amp;$F97&amp;" (stock 0).",IF($W97="STOCK INSUFFISANT","Disponible avant envoi : "&amp;TEXT($R97,"#,##0.00")&amp;" kg. Ligne NON comptee en stock.",IF($W97="BLOQUE","Total des sorties ("&amp;TEXT($S97,"#,##0.00")&amp;" kg) superieur a la quantite envoyee.",IF($W97="EN COURS","Envoi enregistre, resultats non connus. A completer dans ST_RESULTATS.",IF($W97="A JUSTIFIER","Ecart de "&amp;TEXT($U97,"#,##0.00")&amp;" kg : renseigner JUSTIFICATION ECART (colonne L).",IF($O97="LOT NON REFERENCE","Creer d'abord la fiche du lot dans l'onglet LOTS.",""))))))))</f>
        <v/>
      </c>
      <c r="Z97" s="27" t="n">
        <f aca="false">IF(OR($X97=0,$T97&gt;0),0,$G97)</f>
        <v>0</v>
      </c>
      <c r="AA97" s="26" t="n">
        <f aca="false">IF($Q97=0,0,IF(OR($E97=R_LOT,COUNTIFS(RES_IDST,$A97,RES_LOTEFF,R_LOT)&gt;0),1,0))</f>
        <v>0</v>
      </c>
      <c r="AB97" s="26" t="str">
        <f aca="false">IF($AA97=0,"",COUNTIF($AA$5:$AA97,1))</f>
        <v/>
      </c>
    </row>
    <row r="98" customFormat="false" ht="15" hidden="false" customHeight="false" outlineLevel="0" collapsed="false">
      <c r="A98" s="26" t="str">
        <f aca="false">IF($D98="","","ST-"&amp;TEXT(ROW()-4,"000"))</f>
        <v/>
      </c>
      <c r="B98" s="25"/>
      <c r="C98" s="24"/>
      <c r="D98" s="24"/>
      <c r="E98" s="24"/>
      <c r="F98" s="24"/>
      <c r="G98" s="29"/>
      <c r="H98" s="24"/>
      <c r="I98" s="24"/>
      <c r="J98" s="24"/>
      <c r="K98" s="25"/>
      <c r="L98" s="24"/>
      <c r="M98" s="24"/>
      <c r="N98" s="24"/>
      <c r="O98" s="26" t="str">
        <f aca="false">IF($E98="","",IFERROR(INDEX(LOT_PRODE,MATCH($E98,LOT_KEY,0)),"LOT NON REFERENCE"))</f>
        <v/>
      </c>
      <c r="P98" s="26" t="str">
        <f aca="false">IF($E98="","",IFERROR(INDEX(LOT_FOURNE,MATCH($E98,LOT_KEY,0)),""))</f>
        <v/>
      </c>
      <c r="Q98" s="28" t="n">
        <f aca="false">IF($D98="",0,IF(OR($B98="",$C98="",$E98="",NOT(ISNUMBER($G98)),$G98&lt;=0),0,IF($D98="STOCK EXISTANT",IF($F98="",0,1),1)))</f>
        <v>0</v>
      </c>
      <c r="R98" s="27" t="str">
        <f aca="false">IF(OR($Q98=0,$D98&lt;&gt;"STOCK EXISTANT"),"",SUMIFS(MVT_BRUT,MVT_LOT,$E98,MVT_EMPL,$F98)+$G98)</f>
        <v/>
      </c>
      <c r="S98" s="27" t="str">
        <f aca="false">IF($A98="","",SUMIFS(RES_QTEVAL,RES_IDST,$A98))</f>
        <v/>
      </c>
      <c r="T98" s="28" t="str">
        <f aca="false">IF($A98="","",COUNTIFS(RES_IDST,$A98))</f>
        <v/>
      </c>
      <c r="U98" s="27" t="str">
        <f aca="false">IF(OR($A98="",$T98=0),"",$G98-$S98)</f>
        <v/>
      </c>
      <c r="V98" s="30" t="str">
        <f aca="false">IF(OR($A98="",$T98=0,NOT(ISNUMBER($G98)),$G98&lt;=0),"",$S98/$G98)</f>
        <v/>
      </c>
      <c r="W98" s="26" t="str">
        <f aca="false">IF($D98="","",IF($Q98=0,"DONNEES MANQUANTES",IF($D98="STOCK EXISTANT",IF($R98&lt;=0,"EMPLACEMENT INCOHERENT",IF($G98&gt;$R98+0.001,"STOCK INSUFFISANT",IF($T98=0,"EN COURS",IF($S98&gt;$G98+0.001,"BLOQUE",IF(AND($U98&gt;P_TOL,$L98=""),"A JUSTIFIER","OK"))))),IF($T98=0,"EN COURS",IF($S98&gt;$G98+0.001,"BLOQUE",IF(AND($U98&gt;P_TOL,$L98=""),"A JUSTIFIER","OK"))))))</f>
        <v/>
      </c>
      <c r="X98" s="28" t="n">
        <f aca="false">IF(OR($W98="",$W98="DONNEES MANQUANTES",$W98="EMPLACEMENT INCOHERENT",$W98="STOCK INSUFFISANT"),0,1)</f>
        <v>0</v>
      </c>
      <c r="Y98" s="26" t="str">
        <f aca="false">IF($D98="","",IF($Q98=0,"A COMPLETER : "&amp;IF($B98="","DATE ENVOI; ","")&amp;IF($C98="","SOUS-TRAITANT; ","")&amp;IF($E98="","LOT SOURCE; ","")&amp;IF(OR(NOT(ISNUMBER($G98)),$G98&lt;=0),"QTE ENVOYEE &gt; 0; ","")&amp;IF(AND($D98="STOCK EXISTANT",$F98=""),"EMPL. SOURCE; ",""),IF($W98="EMPLACEMENT INCOHERENT","Le lot "&amp;$E98&amp;" n'existe pas sur "&amp;$F98&amp;" (stock 0).",IF($W98="STOCK INSUFFISANT","Disponible avant envoi : "&amp;TEXT($R98,"#,##0.00")&amp;" kg. Ligne NON comptee en stock.",IF($W98="BLOQUE","Total des sorties ("&amp;TEXT($S98,"#,##0.00")&amp;" kg) superieur a la quantite envoyee.",IF($W98="EN COURS","Envoi enregistre, resultats non connus. A completer dans ST_RESULTATS.",IF($W98="A JUSTIFIER","Ecart de "&amp;TEXT($U98,"#,##0.00")&amp;" kg : renseigner JUSTIFICATION ECART (colonne L).",IF($O98="LOT NON REFERENCE","Creer d'abord la fiche du lot dans l'onglet LOTS.",""))))))))</f>
        <v/>
      </c>
      <c r="Z98" s="27" t="n">
        <f aca="false">IF(OR($X98=0,$T98&gt;0),0,$G98)</f>
        <v>0</v>
      </c>
      <c r="AA98" s="26" t="n">
        <f aca="false">IF($Q98=0,0,IF(OR($E98=R_LOT,COUNTIFS(RES_IDST,$A98,RES_LOTEFF,R_LOT)&gt;0),1,0))</f>
        <v>0</v>
      </c>
      <c r="AB98" s="26" t="str">
        <f aca="false">IF($AA98=0,"",COUNTIF($AA$5:$AA98,1))</f>
        <v/>
      </c>
    </row>
    <row r="99" customFormat="false" ht="15" hidden="false" customHeight="false" outlineLevel="0" collapsed="false">
      <c r="A99" s="26" t="str">
        <f aca="false">IF($D99="","","ST-"&amp;TEXT(ROW()-4,"000"))</f>
        <v/>
      </c>
      <c r="B99" s="25"/>
      <c r="C99" s="24"/>
      <c r="D99" s="24"/>
      <c r="E99" s="24"/>
      <c r="F99" s="24"/>
      <c r="G99" s="29"/>
      <c r="H99" s="24"/>
      <c r="I99" s="24"/>
      <c r="J99" s="24"/>
      <c r="K99" s="25"/>
      <c r="L99" s="24"/>
      <c r="M99" s="24"/>
      <c r="N99" s="24"/>
      <c r="O99" s="26" t="str">
        <f aca="false">IF($E99="","",IFERROR(INDEX(LOT_PRODE,MATCH($E99,LOT_KEY,0)),"LOT NON REFERENCE"))</f>
        <v/>
      </c>
      <c r="P99" s="26" t="str">
        <f aca="false">IF($E99="","",IFERROR(INDEX(LOT_FOURNE,MATCH($E99,LOT_KEY,0)),""))</f>
        <v/>
      </c>
      <c r="Q99" s="28" t="n">
        <f aca="false">IF($D99="",0,IF(OR($B99="",$C99="",$E99="",NOT(ISNUMBER($G99)),$G99&lt;=0),0,IF($D99="STOCK EXISTANT",IF($F99="",0,1),1)))</f>
        <v>0</v>
      </c>
      <c r="R99" s="27" t="str">
        <f aca="false">IF(OR($Q99=0,$D99&lt;&gt;"STOCK EXISTANT"),"",SUMIFS(MVT_BRUT,MVT_LOT,$E99,MVT_EMPL,$F99)+$G99)</f>
        <v/>
      </c>
      <c r="S99" s="27" t="str">
        <f aca="false">IF($A99="","",SUMIFS(RES_QTEVAL,RES_IDST,$A99))</f>
        <v/>
      </c>
      <c r="T99" s="28" t="str">
        <f aca="false">IF($A99="","",COUNTIFS(RES_IDST,$A99))</f>
        <v/>
      </c>
      <c r="U99" s="27" t="str">
        <f aca="false">IF(OR($A99="",$T99=0),"",$G99-$S99)</f>
        <v/>
      </c>
      <c r="V99" s="30" t="str">
        <f aca="false">IF(OR($A99="",$T99=0,NOT(ISNUMBER($G99)),$G99&lt;=0),"",$S99/$G99)</f>
        <v/>
      </c>
      <c r="W99" s="26" t="str">
        <f aca="false">IF($D99="","",IF($Q99=0,"DONNEES MANQUANTES",IF($D99="STOCK EXISTANT",IF($R99&lt;=0,"EMPLACEMENT INCOHERENT",IF($G99&gt;$R99+0.001,"STOCK INSUFFISANT",IF($T99=0,"EN COURS",IF($S99&gt;$G99+0.001,"BLOQUE",IF(AND($U99&gt;P_TOL,$L99=""),"A JUSTIFIER","OK"))))),IF($T99=0,"EN COURS",IF($S99&gt;$G99+0.001,"BLOQUE",IF(AND($U99&gt;P_TOL,$L99=""),"A JUSTIFIER","OK"))))))</f>
        <v/>
      </c>
      <c r="X99" s="28" t="n">
        <f aca="false">IF(OR($W99="",$W99="DONNEES MANQUANTES",$W99="EMPLACEMENT INCOHERENT",$W99="STOCK INSUFFISANT"),0,1)</f>
        <v>0</v>
      </c>
      <c r="Y99" s="26" t="str">
        <f aca="false">IF($D99="","",IF($Q99=0,"A COMPLETER : "&amp;IF($B99="","DATE ENVOI; ","")&amp;IF($C99="","SOUS-TRAITANT; ","")&amp;IF($E99="","LOT SOURCE; ","")&amp;IF(OR(NOT(ISNUMBER($G99)),$G99&lt;=0),"QTE ENVOYEE &gt; 0; ","")&amp;IF(AND($D99="STOCK EXISTANT",$F99=""),"EMPL. SOURCE; ",""),IF($W99="EMPLACEMENT INCOHERENT","Le lot "&amp;$E99&amp;" n'existe pas sur "&amp;$F99&amp;" (stock 0).",IF($W99="STOCK INSUFFISANT","Disponible avant envoi : "&amp;TEXT($R99,"#,##0.00")&amp;" kg. Ligne NON comptee en stock.",IF($W99="BLOQUE","Total des sorties ("&amp;TEXT($S99,"#,##0.00")&amp;" kg) superieur a la quantite envoyee.",IF($W99="EN COURS","Envoi enregistre, resultats non connus. A completer dans ST_RESULTATS.",IF($W99="A JUSTIFIER","Ecart de "&amp;TEXT($U99,"#,##0.00")&amp;" kg : renseigner JUSTIFICATION ECART (colonne L).",IF($O99="LOT NON REFERENCE","Creer d'abord la fiche du lot dans l'onglet LOTS.",""))))))))</f>
        <v/>
      </c>
      <c r="Z99" s="27" t="n">
        <f aca="false">IF(OR($X99=0,$T99&gt;0),0,$G99)</f>
        <v>0</v>
      </c>
      <c r="AA99" s="26" t="n">
        <f aca="false">IF($Q99=0,0,IF(OR($E99=R_LOT,COUNTIFS(RES_IDST,$A99,RES_LOTEFF,R_LOT)&gt;0),1,0))</f>
        <v>0</v>
      </c>
      <c r="AB99" s="26" t="str">
        <f aca="false">IF($AA99=0,"",COUNTIF($AA$5:$AA99,1))</f>
        <v/>
      </c>
    </row>
    <row r="100" customFormat="false" ht="15" hidden="false" customHeight="false" outlineLevel="0" collapsed="false">
      <c r="A100" s="26" t="str">
        <f aca="false">IF($D100="","","ST-"&amp;TEXT(ROW()-4,"000"))</f>
        <v/>
      </c>
      <c r="B100" s="25"/>
      <c r="C100" s="24"/>
      <c r="D100" s="24"/>
      <c r="E100" s="24"/>
      <c r="F100" s="24"/>
      <c r="G100" s="29"/>
      <c r="H100" s="24"/>
      <c r="I100" s="24"/>
      <c r="J100" s="24"/>
      <c r="K100" s="25"/>
      <c r="L100" s="24"/>
      <c r="M100" s="24"/>
      <c r="N100" s="24"/>
      <c r="O100" s="26" t="str">
        <f aca="false">IF($E100="","",IFERROR(INDEX(LOT_PRODE,MATCH($E100,LOT_KEY,0)),"LOT NON REFERENCE"))</f>
        <v/>
      </c>
      <c r="P100" s="26" t="str">
        <f aca="false">IF($E100="","",IFERROR(INDEX(LOT_FOURNE,MATCH($E100,LOT_KEY,0)),""))</f>
        <v/>
      </c>
      <c r="Q100" s="28" t="n">
        <f aca="false">IF($D100="",0,IF(OR($B100="",$C100="",$E100="",NOT(ISNUMBER($G100)),$G100&lt;=0),0,IF($D100="STOCK EXISTANT",IF($F100="",0,1),1)))</f>
        <v>0</v>
      </c>
      <c r="R100" s="27" t="str">
        <f aca="false">IF(OR($Q100=0,$D100&lt;&gt;"STOCK EXISTANT"),"",SUMIFS(MVT_BRUT,MVT_LOT,$E100,MVT_EMPL,$F100)+$G100)</f>
        <v/>
      </c>
      <c r="S100" s="27" t="str">
        <f aca="false">IF($A100="","",SUMIFS(RES_QTEVAL,RES_IDST,$A100))</f>
        <v/>
      </c>
      <c r="T100" s="28" t="str">
        <f aca="false">IF($A100="","",COUNTIFS(RES_IDST,$A100))</f>
        <v/>
      </c>
      <c r="U100" s="27" t="str">
        <f aca="false">IF(OR($A100="",$T100=0),"",$G100-$S100)</f>
        <v/>
      </c>
      <c r="V100" s="30" t="str">
        <f aca="false">IF(OR($A100="",$T100=0,NOT(ISNUMBER($G100)),$G100&lt;=0),"",$S100/$G100)</f>
        <v/>
      </c>
      <c r="W100" s="26" t="str">
        <f aca="false">IF($D100="","",IF($Q100=0,"DONNEES MANQUANTES",IF($D100="STOCK EXISTANT",IF($R100&lt;=0,"EMPLACEMENT INCOHERENT",IF($G100&gt;$R100+0.001,"STOCK INSUFFISANT",IF($T100=0,"EN COURS",IF($S100&gt;$G100+0.001,"BLOQUE",IF(AND($U100&gt;P_TOL,$L100=""),"A JUSTIFIER","OK"))))),IF($T100=0,"EN COURS",IF($S100&gt;$G100+0.001,"BLOQUE",IF(AND($U100&gt;P_TOL,$L100=""),"A JUSTIFIER","OK"))))))</f>
        <v/>
      </c>
      <c r="X100" s="28" t="n">
        <f aca="false">IF(OR($W100="",$W100="DONNEES MANQUANTES",$W100="EMPLACEMENT INCOHERENT",$W100="STOCK INSUFFISANT"),0,1)</f>
        <v>0</v>
      </c>
      <c r="Y100" s="26" t="str">
        <f aca="false">IF($D100="","",IF($Q100=0,"A COMPLETER : "&amp;IF($B100="","DATE ENVOI; ","")&amp;IF($C100="","SOUS-TRAITANT; ","")&amp;IF($E100="","LOT SOURCE; ","")&amp;IF(OR(NOT(ISNUMBER($G100)),$G100&lt;=0),"QTE ENVOYEE &gt; 0; ","")&amp;IF(AND($D100="STOCK EXISTANT",$F100=""),"EMPL. SOURCE; ",""),IF($W100="EMPLACEMENT INCOHERENT","Le lot "&amp;$E100&amp;" n'existe pas sur "&amp;$F100&amp;" (stock 0).",IF($W100="STOCK INSUFFISANT","Disponible avant envoi : "&amp;TEXT($R100,"#,##0.00")&amp;" kg. Ligne NON comptee en stock.",IF($W100="BLOQUE","Total des sorties ("&amp;TEXT($S100,"#,##0.00")&amp;" kg) superieur a la quantite envoyee.",IF($W100="EN COURS","Envoi enregistre, resultats non connus. A completer dans ST_RESULTATS.",IF($W100="A JUSTIFIER","Ecart de "&amp;TEXT($U100,"#,##0.00")&amp;" kg : renseigner JUSTIFICATION ECART (colonne L).",IF($O100="LOT NON REFERENCE","Creer d'abord la fiche du lot dans l'onglet LOTS.",""))))))))</f>
        <v/>
      </c>
      <c r="Z100" s="27" t="n">
        <f aca="false">IF(OR($X100=0,$T100&gt;0),0,$G100)</f>
        <v>0</v>
      </c>
      <c r="AA100" s="26" t="n">
        <f aca="false">IF($Q100=0,0,IF(OR($E100=R_LOT,COUNTIFS(RES_IDST,$A100,RES_LOTEFF,R_LOT)&gt;0),1,0))</f>
        <v>0</v>
      </c>
      <c r="AB100" s="26" t="str">
        <f aca="false">IF($AA100=0,"",COUNTIF($AA$5:$AA100,1))</f>
        <v/>
      </c>
    </row>
    <row r="101" customFormat="false" ht="15" hidden="false" customHeight="false" outlineLevel="0" collapsed="false">
      <c r="A101" s="26" t="str">
        <f aca="false">IF($D101="","","ST-"&amp;TEXT(ROW()-4,"000"))</f>
        <v/>
      </c>
      <c r="B101" s="25"/>
      <c r="C101" s="24"/>
      <c r="D101" s="24"/>
      <c r="E101" s="24"/>
      <c r="F101" s="24"/>
      <c r="G101" s="29"/>
      <c r="H101" s="24"/>
      <c r="I101" s="24"/>
      <c r="J101" s="24"/>
      <c r="K101" s="25"/>
      <c r="L101" s="24"/>
      <c r="M101" s="24"/>
      <c r="N101" s="24"/>
      <c r="O101" s="26" t="str">
        <f aca="false">IF($E101="","",IFERROR(INDEX(LOT_PRODE,MATCH($E101,LOT_KEY,0)),"LOT NON REFERENCE"))</f>
        <v/>
      </c>
      <c r="P101" s="26" t="str">
        <f aca="false">IF($E101="","",IFERROR(INDEX(LOT_FOURNE,MATCH($E101,LOT_KEY,0)),""))</f>
        <v/>
      </c>
      <c r="Q101" s="28" t="n">
        <f aca="false">IF($D101="",0,IF(OR($B101="",$C101="",$E101="",NOT(ISNUMBER($G101)),$G101&lt;=0),0,IF($D101="STOCK EXISTANT",IF($F101="",0,1),1)))</f>
        <v>0</v>
      </c>
      <c r="R101" s="27" t="str">
        <f aca="false">IF(OR($Q101=0,$D101&lt;&gt;"STOCK EXISTANT"),"",SUMIFS(MVT_BRUT,MVT_LOT,$E101,MVT_EMPL,$F101)+$G101)</f>
        <v/>
      </c>
      <c r="S101" s="27" t="str">
        <f aca="false">IF($A101="","",SUMIFS(RES_QTEVAL,RES_IDST,$A101))</f>
        <v/>
      </c>
      <c r="T101" s="28" t="str">
        <f aca="false">IF($A101="","",COUNTIFS(RES_IDST,$A101))</f>
        <v/>
      </c>
      <c r="U101" s="27" t="str">
        <f aca="false">IF(OR($A101="",$T101=0),"",$G101-$S101)</f>
        <v/>
      </c>
      <c r="V101" s="30" t="str">
        <f aca="false">IF(OR($A101="",$T101=0,NOT(ISNUMBER($G101)),$G101&lt;=0),"",$S101/$G101)</f>
        <v/>
      </c>
      <c r="W101" s="26" t="str">
        <f aca="false">IF($D101="","",IF($Q101=0,"DONNEES MANQUANTES",IF($D101="STOCK EXISTANT",IF($R101&lt;=0,"EMPLACEMENT INCOHERENT",IF($G101&gt;$R101+0.001,"STOCK INSUFFISANT",IF($T101=0,"EN COURS",IF($S101&gt;$G101+0.001,"BLOQUE",IF(AND($U101&gt;P_TOL,$L101=""),"A JUSTIFIER","OK"))))),IF($T101=0,"EN COURS",IF($S101&gt;$G101+0.001,"BLOQUE",IF(AND($U101&gt;P_TOL,$L101=""),"A JUSTIFIER","OK"))))))</f>
        <v/>
      </c>
      <c r="X101" s="28" t="n">
        <f aca="false">IF(OR($W101="",$W101="DONNEES MANQUANTES",$W101="EMPLACEMENT INCOHERENT",$W101="STOCK INSUFFISANT"),0,1)</f>
        <v>0</v>
      </c>
      <c r="Y101" s="26" t="str">
        <f aca="false">IF($D101="","",IF($Q101=0,"A COMPLETER : "&amp;IF($B101="","DATE ENVOI; ","")&amp;IF($C101="","SOUS-TRAITANT; ","")&amp;IF($E101="","LOT SOURCE; ","")&amp;IF(OR(NOT(ISNUMBER($G101)),$G101&lt;=0),"QTE ENVOYEE &gt; 0; ","")&amp;IF(AND($D101="STOCK EXISTANT",$F101=""),"EMPL. SOURCE; ",""),IF($W101="EMPLACEMENT INCOHERENT","Le lot "&amp;$E101&amp;" n'existe pas sur "&amp;$F101&amp;" (stock 0).",IF($W101="STOCK INSUFFISANT","Disponible avant envoi : "&amp;TEXT($R101,"#,##0.00")&amp;" kg. Ligne NON comptee en stock.",IF($W101="BLOQUE","Total des sorties ("&amp;TEXT($S101,"#,##0.00")&amp;" kg) superieur a la quantite envoyee.",IF($W101="EN COURS","Envoi enregistre, resultats non connus. A completer dans ST_RESULTATS.",IF($W101="A JUSTIFIER","Ecart de "&amp;TEXT($U101,"#,##0.00")&amp;" kg : renseigner JUSTIFICATION ECART (colonne L).",IF($O101="LOT NON REFERENCE","Creer d'abord la fiche du lot dans l'onglet LOTS.",""))))))))</f>
        <v/>
      </c>
      <c r="Z101" s="27" t="n">
        <f aca="false">IF(OR($X101=0,$T101&gt;0),0,$G101)</f>
        <v>0</v>
      </c>
      <c r="AA101" s="26" t="n">
        <f aca="false">IF($Q101=0,0,IF(OR($E101=R_LOT,COUNTIFS(RES_IDST,$A101,RES_LOTEFF,R_LOT)&gt;0),1,0))</f>
        <v>0</v>
      </c>
      <c r="AB101" s="26" t="str">
        <f aca="false">IF($AA101=0,"",COUNTIF($AA$5:$AA101,1))</f>
        <v/>
      </c>
    </row>
    <row r="102" customFormat="false" ht="15" hidden="false" customHeight="false" outlineLevel="0" collapsed="false">
      <c r="A102" s="26" t="str">
        <f aca="false">IF($D102="","","ST-"&amp;TEXT(ROW()-4,"000"))</f>
        <v/>
      </c>
      <c r="B102" s="25"/>
      <c r="C102" s="24"/>
      <c r="D102" s="24"/>
      <c r="E102" s="24"/>
      <c r="F102" s="24"/>
      <c r="G102" s="29"/>
      <c r="H102" s="24"/>
      <c r="I102" s="24"/>
      <c r="J102" s="24"/>
      <c r="K102" s="25"/>
      <c r="L102" s="24"/>
      <c r="M102" s="24"/>
      <c r="N102" s="24"/>
      <c r="O102" s="26" t="str">
        <f aca="false">IF($E102="","",IFERROR(INDEX(LOT_PRODE,MATCH($E102,LOT_KEY,0)),"LOT NON REFERENCE"))</f>
        <v/>
      </c>
      <c r="P102" s="26" t="str">
        <f aca="false">IF($E102="","",IFERROR(INDEX(LOT_FOURNE,MATCH($E102,LOT_KEY,0)),""))</f>
        <v/>
      </c>
      <c r="Q102" s="28" t="n">
        <f aca="false">IF($D102="",0,IF(OR($B102="",$C102="",$E102="",NOT(ISNUMBER($G102)),$G102&lt;=0),0,IF($D102="STOCK EXISTANT",IF($F102="",0,1),1)))</f>
        <v>0</v>
      </c>
      <c r="R102" s="27" t="str">
        <f aca="false">IF(OR($Q102=0,$D102&lt;&gt;"STOCK EXISTANT"),"",SUMIFS(MVT_BRUT,MVT_LOT,$E102,MVT_EMPL,$F102)+$G102)</f>
        <v/>
      </c>
      <c r="S102" s="27" t="str">
        <f aca="false">IF($A102="","",SUMIFS(RES_QTEVAL,RES_IDST,$A102))</f>
        <v/>
      </c>
      <c r="T102" s="28" t="str">
        <f aca="false">IF($A102="","",COUNTIFS(RES_IDST,$A102))</f>
        <v/>
      </c>
      <c r="U102" s="27" t="str">
        <f aca="false">IF(OR($A102="",$T102=0),"",$G102-$S102)</f>
        <v/>
      </c>
      <c r="V102" s="30" t="str">
        <f aca="false">IF(OR($A102="",$T102=0,NOT(ISNUMBER($G102)),$G102&lt;=0),"",$S102/$G102)</f>
        <v/>
      </c>
      <c r="W102" s="26" t="str">
        <f aca="false">IF($D102="","",IF($Q102=0,"DONNEES MANQUANTES",IF($D102="STOCK EXISTANT",IF($R102&lt;=0,"EMPLACEMENT INCOHERENT",IF($G102&gt;$R102+0.001,"STOCK INSUFFISANT",IF($T102=0,"EN COURS",IF($S102&gt;$G102+0.001,"BLOQUE",IF(AND($U102&gt;P_TOL,$L102=""),"A JUSTIFIER","OK"))))),IF($T102=0,"EN COURS",IF($S102&gt;$G102+0.001,"BLOQUE",IF(AND($U102&gt;P_TOL,$L102=""),"A JUSTIFIER","OK"))))))</f>
        <v/>
      </c>
      <c r="X102" s="28" t="n">
        <f aca="false">IF(OR($W102="",$W102="DONNEES MANQUANTES",$W102="EMPLACEMENT INCOHERENT",$W102="STOCK INSUFFISANT"),0,1)</f>
        <v>0</v>
      </c>
      <c r="Y102" s="26" t="str">
        <f aca="false">IF($D102="","",IF($Q102=0,"A COMPLETER : "&amp;IF($B102="","DATE ENVOI; ","")&amp;IF($C102="","SOUS-TRAITANT; ","")&amp;IF($E102="","LOT SOURCE; ","")&amp;IF(OR(NOT(ISNUMBER($G102)),$G102&lt;=0),"QTE ENVOYEE &gt; 0; ","")&amp;IF(AND($D102="STOCK EXISTANT",$F102=""),"EMPL. SOURCE; ",""),IF($W102="EMPLACEMENT INCOHERENT","Le lot "&amp;$E102&amp;" n'existe pas sur "&amp;$F102&amp;" (stock 0).",IF($W102="STOCK INSUFFISANT","Disponible avant envoi : "&amp;TEXT($R102,"#,##0.00")&amp;" kg. Ligne NON comptee en stock.",IF($W102="BLOQUE","Total des sorties ("&amp;TEXT($S102,"#,##0.00")&amp;" kg) superieur a la quantite envoyee.",IF($W102="EN COURS","Envoi enregistre, resultats non connus. A completer dans ST_RESULTATS.",IF($W102="A JUSTIFIER","Ecart de "&amp;TEXT($U102,"#,##0.00")&amp;" kg : renseigner JUSTIFICATION ECART (colonne L).",IF($O102="LOT NON REFERENCE","Creer d'abord la fiche du lot dans l'onglet LOTS.",""))))))))</f>
        <v/>
      </c>
      <c r="Z102" s="27" t="n">
        <f aca="false">IF(OR($X102=0,$T102&gt;0),0,$G102)</f>
        <v>0</v>
      </c>
      <c r="AA102" s="26" t="n">
        <f aca="false">IF($Q102=0,0,IF(OR($E102=R_LOT,COUNTIFS(RES_IDST,$A102,RES_LOTEFF,R_LOT)&gt;0),1,0))</f>
        <v>0</v>
      </c>
      <c r="AB102" s="26" t="str">
        <f aca="false">IF($AA102=0,"",COUNTIF($AA$5:$AA102,1))</f>
        <v/>
      </c>
    </row>
    <row r="103" customFormat="false" ht="15" hidden="false" customHeight="false" outlineLevel="0" collapsed="false">
      <c r="A103" s="26" t="str">
        <f aca="false">IF($D103="","","ST-"&amp;TEXT(ROW()-4,"000"))</f>
        <v/>
      </c>
      <c r="B103" s="25"/>
      <c r="C103" s="24"/>
      <c r="D103" s="24"/>
      <c r="E103" s="24"/>
      <c r="F103" s="24"/>
      <c r="G103" s="29"/>
      <c r="H103" s="24"/>
      <c r="I103" s="24"/>
      <c r="J103" s="24"/>
      <c r="K103" s="25"/>
      <c r="L103" s="24"/>
      <c r="M103" s="24"/>
      <c r="N103" s="24"/>
      <c r="O103" s="26" t="str">
        <f aca="false">IF($E103="","",IFERROR(INDEX(LOT_PRODE,MATCH($E103,LOT_KEY,0)),"LOT NON REFERENCE"))</f>
        <v/>
      </c>
      <c r="P103" s="26" t="str">
        <f aca="false">IF($E103="","",IFERROR(INDEX(LOT_FOURNE,MATCH($E103,LOT_KEY,0)),""))</f>
        <v/>
      </c>
      <c r="Q103" s="28" t="n">
        <f aca="false">IF($D103="",0,IF(OR($B103="",$C103="",$E103="",NOT(ISNUMBER($G103)),$G103&lt;=0),0,IF($D103="STOCK EXISTANT",IF($F103="",0,1),1)))</f>
        <v>0</v>
      </c>
      <c r="R103" s="27" t="str">
        <f aca="false">IF(OR($Q103=0,$D103&lt;&gt;"STOCK EXISTANT"),"",SUMIFS(MVT_BRUT,MVT_LOT,$E103,MVT_EMPL,$F103)+$G103)</f>
        <v/>
      </c>
      <c r="S103" s="27" t="str">
        <f aca="false">IF($A103="","",SUMIFS(RES_QTEVAL,RES_IDST,$A103))</f>
        <v/>
      </c>
      <c r="T103" s="28" t="str">
        <f aca="false">IF($A103="","",COUNTIFS(RES_IDST,$A103))</f>
        <v/>
      </c>
      <c r="U103" s="27" t="str">
        <f aca="false">IF(OR($A103="",$T103=0),"",$G103-$S103)</f>
        <v/>
      </c>
      <c r="V103" s="30" t="str">
        <f aca="false">IF(OR($A103="",$T103=0,NOT(ISNUMBER($G103)),$G103&lt;=0),"",$S103/$G103)</f>
        <v/>
      </c>
      <c r="W103" s="26" t="str">
        <f aca="false">IF($D103="","",IF($Q103=0,"DONNEES MANQUANTES",IF($D103="STOCK EXISTANT",IF($R103&lt;=0,"EMPLACEMENT INCOHERENT",IF($G103&gt;$R103+0.001,"STOCK INSUFFISANT",IF($T103=0,"EN COURS",IF($S103&gt;$G103+0.001,"BLOQUE",IF(AND($U103&gt;P_TOL,$L103=""),"A JUSTIFIER","OK"))))),IF($T103=0,"EN COURS",IF($S103&gt;$G103+0.001,"BLOQUE",IF(AND($U103&gt;P_TOL,$L103=""),"A JUSTIFIER","OK"))))))</f>
        <v/>
      </c>
      <c r="X103" s="28" t="n">
        <f aca="false">IF(OR($W103="",$W103="DONNEES MANQUANTES",$W103="EMPLACEMENT INCOHERENT",$W103="STOCK INSUFFISANT"),0,1)</f>
        <v>0</v>
      </c>
      <c r="Y103" s="26" t="str">
        <f aca="false">IF($D103="","",IF($Q103=0,"A COMPLETER : "&amp;IF($B103="","DATE ENVOI; ","")&amp;IF($C103="","SOUS-TRAITANT; ","")&amp;IF($E103="","LOT SOURCE; ","")&amp;IF(OR(NOT(ISNUMBER($G103)),$G103&lt;=0),"QTE ENVOYEE &gt; 0; ","")&amp;IF(AND($D103="STOCK EXISTANT",$F103=""),"EMPL. SOURCE; ",""),IF($W103="EMPLACEMENT INCOHERENT","Le lot "&amp;$E103&amp;" n'existe pas sur "&amp;$F103&amp;" (stock 0).",IF($W103="STOCK INSUFFISANT","Disponible avant envoi : "&amp;TEXT($R103,"#,##0.00")&amp;" kg. Ligne NON comptee en stock.",IF($W103="BLOQUE","Total des sorties ("&amp;TEXT($S103,"#,##0.00")&amp;" kg) superieur a la quantite envoyee.",IF($W103="EN COURS","Envoi enregistre, resultats non connus. A completer dans ST_RESULTATS.",IF($W103="A JUSTIFIER","Ecart de "&amp;TEXT($U103,"#,##0.00")&amp;" kg : renseigner JUSTIFICATION ECART (colonne L).",IF($O103="LOT NON REFERENCE","Creer d'abord la fiche du lot dans l'onglet LOTS.",""))))))))</f>
        <v/>
      </c>
      <c r="Z103" s="27" t="n">
        <f aca="false">IF(OR($X103=0,$T103&gt;0),0,$G103)</f>
        <v>0</v>
      </c>
      <c r="AA103" s="26" t="n">
        <f aca="false">IF($Q103=0,0,IF(OR($E103=R_LOT,COUNTIFS(RES_IDST,$A103,RES_LOTEFF,R_LOT)&gt;0),1,0))</f>
        <v>0</v>
      </c>
      <c r="AB103" s="26" t="str">
        <f aca="false">IF($AA103=0,"",COUNTIF($AA$5:$AA103,1))</f>
        <v/>
      </c>
    </row>
    <row r="104" customFormat="false" ht="15" hidden="false" customHeight="false" outlineLevel="0" collapsed="false">
      <c r="A104" s="26" t="str">
        <f aca="false">IF($D104="","","ST-"&amp;TEXT(ROW()-4,"000"))</f>
        <v/>
      </c>
      <c r="B104" s="25"/>
      <c r="C104" s="24"/>
      <c r="D104" s="24"/>
      <c r="E104" s="24"/>
      <c r="F104" s="24"/>
      <c r="G104" s="29"/>
      <c r="H104" s="24"/>
      <c r="I104" s="24"/>
      <c r="J104" s="24"/>
      <c r="K104" s="25"/>
      <c r="L104" s="24"/>
      <c r="M104" s="24"/>
      <c r="N104" s="24"/>
      <c r="O104" s="26" t="str">
        <f aca="false">IF($E104="","",IFERROR(INDEX(LOT_PRODE,MATCH($E104,LOT_KEY,0)),"LOT NON REFERENCE"))</f>
        <v/>
      </c>
      <c r="P104" s="26" t="str">
        <f aca="false">IF($E104="","",IFERROR(INDEX(LOT_FOURNE,MATCH($E104,LOT_KEY,0)),""))</f>
        <v/>
      </c>
      <c r="Q104" s="28" t="n">
        <f aca="false">IF($D104="",0,IF(OR($B104="",$C104="",$E104="",NOT(ISNUMBER($G104)),$G104&lt;=0),0,IF($D104="STOCK EXISTANT",IF($F104="",0,1),1)))</f>
        <v>0</v>
      </c>
      <c r="R104" s="27" t="str">
        <f aca="false">IF(OR($Q104=0,$D104&lt;&gt;"STOCK EXISTANT"),"",SUMIFS(MVT_BRUT,MVT_LOT,$E104,MVT_EMPL,$F104)+$G104)</f>
        <v/>
      </c>
      <c r="S104" s="27" t="str">
        <f aca="false">IF($A104="","",SUMIFS(RES_QTEVAL,RES_IDST,$A104))</f>
        <v/>
      </c>
      <c r="T104" s="28" t="str">
        <f aca="false">IF($A104="","",COUNTIFS(RES_IDST,$A104))</f>
        <v/>
      </c>
      <c r="U104" s="27" t="str">
        <f aca="false">IF(OR($A104="",$T104=0),"",$G104-$S104)</f>
        <v/>
      </c>
      <c r="V104" s="30" t="str">
        <f aca="false">IF(OR($A104="",$T104=0,NOT(ISNUMBER($G104)),$G104&lt;=0),"",$S104/$G104)</f>
        <v/>
      </c>
      <c r="W104" s="26" t="str">
        <f aca="false">IF($D104="","",IF($Q104=0,"DONNEES MANQUANTES",IF($D104="STOCK EXISTANT",IF($R104&lt;=0,"EMPLACEMENT INCOHERENT",IF($G104&gt;$R104+0.001,"STOCK INSUFFISANT",IF($T104=0,"EN COURS",IF($S104&gt;$G104+0.001,"BLOQUE",IF(AND($U104&gt;P_TOL,$L104=""),"A JUSTIFIER","OK"))))),IF($T104=0,"EN COURS",IF($S104&gt;$G104+0.001,"BLOQUE",IF(AND($U104&gt;P_TOL,$L104=""),"A JUSTIFIER","OK"))))))</f>
        <v/>
      </c>
      <c r="X104" s="28" t="n">
        <f aca="false">IF(OR($W104="",$W104="DONNEES MANQUANTES",$W104="EMPLACEMENT INCOHERENT",$W104="STOCK INSUFFISANT"),0,1)</f>
        <v>0</v>
      </c>
      <c r="Y104" s="26" t="str">
        <f aca="false">IF($D104="","",IF($Q104=0,"A COMPLETER : "&amp;IF($B104="","DATE ENVOI; ","")&amp;IF($C104="","SOUS-TRAITANT; ","")&amp;IF($E104="","LOT SOURCE; ","")&amp;IF(OR(NOT(ISNUMBER($G104)),$G104&lt;=0),"QTE ENVOYEE &gt; 0; ","")&amp;IF(AND($D104="STOCK EXISTANT",$F104=""),"EMPL. SOURCE; ",""),IF($W104="EMPLACEMENT INCOHERENT","Le lot "&amp;$E104&amp;" n'existe pas sur "&amp;$F104&amp;" (stock 0).",IF($W104="STOCK INSUFFISANT","Disponible avant envoi : "&amp;TEXT($R104,"#,##0.00")&amp;" kg. Ligne NON comptee en stock.",IF($W104="BLOQUE","Total des sorties ("&amp;TEXT($S104,"#,##0.00")&amp;" kg) superieur a la quantite envoyee.",IF($W104="EN COURS","Envoi enregistre, resultats non connus. A completer dans ST_RESULTATS.",IF($W104="A JUSTIFIER","Ecart de "&amp;TEXT($U104,"#,##0.00")&amp;" kg : renseigner JUSTIFICATION ECART (colonne L).",IF($O104="LOT NON REFERENCE","Creer d'abord la fiche du lot dans l'onglet LOTS.",""))))))))</f>
        <v/>
      </c>
      <c r="Z104" s="27" t="n">
        <f aca="false">IF(OR($X104=0,$T104&gt;0),0,$G104)</f>
        <v>0</v>
      </c>
      <c r="AA104" s="26" t="n">
        <f aca="false">IF($Q104=0,0,IF(OR($E104=R_LOT,COUNTIFS(RES_IDST,$A104,RES_LOTEFF,R_LOT)&gt;0),1,0))</f>
        <v>0</v>
      </c>
      <c r="AB104" s="26" t="str">
        <f aca="false">IF($AA104=0,"",COUNTIF($AA$5:$AA104,1))</f>
        <v/>
      </c>
    </row>
    <row r="105" customFormat="false" ht="15" hidden="false" customHeight="false" outlineLevel="0" collapsed="false">
      <c r="A105" s="26" t="str">
        <f aca="false">IF($D105="","","ST-"&amp;TEXT(ROW()-4,"000"))</f>
        <v/>
      </c>
      <c r="B105" s="25"/>
      <c r="C105" s="24"/>
      <c r="D105" s="24"/>
      <c r="E105" s="24"/>
      <c r="F105" s="24"/>
      <c r="G105" s="29"/>
      <c r="H105" s="24"/>
      <c r="I105" s="24"/>
      <c r="J105" s="24"/>
      <c r="K105" s="25"/>
      <c r="L105" s="24"/>
      <c r="M105" s="24"/>
      <c r="N105" s="24"/>
      <c r="O105" s="26" t="str">
        <f aca="false">IF($E105="","",IFERROR(INDEX(LOT_PRODE,MATCH($E105,LOT_KEY,0)),"LOT NON REFERENCE"))</f>
        <v/>
      </c>
      <c r="P105" s="26" t="str">
        <f aca="false">IF($E105="","",IFERROR(INDEX(LOT_FOURNE,MATCH($E105,LOT_KEY,0)),""))</f>
        <v/>
      </c>
      <c r="Q105" s="28" t="n">
        <f aca="false">IF($D105="",0,IF(OR($B105="",$C105="",$E105="",NOT(ISNUMBER($G105)),$G105&lt;=0),0,IF($D105="STOCK EXISTANT",IF($F105="",0,1),1)))</f>
        <v>0</v>
      </c>
      <c r="R105" s="27" t="str">
        <f aca="false">IF(OR($Q105=0,$D105&lt;&gt;"STOCK EXISTANT"),"",SUMIFS(MVT_BRUT,MVT_LOT,$E105,MVT_EMPL,$F105)+$G105)</f>
        <v/>
      </c>
      <c r="S105" s="27" t="str">
        <f aca="false">IF($A105="","",SUMIFS(RES_QTEVAL,RES_IDST,$A105))</f>
        <v/>
      </c>
      <c r="T105" s="28" t="str">
        <f aca="false">IF($A105="","",COUNTIFS(RES_IDST,$A105))</f>
        <v/>
      </c>
      <c r="U105" s="27" t="str">
        <f aca="false">IF(OR($A105="",$T105=0),"",$G105-$S105)</f>
        <v/>
      </c>
      <c r="V105" s="30" t="str">
        <f aca="false">IF(OR($A105="",$T105=0,NOT(ISNUMBER($G105)),$G105&lt;=0),"",$S105/$G105)</f>
        <v/>
      </c>
      <c r="W105" s="26" t="str">
        <f aca="false">IF($D105="","",IF($Q105=0,"DONNEES MANQUANTES",IF($D105="STOCK EXISTANT",IF($R105&lt;=0,"EMPLACEMENT INCOHERENT",IF($G105&gt;$R105+0.001,"STOCK INSUFFISANT",IF($T105=0,"EN COURS",IF($S105&gt;$G105+0.001,"BLOQUE",IF(AND($U105&gt;P_TOL,$L105=""),"A JUSTIFIER","OK"))))),IF($T105=0,"EN COURS",IF($S105&gt;$G105+0.001,"BLOQUE",IF(AND($U105&gt;P_TOL,$L105=""),"A JUSTIFIER","OK"))))))</f>
        <v/>
      </c>
      <c r="X105" s="28" t="n">
        <f aca="false">IF(OR($W105="",$W105="DONNEES MANQUANTES",$W105="EMPLACEMENT INCOHERENT",$W105="STOCK INSUFFISANT"),0,1)</f>
        <v>0</v>
      </c>
      <c r="Y105" s="26" t="str">
        <f aca="false">IF($D105="","",IF($Q105=0,"A COMPLETER : "&amp;IF($B105="","DATE ENVOI; ","")&amp;IF($C105="","SOUS-TRAITANT; ","")&amp;IF($E105="","LOT SOURCE; ","")&amp;IF(OR(NOT(ISNUMBER($G105)),$G105&lt;=0),"QTE ENVOYEE &gt; 0; ","")&amp;IF(AND($D105="STOCK EXISTANT",$F105=""),"EMPL. SOURCE; ",""),IF($W105="EMPLACEMENT INCOHERENT","Le lot "&amp;$E105&amp;" n'existe pas sur "&amp;$F105&amp;" (stock 0).",IF($W105="STOCK INSUFFISANT","Disponible avant envoi : "&amp;TEXT($R105,"#,##0.00")&amp;" kg. Ligne NON comptee en stock.",IF($W105="BLOQUE","Total des sorties ("&amp;TEXT($S105,"#,##0.00")&amp;" kg) superieur a la quantite envoyee.",IF($W105="EN COURS","Envoi enregistre, resultats non connus. A completer dans ST_RESULTATS.",IF($W105="A JUSTIFIER","Ecart de "&amp;TEXT($U105,"#,##0.00")&amp;" kg : renseigner JUSTIFICATION ECART (colonne L).",IF($O105="LOT NON REFERENCE","Creer d'abord la fiche du lot dans l'onglet LOTS.",""))))))))</f>
        <v/>
      </c>
      <c r="Z105" s="27" t="n">
        <f aca="false">IF(OR($X105=0,$T105&gt;0),0,$G105)</f>
        <v>0</v>
      </c>
      <c r="AA105" s="26" t="n">
        <f aca="false">IF($Q105=0,0,IF(OR($E105=R_LOT,COUNTIFS(RES_IDST,$A105,RES_LOTEFF,R_LOT)&gt;0),1,0))</f>
        <v>0</v>
      </c>
      <c r="AB105" s="26" t="str">
        <f aca="false">IF($AA105=0,"",COUNTIF($AA$5:$AA105,1))</f>
        <v/>
      </c>
    </row>
    <row r="106" customFormat="false" ht="15" hidden="false" customHeight="false" outlineLevel="0" collapsed="false">
      <c r="A106" s="26" t="str">
        <f aca="false">IF($D106="","","ST-"&amp;TEXT(ROW()-4,"000"))</f>
        <v/>
      </c>
      <c r="B106" s="25"/>
      <c r="C106" s="24"/>
      <c r="D106" s="24"/>
      <c r="E106" s="24"/>
      <c r="F106" s="24"/>
      <c r="G106" s="29"/>
      <c r="H106" s="24"/>
      <c r="I106" s="24"/>
      <c r="J106" s="24"/>
      <c r="K106" s="25"/>
      <c r="L106" s="24"/>
      <c r="M106" s="24"/>
      <c r="N106" s="24"/>
      <c r="O106" s="26" t="str">
        <f aca="false">IF($E106="","",IFERROR(INDEX(LOT_PRODE,MATCH($E106,LOT_KEY,0)),"LOT NON REFERENCE"))</f>
        <v/>
      </c>
      <c r="P106" s="26" t="str">
        <f aca="false">IF($E106="","",IFERROR(INDEX(LOT_FOURNE,MATCH($E106,LOT_KEY,0)),""))</f>
        <v/>
      </c>
      <c r="Q106" s="28" t="n">
        <f aca="false">IF($D106="",0,IF(OR($B106="",$C106="",$E106="",NOT(ISNUMBER($G106)),$G106&lt;=0),0,IF($D106="STOCK EXISTANT",IF($F106="",0,1),1)))</f>
        <v>0</v>
      </c>
      <c r="R106" s="27" t="str">
        <f aca="false">IF(OR($Q106=0,$D106&lt;&gt;"STOCK EXISTANT"),"",SUMIFS(MVT_BRUT,MVT_LOT,$E106,MVT_EMPL,$F106)+$G106)</f>
        <v/>
      </c>
      <c r="S106" s="27" t="str">
        <f aca="false">IF($A106="","",SUMIFS(RES_QTEVAL,RES_IDST,$A106))</f>
        <v/>
      </c>
      <c r="T106" s="28" t="str">
        <f aca="false">IF($A106="","",COUNTIFS(RES_IDST,$A106))</f>
        <v/>
      </c>
      <c r="U106" s="27" t="str">
        <f aca="false">IF(OR($A106="",$T106=0),"",$G106-$S106)</f>
        <v/>
      </c>
      <c r="V106" s="30" t="str">
        <f aca="false">IF(OR($A106="",$T106=0,NOT(ISNUMBER($G106)),$G106&lt;=0),"",$S106/$G106)</f>
        <v/>
      </c>
      <c r="W106" s="26" t="str">
        <f aca="false">IF($D106="","",IF($Q106=0,"DONNEES MANQUANTES",IF($D106="STOCK EXISTANT",IF($R106&lt;=0,"EMPLACEMENT INCOHERENT",IF($G106&gt;$R106+0.001,"STOCK INSUFFISANT",IF($T106=0,"EN COURS",IF($S106&gt;$G106+0.001,"BLOQUE",IF(AND($U106&gt;P_TOL,$L106=""),"A JUSTIFIER","OK"))))),IF($T106=0,"EN COURS",IF($S106&gt;$G106+0.001,"BLOQUE",IF(AND($U106&gt;P_TOL,$L106=""),"A JUSTIFIER","OK"))))))</f>
        <v/>
      </c>
      <c r="X106" s="28" t="n">
        <f aca="false">IF(OR($W106="",$W106="DONNEES MANQUANTES",$W106="EMPLACEMENT INCOHERENT",$W106="STOCK INSUFFISANT"),0,1)</f>
        <v>0</v>
      </c>
      <c r="Y106" s="26" t="str">
        <f aca="false">IF($D106="","",IF($Q106=0,"A COMPLETER : "&amp;IF($B106="","DATE ENVOI; ","")&amp;IF($C106="","SOUS-TRAITANT; ","")&amp;IF($E106="","LOT SOURCE; ","")&amp;IF(OR(NOT(ISNUMBER($G106)),$G106&lt;=0),"QTE ENVOYEE &gt; 0; ","")&amp;IF(AND($D106="STOCK EXISTANT",$F106=""),"EMPL. SOURCE; ",""),IF($W106="EMPLACEMENT INCOHERENT","Le lot "&amp;$E106&amp;" n'existe pas sur "&amp;$F106&amp;" (stock 0).",IF($W106="STOCK INSUFFISANT","Disponible avant envoi : "&amp;TEXT($R106,"#,##0.00")&amp;" kg. Ligne NON comptee en stock.",IF($W106="BLOQUE","Total des sorties ("&amp;TEXT($S106,"#,##0.00")&amp;" kg) superieur a la quantite envoyee.",IF($W106="EN COURS","Envoi enregistre, resultats non connus. A completer dans ST_RESULTATS.",IF($W106="A JUSTIFIER","Ecart de "&amp;TEXT($U106,"#,##0.00")&amp;" kg : renseigner JUSTIFICATION ECART (colonne L).",IF($O106="LOT NON REFERENCE","Creer d'abord la fiche du lot dans l'onglet LOTS.",""))))))))</f>
        <v/>
      </c>
      <c r="Z106" s="27" t="n">
        <f aca="false">IF(OR($X106=0,$T106&gt;0),0,$G106)</f>
        <v>0</v>
      </c>
      <c r="AA106" s="26" t="n">
        <f aca="false">IF($Q106=0,0,IF(OR($E106=R_LOT,COUNTIFS(RES_IDST,$A106,RES_LOTEFF,R_LOT)&gt;0),1,0))</f>
        <v>0</v>
      </c>
      <c r="AB106" s="26" t="str">
        <f aca="false">IF($AA106=0,"",COUNTIF($AA$5:$AA106,1))</f>
        <v/>
      </c>
    </row>
    <row r="107" customFormat="false" ht="15" hidden="false" customHeight="false" outlineLevel="0" collapsed="false">
      <c r="A107" s="26" t="str">
        <f aca="false">IF($D107="","","ST-"&amp;TEXT(ROW()-4,"000"))</f>
        <v/>
      </c>
      <c r="B107" s="25"/>
      <c r="C107" s="24"/>
      <c r="D107" s="24"/>
      <c r="E107" s="24"/>
      <c r="F107" s="24"/>
      <c r="G107" s="29"/>
      <c r="H107" s="24"/>
      <c r="I107" s="24"/>
      <c r="J107" s="24"/>
      <c r="K107" s="25"/>
      <c r="L107" s="24"/>
      <c r="M107" s="24"/>
      <c r="N107" s="24"/>
      <c r="O107" s="26" t="str">
        <f aca="false">IF($E107="","",IFERROR(INDEX(LOT_PRODE,MATCH($E107,LOT_KEY,0)),"LOT NON REFERENCE"))</f>
        <v/>
      </c>
      <c r="P107" s="26" t="str">
        <f aca="false">IF($E107="","",IFERROR(INDEX(LOT_FOURNE,MATCH($E107,LOT_KEY,0)),""))</f>
        <v/>
      </c>
      <c r="Q107" s="28" t="n">
        <f aca="false">IF($D107="",0,IF(OR($B107="",$C107="",$E107="",NOT(ISNUMBER($G107)),$G107&lt;=0),0,IF($D107="STOCK EXISTANT",IF($F107="",0,1),1)))</f>
        <v>0</v>
      </c>
      <c r="R107" s="27" t="str">
        <f aca="false">IF(OR($Q107=0,$D107&lt;&gt;"STOCK EXISTANT"),"",SUMIFS(MVT_BRUT,MVT_LOT,$E107,MVT_EMPL,$F107)+$G107)</f>
        <v/>
      </c>
      <c r="S107" s="27" t="str">
        <f aca="false">IF($A107="","",SUMIFS(RES_QTEVAL,RES_IDST,$A107))</f>
        <v/>
      </c>
      <c r="T107" s="28" t="str">
        <f aca="false">IF($A107="","",COUNTIFS(RES_IDST,$A107))</f>
        <v/>
      </c>
      <c r="U107" s="27" t="str">
        <f aca="false">IF(OR($A107="",$T107=0),"",$G107-$S107)</f>
        <v/>
      </c>
      <c r="V107" s="30" t="str">
        <f aca="false">IF(OR($A107="",$T107=0,NOT(ISNUMBER($G107)),$G107&lt;=0),"",$S107/$G107)</f>
        <v/>
      </c>
      <c r="W107" s="26" t="str">
        <f aca="false">IF($D107="","",IF($Q107=0,"DONNEES MANQUANTES",IF($D107="STOCK EXISTANT",IF($R107&lt;=0,"EMPLACEMENT INCOHERENT",IF($G107&gt;$R107+0.001,"STOCK INSUFFISANT",IF($T107=0,"EN COURS",IF($S107&gt;$G107+0.001,"BLOQUE",IF(AND($U107&gt;P_TOL,$L107=""),"A JUSTIFIER","OK"))))),IF($T107=0,"EN COURS",IF($S107&gt;$G107+0.001,"BLOQUE",IF(AND($U107&gt;P_TOL,$L107=""),"A JUSTIFIER","OK"))))))</f>
        <v/>
      </c>
      <c r="X107" s="28" t="n">
        <f aca="false">IF(OR($W107="",$W107="DONNEES MANQUANTES",$W107="EMPLACEMENT INCOHERENT",$W107="STOCK INSUFFISANT"),0,1)</f>
        <v>0</v>
      </c>
      <c r="Y107" s="26" t="str">
        <f aca="false">IF($D107="","",IF($Q107=0,"A COMPLETER : "&amp;IF($B107="","DATE ENVOI; ","")&amp;IF($C107="","SOUS-TRAITANT; ","")&amp;IF($E107="","LOT SOURCE; ","")&amp;IF(OR(NOT(ISNUMBER($G107)),$G107&lt;=0),"QTE ENVOYEE &gt; 0; ","")&amp;IF(AND($D107="STOCK EXISTANT",$F107=""),"EMPL. SOURCE; ",""),IF($W107="EMPLACEMENT INCOHERENT","Le lot "&amp;$E107&amp;" n'existe pas sur "&amp;$F107&amp;" (stock 0).",IF($W107="STOCK INSUFFISANT","Disponible avant envoi : "&amp;TEXT($R107,"#,##0.00")&amp;" kg. Ligne NON comptee en stock.",IF($W107="BLOQUE","Total des sorties ("&amp;TEXT($S107,"#,##0.00")&amp;" kg) superieur a la quantite envoyee.",IF($W107="EN COURS","Envoi enregistre, resultats non connus. A completer dans ST_RESULTATS.",IF($W107="A JUSTIFIER","Ecart de "&amp;TEXT($U107,"#,##0.00")&amp;" kg : renseigner JUSTIFICATION ECART (colonne L).",IF($O107="LOT NON REFERENCE","Creer d'abord la fiche du lot dans l'onglet LOTS.",""))))))))</f>
        <v/>
      </c>
      <c r="Z107" s="27" t="n">
        <f aca="false">IF(OR($X107=0,$T107&gt;0),0,$G107)</f>
        <v>0</v>
      </c>
      <c r="AA107" s="26" t="n">
        <f aca="false">IF($Q107=0,0,IF(OR($E107=R_LOT,COUNTIFS(RES_IDST,$A107,RES_LOTEFF,R_LOT)&gt;0),1,0))</f>
        <v>0</v>
      </c>
      <c r="AB107" s="26" t="str">
        <f aca="false">IF($AA107=0,"",COUNTIF($AA$5:$AA107,1))</f>
        <v/>
      </c>
    </row>
    <row r="108" customFormat="false" ht="15" hidden="false" customHeight="false" outlineLevel="0" collapsed="false">
      <c r="A108" s="26" t="str">
        <f aca="false">IF($D108="","","ST-"&amp;TEXT(ROW()-4,"000"))</f>
        <v/>
      </c>
      <c r="B108" s="25"/>
      <c r="C108" s="24"/>
      <c r="D108" s="24"/>
      <c r="E108" s="24"/>
      <c r="F108" s="24"/>
      <c r="G108" s="29"/>
      <c r="H108" s="24"/>
      <c r="I108" s="24"/>
      <c r="J108" s="24"/>
      <c r="K108" s="25"/>
      <c r="L108" s="24"/>
      <c r="M108" s="24"/>
      <c r="N108" s="24"/>
      <c r="O108" s="26" t="str">
        <f aca="false">IF($E108="","",IFERROR(INDEX(LOT_PRODE,MATCH($E108,LOT_KEY,0)),"LOT NON REFERENCE"))</f>
        <v/>
      </c>
      <c r="P108" s="26" t="str">
        <f aca="false">IF($E108="","",IFERROR(INDEX(LOT_FOURNE,MATCH($E108,LOT_KEY,0)),""))</f>
        <v/>
      </c>
      <c r="Q108" s="28" t="n">
        <f aca="false">IF($D108="",0,IF(OR($B108="",$C108="",$E108="",NOT(ISNUMBER($G108)),$G108&lt;=0),0,IF($D108="STOCK EXISTANT",IF($F108="",0,1),1)))</f>
        <v>0</v>
      </c>
      <c r="R108" s="27" t="str">
        <f aca="false">IF(OR($Q108=0,$D108&lt;&gt;"STOCK EXISTANT"),"",SUMIFS(MVT_BRUT,MVT_LOT,$E108,MVT_EMPL,$F108)+$G108)</f>
        <v/>
      </c>
      <c r="S108" s="27" t="str">
        <f aca="false">IF($A108="","",SUMIFS(RES_QTEVAL,RES_IDST,$A108))</f>
        <v/>
      </c>
      <c r="T108" s="28" t="str">
        <f aca="false">IF($A108="","",COUNTIFS(RES_IDST,$A108))</f>
        <v/>
      </c>
      <c r="U108" s="27" t="str">
        <f aca="false">IF(OR($A108="",$T108=0),"",$G108-$S108)</f>
        <v/>
      </c>
      <c r="V108" s="30" t="str">
        <f aca="false">IF(OR($A108="",$T108=0,NOT(ISNUMBER($G108)),$G108&lt;=0),"",$S108/$G108)</f>
        <v/>
      </c>
      <c r="W108" s="26" t="str">
        <f aca="false">IF($D108="","",IF($Q108=0,"DONNEES MANQUANTES",IF($D108="STOCK EXISTANT",IF($R108&lt;=0,"EMPLACEMENT INCOHERENT",IF($G108&gt;$R108+0.001,"STOCK INSUFFISANT",IF($T108=0,"EN COURS",IF($S108&gt;$G108+0.001,"BLOQUE",IF(AND($U108&gt;P_TOL,$L108=""),"A JUSTIFIER","OK"))))),IF($T108=0,"EN COURS",IF($S108&gt;$G108+0.001,"BLOQUE",IF(AND($U108&gt;P_TOL,$L108=""),"A JUSTIFIER","OK"))))))</f>
        <v/>
      </c>
      <c r="X108" s="28" t="n">
        <f aca="false">IF(OR($W108="",$W108="DONNEES MANQUANTES",$W108="EMPLACEMENT INCOHERENT",$W108="STOCK INSUFFISANT"),0,1)</f>
        <v>0</v>
      </c>
      <c r="Y108" s="26" t="str">
        <f aca="false">IF($D108="","",IF($Q108=0,"A COMPLETER : "&amp;IF($B108="","DATE ENVOI; ","")&amp;IF($C108="","SOUS-TRAITANT; ","")&amp;IF($E108="","LOT SOURCE; ","")&amp;IF(OR(NOT(ISNUMBER($G108)),$G108&lt;=0),"QTE ENVOYEE &gt; 0; ","")&amp;IF(AND($D108="STOCK EXISTANT",$F108=""),"EMPL. SOURCE; ",""),IF($W108="EMPLACEMENT INCOHERENT","Le lot "&amp;$E108&amp;" n'existe pas sur "&amp;$F108&amp;" (stock 0).",IF($W108="STOCK INSUFFISANT","Disponible avant envoi : "&amp;TEXT($R108,"#,##0.00")&amp;" kg. Ligne NON comptee en stock.",IF($W108="BLOQUE","Total des sorties ("&amp;TEXT($S108,"#,##0.00")&amp;" kg) superieur a la quantite envoyee.",IF($W108="EN COURS","Envoi enregistre, resultats non connus. A completer dans ST_RESULTATS.",IF($W108="A JUSTIFIER","Ecart de "&amp;TEXT($U108,"#,##0.00")&amp;" kg : renseigner JUSTIFICATION ECART (colonne L).",IF($O108="LOT NON REFERENCE","Creer d'abord la fiche du lot dans l'onglet LOTS.",""))))))))</f>
        <v/>
      </c>
      <c r="Z108" s="27" t="n">
        <f aca="false">IF(OR($X108=0,$T108&gt;0),0,$G108)</f>
        <v>0</v>
      </c>
      <c r="AA108" s="26" t="n">
        <f aca="false">IF($Q108=0,0,IF(OR($E108=R_LOT,COUNTIFS(RES_IDST,$A108,RES_LOTEFF,R_LOT)&gt;0),1,0))</f>
        <v>0</v>
      </c>
      <c r="AB108" s="26" t="str">
        <f aca="false">IF($AA108=0,"",COUNTIF($AA$5:$AA108,1))</f>
        <v/>
      </c>
    </row>
    <row r="109" customFormat="false" ht="15" hidden="false" customHeight="false" outlineLevel="0" collapsed="false">
      <c r="A109" s="26" t="str">
        <f aca="false">IF($D109="","","ST-"&amp;TEXT(ROW()-4,"000"))</f>
        <v/>
      </c>
      <c r="B109" s="25"/>
      <c r="C109" s="24"/>
      <c r="D109" s="24"/>
      <c r="E109" s="24"/>
      <c r="F109" s="24"/>
      <c r="G109" s="29"/>
      <c r="H109" s="24"/>
      <c r="I109" s="24"/>
      <c r="J109" s="24"/>
      <c r="K109" s="25"/>
      <c r="L109" s="24"/>
      <c r="M109" s="24"/>
      <c r="N109" s="24"/>
      <c r="O109" s="26" t="str">
        <f aca="false">IF($E109="","",IFERROR(INDEX(LOT_PRODE,MATCH($E109,LOT_KEY,0)),"LOT NON REFERENCE"))</f>
        <v/>
      </c>
      <c r="P109" s="26" t="str">
        <f aca="false">IF($E109="","",IFERROR(INDEX(LOT_FOURNE,MATCH($E109,LOT_KEY,0)),""))</f>
        <v/>
      </c>
      <c r="Q109" s="28" t="n">
        <f aca="false">IF($D109="",0,IF(OR($B109="",$C109="",$E109="",NOT(ISNUMBER($G109)),$G109&lt;=0),0,IF($D109="STOCK EXISTANT",IF($F109="",0,1),1)))</f>
        <v>0</v>
      </c>
      <c r="R109" s="27" t="str">
        <f aca="false">IF(OR($Q109=0,$D109&lt;&gt;"STOCK EXISTANT"),"",SUMIFS(MVT_BRUT,MVT_LOT,$E109,MVT_EMPL,$F109)+$G109)</f>
        <v/>
      </c>
      <c r="S109" s="27" t="str">
        <f aca="false">IF($A109="","",SUMIFS(RES_QTEVAL,RES_IDST,$A109))</f>
        <v/>
      </c>
      <c r="T109" s="28" t="str">
        <f aca="false">IF($A109="","",COUNTIFS(RES_IDST,$A109))</f>
        <v/>
      </c>
      <c r="U109" s="27" t="str">
        <f aca="false">IF(OR($A109="",$T109=0),"",$G109-$S109)</f>
        <v/>
      </c>
      <c r="V109" s="30" t="str">
        <f aca="false">IF(OR($A109="",$T109=0,NOT(ISNUMBER($G109)),$G109&lt;=0),"",$S109/$G109)</f>
        <v/>
      </c>
      <c r="W109" s="26" t="str">
        <f aca="false">IF($D109="","",IF($Q109=0,"DONNEES MANQUANTES",IF($D109="STOCK EXISTANT",IF($R109&lt;=0,"EMPLACEMENT INCOHERENT",IF($G109&gt;$R109+0.001,"STOCK INSUFFISANT",IF($T109=0,"EN COURS",IF($S109&gt;$G109+0.001,"BLOQUE",IF(AND($U109&gt;P_TOL,$L109=""),"A JUSTIFIER","OK"))))),IF($T109=0,"EN COURS",IF($S109&gt;$G109+0.001,"BLOQUE",IF(AND($U109&gt;P_TOL,$L109=""),"A JUSTIFIER","OK"))))))</f>
        <v/>
      </c>
      <c r="X109" s="28" t="n">
        <f aca="false">IF(OR($W109="",$W109="DONNEES MANQUANTES",$W109="EMPLACEMENT INCOHERENT",$W109="STOCK INSUFFISANT"),0,1)</f>
        <v>0</v>
      </c>
      <c r="Y109" s="26" t="str">
        <f aca="false">IF($D109="","",IF($Q109=0,"A COMPLETER : "&amp;IF($B109="","DATE ENVOI; ","")&amp;IF($C109="","SOUS-TRAITANT; ","")&amp;IF($E109="","LOT SOURCE; ","")&amp;IF(OR(NOT(ISNUMBER($G109)),$G109&lt;=0),"QTE ENVOYEE &gt; 0; ","")&amp;IF(AND($D109="STOCK EXISTANT",$F109=""),"EMPL. SOURCE; ",""),IF($W109="EMPLACEMENT INCOHERENT","Le lot "&amp;$E109&amp;" n'existe pas sur "&amp;$F109&amp;" (stock 0).",IF($W109="STOCK INSUFFISANT","Disponible avant envoi : "&amp;TEXT($R109,"#,##0.00")&amp;" kg. Ligne NON comptee en stock.",IF($W109="BLOQUE","Total des sorties ("&amp;TEXT($S109,"#,##0.00")&amp;" kg) superieur a la quantite envoyee.",IF($W109="EN COURS","Envoi enregistre, resultats non connus. A completer dans ST_RESULTATS.",IF($W109="A JUSTIFIER","Ecart de "&amp;TEXT($U109,"#,##0.00")&amp;" kg : renseigner JUSTIFICATION ECART (colonne L).",IF($O109="LOT NON REFERENCE","Creer d'abord la fiche du lot dans l'onglet LOTS.",""))))))))</f>
        <v/>
      </c>
      <c r="Z109" s="27" t="n">
        <f aca="false">IF(OR($X109=0,$T109&gt;0),0,$G109)</f>
        <v>0</v>
      </c>
      <c r="AA109" s="26" t="n">
        <f aca="false">IF($Q109=0,0,IF(OR($E109=R_LOT,COUNTIFS(RES_IDST,$A109,RES_LOTEFF,R_LOT)&gt;0),1,0))</f>
        <v>0</v>
      </c>
      <c r="AB109" s="26" t="str">
        <f aca="false">IF($AA109=0,"",COUNTIF($AA$5:$AA109,1))</f>
        <v/>
      </c>
    </row>
    <row r="110" customFormat="false" ht="15" hidden="false" customHeight="false" outlineLevel="0" collapsed="false">
      <c r="A110" s="26" t="str">
        <f aca="false">IF($D110="","","ST-"&amp;TEXT(ROW()-4,"000"))</f>
        <v/>
      </c>
      <c r="B110" s="25"/>
      <c r="C110" s="24"/>
      <c r="D110" s="24"/>
      <c r="E110" s="24"/>
      <c r="F110" s="24"/>
      <c r="G110" s="29"/>
      <c r="H110" s="24"/>
      <c r="I110" s="24"/>
      <c r="J110" s="24"/>
      <c r="K110" s="25"/>
      <c r="L110" s="24"/>
      <c r="M110" s="24"/>
      <c r="N110" s="24"/>
      <c r="O110" s="26" t="str">
        <f aca="false">IF($E110="","",IFERROR(INDEX(LOT_PRODE,MATCH($E110,LOT_KEY,0)),"LOT NON REFERENCE"))</f>
        <v/>
      </c>
      <c r="P110" s="26" t="str">
        <f aca="false">IF($E110="","",IFERROR(INDEX(LOT_FOURNE,MATCH($E110,LOT_KEY,0)),""))</f>
        <v/>
      </c>
      <c r="Q110" s="28" t="n">
        <f aca="false">IF($D110="",0,IF(OR($B110="",$C110="",$E110="",NOT(ISNUMBER($G110)),$G110&lt;=0),0,IF($D110="STOCK EXISTANT",IF($F110="",0,1),1)))</f>
        <v>0</v>
      </c>
      <c r="R110" s="27" t="str">
        <f aca="false">IF(OR($Q110=0,$D110&lt;&gt;"STOCK EXISTANT"),"",SUMIFS(MVT_BRUT,MVT_LOT,$E110,MVT_EMPL,$F110)+$G110)</f>
        <v/>
      </c>
      <c r="S110" s="27" t="str">
        <f aca="false">IF($A110="","",SUMIFS(RES_QTEVAL,RES_IDST,$A110))</f>
        <v/>
      </c>
      <c r="T110" s="28" t="str">
        <f aca="false">IF($A110="","",COUNTIFS(RES_IDST,$A110))</f>
        <v/>
      </c>
      <c r="U110" s="27" t="str">
        <f aca="false">IF(OR($A110="",$T110=0),"",$G110-$S110)</f>
        <v/>
      </c>
      <c r="V110" s="30" t="str">
        <f aca="false">IF(OR($A110="",$T110=0,NOT(ISNUMBER($G110)),$G110&lt;=0),"",$S110/$G110)</f>
        <v/>
      </c>
      <c r="W110" s="26" t="str">
        <f aca="false">IF($D110="","",IF($Q110=0,"DONNEES MANQUANTES",IF($D110="STOCK EXISTANT",IF($R110&lt;=0,"EMPLACEMENT INCOHERENT",IF($G110&gt;$R110+0.001,"STOCK INSUFFISANT",IF($T110=0,"EN COURS",IF($S110&gt;$G110+0.001,"BLOQUE",IF(AND($U110&gt;P_TOL,$L110=""),"A JUSTIFIER","OK"))))),IF($T110=0,"EN COURS",IF($S110&gt;$G110+0.001,"BLOQUE",IF(AND($U110&gt;P_TOL,$L110=""),"A JUSTIFIER","OK"))))))</f>
        <v/>
      </c>
      <c r="X110" s="28" t="n">
        <f aca="false">IF(OR($W110="",$W110="DONNEES MANQUANTES",$W110="EMPLACEMENT INCOHERENT",$W110="STOCK INSUFFISANT"),0,1)</f>
        <v>0</v>
      </c>
      <c r="Y110" s="26" t="str">
        <f aca="false">IF($D110="","",IF($Q110=0,"A COMPLETER : "&amp;IF($B110="","DATE ENVOI; ","")&amp;IF($C110="","SOUS-TRAITANT; ","")&amp;IF($E110="","LOT SOURCE; ","")&amp;IF(OR(NOT(ISNUMBER($G110)),$G110&lt;=0),"QTE ENVOYEE &gt; 0; ","")&amp;IF(AND($D110="STOCK EXISTANT",$F110=""),"EMPL. SOURCE; ",""),IF($W110="EMPLACEMENT INCOHERENT","Le lot "&amp;$E110&amp;" n'existe pas sur "&amp;$F110&amp;" (stock 0).",IF($W110="STOCK INSUFFISANT","Disponible avant envoi : "&amp;TEXT($R110,"#,##0.00")&amp;" kg. Ligne NON comptee en stock.",IF($W110="BLOQUE","Total des sorties ("&amp;TEXT($S110,"#,##0.00")&amp;" kg) superieur a la quantite envoyee.",IF($W110="EN COURS","Envoi enregistre, resultats non connus. A completer dans ST_RESULTATS.",IF($W110="A JUSTIFIER","Ecart de "&amp;TEXT($U110,"#,##0.00")&amp;" kg : renseigner JUSTIFICATION ECART (colonne L).",IF($O110="LOT NON REFERENCE","Creer d'abord la fiche du lot dans l'onglet LOTS.",""))))))))</f>
        <v/>
      </c>
      <c r="Z110" s="27" t="n">
        <f aca="false">IF(OR($X110=0,$T110&gt;0),0,$G110)</f>
        <v>0</v>
      </c>
      <c r="AA110" s="26" t="n">
        <f aca="false">IF($Q110=0,0,IF(OR($E110=R_LOT,COUNTIFS(RES_IDST,$A110,RES_LOTEFF,R_LOT)&gt;0),1,0))</f>
        <v>0</v>
      </c>
      <c r="AB110" s="26" t="str">
        <f aca="false">IF($AA110=0,"",COUNTIF($AA$5:$AA110,1))</f>
        <v/>
      </c>
    </row>
    <row r="111" customFormat="false" ht="15" hidden="false" customHeight="false" outlineLevel="0" collapsed="false">
      <c r="A111" s="26" t="str">
        <f aca="false">IF($D111="","","ST-"&amp;TEXT(ROW()-4,"000"))</f>
        <v/>
      </c>
      <c r="B111" s="25"/>
      <c r="C111" s="24"/>
      <c r="D111" s="24"/>
      <c r="E111" s="24"/>
      <c r="F111" s="24"/>
      <c r="G111" s="29"/>
      <c r="H111" s="24"/>
      <c r="I111" s="24"/>
      <c r="J111" s="24"/>
      <c r="K111" s="25"/>
      <c r="L111" s="24"/>
      <c r="M111" s="24"/>
      <c r="N111" s="24"/>
      <c r="O111" s="26" t="str">
        <f aca="false">IF($E111="","",IFERROR(INDEX(LOT_PRODE,MATCH($E111,LOT_KEY,0)),"LOT NON REFERENCE"))</f>
        <v/>
      </c>
      <c r="P111" s="26" t="str">
        <f aca="false">IF($E111="","",IFERROR(INDEX(LOT_FOURNE,MATCH($E111,LOT_KEY,0)),""))</f>
        <v/>
      </c>
      <c r="Q111" s="28" t="n">
        <f aca="false">IF($D111="",0,IF(OR($B111="",$C111="",$E111="",NOT(ISNUMBER($G111)),$G111&lt;=0),0,IF($D111="STOCK EXISTANT",IF($F111="",0,1),1)))</f>
        <v>0</v>
      </c>
      <c r="R111" s="27" t="str">
        <f aca="false">IF(OR($Q111=0,$D111&lt;&gt;"STOCK EXISTANT"),"",SUMIFS(MVT_BRUT,MVT_LOT,$E111,MVT_EMPL,$F111)+$G111)</f>
        <v/>
      </c>
      <c r="S111" s="27" t="str">
        <f aca="false">IF($A111="","",SUMIFS(RES_QTEVAL,RES_IDST,$A111))</f>
        <v/>
      </c>
      <c r="T111" s="28" t="str">
        <f aca="false">IF($A111="","",COUNTIFS(RES_IDST,$A111))</f>
        <v/>
      </c>
      <c r="U111" s="27" t="str">
        <f aca="false">IF(OR($A111="",$T111=0),"",$G111-$S111)</f>
        <v/>
      </c>
      <c r="V111" s="30" t="str">
        <f aca="false">IF(OR($A111="",$T111=0,NOT(ISNUMBER($G111)),$G111&lt;=0),"",$S111/$G111)</f>
        <v/>
      </c>
      <c r="W111" s="26" t="str">
        <f aca="false">IF($D111="","",IF($Q111=0,"DONNEES MANQUANTES",IF($D111="STOCK EXISTANT",IF($R111&lt;=0,"EMPLACEMENT INCOHERENT",IF($G111&gt;$R111+0.001,"STOCK INSUFFISANT",IF($T111=0,"EN COURS",IF($S111&gt;$G111+0.001,"BLOQUE",IF(AND($U111&gt;P_TOL,$L111=""),"A JUSTIFIER","OK"))))),IF($T111=0,"EN COURS",IF($S111&gt;$G111+0.001,"BLOQUE",IF(AND($U111&gt;P_TOL,$L111=""),"A JUSTIFIER","OK"))))))</f>
        <v/>
      </c>
      <c r="X111" s="28" t="n">
        <f aca="false">IF(OR($W111="",$W111="DONNEES MANQUANTES",$W111="EMPLACEMENT INCOHERENT",$W111="STOCK INSUFFISANT"),0,1)</f>
        <v>0</v>
      </c>
      <c r="Y111" s="26" t="str">
        <f aca="false">IF($D111="","",IF($Q111=0,"A COMPLETER : "&amp;IF($B111="","DATE ENVOI; ","")&amp;IF($C111="","SOUS-TRAITANT; ","")&amp;IF($E111="","LOT SOURCE; ","")&amp;IF(OR(NOT(ISNUMBER($G111)),$G111&lt;=0),"QTE ENVOYEE &gt; 0; ","")&amp;IF(AND($D111="STOCK EXISTANT",$F111=""),"EMPL. SOURCE; ",""),IF($W111="EMPLACEMENT INCOHERENT","Le lot "&amp;$E111&amp;" n'existe pas sur "&amp;$F111&amp;" (stock 0).",IF($W111="STOCK INSUFFISANT","Disponible avant envoi : "&amp;TEXT($R111,"#,##0.00")&amp;" kg. Ligne NON comptee en stock.",IF($W111="BLOQUE","Total des sorties ("&amp;TEXT($S111,"#,##0.00")&amp;" kg) superieur a la quantite envoyee.",IF($W111="EN COURS","Envoi enregistre, resultats non connus. A completer dans ST_RESULTATS.",IF($W111="A JUSTIFIER","Ecart de "&amp;TEXT($U111,"#,##0.00")&amp;" kg : renseigner JUSTIFICATION ECART (colonne L).",IF($O111="LOT NON REFERENCE","Creer d'abord la fiche du lot dans l'onglet LOTS.",""))))))))</f>
        <v/>
      </c>
      <c r="Z111" s="27" t="n">
        <f aca="false">IF(OR($X111=0,$T111&gt;0),0,$G111)</f>
        <v>0</v>
      </c>
      <c r="AA111" s="26" t="n">
        <f aca="false">IF($Q111=0,0,IF(OR($E111=R_LOT,COUNTIFS(RES_IDST,$A111,RES_LOTEFF,R_LOT)&gt;0),1,0))</f>
        <v>0</v>
      </c>
      <c r="AB111" s="26" t="str">
        <f aca="false">IF($AA111=0,"",COUNTIF($AA$5:$AA111,1))</f>
        <v/>
      </c>
    </row>
    <row r="112" customFormat="false" ht="15" hidden="false" customHeight="false" outlineLevel="0" collapsed="false">
      <c r="A112" s="26" t="str">
        <f aca="false">IF($D112="","","ST-"&amp;TEXT(ROW()-4,"000"))</f>
        <v/>
      </c>
      <c r="B112" s="25"/>
      <c r="C112" s="24"/>
      <c r="D112" s="24"/>
      <c r="E112" s="24"/>
      <c r="F112" s="24"/>
      <c r="G112" s="29"/>
      <c r="H112" s="24"/>
      <c r="I112" s="24"/>
      <c r="J112" s="24"/>
      <c r="K112" s="25"/>
      <c r="L112" s="24"/>
      <c r="M112" s="24"/>
      <c r="N112" s="24"/>
      <c r="O112" s="26" t="str">
        <f aca="false">IF($E112="","",IFERROR(INDEX(LOT_PRODE,MATCH($E112,LOT_KEY,0)),"LOT NON REFERENCE"))</f>
        <v/>
      </c>
      <c r="P112" s="26" t="str">
        <f aca="false">IF($E112="","",IFERROR(INDEX(LOT_FOURNE,MATCH($E112,LOT_KEY,0)),""))</f>
        <v/>
      </c>
      <c r="Q112" s="28" t="n">
        <f aca="false">IF($D112="",0,IF(OR($B112="",$C112="",$E112="",NOT(ISNUMBER($G112)),$G112&lt;=0),0,IF($D112="STOCK EXISTANT",IF($F112="",0,1),1)))</f>
        <v>0</v>
      </c>
      <c r="R112" s="27" t="str">
        <f aca="false">IF(OR($Q112=0,$D112&lt;&gt;"STOCK EXISTANT"),"",SUMIFS(MVT_BRUT,MVT_LOT,$E112,MVT_EMPL,$F112)+$G112)</f>
        <v/>
      </c>
      <c r="S112" s="27" t="str">
        <f aca="false">IF($A112="","",SUMIFS(RES_QTEVAL,RES_IDST,$A112))</f>
        <v/>
      </c>
      <c r="T112" s="28" t="str">
        <f aca="false">IF($A112="","",COUNTIFS(RES_IDST,$A112))</f>
        <v/>
      </c>
      <c r="U112" s="27" t="str">
        <f aca="false">IF(OR($A112="",$T112=0),"",$G112-$S112)</f>
        <v/>
      </c>
      <c r="V112" s="30" t="str">
        <f aca="false">IF(OR($A112="",$T112=0,NOT(ISNUMBER($G112)),$G112&lt;=0),"",$S112/$G112)</f>
        <v/>
      </c>
      <c r="W112" s="26" t="str">
        <f aca="false">IF($D112="","",IF($Q112=0,"DONNEES MANQUANTES",IF($D112="STOCK EXISTANT",IF($R112&lt;=0,"EMPLACEMENT INCOHERENT",IF($G112&gt;$R112+0.001,"STOCK INSUFFISANT",IF($T112=0,"EN COURS",IF($S112&gt;$G112+0.001,"BLOQUE",IF(AND($U112&gt;P_TOL,$L112=""),"A JUSTIFIER","OK"))))),IF($T112=0,"EN COURS",IF($S112&gt;$G112+0.001,"BLOQUE",IF(AND($U112&gt;P_TOL,$L112=""),"A JUSTIFIER","OK"))))))</f>
        <v/>
      </c>
      <c r="X112" s="28" t="n">
        <f aca="false">IF(OR($W112="",$W112="DONNEES MANQUANTES",$W112="EMPLACEMENT INCOHERENT",$W112="STOCK INSUFFISANT"),0,1)</f>
        <v>0</v>
      </c>
      <c r="Y112" s="26" t="str">
        <f aca="false">IF($D112="","",IF($Q112=0,"A COMPLETER : "&amp;IF($B112="","DATE ENVOI; ","")&amp;IF($C112="","SOUS-TRAITANT; ","")&amp;IF($E112="","LOT SOURCE; ","")&amp;IF(OR(NOT(ISNUMBER($G112)),$G112&lt;=0),"QTE ENVOYEE &gt; 0; ","")&amp;IF(AND($D112="STOCK EXISTANT",$F112=""),"EMPL. SOURCE; ",""),IF($W112="EMPLACEMENT INCOHERENT","Le lot "&amp;$E112&amp;" n'existe pas sur "&amp;$F112&amp;" (stock 0).",IF($W112="STOCK INSUFFISANT","Disponible avant envoi : "&amp;TEXT($R112,"#,##0.00")&amp;" kg. Ligne NON comptee en stock.",IF($W112="BLOQUE","Total des sorties ("&amp;TEXT($S112,"#,##0.00")&amp;" kg) superieur a la quantite envoyee.",IF($W112="EN COURS","Envoi enregistre, resultats non connus. A completer dans ST_RESULTATS.",IF($W112="A JUSTIFIER","Ecart de "&amp;TEXT($U112,"#,##0.00")&amp;" kg : renseigner JUSTIFICATION ECART (colonne L).",IF($O112="LOT NON REFERENCE","Creer d'abord la fiche du lot dans l'onglet LOTS.",""))))))))</f>
        <v/>
      </c>
      <c r="Z112" s="27" t="n">
        <f aca="false">IF(OR($X112=0,$T112&gt;0),0,$G112)</f>
        <v>0</v>
      </c>
      <c r="AA112" s="26" t="n">
        <f aca="false">IF($Q112=0,0,IF(OR($E112=R_LOT,COUNTIFS(RES_IDST,$A112,RES_LOTEFF,R_LOT)&gt;0),1,0))</f>
        <v>0</v>
      </c>
      <c r="AB112" s="26" t="str">
        <f aca="false">IF($AA112=0,"",COUNTIF($AA$5:$AA112,1))</f>
        <v/>
      </c>
    </row>
    <row r="113" customFormat="false" ht="15" hidden="false" customHeight="false" outlineLevel="0" collapsed="false">
      <c r="A113" s="26" t="str">
        <f aca="false">IF($D113="","","ST-"&amp;TEXT(ROW()-4,"000"))</f>
        <v/>
      </c>
      <c r="B113" s="25"/>
      <c r="C113" s="24"/>
      <c r="D113" s="24"/>
      <c r="E113" s="24"/>
      <c r="F113" s="24"/>
      <c r="G113" s="29"/>
      <c r="H113" s="24"/>
      <c r="I113" s="24"/>
      <c r="J113" s="24"/>
      <c r="K113" s="25"/>
      <c r="L113" s="24"/>
      <c r="M113" s="24"/>
      <c r="N113" s="24"/>
      <c r="O113" s="26" t="str">
        <f aca="false">IF($E113="","",IFERROR(INDEX(LOT_PRODE,MATCH($E113,LOT_KEY,0)),"LOT NON REFERENCE"))</f>
        <v/>
      </c>
      <c r="P113" s="26" t="str">
        <f aca="false">IF($E113="","",IFERROR(INDEX(LOT_FOURNE,MATCH($E113,LOT_KEY,0)),""))</f>
        <v/>
      </c>
      <c r="Q113" s="28" t="n">
        <f aca="false">IF($D113="",0,IF(OR($B113="",$C113="",$E113="",NOT(ISNUMBER($G113)),$G113&lt;=0),0,IF($D113="STOCK EXISTANT",IF($F113="",0,1),1)))</f>
        <v>0</v>
      </c>
      <c r="R113" s="27" t="str">
        <f aca="false">IF(OR($Q113=0,$D113&lt;&gt;"STOCK EXISTANT"),"",SUMIFS(MVT_BRUT,MVT_LOT,$E113,MVT_EMPL,$F113)+$G113)</f>
        <v/>
      </c>
      <c r="S113" s="27" t="str">
        <f aca="false">IF($A113="","",SUMIFS(RES_QTEVAL,RES_IDST,$A113))</f>
        <v/>
      </c>
      <c r="T113" s="28" t="str">
        <f aca="false">IF($A113="","",COUNTIFS(RES_IDST,$A113))</f>
        <v/>
      </c>
      <c r="U113" s="27" t="str">
        <f aca="false">IF(OR($A113="",$T113=0),"",$G113-$S113)</f>
        <v/>
      </c>
      <c r="V113" s="30" t="str">
        <f aca="false">IF(OR($A113="",$T113=0,NOT(ISNUMBER($G113)),$G113&lt;=0),"",$S113/$G113)</f>
        <v/>
      </c>
      <c r="W113" s="26" t="str">
        <f aca="false">IF($D113="","",IF($Q113=0,"DONNEES MANQUANTES",IF($D113="STOCK EXISTANT",IF($R113&lt;=0,"EMPLACEMENT INCOHERENT",IF($G113&gt;$R113+0.001,"STOCK INSUFFISANT",IF($T113=0,"EN COURS",IF($S113&gt;$G113+0.001,"BLOQUE",IF(AND($U113&gt;P_TOL,$L113=""),"A JUSTIFIER","OK"))))),IF($T113=0,"EN COURS",IF($S113&gt;$G113+0.001,"BLOQUE",IF(AND($U113&gt;P_TOL,$L113=""),"A JUSTIFIER","OK"))))))</f>
        <v/>
      </c>
      <c r="X113" s="28" t="n">
        <f aca="false">IF(OR($W113="",$W113="DONNEES MANQUANTES",$W113="EMPLACEMENT INCOHERENT",$W113="STOCK INSUFFISANT"),0,1)</f>
        <v>0</v>
      </c>
      <c r="Y113" s="26" t="str">
        <f aca="false">IF($D113="","",IF($Q113=0,"A COMPLETER : "&amp;IF($B113="","DATE ENVOI; ","")&amp;IF($C113="","SOUS-TRAITANT; ","")&amp;IF($E113="","LOT SOURCE; ","")&amp;IF(OR(NOT(ISNUMBER($G113)),$G113&lt;=0),"QTE ENVOYEE &gt; 0; ","")&amp;IF(AND($D113="STOCK EXISTANT",$F113=""),"EMPL. SOURCE; ",""),IF($W113="EMPLACEMENT INCOHERENT","Le lot "&amp;$E113&amp;" n'existe pas sur "&amp;$F113&amp;" (stock 0).",IF($W113="STOCK INSUFFISANT","Disponible avant envoi : "&amp;TEXT($R113,"#,##0.00")&amp;" kg. Ligne NON comptee en stock.",IF($W113="BLOQUE","Total des sorties ("&amp;TEXT($S113,"#,##0.00")&amp;" kg) superieur a la quantite envoyee.",IF($W113="EN COURS","Envoi enregistre, resultats non connus. A completer dans ST_RESULTATS.",IF($W113="A JUSTIFIER","Ecart de "&amp;TEXT($U113,"#,##0.00")&amp;" kg : renseigner JUSTIFICATION ECART (colonne L).",IF($O113="LOT NON REFERENCE","Creer d'abord la fiche du lot dans l'onglet LOTS.",""))))))))</f>
        <v/>
      </c>
      <c r="Z113" s="27" t="n">
        <f aca="false">IF(OR($X113=0,$T113&gt;0),0,$G113)</f>
        <v>0</v>
      </c>
      <c r="AA113" s="26" t="n">
        <f aca="false">IF($Q113=0,0,IF(OR($E113=R_LOT,COUNTIFS(RES_IDST,$A113,RES_LOTEFF,R_LOT)&gt;0),1,0))</f>
        <v>0</v>
      </c>
      <c r="AB113" s="26" t="str">
        <f aca="false">IF($AA113=0,"",COUNTIF($AA$5:$AA113,1))</f>
        <v/>
      </c>
    </row>
    <row r="114" customFormat="false" ht="15" hidden="false" customHeight="false" outlineLevel="0" collapsed="false">
      <c r="A114" s="26" t="str">
        <f aca="false">IF($D114="","","ST-"&amp;TEXT(ROW()-4,"000"))</f>
        <v/>
      </c>
      <c r="B114" s="25"/>
      <c r="C114" s="24"/>
      <c r="D114" s="24"/>
      <c r="E114" s="24"/>
      <c r="F114" s="24"/>
      <c r="G114" s="29"/>
      <c r="H114" s="24"/>
      <c r="I114" s="24"/>
      <c r="J114" s="24"/>
      <c r="K114" s="25"/>
      <c r="L114" s="24"/>
      <c r="M114" s="24"/>
      <c r="N114" s="24"/>
      <c r="O114" s="26" t="str">
        <f aca="false">IF($E114="","",IFERROR(INDEX(LOT_PRODE,MATCH($E114,LOT_KEY,0)),"LOT NON REFERENCE"))</f>
        <v/>
      </c>
      <c r="P114" s="26" t="str">
        <f aca="false">IF($E114="","",IFERROR(INDEX(LOT_FOURNE,MATCH($E114,LOT_KEY,0)),""))</f>
        <v/>
      </c>
      <c r="Q114" s="28" t="n">
        <f aca="false">IF($D114="",0,IF(OR($B114="",$C114="",$E114="",NOT(ISNUMBER($G114)),$G114&lt;=0),0,IF($D114="STOCK EXISTANT",IF($F114="",0,1),1)))</f>
        <v>0</v>
      </c>
      <c r="R114" s="27" t="str">
        <f aca="false">IF(OR($Q114=0,$D114&lt;&gt;"STOCK EXISTANT"),"",SUMIFS(MVT_BRUT,MVT_LOT,$E114,MVT_EMPL,$F114)+$G114)</f>
        <v/>
      </c>
      <c r="S114" s="27" t="str">
        <f aca="false">IF($A114="","",SUMIFS(RES_QTEVAL,RES_IDST,$A114))</f>
        <v/>
      </c>
      <c r="T114" s="28" t="str">
        <f aca="false">IF($A114="","",COUNTIFS(RES_IDST,$A114))</f>
        <v/>
      </c>
      <c r="U114" s="27" t="str">
        <f aca="false">IF(OR($A114="",$T114=0),"",$G114-$S114)</f>
        <v/>
      </c>
      <c r="V114" s="30" t="str">
        <f aca="false">IF(OR($A114="",$T114=0,NOT(ISNUMBER($G114)),$G114&lt;=0),"",$S114/$G114)</f>
        <v/>
      </c>
      <c r="W114" s="26" t="str">
        <f aca="false">IF($D114="","",IF($Q114=0,"DONNEES MANQUANTES",IF($D114="STOCK EXISTANT",IF($R114&lt;=0,"EMPLACEMENT INCOHERENT",IF($G114&gt;$R114+0.001,"STOCK INSUFFISANT",IF($T114=0,"EN COURS",IF($S114&gt;$G114+0.001,"BLOQUE",IF(AND($U114&gt;P_TOL,$L114=""),"A JUSTIFIER","OK"))))),IF($T114=0,"EN COURS",IF($S114&gt;$G114+0.001,"BLOQUE",IF(AND($U114&gt;P_TOL,$L114=""),"A JUSTIFIER","OK"))))))</f>
        <v/>
      </c>
      <c r="X114" s="28" t="n">
        <f aca="false">IF(OR($W114="",$W114="DONNEES MANQUANTES",$W114="EMPLACEMENT INCOHERENT",$W114="STOCK INSUFFISANT"),0,1)</f>
        <v>0</v>
      </c>
      <c r="Y114" s="26" t="str">
        <f aca="false">IF($D114="","",IF($Q114=0,"A COMPLETER : "&amp;IF($B114="","DATE ENVOI; ","")&amp;IF($C114="","SOUS-TRAITANT; ","")&amp;IF($E114="","LOT SOURCE; ","")&amp;IF(OR(NOT(ISNUMBER($G114)),$G114&lt;=0),"QTE ENVOYEE &gt; 0; ","")&amp;IF(AND($D114="STOCK EXISTANT",$F114=""),"EMPL. SOURCE; ",""),IF($W114="EMPLACEMENT INCOHERENT","Le lot "&amp;$E114&amp;" n'existe pas sur "&amp;$F114&amp;" (stock 0).",IF($W114="STOCK INSUFFISANT","Disponible avant envoi : "&amp;TEXT($R114,"#,##0.00")&amp;" kg. Ligne NON comptee en stock.",IF($W114="BLOQUE","Total des sorties ("&amp;TEXT($S114,"#,##0.00")&amp;" kg) superieur a la quantite envoyee.",IF($W114="EN COURS","Envoi enregistre, resultats non connus. A completer dans ST_RESULTATS.",IF($W114="A JUSTIFIER","Ecart de "&amp;TEXT($U114,"#,##0.00")&amp;" kg : renseigner JUSTIFICATION ECART (colonne L).",IF($O114="LOT NON REFERENCE","Creer d'abord la fiche du lot dans l'onglet LOTS.",""))))))))</f>
        <v/>
      </c>
      <c r="Z114" s="27" t="n">
        <f aca="false">IF(OR($X114=0,$T114&gt;0),0,$G114)</f>
        <v>0</v>
      </c>
      <c r="AA114" s="26" t="n">
        <f aca="false">IF($Q114=0,0,IF(OR($E114=R_LOT,COUNTIFS(RES_IDST,$A114,RES_LOTEFF,R_LOT)&gt;0),1,0))</f>
        <v>0</v>
      </c>
      <c r="AB114" s="26" t="str">
        <f aca="false">IF($AA114=0,"",COUNTIF($AA$5:$AA114,1))</f>
        <v/>
      </c>
    </row>
    <row r="115" customFormat="false" ht="15" hidden="false" customHeight="false" outlineLevel="0" collapsed="false">
      <c r="A115" s="26" t="str">
        <f aca="false">IF($D115="","","ST-"&amp;TEXT(ROW()-4,"000"))</f>
        <v/>
      </c>
      <c r="B115" s="25"/>
      <c r="C115" s="24"/>
      <c r="D115" s="24"/>
      <c r="E115" s="24"/>
      <c r="F115" s="24"/>
      <c r="G115" s="29"/>
      <c r="H115" s="24"/>
      <c r="I115" s="24"/>
      <c r="J115" s="24"/>
      <c r="K115" s="25"/>
      <c r="L115" s="24"/>
      <c r="M115" s="24"/>
      <c r="N115" s="24"/>
      <c r="O115" s="26" t="str">
        <f aca="false">IF($E115="","",IFERROR(INDEX(LOT_PRODE,MATCH($E115,LOT_KEY,0)),"LOT NON REFERENCE"))</f>
        <v/>
      </c>
      <c r="P115" s="26" t="str">
        <f aca="false">IF($E115="","",IFERROR(INDEX(LOT_FOURNE,MATCH($E115,LOT_KEY,0)),""))</f>
        <v/>
      </c>
      <c r="Q115" s="28" t="n">
        <f aca="false">IF($D115="",0,IF(OR($B115="",$C115="",$E115="",NOT(ISNUMBER($G115)),$G115&lt;=0),0,IF($D115="STOCK EXISTANT",IF($F115="",0,1),1)))</f>
        <v>0</v>
      </c>
      <c r="R115" s="27" t="str">
        <f aca="false">IF(OR($Q115=0,$D115&lt;&gt;"STOCK EXISTANT"),"",SUMIFS(MVT_BRUT,MVT_LOT,$E115,MVT_EMPL,$F115)+$G115)</f>
        <v/>
      </c>
      <c r="S115" s="27" t="str">
        <f aca="false">IF($A115="","",SUMIFS(RES_QTEVAL,RES_IDST,$A115))</f>
        <v/>
      </c>
      <c r="T115" s="28" t="str">
        <f aca="false">IF($A115="","",COUNTIFS(RES_IDST,$A115))</f>
        <v/>
      </c>
      <c r="U115" s="27" t="str">
        <f aca="false">IF(OR($A115="",$T115=0),"",$G115-$S115)</f>
        <v/>
      </c>
      <c r="V115" s="30" t="str">
        <f aca="false">IF(OR($A115="",$T115=0,NOT(ISNUMBER($G115)),$G115&lt;=0),"",$S115/$G115)</f>
        <v/>
      </c>
      <c r="W115" s="26" t="str">
        <f aca="false">IF($D115="","",IF($Q115=0,"DONNEES MANQUANTES",IF($D115="STOCK EXISTANT",IF($R115&lt;=0,"EMPLACEMENT INCOHERENT",IF($G115&gt;$R115+0.001,"STOCK INSUFFISANT",IF($T115=0,"EN COURS",IF($S115&gt;$G115+0.001,"BLOQUE",IF(AND($U115&gt;P_TOL,$L115=""),"A JUSTIFIER","OK"))))),IF($T115=0,"EN COURS",IF($S115&gt;$G115+0.001,"BLOQUE",IF(AND($U115&gt;P_TOL,$L115=""),"A JUSTIFIER","OK"))))))</f>
        <v/>
      </c>
      <c r="X115" s="28" t="n">
        <f aca="false">IF(OR($W115="",$W115="DONNEES MANQUANTES",$W115="EMPLACEMENT INCOHERENT",$W115="STOCK INSUFFISANT"),0,1)</f>
        <v>0</v>
      </c>
      <c r="Y115" s="26" t="str">
        <f aca="false">IF($D115="","",IF($Q115=0,"A COMPLETER : "&amp;IF($B115="","DATE ENVOI; ","")&amp;IF($C115="","SOUS-TRAITANT; ","")&amp;IF($E115="","LOT SOURCE; ","")&amp;IF(OR(NOT(ISNUMBER($G115)),$G115&lt;=0),"QTE ENVOYEE &gt; 0; ","")&amp;IF(AND($D115="STOCK EXISTANT",$F115=""),"EMPL. SOURCE; ",""),IF($W115="EMPLACEMENT INCOHERENT","Le lot "&amp;$E115&amp;" n'existe pas sur "&amp;$F115&amp;" (stock 0).",IF($W115="STOCK INSUFFISANT","Disponible avant envoi : "&amp;TEXT($R115,"#,##0.00")&amp;" kg. Ligne NON comptee en stock.",IF($W115="BLOQUE","Total des sorties ("&amp;TEXT($S115,"#,##0.00")&amp;" kg) superieur a la quantite envoyee.",IF($W115="EN COURS","Envoi enregistre, resultats non connus. A completer dans ST_RESULTATS.",IF($W115="A JUSTIFIER","Ecart de "&amp;TEXT($U115,"#,##0.00")&amp;" kg : renseigner JUSTIFICATION ECART (colonne L).",IF($O115="LOT NON REFERENCE","Creer d'abord la fiche du lot dans l'onglet LOTS.",""))))))))</f>
        <v/>
      </c>
      <c r="Z115" s="27" t="n">
        <f aca="false">IF(OR($X115=0,$T115&gt;0),0,$G115)</f>
        <v>0</v>
      </c>
      <c r="AA115" s="26" t="n">
        <f aca="false">IF($Q115=0,0,IF(OR($E115=R_LOT,COUNTIFS(RES_IDST,$A115,RES_LOTEFF,R_LOT)&gt;0),1,0))</f>
        <v>0</v>
      </c>
      <c r="AB115" s="26" t="str">
        <f aca="false">IF($AA115=0,"",COUNTIF($AA$5:$AA115,1))</f>
        <v/>
      </c>
    </row>
    <row r="116" customFormat="false" ht="15" hidden="false" customHeight="false" outlineLevel="0" collapsed="false">
      <c r="A116" s="26" t="str">
        <f aca="false">IF($D116="","","ST-"&amp;TEXT(ROW()-4,"000"))</f>
        <v/>
      </c>
      <c r="B116" s="25"/>
      <c r="C116" s="24"/>
      <c r="D116" s="24"/>
      <c r="E116" s="24"/>
      <c r="F116" s="24"/>
      <c r="G116" s="29"/>
      <c r="H116" s="24"/>
      <c r="I116" s="24"/>
      <c r="J116" s="24"/>
      <c r="K116" s="25"/>
      <c r="L116" s="24"/>
      <c r="M116" s="24"/>
      <c r="N116" s="24"/>
      <c r="O116" s="26" t="str">
        <f aca="false">IF($E116="","",IFERROR(INDEX(LOT_PRODE,MATCH($E116,LOT_KEY,0)),"LOT NON REFERENCE"))</f>
        <v/>
      </c>
      <c r="P116" s="26" t="str">
        <f aca="false">IF($E116="","",IFERROR(INDEX(LOT_FOURNE,MATCH($E116,LOT_KEY,0)),""))</f>
        <v/>
      </c>
      <c r="Q116" s="28" t="n">
        <f aca="false">IF($D116="",0,IF(OR($B116="",$C116="",$E116="",NOT(ISNUMBER($G116)),$G116&lt;=0),0,IF($D116="STOCK EXISTANT",IF($F116="",0,1),1)))</f>
        <v>0</v>
      </c>
      <c r="R116" s="27" t="str">
        <f aca="false">IF(OR($Q116=0,$D116&lt;&gt;"STOCK EXISTANT"),"",SUMIFS(MVT_BRUT,MVT_LOT,$E116,MVT_EMPL,$F116)+$G116)</f>
        <v/>
      </c>
      <c r="S116" s="27" t="str">
        <f aca="false">IF($A116="","",SUMIFS(RES_QTEVAL,RES_IDST,$A116))</f>
        <v/>
      </c>
      <c r="T116" s="28" t="str">
        <f aca="false">IF($A116="","",COUNTIFS(RES_IDST,$A116))</f>
        <v/>
      </c>
      <c r="U116" s="27" t="str">
        <f aca="false">IF(OR($A116="",$T116=0),"",$G116-$S116)</f>
        <v/>
      </c>
      <c r="V116" s="30" t="str">
        <f aca="false">IF(OR($A116="",$T116=0,NOT(ISNUMBER($G116)),$G116&lt;=0),"",$S116/$G116)</f>
        <v/>
      </c>
      <c r="W116" s="26" t="str">
        <f aca="false">IF($D116="","",IF($Q116=0,"DONNEES MANQUANTES",IF($D116="STOCK EXISTANT",IF($R116&lt;=0,"EMPLACEMENT INCOHERENT",IF($G116&gt;$R116+0.001,"STOCK INSUFFISANT",IF($T116=0,"EN COURS",IF($S116&gt;$G116+0.001,"BLOQUE",IF(AND($U116&gt;P_TOL,$L116=""),"A JUSTIFIER","OK"))))),IF($T116=0,"EN COURS",IF($S116&gt;$G116+0.001,"BLOQUE",IF(AND($U116&gt;P_TOL,$L116=""),"A JUSTIFIER","OK"))))))</f>
        <v/>
      </c>
      <c r="X116" s="28" t="n">
        <f aca="false">IF(OR($W116="",$W116="DONNEES MANQUANTES",$W116="EMPLACEMENT INCOHERENT",$W116="STOCK INSUFFISANT"),0,1)</f>
        <v>0</v>
      </c>
      <c r="Y116" s="26" t="str">
        <f aca="false">IF($D116="","",IF($Q116=0,"A COMPLETER : "&amp;IF($B116="","DATE ENVOI; ","")&amp;IF($C116="","SOUS-TRAITANT; ","")&amp;IF($E116="","LOT SOURCE; ","")&amp;IF(OR(NOT(ISNUMBER($G116)),$G116&lt;=0),"QTE ENVOYEE &gt; 0; ","")&amp;IF(AND($D116="STOCK EXISTANT",$F116=""),"EMPL. SOURCE; ",""),IF($W116="EMPLACEMENT INCOHERENT","Le lot "&amp;$E116&amp;" n'existe pas sur "&amp;$F116&amp;" (stock 0).",IF($W116="STOCK INSUFFISANT","Disponible avant envoi : "&amp;TEXT($R116,"#,##0.00")&amp;" kg. Ligne NON comptee en stock.",IF($W116="BLOQUE","Total des sorties ("&amp;TEXT($S116,"#,##0.00")&amp;" kg) superieur a la quantite envoyee.",IF($W116="EN COURS","Envoi enregistre, resultats non connus. A completer dans ST_RESULTATS.",IF($W116="A JUSTIFIER","Ecart de "&amp;TEXT($U116,"#,##0.00")&amp;" kg : renseigner JUSTIFICATION ECART (colonne L).",IF($O116="LOT NON REFERENCE","Creer d'abord la fiche du lot dans l'onglet LOTS.",""))))))))</f>
        <v/>
      </c>
      <c r="Z116" s="27" t="n">
        <f aca="false">IF(OR($X116=0,$T116&gt;0),0,$G116)</f>
        <v>0</v>
      </c>
      <c r="AA116" s="26" t="n">
        <f aca="false">IF($Q116=0,0,IF(OR($E116=R_LOT,COUNTIFS(RES_IDST,$A116,RES_LOTEFF,R_LOT)&gt;0),1,0))</f>
        <v>0</v>
      </c>
      <c r="AB116" s="26" t="str">
        <f aca="false">IF($AA116=0,"",COUNTIF($AA$5:$AA116,1))</f>
        <v/>
      </c>
    </row>
    <row r="117" customFormat="false" ht="15" hidden="false" customHeight="false" outlineLevel="0" collapsed="false">
      <c r="A117" s="26" t="str">
        <f aca="false">IF($D117="","","ST-"&amp;TEXT(ROW()-4,"000"))</f>
        <v/>
      </c>
      <c r="B117" s="25"/>
      <c r="C117" s="24"/>
      <c r="D117" s="24"/>
      <c r="E117" s="24"/>
      <c r="F117" s="24"/>
      <c r="G117" s="29"/>
      <c r="H117" s="24"/>
      <c r="I117" s="24"/>
      <c r="J117" s="24"/>
      <c r="K117" s="25"/>
      <c r="L117" s="24"/>
      <c r="M117" s="24"/>
      <c r="N117" s="24"/>
      <c r="O117" s="26" t="str">
        <f aca="false">IF($E117="","",IFERROR(INDEX(LOT_PRODE,MATCH($E117,LOT_KEY,0)),"LOT NON REFERENCE"))</f>
        <v/>
      </c>
      <c r="P117" s="26" t="str">
        <f aca="false">IF($E117="","",IFERROR(INDEX(LOT_FOURNE,MATCH($E117,LOT_KEY,0)),""))</f>
        <v/>
      </c>
      <c r="Q117" s="28" t="n">
        <f aca="false">IF($D117="",0,IF(OR($B117="",$C117="",$E117="",NOT(ISNUMBER($G117)),$G117&lt;=0),0,IF($D117="STOCK EXISTANT",IF($F117="",0,1),1)))</f>
        <v>0</v>
      </c>
      <c r="R117" s="27" t="str">
        <f aca="false">IF(OR($Q117=0,$D117&lt;&gt;"STOCK EXISTANT"),"",SUMIFS(MVT_BRUT,MVT_LOT,$E117,MVT_EMPL,$F117)+$G117)</f>
        <v/>
      </c>
      <c r="S117" s="27" t="str">
        <f aca="false">IF($A117="","",SUMIFS(RES_QTEVAL,RES_IDST,$A117))</f>
        <v/>
      </c>
      <c r="T117" s="28" t="str">
        <f aca="false">IF($A117="","",COUNTIFS(RES_IDST,$A117))</f>
        <v/>
      </c>
      <c r="U117" s="27" t="str">
        <f aca="false">IF(OR($A117="",$T117=0),"",$G117-$S117)</f>
        <v/>
      </c>
      <c r="V117" s="30" t="str">
        <f aca="false">IF(OR($A117="",$T117=0,NOT(ISNUMBER($G117)),$G117&lt;=0),"",$S117/$G117)</f>
        <v/>
      </c>
      <c r="W117" s="26" t="str">
        <f aca="false">IF($D117="","",IF($Q117=0,"DONNEES MANQUANTES",IF($D117="STOCK EXISTANT",IF($R117&lt;=0,"EMPLACEMENT INCOHERENT",IF($G117&gt;$R117+0.001,"STOCK INSUFFISANT",IF($T117=0,"EN COURS",IF($S117&gt;$G117+0.001,"BLOQUE",IF(AND($U117&gt;P_TOL,$L117=""),"A JUSTIFIER","OK"))))),IF($T117=0,"EN COURS",IF($S117&gt;$G117+0.001,"BLOQUE",IF(AND($U117&gt;P_TOL,$L117=""),"A JUSTIFIER","OK"))))))</f>
        <v/>
      </c>
      <c r="X117" s="28" t="n">
        <f aca="false">IF(OR($W117="",$W117="DONNEES MANQUANTES",$W117="EMPLACEMENT INCOHERENT",$W117="STOCK INSUFFISANT"),0,1)</f>
        <v>0</v>
      </c>
      <c r="Y117" s="26" t="str">
        <f aca="false">IF($D117="","",IF($Q117=0,"A COMPLETER : "&amp;IF($B117="","DATE ENVOI; ","")&amp;IF($C117="","SOUS-TRAITANT; ","")&amp;IF($E117="","LOT SOURCE; ","")&amp;IF(OR(NOT(ISNUMBER($G117)),$G117&lt;=0),"QTE ENVOYEE &gt; 0; ","")&amp;IF(AND($D117="STOCK EXISTANT",$F117=""),"EMPL. SOURCE; ",""),IF($W117="EMPLACEMENT INCOHERENT","Le lot "&amp;$E117&amp;" n'existe pas sur "&amp;$F117&amp;" (stock 0).",IF($W117="STOCK INSUFFISANT","Disponible avant envoi : "&amp;TEXT($R117,"#,##0.00")&amp;" kg. Ligne NON comptee en stock.",IF($W117="BLOQUE","Total des sorties ("&amp;TEXT($S117,"#,##0.00")&amp;" kg) superieur a la quantite envoyee.",IF($W117="EN COURS","Envoi enregistre, resultats non connus. A completer dans ST_RESULTATS.",IF($W117="A JUSTIFIER","Ecart de "&amp;TEXT($U117,"#,##0.00")&amp;" kg : renseigner JUSTIFICATION ECART (colonne L).",IF($O117="LOT NON REFERENCE","Creer d'abord la fiche du lot dans l'onglet LOTS.",""))))))))</f>
        <v/>
      </c>
      <c r="Z117" s="27" t="n">
        <f aca="false">IF(OR($X117=0,$T117&gt;0),0,$G117)</f>
        <v>0</v>
      </c>
      <c r="AA117" s="26" t="n">
        <f aca="false">IF($Q117=0,0,IF(OR($E117=R_LOT,COUNTIFS(RES_IDST,$A117,RES_LOTEFF,R_LOT)&gt;0),1,0))</f>
        <v>0</v>
      </c>
      <c r="AB117" s="26" t="str">
        <f aca="false">IF($AA117=0,"",COUNTIF($AA$5:$AA117,1))</f>
        <v/>
      </c>
    </row>
    <row r="118" customFormat="false" ht="15" hidden="false" customHeight="false" outlineLevel="0" collapsed="false">
      <c r="A118" s="26" t="str">
        <f aca="false">IF($D118="","","ST-"&amp;TEXT(ROW()-4,"000"))</f>
        <v/>
      </c>
      <c r="B118" s="25"/>
      <c r="C118" s="24"/>
      <c r="D118" s="24"/>
      <c r="E118" s="24"/>
      <c r="F118" s="24"/>
      <c r="G118" s="29"/>
      <c r="H118" s="24"/>
      <c r="I118" s="24"/>
      <c r="J118" s="24"/>
      <c r="K118" s="25"/>
      <c r="L118" s="24"/>
      <c r="M118" s="24"/>
      <c r="N118" s="24"/>
      <c r="O118" s="26" t="str">
        <f aca="false">IF($E118="","",IFERROR(INDEX(LOT_PRODE,MATCH($E118,LOT_KEY,0)),"LOT NON REFERENCE"))</f>
        <v/>
      </c>
      <c r="P118" s="26" t="str">
        <f aca="false">IF($E118="","",IFERROR(INDEX(LOT_FOURNE,MATCH($E118,LOT_KEY,0)),""))</f>
        <v/>
      </c>
      <c r="Q118" s="28" t="n">
        <f aca="false">IF($D118="",0,IF(OR($B118="",$C118="",$E118="",NOT(ISNUMBER($G118)),$G118&lt;=0),0,IF($D118="STOCK EXISTANT",IF($F118="",0,1),1)))</f>
        <v>0</v>
      </c>
      <c r="R118" s="27" t="str">
        <f aca="false">IF(OR($Q118=0,$D118&lt;&gt;"STOCK EXISTANT"),"",SUMIFS(MVT_BRUT,MVT_LOT,$E118,MVT_EMPL,$F118)+$G118)</f>
        <v/>
      </c>
      <c r="S118" s="27" t="str">
        <f aca="false">IF($A118="","",SUMIFS(RES_QTEVAL,RES_IDST,$A118))</f>
        <v/>
      </c>
      <c r="T118" s="28" t="str">
        <f aca="false">IF($A118="","",COUNTIFS(RES_IDST,$A118))</f>
        <v/>
      </c>
      <c r="U118" s="27" t="str">
        <f aca="false">IF(OR($A118="",$T118=0),"",$G118-$S118)</f>
        <v/>
      </c>
      <c r="V118" s="30" t="str">
        <f aca="false">IF(OR($A118="",$T118=0,NOT(ISNUMBER($G118)),$G118&lt;=0),"",$S118/$G118)</f>
        <v/>
      </c>
      <c r="W118" s="26" t="str">
        <f aca="false">IF($D118="","",IF($Q118=0,"DONNEES MANQUANTES",IF($D118="STOCK EXISTANT",IF($R118&lt;=0,"EMPLACEMENT INCOHERENT",IF($G118&gt;$R118+0.001,"STOCK INSUFFISANT",IF($T118=0,"EN COURS",IF($S118&gt;$G118+0.001,"BLOQUE",IF(AND($U118&gt;P_TOL,$L118=""),"A JUSTIFIER","OK"))))),IF($T118=0,"EN COURS",IF($S118&gt;$G118+0.001,"BLOQUE",IF(AND($U118&gt;P_TOL,$L118=""),"A JUSTIFIER","OK"))))))</f>
        <v/>
      </c>
      <c r="X118" s="28" t="n">
        <f aca="false">IF(OR($W118="",$W118="DONNEES MANQUANTES",$W118="EMPLACEMENT INCOHERENT",$W118="STOCK INSUFFISANT"),0,1)</f>
        <v>0</v>
      </c>
      <c r="Y118" s="26" t="str">
        <f aca="false">IF($D118="","",IF($Q118=0,"A COMPLETER : "&amp;IF($B118="","DATE ENVOI; ","")&amp;IF($C118="","SOUS-TRAITANT; ","")&amp;IF($E118="","LOT SOURCE; ","")&amp;IF(OR(NOT(ISNUMBER($G118)),$G118&lt;=0),"QTE ENVOYEE &gt; 0; ","")&amp;IF(AND($D118="STOCK EXISTANT",$F118=""),"EMPL. SOURCE; ",""),IF($W118="EMPLACEMENT INCOHERENT","Le lot "&amp;$E118&amp;" n'existe pas sur "&amp;$F118&amp;" (stock 0).",IF($W118="STOCK INSUFFISANT","Disponible avant envoi : "&amp;TEXT($R118,"#,##0.00")&amp;" kg. Ligne NON comptee en stock.",IF($W118="BLOQUE","Total des sorties ("&amp;TEXT($S118,"#,##0.00")&amp;" kg) superieur a la quantite envoyee.",IF($W118="EN COURS","Envoi enregistre, resultats non connus. A completer dans ST_RESULTATS.",IF($W118="A JUSTIFIER","Ecart de "&amp;TEXT($U118,"#,##0.00")&amp;" kg : renseigner JUSTIFICATION ECART (colonne L).",IF($O118="LOT NON REFERENCE","Creer d'abord la fiche du lot dans l'onglet LOTS.",""))))))))</f>
        <v/>
      </c>
      <c r="Z118" s="27" t="n">
        <f aca="false">IF(OR($X118=0,$T118&gt;0),0,$G118)</f>
        <v>0</v>
      </c>
      <c r="AA118" s="26" t="n">
        <f aca="false">IF($Q118=0,0,IF(OR($E118=R_LOT,COUNTIFS(RES_IDST,$A118,RES_LOTEFF,R_LOT)&gt;0),1,0))</f>
        <v>0</v>
      </c>
      <c r="AB118" s="26" t="str">
        <f aca="false">IF($AA118=0,"",COUNTIF($AA$5:$AA118,1))</f>
        <v/>
      </c>
    </row>
    <row r="119" customFormat="false" ht="15" hidden="false" customHeight="false" outlineLevel="0" collapsed="false">
      <c r="A119" s="26" t="str">
        <f aca="false">IF($D119="","","ST-"&amp;TEXT(ROW()-4,"000"))</f>
        <v/>
      </c>
      <c r="B119" s="25"/>
      <c r="C119" s="24"/>
      <c r="D119" s="24"/>
      <c r="E119" s="24"/>
      <c r="F119" s="24"/>
      <c r="G119" s="29"/>
      <c r="H119" s="24"/>
      <c r="I119" s="24"/>
      <c r="J119" s="24"/>
      <c r="K119" s="25"/>
      <c r="L119" s="24"/>
      <c r="M119" s="24"/>
      <c r="N119" s="24"/>
      <c r="O119" s="26" t="str">
        <f aca="false">IF($E119="","",IFERROR(INDEX(LOT_PRODE,MATCH($E119,LOT_KEY,0)),"LOT NON REFERENCE"))</f>
        <v/>
      </c>
      <c r="P119" s="26" t="str">
        <f aca="false">IF($E119="","",IFERROR(INDEX(LOT_FOURNE,MATCH($E119,LOT_KEY,0)),""))</f>
        <v/>
      </c>
      <c r="Q119" s="28" t="n">
        <f aca="false">IF($D119="",0,IF(OR($B119="",$C119="",$E119="",NOT(ISNUMBER($G119)),$G119&lt;=0),0,IF($D119="STOCK EXISTANT",IF($F119="",0,1),1)))</f>
        <v>0</v>
      </c>
      <c r="R119" s="27" t="str">
        <f aca="false">IF(OR($Q119=0,$D119&lt;&gt;"STOCK EXISTANT"),"",SUMIFS(MVT_BRUT,MVT_LOT,$E119,MVT_EMPL,$F119)+$G119)</f>
        <v/>
      </c>
      <c r="S119" s="27" t="str">
        <f aca="false">IF($A119="","",SUMIFS(RES_QTEVAL,RES_IDST,$A119))</f>
        <v/>
      </c>
      <c r="T119" s="28" t="str">
        <f aca="false">IF($A119="","",COUNTIFS(RES_IDST,$A119))</f>
        <v/>
      </c>
      <c r="U119" s="27" t="str">
        <f aca="false">IF(OR($A119="",$T119=0),"",$G119-$S119)</f>
        <v/>
      </c>
      <c r="V119" s="30" t="str">
        <f aca="false">IF(OR($A119="",$T119=0,NOT(ISNUMBER($G119)),$G119&lt;=0),"",$S119/$G119)</f>
        <v/>
      </c>
      <c r="W119" s="26" t="str">
        <f aca="false">IF($D119="","",IF($Q119=0,"DONNEES MANQUANTES",IF($D119="STOCK EXISTANT",IF($R119&lt;=0,"EMPLACEMENT INCOHERENT",IF($G119&gt;$R119+0.001,"STOCK INSUFFISANT",IF($T119=0,"EN COURS",IF($S119&gt;$G119+0.001,"BLOQUE",IF(AND($U119&gt;P_TOL,$L119=""),"A JUSTIFIER","OK"))))),IF($T119=0,"EN COURS",IF($S119&gt;$G119+0.001,"BLOQUE",IF(AND($U119&gt;P_TOL,$L119=""),"A JUSTIFIER","OK"))))))</f>
        <v/>
      </c>
      <c r="X119" s="28" t="n">
        <f aca="false">IF(OR($W119="",$W119="DONNEES MANQUANTES",$W119="EMPLACEMENT INCOHERENT",$W119="STOCK INSUFFISANT"),0,1)</f>
        <v>0</v>
      </c>
      <c r="Y119" s="26" t="str">
        <f aca="false">IF($D119="","",IF($Q119=0,"A COMPLETER : "&amp;IF($B119="","DATE ENVOI; ","")&amp;IF($C119="","SOUS-TRAITANT; ","")&amp;IF($E119="","LOT SOURCE; ","")&amp;IF(OR(NOT(ISNUMBER($G119)),$G119&lt;=0),"QTE ENVOYEE &gt; 0; ","")&amp;IF(AND($D119="STOCK EXISTANT",$F119=""),"EMPL. SOURCE; ",""),IF($W119="EMPLACEMENT INCOHERENT","Le lot "&amp;$E119&amp;" n'existe pas sur "&amp;$F119&amp;" (stock 0).",IF($W119="STOCK INSUFFISANT","Disponible avant envoi : "&amp;TEXT($R119,"#,##0.00")&amp;" kg. Ligne NON comptee en stock.",IF($W119="BLOQUE","Total des sorties ("&amp;TEXT($S119,"#,##0.00")&amp;" kg) superieur a la quantite envoyee.",IF($W119="EN COURS","Envoi enregistre, resultats non connus. A completer dans ST_RESULTATS.",IF($W119="A JUSTIFIER","Ecart de "&amp;TEXT($U119,"#,##0.00")&amp;" kg : renseigner JUSTIFICATION ECART (colonne L).",IF($O119="LOT NON REFERENCE","Creer d'abord la fiche du lot dans l'onglet LOTS.",""))))))))</f>
        <v/>
      </c>
      <c r="Z119" s="27" t="n">
        <f aca="false">IF(OR($X119=0,$T119&gt;0),0,$G119)</f>
        <v>0</v>
      </c>
      <c r="AA119" s="26" t="n">
        <f aca="false">IF($Q119=0,0,IF(OR($E119=R_LOT,COUNTIFS(RES_IDST,$A119,RES_LOTEFF,R_LOT)&gt;0),1,0))</f>
        <v>0</v>
      </c>
      <c r="AB119" s="26" t="str">
        <f aca="false">IF($AA119=0,"",COUNTIF($AA$5:$AA119,1))</f>
        <v/>
      </c>
    </row>
    <row r="120" customFormat="false" ht="15" hidden="false" customHeight="false" outlineLevel="0" collapsed="false">
      <c r="A120" s="26" t="str">
        <f aca="false">IF($D120="","","ST-"&amp;TEXT(ROW()-4,"000"))</f>
        <v/>
      </c>
      <c r="B120" s="25"/>
      <c r="C120" s="24"/>
      <c r="D120" s="24"/>
      <c r="E120" s="24"/>
      <c r="F120" s="24"/>
      <c r="G120" s="29"/>
      <c r="H120" s="24"/>
      <c r="I120" s="24"/>
      <c r="J120" s="24"/>
      <c r="K120" s="25"/>
      <c r="L120" s="24"/>
      <c r="M120" s="24"/>
      <c r="N120" s="24"/>
      <c r="O120" s="26" t="str">
        <f aca="false">IF($E120="","",IFERROR(INDEX(LOT_PRODE,MATCH($E120,LOT_KEY,0)),"LOT NON REFERENCE"))</f>
        <v/>
      </c>
      <c r="P120" s="26" t="str">
        <f aca="false">IF($E120="","",IFERROR(INDEX(LOT_FOURNE,MATCH($E120,LOT_KEY,0)),""))</f>
        <v/>
      </c>
      <c r="Q120" s="28" t="n">
        <f aca="false">IF($D120="",0,IF(OR($B120="",$C120="",$E120="",NOT(ISNUMBER($G120)),$G120&lt;=0),0,IF($D120="STOCK EXISTANT",IF($F120="",0,1),1)))</f>
        <v>0</v>
      </c>
      <c r="R120" s="27" t="str">
        <f aca="false">IF(OR($Q120=0,$D120&lt;&gt;"STOCK EXISTANT"),"",SUMIFS(MVT_BRUT,MVT_LOT,$E120,MVT_EMPL,$F120)+$G120)</f>
        <v/>
      </c>
      <c r="S120" s="27" t="str">
        <f aca="false">IF($A120="","",SUMIFS(RES_QTEVAL,RES_IDST,$A120))</f>
        <v/>
      </c>
      <c r="T120" s="28" t="str">
        <f aca="false">IF($A120="","",COUNTIFS(RES_IDST,$A120))</f>
        <v/>
      </c>
      <c r="U120" s="27" t="str">
        <f aca="false">IF(OR($A120="",$T120=0),"",$G120-$S120)</f>
        <v/>
      </c>
      <c r="V120" s="30" t="str">
        <f aca="false">IF(OR($A120="",$T120=0,NOT(ISNUMBER($G120)),$G120&lt;=0),"",$S120/$G120)</f>
        <v/>
      </c>
      <c r="W120" s="26" t="str">
        <f aca="false">IF($D120="","",IF($Q120=0,"DONNEES MANQUANTES",IF($D120="STOCK EXISTANT",IF($R120&lt;=0,"EMPLACEMENT INCOHERENT",IF($G120&gt;$R120+0.001,"STOCK INSUFFISANT",IF($T120=0,"EN COURS",IF($S120&gt;$G120+0.001,"BLOQUE",IF(AND($U120&gt;P_TOL,$L120=""),"A JUSTIFIER","OK"))))),IF($T120=0,"EN COURS",IF($S120&gt;$G120+0.001,"BLOQUE",IF(AND($U120&gt;P_TOL,$L120=""),"A JUSTIFIER","OK"))))))</f>
        <v/>
      </c>
      <c r="X120" s="28" t="n">
        <f aca="false">IF(OR($W120="",$W120="DONNEES MANQUANTES",$W120="EMPLACEMENT INCOHERENT",$W120="STOCK INSUFFISANT"),0,1)</f>
        <v>0</v>
      </c>
      <c r="Y120" s="26" t="str">
        <f aca="false">IF($D120="","",IF($Q120=0,"A COMPLETER : "&amp;IF($B120="","DATE ENVOI; ","")&amp;IF($C120="","SOUS-TRAITANT; ","")&amp;IF($E120="","LOT SOURCE; ","")&amp;IF(OR(NOT(ISNUMBER($G120)),$G120&lt;=0),"QTE ENVOYEE &gt; 0; ","")&amp;IF(AND($D120="STOCK EXISTANT",$F120=""),"EMPL. SOURCE; ",""),IF($W120="EMPLACEMENT INCOHERENT","Le lot "&amp;$E120&amp;" n'existe pas sur "&amp;$F120&amp;" (stock 0).",IF($W120="STOCK INSUFFISANT","Disponible avant envoi : "&amp;TEXT($R120,"#,##0.00")&amp;" kg. Ligne NON comptee en stock.",IF($W120="BLOQUE","Total des sorties ("&amp;TEXT($S120,"#,##0.00")&amp;" kg) superieur a la quantite envoyee.",IF($W120="EN COURS","Envoi enregistre, resultats non connus. A completer dans ST_RESULTATS.",IF($W120="A JUSTIFIER","Ecart de "&amp;TEXT($U120,"#,##0.00")&amp;" kg : renseigner JUSTIFICATION ECART (colonne L).",IF($O120="LOT NON REFERENCE","Creer d'abord la fiche du lot dans l'onglet LOTS.",""))))))))</f>
        <v/>
      </c>
      <c r="Z120" s="27" t="n">
        <f aca="false">IF(OR($X120=0,$T120&gt;0),0,$G120)</f>
        <v>0</v>
      </c>
      <c r="AA120" s="26" t="n">
        <f aca="false">IF($Q120=0,0,IF(OR($E120=R_LOT,COUNTIFS(RES_IDST,$A120,RES_LOTEFF,R_LOT)&gt;0),1,0))</f>
        <v>0</v>
      </c>
      <c r="AB120" s="26" t="str">
        <f aca="false">IF($AA120=0,"",COUNTIF($AA$5:$AA120,1))</f>
        <v/>
      </c>
    </row>
    <row r="121" customFormat="false" ht="15" hidden="false" customHeight="false" outlineLevel="0" collapsed="false">
      <c r="A121" s="26" t="str">
        <f aca="false">IF($D121="","","ST-"&amp;TEXT(ROW()-4,"000"))</f>
        <v/>
      </c>
      <c r="B121" s="25"/>
      <c r="C121" s="24"/>
      <c r="D121" s="24"/>
      <c r="E121" s="24"/>
      <c r="F121" s="24"/>
      <c r="G121" s="29"/>
      <c r="H121" s="24"/>
      <c r="I121" s="24"/>
      <c r="J121" s="24"/>
      <c r="K121" s="25"/>
      <c r="L121" s="24"/>
      <c r="M121" s="24"/>
      <c r="N121" s="24"/>
      <c r="O121" s="26" t="str">
        <f aca="false">IF($E121="","",IFERROR(INDEX(LOT_PRODE,MATCH($E121,LOT_KEY,0)),"LOT NON REFERENCE"))</f>
        <v/>
      </c>
      <c r="P121" s="26" t="str">
        <f aca="false">IF($E121="","",IFERROR(INDEX(LOT_FOURNE,MATCH($E121,LOT_KEY,0)),""))</f>
        <v/>
      </c>
      <c r="Q121" s="28" t="n">
        <f aca="false">IF($D121="",0,IF(OR($B121="",$C121="",$E121="",NOT(ISNUMBER($G121)),$G121&lt;=0),0,IF($D121="STOCK EXISTANT",IF($F121="",0,1),1)))</f>
        <v>0</v>
      </c>
      <c r="R121" s="27" t="str">
        <f aca="false">IF(OR($Q121=0,$D121&lt;&gt;"STOCK EXISTANT"),"",SUMIFS(MVT_BRUT,MVT_LOT,$E121,MVT_EMPL,$F121)+$G121)</f>
        <v/>
      </c>
      <c r="S121" s="27" t="str">
        <f aca="false">IF($A121="","",SUMIFS(RES_QTEVAL,RES_IDST,$A121))</f>
        <v/>
      </c>
      <c r="T121" s="28" t="str">
        <f aca="false">IF($A121="","",COUNTIFS(RES_IDST,$A121))</f>
        <v/>
      </c>
      <c r="U121" s="27" t="str">
        <f aca="false">IF(OR($A121="",$T121=0),"",$G121-$S121)</f>
        <v/>
      </c>
      <c r="V121" s="30" t="str">
        <f aca="false">IF(OR($A121="",$T121=0,NOT(ISNUMBER($G121)),$G121&lt;=0),"",$S121/$G121)</f>
        <v/>
      </c>
      <c r="W121" s="26" t="str">
        <f aca="false">IF($D121="","",IF($Q121=0,"DONNEES MANQUANTES",IF($D121="STOCK EXISTANT",IF($R121&lt;=0,"EMPLACEMENT INCOHERENT",IF($G121&gt;$R121+0.001,"STOCK INSUFFISANT",IF($T121=0,"EN COURS",IF($S121&gt;$G121+0.001,"BLOQUE",IF(AND($U121&gt;P_TOL,$L121=""),"A JUSTIFIER","OK"))))),IF($T121=0,"EN COURS",IF($S121&gt;$G121+0.001,"BLOQUE",IF(AND($U121&gt;P_TOL,$L121=""),"A JUSTIFIER","OK"))))))</f>
        <v/>
      </c>
      <c r="X121" s="28" t="n">
        <f aca="false">IF(OR($W121="",$W121="DONNEES MANQUANTES",$W121="EMPLACEMENT INCOHERENT",$W121="STOCK INSUFFISANT"),0,1)</f>
        <v>0</v>
      </c>
      <c r="Y121" s="26" t="str">
        <f aca="false">IF($D121="","",IF($Q121=0,"A COMPLETER : "&amp;IF($B121="","DATE ENVOI; ","")&amp;IF($C121="","SOUS-TRAITANT; ","")&amp;IF($E121="","LOT SOURCE; ","")&amp;IF(OR(NOT(ISNUMBER($G121)),$G121&lt;=0),"QTE ENVOYEE &gt; 0; ","")&amp;IF(AND($D121="STOCK EXISTANT",$F121=""),"EMPL. SOURCE; ",""),IF($W121="EMPLACEMENT INCOHERENT","Le lot "&amp;$E121&amp;" n'existe pas sur "&amp;$F121&amp;" (stock 0).",IF($W121="STOCK INSUFFISANT","Disponible avant envoi : "&amp;TEXT($R121,"#,##0.00")&amp;" kg. Ligne NON comptee en stock.",IF($W121="BLOQUE","Total des sorties ("&amp;TEXT($S121,"#,##0.00")&amp;" kg) superieur a la quantite envoyee.",IF($W121="EN COURS","Envoi enregistre, resultats non connus. A completer dans ST_RESULTATS.",IF($W121="A JUSTIFIER","Ecart de "&amp;TEXT($U121,"#,##0.00")&amp;" kg : renseigner JUSTIFICATION ECART (colonne L).",IF($O121="LOT NON REFERENCE","Creer d'abord la fiche du lot dans l'onglet LOTS.",""))))))))</f>
        <v/>
      </c>
      <c r="Z121" s="27" t="n">
        <f aca="false">IF(OR($X121=0,$T121&gt;0),0,$G121)</f>
        <v>0</v>
      </c>
      <c r="AA121" s="26" t="n">
        <f aca="false">IF($Q121=0,0,IF(OR($E121=R_LOT,COUNTIFS(RES_IDST,$A121,RES_LOTEFF,R_LOT)&gt;0),1,0))</f>
        <v>0</v>
      </c>
      <c r="AB121" s="26" t="str">
        <f aca="false">IF($AA121=0,"",COUNTIF($AA$5:$AA121,1))</f>
        <v/>
      </c>
    </row>
    <row r="122" customFormat="false" ht="15" hidden="false" customHeight="false" outlineLevel="0" collapsed="false">
      <c r="A122" s="26" t="str">
        <f aca="false">IF($D122="","","ST-"&amp;TEXT(ROW()-4,"000"))</f>
        <v/>
      </c>
      <c r="B122" s="25"/>
      <c r="C122" s="24"/>
      <c r="D122" s="24"/>
      <c r="E122" s="24"/>
      <c r="F122" s="24"/>
      <c r="G122" s="29"/>
      <c r="H122" s="24"/>
      <c r="I122" s="24"/>
      <c r="J122" s="24"/>
      <c r="K122" s="25"/>
      <c r="L122" s="24"/>
      <c r="M122" s="24"/>
      <c r="N122" s="24"/>
      <c r="O122" s="26" t="str">
        <f aca="false">IF($E122="","",IFERROR(INDEX(LOT_PRODE,MATCH($E122,LOT_KEY,0)),"LOT NON REFERENCE"))</f>
        <v/>
      </c>
      <c r="P122" s="26" t="str">
        <f aca="false">IF($E122="","",IFERROR(INDEX(LOT_FOURNE,MATCH($E122,LOT_KEY,0)),""))</f>
        <v/>
      </c>
      <c r="Q122" s="28" t="n">
        <f aca="false">IF($D122="",0,IF(OR($B122="",$C122="",$E122="",NOT(ISNUMBER($G122)),$G122&lt;=0),0,IF($D122="STOCK EXISTANT",IF($F122="",0,1),1)))</f>
        <v>0</v>
      </c>
      <c r="R122" s="27" t="str">
        <f aca="false">IF(OR($Q122=0,$D122&lt;&gt;"STOCK EXISTANT"),"",SUMIFS(MVT_BRUT,MVT_LOT,$E122,MVT_EMPL,$F122)+$G122)</f>
        <v/>
      </c>
      <c r="S122" s="27" t="str">
        <f aca="false">IF($A122="","",SUMIFS(RES_QTEVAL,RES_IDST,$A122))</f>
        <v/>
      </c>
      <c r="T122" s="28" t="str">
        <f aca="false">IF($A122="","",COUNTIFS(RES_IDST,$A122))</f>
        <v/>
      </c>
      <c r="U122" s="27" t="str">
        <f aca="false">IF(OR($A122="",$T122=0),"",$G122-$S122)</f>
        <v/>
      </c>
      <c r="V122" s="30" t="str">
        <f aca="false">IF(OR($A122="",$T122=0,NOT(ISNUMBER($G122)),$G122&lt;=0),"",$S122/$G122)</f>
        <v/>
      </c>
      <c r="W122" s="26" t="str">
        <f aca="false">IF($D122="","",IF($Q122=0,"DONNEES MANQUANTES",IF($D122="STOCK EXISTANT",IF($R122&lt;=0,"EMPLACEMENT INCOHERENT",IF($G122&gt;$R122+0.001,"STOCK INSUFFISANT",IF($T122=0,"EN COURS",IF($S122&gt;$G122+0.001,"BLOQUE",IF(AND($U122&gt;P_TOL,$L122=""),"A JUSTIFIER","OK"))))),IF($T122=0,"EN COURS",IF($S122&gt;$G122+0.001,"BLOQUE",IF(AND($U122&gt;P_TOL,$L122=""),"A JUSTIFIER","OK"))))))</f>
        <v/>
      </c>
      <c r="X122" s="28" t="n">
        <f aca="false">IF(OR($W122="",$W122="DONNEES MANQUANTES",$W122="EMPLACEMENT INCOHERENT",$W122="STOCK INSUFFISANT"),0,1)</f>
        <v>0</v>
      </c>
      <c r="Y122" s="26" t="str">
        <f aca="false">IF($D122="","",IF($Q122=0,"A COMPLETER : "&amp;IF($B122="","DATE ENVOI; ","")&amp;IF($C122="","SOUS-TRAITANT; ","")&amp;IF($E122="","LOT SOURCE; ","")&amp;IF(OR(NOT(ISNUMBER($G122)),$G122&lt;=0),"QTE ENVOYEE &gt; 0; ","")&amp;IF(AND($D122="STOCK EXISTANT",$F122=""),"EMPL. SOURCE; ",""),IF($W122="EMPLACEMENT INCOHERENT","Le lot "&amp;$E122&amp;" n'existe pas sur "&amp;$F122&amp;" (stock 0).",IF($W122="STOCK INSUFFISANT","Disponible avant envoi : "&amp;TEXT($R122,"#,##0.00")&amp;" kg. Ligne NON comptee en stock.",IF($W122="BLOQUE","Total des sorties ("&amp;TEXT($S122,"#,##0.00")&amp;" kg) superieur a la quantite envoyee.",IF($W122="EN COURS","Envoi enregistre, resultats non connus. A completer dans ST_RESULTATS.",IF($W122="A JUSTIFIER","Ecart de "&amp;TEXT($U122,"#,##0.00")&amp;" kg : renseigner JUSTIFICATION ECART (colonne L).",IF($O122="LOT NON REFERENCE","Creer d'abord la fiche du lot dans l'onglet LOTS.",""))))))))</f>
        <v/>
      </c>
      <c r="Z122" s="27" t="n">
        <f aca="false">IF(OR($X122=0,$T122&gt;0),0,$G122)</f>
        <v>0</v>
      </c>
      <c r="AA122" s="26" t="n">
        <f aca="false">IF($Q122=0,0,IF(OR($E122=R_LOT,COUNTIFS(RES_IDST,$A122,RES_LOTEFF,R_LOT)&gt;0),1,0))</f>
        <v>0</v>
      </c>
      <c r="AB122" s="26" t="str">
        <f aca="false">IF($AA122=0,"",COUNTIF($AA$5:$AA122,1))</f>
        <v/>
      </c>
    </row>
    <row r="123" customFormat="false" ht="15" hidden="false" customHeight="false" outlineLevel="0" collapsed="false">
      <c r="A123" s="26" t="str">
        <f aca="false">IF($D123="","","ST-"&amp;TEXT(ROW()-4,"000"))</f>
        <v/>
      </c>
      <c r="B123" s="25"/>
      <c r="C123" s="24"/>
      <c r="D123" s="24"/>
      <c r="E123" s="24"/>
      <c r="F123" s="24"/>
      <c r="G123" s="29"/>
      <c r="H123" s="24"/>
      <c r="I123" s="24"/>
      <c r="J123" s="24"/>
      <c r="K123" s="25"/>
      <c r="L123" s="24"/>
      <c r="M123" s="24"/>
      <c r="N123" s="24"/>
      <c r="O123" s="26" t="str">
        <f aca="false">IF($E123="","",IFERROR(INDEX(LOT_PRODE,MATCH($E123,LOT_KEY,0)),"LOT NON REFERENCE"))</f>
        <v/>
      </c>
      <c r="P123" s="26" t="str">
        <f aca="false">IF($E123="","",IFERROR(INDEX(LOT_FOURNE,MATCH($E123,LOT_KEY,0)),""))</f>
        <v/>
      </c>
      <c r="Q123" s="28" t="n">
        <f aca="false">IF($D123="",0,IF(OR($B123="",$C123="",$E123="",NOT(ISNUMBER($G123)),$G123&lt;=0),0,IF($D123="STOCK EXISTANT",IF($F123="",0,1),1)))</f>
        <v>0</v>
      </c>
      <c r="R123" s="27" t="str">
        <f aca="false">IF(OR($Q123=0,$D123&lt;&gt;"STOCK EXISTANT"),"",SUMIFS(MVT_BRUT,MVT_LOT,$E123,MVT_EMPL,$F123)+$G123)</f>
        <v/>
      </c>
      <c r="S123" s="27" t="str">
        <f aca="false">IF($A123="","",SUMIFS(RES_QTEVAL,RES_IDST,$A123))</f>
        <v/>
      </c>
      <c r="T123" s="28" t="str">
        <f aca="false">IF($A123="","",COUNTIFS(RES_IDST,$A123))</f>
        <v/>
      </c>
      <c r="U123" s="27" t="str">
        <f aca="false">IF(OR($A123="",$T123=0),"",$G123-$S123)</f>
        <v/>
      </c>
      <c r="V123" s="30" t="str">
        <f aca="false">IF(OR($A123="",$T123=0,NOT(ISNUMBER($G123)),$G123&lt;=0),"",$S123/$G123)</f>
        <v/>
      </c>
      <c r="W123" s="26" t="str">
        <f aca="false">IF($D123="","",IF($Q123=0,"DONNEES MANQUANTES",IF($D123="STOCK EXISTANT",IF($R123&lt;=0,"EMPLACEMENT INCOHERENT",IF($G123&gt;$R123+0.001,"STOCK INSUFFISANT",IF($T123=0,"EN COURS",IF($S123&gt;$G123+0.001,"BLOQUE",IF(AND($U123&gt;P_TOL,$L123=""),"A JUSTIFIER","OK"))))),IF($T123=0,"EN COURS",IF($S123&gt;$G123+0.001,"BLOQUE",IF(AND($U123&gt;P_TOL,$L123=""),"A JUSTIFIER","OK"))))))</f>
        <v/>
      </c>
      <c r="X123" s="28" t="n">
        <f aca="false">IF(OR($W123="",$W123="DONNEES MANQUANTES",$W123="EMPLACEMENT INCOHERENT",$W123="STOCK INSUFFISANT"),0,1)</f>
        <v>0</v>
      </c>
      <c r="Y123" s="26" t="str">
        <f aca="false">IF($D123="","",IF($Q123=0,"A COMPLETER : "&amp;IF($B123="","DATE ENVOI; ","")&amp;IF($C123="","SOUS-TRAITANT; ","")&amp;IF($E123="","LOT SOURCE; ","")&amp;IF(OR(NOT(ISNUMBER($G123)),$G123&lt;=0),"QTE ENVOYEE &gt; 0; ","")&amp;IF(AND($D123="STOCK EXISTANT",$F123=""),"EMPL. SOURCE; ",""),IF($W123="EMPLACEMENT INCOHERENT","Le lot "&amp;$E123&amp;" n'existe pas sur "&amp;$F123&amp;" (stock 0).",IF($W123="STOCK INSUFFISANT","Disponible avant envoi : "&amp;TEXT($R123,"#,##0.00")&amp;" kg. Ligne NON comptee en stock.",IF($W123="BLOQUE","Total des sorties ("&amp;TEXT($S123,"#,##0.00")&amp;" kg) superieur a la quantite envoyee.",IF($W123="EN COURS","Envoi enregistre, resultats non connus. A completer dans ST_RESULTATS.",IF($W123="A JUSTIFIER","Ecart de "&amp;TEXT($U123,"#,##0.00")&amp;" kg : renseigner JUSTIFICATION ECART (colonne L).",IF($O123="LOT NON REFERENCE","Creer d'abord la fiche du lot dans l'onglet LOTS.",""))))))))</f>
        <v/>
      </c>
      <c r="Z123" s="27" t="n">
        <f aca="false">IF(OR($X123=0,$T123&gt;0),0,$G123)</f>
        <v>0</v>
      </c>
      <c r="AA123" s="26" t="n">
        <f aca="false">IF($Q123=0,0,IF(OR($E123=R_LOT,COUNTIFS(RES_IDST,$A123,RES_LOTEFF,R_LOT)&gt;0),1,0))</f>
        <v>0</v>
      </c>
      <c r="AB123" s="26" t="str">
        <f aca="false">IF($AA123=0,"",COUNTIF($AA$5:$AA123,1))</f>
        <v/>
      </c>
    </row>
    <row r="124" customFormat="false" ht="15" hidden="false" customHeight="false" outlineLevel="0" collapsed="false">
      <c r="A124" s="26" t="str">
        <f aca="false">IF($D124="","","ST-"&amp;TEXT(ROW()-4,"000"))</f>
        <v/>
      </c>
      <c r="B124" s="25"/>
      <c r="C124" s="24"/>
      <c r="D124" s="24"/>
      <c r="E124" s="24"/>
      <c r="F124" s="24"/>
      <c r="G124" s="29"/>
      <c r="H124" s="24"/>
      <c r="I124" s="24"/>
      <c r="J124" s="24"/>
      <c r="K124" s="25"/>
      <c r="L124" s="24"/>
      <c r="M124" s="24"/>
      <c r="N124" s="24"/>
      <c r="O124" s="26" t="str">
        <f aca="false">IF($E124="","",IFERROR(INDEX(LOT_PRODE,MATCH($E124,LOT_KEY,0)),"LOT NON REFERENCE"))</f>
        <v/>
      </c>
      <c r="P124" s="26" t="str">
        <f aca="false">IF($E124="","",IFERROR(INDEX(LOT_FOURNE,MATCH($E124,LOT_KEY,0)),""))</f>
        <v/>
      </c>
      <c r="Q124" s="28" t="n">
        <f aca="false">IF($D124="",0,IF(OR($B124="",$C124="",$E124="",NOT(ISNUMBER($G124)),$G124&lt;=0),0,IF($D124="STOCK EXISTANT",IF($F124="",0,1),1)))</f>
        <v>0</v>
      </c>
      <c r="R124" s="27" t="str">
        <f aca="false">IF(OR($Q124=0,$D124&lt;&gt;"STOCK EXISTANT"),"",SUMIFS(MVT_BRUT,MVT_LOT,$E124,MVT_EMPL,$F124)+$G124)</f>
        <v/>
      </c>
      <c r="S124" s="27" t="str">
        <f aca="false">IF($A124="","",SUMIFS(RES_QTEVAL,RES_IDST,$A124))</f>
        <v/>
      </c>
      <c r="T124" s="28" t="str">
        <f aca="false">IF($A124="","",COUNTIFS(RES_IDST,$A124))</f>
        <v/>
      </c>
      <c r="U124" s="27" t="str">
        <f aca="false">IF(OR($A124="",$T124=0),"",$G124-$S124)</f>
        <v/>
      </c>
      <c r="V124" s="30" t="str">
        <f aca="false">IF(OR($A124="",$T124=0,NOT(ISNUMBER($G124)),$G124&lt;=0),"",$S124/$G124)</f>
        <v/>
      </c>
      <c r="W124" s="26" t="str">
        <f aca="false">IF($D124="","",IF($Q124=0,"DONNEES MANQUANTES",IF($D124="STOCK EXISTANT",IF($R124&lt;=0,"EMPLACEMENT INCOHERENT",IF($G124&gt;$R124+0.001,"STOCK INSUFFISANT",IF($T124=0,"EN COURS",IF($S124&gt;$G124+0.001,"BLOQUE",IF(AND($U124&gt;P_TOL,$L124=""),"A JUSTIFIER","OK"))))),IF($T124=0,"EN COURS",IF($S124&gt;$G124+0.001,"BLOQUE",IF(AND($U124&gt;P_TOL,$L124=""),"A JUSTIFIER","OK"))))))</f>
        <v/>
      </c>
      <c r="X124" s="28" t="n">
        <f aca="false">IF(OR($W124="",$W124="DONNEES MANQUANTES",$W124="EMPLACEMENT INCOHERENT",$W124="STOCK INSUFFISANT"),0,1)</f>
        <v>0</v>
      </c>
      <c r="Y124" s="26" t="str">
        <f aca="false">IF($D124="","",IF($Q124=0,"A COMPLETER : "&amp;IF($B124="","DATE ENVOI; ","")&amp;IF($C124="","SOUS-TRAITANT; ","")&amp;IF($E124="","LOT SOURCE; ","")&amp;IF(OR(NOT(ISNUMBER($G124)),$G124&lt;=0),"QTE ENVOYEE &gt; 0; ","")&amp;IF(AND($D124="STOCK EXISTANT",$F124=""),"EMPL. SOURCE; ",""),IF($W124="EMPLACEMENT INCOHERENT","Le lot "&amp;$E124&amp;" n'existe pas sur "&amp;$F124&amp;" (stock 0).",IF($W124="STOCK INSUFFISANT","Disponible avant envoi : "&amp;TEXT($R124,"#,##0.00")&amp;" kg. Ligne NON comptee en stock.",IF($W124="BLOQUE","Total des sorties ("&amp;TEXT($S124,"#,##0.00")&amp;" kg) superieur a la quantite envoyee.",IF($W124="EN COURS","Envoi enregistre, resultats non connus. A completer dans ST_RESULTATS.",IF($W124="A JUSTIFIER","Ecart de "&amp;TEXT($U124,"#,##0.00")&amp;" kg : renseigner JUSTIFICATION ECART (colonne L).",IF($O124="LOT NON REFERENCE","Creer d'abord la fiche du lot dans l'onglet LOTS.",""))))))))</f>
        <v/>
      </c>
      <c r="Z124" s="27" t="n">
        <f aca="false">IF(OR($X124=0,$T124&gt;0),0,$G124)</f>
        <v>0</v>
      </c>
      <c r="AA124" s="26" t="n">
        <f aca="false">IF($Q124=0,0,IF(OR($E124=R_LOT,COUNTIFS(RES_IDST,$A124,RES_LOTEFF,R_LOT)&gt;0),1,0))</f>
        <v>0</v>
      </c>
      <c r="AB124" s="26" t="str">
        <f aca="false">IF($AA124=0,"",COUNTIF($AA$5:$AA124,1))</f>
        <v/>
      </c>
    </row>
    <row r="125" customFormat="false" ht="15" hidden="false" customHeight="false" outlineLevel="0" collapsed="false">
      <c r="A125" s="26" t="str">
        <f aca="false">IF($D125="","","ST-"&amp;TEXT(ROW()-4,"000"))</f>
        <v/>
      </c>
      <c r="B125" s="25"/>
      <c r="C125" s="24"/>
      <c r="D125" s="24"/>
      <c r="E125" s="24"/>
      <c r="F125" s="24"/>
      <c r="G125" s="29"/>
      <c r="H125" s="24"/>
      <c r="I125" s="24"/>
      <c r="J125" s="24"/>
      <c r="K125" s="25"/>
      <c r="L125" s="24"/>
      <c r="M125" s="24"/>
      <c r="N125" s="24"/>
      <c r="O125" s="26" t="str">
        <f aca="false">IF($E125="","",IFERROR(INDEX(LOT_PRODE,MATCH($E125,LOT_KEY,0)),"LOT NON REFERENCE"))</f>
        <v/>
      </c>
      <c r="P125" s="26" t="str">
        <f aca="false">IF($E125="","",IFERROR(INDEX(LOT_FOURNE,MATCH($E125,LOT_KEY,0)),""))</f>
        <v/>
      </c>
      <c r="Q125" s="28" t="n">
        <f aca="false">IF($D125="",0,IF(OR($B125="",$C125="",$E125="",NOT(ISNUMBER($G125)),$G125&lt;=0),0,IF($D125="STOCK EXISTANT",IF($F125="",0,1),1)))</f>
        <v>0</v>
      </c>
      <c r="R125" s="27" t="str">
        <f aca="false">IF(OR($Q125=0,$D125&lt;&gt;"STOCK EXISTANT"),"",SUMIFS(MVT_BRUT,MVT_LOT,$E125,MVT_EMPL,$F125)+$G125)</f>
        <v/>
      </c>
      <c r="S125" s="27" t="str">
        <f aca="false">IF($A125="","",SUMIFS(RES_QTEVAL,RES_IDST,$A125))</f>
        <v/>
      </c>
      <c r="T125" s="28" t="str">
        <f aca="false">IF($A125="","",COUNTIFS(RES_IDST,$A125))</f>
        <v/>
      </c>
      <c r="U125" s="27" t="str">
        <f aca="false">IF(OR($A125="",$T125=0),"",$G125-$S125)</f>
        <v/>
      </c>
      <c r="V125" s="30" t="str">
        <f aca="false">IF(OR($A125="",$T125=0,NOT(ISNUMBER($G125)),$G125&lt;=0),"",$S125/$G125)</f>
        <v/>
      </c>
      <c r="W125" s="26" t="str">
        <f aca="false">IF($D125="","",IF($Q125=0,"DONNEES MANQUANTES",IF($D125="STOCK EXISTANT",IF($R125&lt;=0,"EMPLACEMENT INCOHERENT",IF($G125&gt;$R125+0.001,"STOCK INSUFFISANT",IF($T125=0,"EN COURS",IF($S125&gt;$G125+0.001,"BLOQUE",IF(AND($U125&gt;P_TOL,$L125=""),"A JUSTIFIER","OK"))))),IF($T125=0,"EN COURS",IF($S125&gt;$G125+0.001,"BLOQUE",IF(AND($U125&gt;P_TOL,$L125=""),"A JUSTIFIER","OK"))))))</f>
        <v/>
      </c>
      <c r="X125" s="28" t="n">
        <f aca="false">IF(OR($W125="",$W125="DONNEES MANQUANTES",$W125="EMPLACEMENT INCOHERENT",$W125="STOCK INSUFFISANT"),0,1)</f>
        <v>0</v>
      </c>
      <c r="Y125" s="26" t="str">
        <f aca="false">IF($D125="","",IF($Q125=0,"A COMPLETER : "&amp;IF($B125="","DATE ENVOI; ","")&amp;IF($C125="","SOUS-TRAITANT; ","")&amp;IF($E125="","LOT SOURCE; ","")&amp;IF(OR(NOT(ISNUMBER($G125)),$G125&lt;=0),"QTE ENVOYEE &gt; 0; ","")&amp;IF(AND($D125="STOCK EXISTANT",$F125=""),"EMPL. SOURCE; ",""),IF($W125="EMPLACEMENT INCOHERENT","Le lot "&amp;$E125&amp;" n'existe pas sur "&amp;$F125&amp;" (stock 0).",IF($W125="STOCK INSUFFISANT","Disponible avant envoi : "&amp;TEXT($R125,"#,##0.00")&amp;" kg. Ligne NON comptee en stock.",IF($W125="BLOQUE","Total des sorties ("&amp;TEXT($S125,"#,##0.00")&amp;" kg) superieur a la quantite envoyee.",IF($W125="EN COURS","Envoi enregistre, resultats non connus. A completer dans ST_RESULTATS.",IF($W125="A JUSTIFIER","Ecart de "&amp;TEXT($U125,"#,##0.00")&amp;" kg : renseigner JUSTIFICATION ECART (colonne L).",IF($O125="LOT NON REFERENCE","Creer d'abord la fiche du lot dans l'onglet LOTS.",""))))))))</f>
        <v/>
      </c>
      <c r="Z125" s="27" t="n">
        <f aca="false">IF(OR($X125=0,$T125&gt;0),0,$G125)</f>
        <v>0</v>
      </c>
      <c r="AA125" s="26" t="n">
        <f aca="false">IF($Q125=0,0,IF(OR($E125=R_LOT,COUNTIFS(RES_IDST,$A125,RES_LOTEFF,R_LOT)&gt;0),1,0))</f>
        <v>0</v>
      </c>
      <c r="AB125" s="26" t="str">
        <f aca="false">IF($AA125=0,"",COUNTIF($AA$5:$AA125,1))</f>
        <v/>
      </c>
    </row>
    <row r="126" customFormat="false" ht="15" hidden="false" customHeight="false" outlineLevel="0" collapsed="false">
      <c r="A126" s="26" t="str">
        <f aca="false">IF($D126="","","ST-"&amp;TEXT(ROW()-4,"000"))</f>
        <v/>
      </c>
      <c r="B126" s="25"/>
      <c r="C126" s="24"/>
      <c r="D126" s="24"/>
      <c r="E126" s="24"/>
      <c r="F126" s="24"/>
      <c r="G126" s="29"/>
      <c r="H126" s="24"/>
      <c r="I126" s="24"/>
      <c r="J126" s="24"/>
      <c r="K126" s="25"/>
      <c r="L126" s="24"/>
      <c r="M126" s="24"/>
      <c r="N126" s="24"/>
      <c r="O126" s="26" t="str">
        <f aca="false">IF($E126="","",IFERROR(INDEX(LOT_PRODE,MATCH($E126,LOT_KEY,0)),"LOT NON REFERENCE"))</f>
        <v/>
      </c>
      <c r="P126" s="26" t="str">
        <f aca="false">IF($E126="","",IFERROR(INDEX(LOT_FOURNE,MATCH($E126,LOT_KEY,0)),""))</f>
        <v/>
      </c>
      <c r="Q126" s="28" t="n">
        <f aca="false">IF($D126="",0,IF(OR($B126="",$C126="",$E126="",NOT(ISNUMBER($G126)),$G126&lt;=0),0,IF($D126="STOCK EXISTANT",IF($F126="",0,1),1)))</f>
        <v>0</v>
      </c>
      <c r="R126" s="27" t="str">
        <f aca="false">IF(OR($Q126=0,$D126&lt;&gt;"STOCK EXISTANT"),"",SUMIFS(MVT_BRUT,MVT_LOT,$E126,MVT_EMPL,$F126)+$G126)</f>
        <v/>
      </c>
      <c r="S126" s="27" t="str">
        <f aca="false">IF($A126="","",SUMIFS(RES_QTEVAL,RES_IDST,$A126))</f>
        <v/>
      </c>
      <c r="T126" s="28" t="str">
        <f aca="false">IF($A126="","",COUNTIFS(RES_IDST,$A126))</f>
        <v/>
      </c>
      <c r="U126" s="27" t="str">
        <f aca="false">IF(OR($A126="",$T126=0),"",$G126-$S126)</f>
        <v/>
      </c>
      <c r="V126" s="30" t="str">
        <f aca="false">IF(OR($A126="",$T126=0,NOT(ISNUMBER($G126)),$G126&lt;=0),"",$S126/$G126)</f>
        <v/>
      </c>
      <c r="W126" s="26" t="str">
        <f aca="false">IF($D126="","",IF($Q126=0,"DONNEES MANQUANTES",IF($D126="STOCK EXISTANT",IF($R126&lt;=0,"EMPLACEMENT INCOHERENT",IF($G126&gt;$R126+0.001,"STOCK INSUFFISANT",IF($T126=0,"EN COURS",IF($S126&gt;$G126+0.001,"BLOQUE",IF(AND($U126&gt;P_TOL,$L126=""),"A JUSTIFIER","OK"))))),IF($T126=0,"EN COURS",IF($S126&gt;$G126+0.001,"BLOQUE",IF(AND($U126&gt;P_TOL,$L126=""),"A JUSTIFIER","OK"))))))</f>
        <v/>
      </c>
      <c r="X126" s="28" t="n">
        <f aca="false">IF(OR($W126="",$W126="DONNEES MANQUANTES",$W126="EMPLACEMENT INCOHERENT",$W126="STOCK INSUFFISANT"),0,1)</f>
        <v>0</v>
      </c>
      <c r="Y126" s="26" t="str">
        <f aca="false">IF($D126="","",IF($Q126=0,"A COMPLETER : "&amp;IF($B126="","DATE ENVOI; ","")&amp;IF($C126="","SOUS-TRAITANT; ","")&amp;IF($E126="","LOT SOURCE; ","")&amp;IF(OR(NOT(ISNUMBER($G126)),$G126&lt;=0),"QTE ENVOYEE &gt; 0; ","")&amp;IF(AND($D126="STOCK EXISTANT",$F126=""),"EMPL. SOURCE; ",""),IF($W126="EMPLACEMENT INCOHERENT","Le lot "&amp;$E126&amp;" n'existe pas sur "&amp;$F126&amp;" (stock 0).",IF($W126="STOCK INSUFFISANT","Disponible avant envoi : "&amp;TEXT($R126,"#,##0.00")&amp;" kg. Ligne NON comptee en stock.",IF($W126="BLOQUE","Total des sorties ("&amp;TEXT($S126,"#,##0.00")&amp;" kg) superieur a la quantite envoyee.",IF($W126="EN COURS","Envoi enregistre, resultats non connus. A completer dans ST_RESULTATS.",IF($W126="A JUSTIFIER","Ecart de "&amp;TEXT($U126,"#,##0.00")&amp;" kg : renseigner JUSTIFICATION ECART (colonne L).",IF($O126="LOT NON REFERENCE","Creer d'abord la fiche du lot dans l'onglet LOTS.",""))))))))</f>
        <v/>
      </c>
      <c r="Z126" s="27" t="n">
        <f aca="false">IF(OR($X126=0,$T126&gt;0),0,$G126)</f>
        <v>0</v>
      </c>
      <c r="AA126" s="26" t="n">
        <f aca="false">IF($Q126=0,0,IF(OR($E126=R_LOT,COUNTIFS(RES_IDST,$A126,RES_LOTEFF,R_LOT)&gt;0),1,0))</f>
        <v>0</v>
      </c>
      <c r="AB126" s="26" t="str">
        <f aca="false">IF($AA126=0,"",COUNTIF($AA$5:$AA126,1))</f>
        <v/>
      </c>
    </row>
    <row r="127" customFormat="false" ht="15" hidden="false" customHeight="false" outlineLevel="0" collapsed="false">
      <c r="A127" s="26" t="str">
        <f aca="false">IF($D127="","","ST-"&amp;TEXT(ROW()-4,"000"))</f>
        <v/>
      </c>
      <c r="B127" s="25"/>
      <c r="C127" s="24"/>
      <c r="D127" s="24"/>
      <c r="E127" s="24"/>
      <c r="F127" s="24"/>
      <c r="G127" s="29"/>
      <c r="H127" s="24"/>
      <c r="I127" s="24"/>
      <c r="J127" s="24"/>
      <c r="K127" s="25"/>
      <c r="L127" s="24"/>
      <c r="M127" s="24"/>
      <c r="N127" s="24"/>
      <c r="O127" s="26" t="str">
        <f aca="false">IF($E127="","",IFERROR(INDEX(LOT_PRODE,MATCH($E127,LOT_KEY,0)),"LOT NON REFERENCE"))</f>
        <v/>
      </c>
      <c r="P127" s="26" t="str">
        <f aca="false">IF($E127="","",IFERROR(INDEX(LOT_FOURNE,MATCH($E127,LOT_KEY,0)),""))</f>
        <v/>
      </c>
      <c r="Q127" s="28" t="n">
        <f aca="false">IF($D127="",0,IF(OR($B127="",$C127="",$E127="",NOT(ISNUMBER($G127)),$G127&lt;=0),0,IF($D127="STOCK EXISTANT",IF($F127="",0,1),1)))</f>
        <v>0</v>
      </c>
      <c r="R127" s="27" t="str">
        <f aca="false">IF(OR($Q127=0,$D127&lt;&gt;"STOCK EXISTANT"),"",SUMIFS(MVT_BRUT,MVT_LOT,$E127,MVT_EMPL,$F127)+$G127)</f>
        <v/>
      </c>
      <c r="S127" s="27" t="str">
        <f aca="false">IF($A127="","",SUMIFS(RES_QTEVAL,RES_IDST,$A127))</f>
        <v/>
      </c>
      <c r="T127" s="28" t="str">
        <f aca="false">IF($A127="","",COUNTIFS(RES_IDST,$A127))</f>
        <v/>
      </c>
      <c r="U127" s="27" t="str">
        <f aca="false">IF(OR($A127="",$T127=0),"",$G127-$S127)</f>
        <v/>
      </c>
      <c r="V127" s="30" t="str">
        <f aca="false">IF(OR($A127="",$T127=0,NOT(ISNUMBER($G127)),$G127&lt;=0),"",$S127/$G127)</f>
        <v/>
      </c>
      <c r="W127" s="26" t="str">
        <f aca="false">IF($D127="","",IF($Q127=0,"DONNEES MANQUANTES",IF($D127="STOCK EXISTANT",IF($R127&lt;=0,"EMPLACEMENT INCOHERENT",IF($G127&gt;$R127+0.001,"STOCK INSUFFISANT",IF($T127=0,"EN COURS",IF($S127&gt;$G127+0.001,"BLOQUE",IF(AND($U127&gt;P_TOL,$L127=""),"A JUSTIFIER","OK"))))),IF($T127=0,"EN COURS",IF($S127&gt;$G127+0.001,"BLOQUE",IF(AND($U127&gt;P_TOL,$L127=""),"A JUSTIFIER","OK"))))))</f>
        <v/>
      </c>
      <c r="X127" s="28" t="n">
        <f aca="false">IF(OR($W127="",$W127="DONNEES MANQUANTES",$W127="EMPLACEMENT INCOHERENT",$W127="STOCK INSUFFISANT"),0,1)</f>
        <v>0</v>
      </c>
      <c r="Y127" s="26" t="str">
        <f aca="false">IF($D127="","",IF($Q127=0,"A COMPLETER : "&amp;IF($B127="","DATE ENVOI; ","")&amp;IF($C127="","SOUS-TRAITANT; ","")&amp;IF($E127="","LOT SOURCE; ","")&amp;IF(OR(NOT(ISNUMBER($G127)),$G127&lt;=0),"QTE ENVOYEE &gt; 0; ","")&amp;IF(AND($D127="STOCK EXISTANT",$F127=""),"EMPL. SOURCE; ",""),IF($W127="EMPLACEMENT INCOHERENT","Le lot "&amp;$E127&amp;" n'existe pas sur "&amp;$F127&amp;" (stock 0).",IF($W127="STOCK INSUFFISANT","Disponible avant envoi : "&amp;TEXT($R127,"#,##0.00")&amp;" kg. Ligne NON comptee en stock.",IF($W127="BLOQUE","Total des sorties ("&amp;TEXT($S127,"#,##0.00")&amp;" kg) superieur a la quantite envoyee.",IF($W127="EN COURS","Envoi enregistre, resultats non connus. A completer dans ST_RESULTATS.",IF($W127="A JUSTIFIER","Ecart de "&amp;TEXT($U127,"#,##0.00")&amp;" kg : renseigner JUSTIFICATION ECART (colonne L).",IF($O127="LOT NON REFERENCE","Creer d'abord la fiche du lot dans l'onglet LOTS.",""))))))))</f>
        <v/>
      </c>
      <c r="Z127" s="27" t="n">
        <f aca="false">IF(OR($X127=0,$T127&gt;0),0,$G127)</f>
        <v>0</v>
      </c>
      <c r="AA127" s="26" t="n">
        <f aca="false">IF($Q127=0,0,IF(OR($E127=R_LOT,COUNTIFS(RES_IDST,$A127,RES_LOTEFF,R_LOT)&gt;0),1,0))</f>
        <v>0</v>
      </c>
      <c r="AB127" s="26" t="str">
        <f aca="false">IF($AA127=0,"",COUNTIF($AA$5:$AA127,1))</f>
        <v/>
      </c>
    </row>
    <row r="128" customFormat="false" ht="15" hidden="false" customHeight="false" outlineLevel="0" collapsed="false">
      <c r="A128" s="26" t="str">
        <f aca="false">IF($D128="","","ST-"&amp;TEXT(ROW()-4,"000"))</f>
        <v/>
      </c>
      <c r="B128" s="25"/>
      <c r="C128" s="24"/>
      <c r="D128" s="24"/>
      <c r="E128" s="24"/>
      <c r="F128" s="24"/>
      <c r="G128" s="29"/>
      <c r="H128" s="24"/>
      <c r="I128" s="24"/>
      <c r="J128" s="24"/>
      <c r="K128" s="25"/>
      <c r="L128" s="24"/>
      <c r="M128" s="24"/>
      <c r="N128" s="24"/>
      <c r="O128" s="26" t="str">
        <f aca="false">IF($E128="","",IFERROR(INDEX(LOT_PRODE,MATCH($E128,LOT_KEY,0)),"LOT NON REFERENCE"))</f>
        <v/>
      </c>
      <c r="P128" s="26" t="str">
        <f aca="false">IF($E128="","",IFERROR(INDEX(LOT_FOURNE,MATCH($E128,LOT_KEY,0)),""))</f>
        <v/>
      </c>
      <c r="Q128" s="28" t="n">
        <f aca="false">IF($D128="",0,IF(OR($B128="",$C128="",$E128="",NOT(ISNUMBER($G128)),$G128&lt;=0),0,IF($D128="STOCK EXISTANT",IF($F128="",0,1),1)))</f>
        <v>0</v>
      </c>
      <c r="R128" s="27" t="str">
        <f aca="false">IF(OR($Q128=0,$D128&lt;&gt;"STOCK EXISTANT"),"",SUMIFS(MVT_BRUT,MVT_LOT,$E128,MVT_EMPL,$F128)+$G128)</f>
        <v/>
      </c>
      <c r="S128" s="27" t="str">
        <f aca="false">IF($A128="","",SUMIFS(RES_QTEVAL,RES_IDST,$A128))</f>
        <v/>
      </c>
      <c r="T128" s="28" t="str">
        <f aca="false">IF($A128="","",COUNTIFS(RES_IDST,$A128))</f>
        <v/>
      </c>
      <c r="U128" s="27" t="str">
        <f aca="false">IF(OR($A128="",$T128=0),"",$G128-$S128)</f>
        <v/>
      </c>
      <c r="V128" s="30" t="str">
        <f aca="false">IF(OR($A128="",$T128=0,NOT(ISNUMBER($G128)),$G128&lt;=0),"",$S128/$G128)</f>
        <v/>
      </c>
      <c r="W128" s="26" t="str">
        <f aca="false">IF($D128="","",IF($Q128=0,"DONNEES MANQUANTES",IF($D128="STOCK EXISTANT",IF($R128&lt;=0,"EMPLACEMENT INCOHERENT",IF($G128&gt;$R128+0.001,"STOCK INSUFFISANT",IF($T128=0,"EN COURS",IF($S128&gt;$G128+0.001,"BLOQUE",IF(AND($U128&gt;P_TOL,$L128=""),"A JUSTIFIER","OK"))))),IF($T128=0,"EN COURS",IF($S128&gt;$G128+0.001,"BLOQUE",IF(AND($U128&gt;P_TOL,$L128=""),"A JUSTIFIER","OK"))))))</f>
        <v/>
      </c>
      <c r="X128" s="28" t="n">
        <f aca="false">IF(OR($W128="",$W128="DONNEES MANQUANTES",$W128="EMPLACEMENT INCOHERENT",$W128="STOCK INSUFFISANT"),0,1)</f>
        <v>0</v>
      </c>
      <c r="Y128" s="26" t="str">
        <f aca="false">IF($D128="","",IF($Q128=0,"A COMPLETER : "&amp;IF($B128="","DATE ENVOI; ","")&amp;IF($C128="","SOUS-TRAITANT; ","")&amp;IF($E128="","LOT SOURCE; ","")&amp;IF(OR(NOT(ISNUMBER($G128)),$G128&lt;=0),"QTE ENVOYEE &gt; 0; ","")&amp;IF(AND($D128="STOCK EXISTANT",$F128=""),"EMPL. SOURCE; ",""),IF($W128="EMPLACEMENT INCOHERENT","Le lot "&amp;$E128&amp;" n'existe pas sur "&amp;$F128&amp;" (stock 0).",IF($W128="STOCK INSUFFISANT","Disponible avant envoi : "&amp;TEXT($R128,"#,##0.00")&amp;" kg. Ligne NON comptee en stock.",IF($W128="BLOQUE","Total des sorties ("&amp;TEXT($S128,"#,##0.00")&amp;" kg) superieur a la quantite envoyee.",IF($W128="EN COURS","Envoi enregistre, resultats non connus. A completer dans ST_RESULTATS.",IF($W128="A JUSTIFIER","Ecart de "&amp;TEXT($U128,"#,##0.00")&amp;" kg : renseigner JUSTIFICATION ECART (colonne L).",IF($O128="LOT NON REFERENCE","Creer d'abord la fiche du lot dans l'onglet LOTS.",""))))))))</f>
        <v/>
      </c>
      <c r="Z128" s="27" t="n">
        <f aca="false">IF(OR($X128=0,$T128&gt;0),0,$G128)</f>
        <v>0</v>
      </c>
      <c r="AA128" s="26" t="n">
        <f aca="false">IF($Q128=0,0,IF(OR($E128=R_LOT,COUNTIFS(RES_IDST,$A128,RES_LOTEFF,R_LOT)&gt;0),1,0))</f>
        <v>0</v>
      </c>
      <c r="AB128" s="26" t="str">
        <f aca="false">IF($AA128=0,"",COUNTIF($AA$5:$AA128,1))</f>
        <v/>
      </c>
    </row>
    <row r="129" customFormat="false" ht="15" hidden="false" customHeight="false" outlineLevel="0" collapsed="false">
      <c r="A129" s="26" t="str">
        <f aca="false">IF($D129="","","ST-"&amp;TEXT(ROW()-4,"000"))</f>
        <v/>
      </c>
      <c r="B129" s="25"/>
      <c r="C129" s="24"/>
      <c r="D129" s="24"/>
      <c r="E129" s="24"/>
      <c r="F129" s="24"/>
      <c r="G129" s="29"/>
      <c r="H129" s="24"/>
      <c r="I129" s="24"/>
      <c r="J129" s="24"/>
      <c r="K129" s="25"/>
      <c r="L129" s="24"/>
      <c r="M129" s="24"/>
      <c r="N129" s="24"/>
      <c r="O129" s="26" t="str">
        <f aca="false">IF($E129="","",IFERROR(INDEX(LOT_PRODE,MATCH($E129,LOT_KEY,0)),"LOT NON REFERENCE"))</f>
        <v/>
      </c>
      <c r="P129" s="26" t="str">
        <f aca="false">IF($E129="","",IFERROR(INDEX(LOT_FOURNE,MATCH($E129,LOT_KEY,0)),""))</f>
        <v/>
      </c>
      <c r="Q129" s="28" t="n">
        <f aca="false">IF($D129="",0,IF(OR($B129="",$C129="",$E129="",NOT(ISNUMBER($G129)),$G129&lt;=0),0,IF($D129="STOCK EXISTANT",IF($F129="",0,1),1)))</f>
        <v>0</v>
      </c>
      <c r="R129" s="27" t="str">
        <f aca="false">IF(OR($Q129=0,$D129&lt;&gt;"STOCK EXISTANT"),"",SUMIFS(MVT_BRUT,MVT_LOT,$E129,MVT_EMPL,$F129)+$G129)</f>
        <v/>
      </c>
      <c r="S129" s="27" t="str">
        <f aca="false">IF($A129="","",SUMIFS(RES_QTEVAL,RES_IDST,$A129))</f>
        <v/>
      </c>
      <c r="T129" s="28" t="str">
        <f aca="false">IF($A129="","",COUNTIFS(RES_IDST,$A129))</f>
        <v/>
      </c>
      <c r="U129" s="27" t="str">
        <f aca="false">IF(OR($A129="",$T129=0),"",$G129-$S129)</f>
        <v/>
      </c>
      <c r="V129" s="30" t="str">
        <f aca="false">IF(OR($A129="",$T129=0,NOT(ISNUMBER($G129)),$G129&lt;=0),"",$S129/$G129)</f>
        <v/>
      </c>
      <c r="W129" s="26" t="str">
        <f aca="false">IF($D129="","",IF($Q129=0,"DONNEES MANQUANTES",IF($D129="STOCK EXISTANT",IF($R129&lt;=0,"EMPLACEMENT INCOHERENT",IF($G129&gt;$R129+0.001,"STOCK INSUFFISANT",IF($T129=0,"EN COURS",IF($S129&gt;$G129+0.001,"BLOQUE",IF(AND($U129&gt;P_TOL,$L129=""),"A JUSTIFIER","OK"))))),IF($T129=0,"EN COURS",IF($S129&gt;$G129+0.001,"BLOQUE",IF(AND($U129&gt;P_TOL,$L129=""),"A JUSTIFIER","OK"))))))</f>
        <v/>
      </c>
      <c r="X129" s="28" t="n">
        <f aca="false">IF(OR($W129="",$W129="DONNEES MANQUANTES",$W129="EMPLACEMENT INCOHERENT",$W129="STOCK INSUFFISANT"),0,1)</f>
        <v>0</v>
      </c>
      <c r="Y129" s="26" t="str">
        <f aca="false">IF($D129="","",IF($Q129=0,"A COMPLETER : "&amp;IF($B129="","DATE ENVOI; ","")&amp;IF($C129="","SOUS-TRAITANT; ","")&amp;IF($E129="","LOT SOURCE; ","")&amp;IF(OR(NOT(ISNUMBER($G129)),$G129&lt;=0),"QTE ENVOYEE &gt; 0; ","")&amp;IF(AND($D129="STOCK EXISTANT",$F129=""),"EMPL. SOURCE; ",""),IF($W129="EMPLACEMENT INCOHERENT","Le lot "&amp;$E129&amp;" n'existe pas sur "&amp;$F129&amp;" (stock 0).",IF($W129="STOCK INSUFFISANT","Disponible avant envoi : "&amp;TEXT($R129,"#,##0.00")&amp;" kg. Ligne NON comptee en stock.",IF($W129="BLOQUE","Total des sorties ("&amp;TEXT($S129,"#,##0.00")&amp;" kg) superieur a la quantite envoyee.",IF($W129="EN COURS","Envoi enregistre, resultats non connus. A completer dans ST_RESULTATS.",IF($W129="A JUSTIFIER","Ecart de "&amp;TEXT($U129,"#,##0.00")&amp;" kg : renseigner JUSTIFICATION ECART (colonne L).",IF($O129="LOT NON REFERENCE","Creer d'abord la fiche du lot dans l'onglet LOTS.",""))))))))</f>
        <v/>
      </c>
      <c r="Z129" s="27" t="n">
        <f aca="false">IF(OR($X129=0,$T129&gt;0),0,$G129)</f>
        <v>0</v>
      </c>
      <c r="AA129" s="26" t="n">
        <f aca="false">IF($Q129=0,0,IF(OR($E129=R_LOT,COUNTIFS(RES_IDST,$A129,RES_LOTEFF,R_LOT)&gt;0),1,0))</f>
        <v>0</v>
      </c>
      <c r="AB129" s="26" t="str">
        <f aca="false">IF($AA129=0,"",COUNTIF($AA$5:$AA129,1))</f>
        <v/>
      </c>
    </row>
    <row r="130" customFormat="false" ht="15" hidden="false" customHeight="false" outlineLevel="0" collapsed="false">
      <c r="A130" s="26" t="str">
        <f aca="false">IF($D130="","","ST-"&amp;TEXT(ROW()-4,"000"))</f>
        <v/>
      </c>
      <c r="B130" s="25"/>
      <c r="C130" s="24"/>
      <c r="D130" s="24"/>
      <c r="E130" s="24"/>
      <c r="F130" s="24"/>
      <c r="G130" s="29"/>
      <c r="H130" s="24"/>
      <c r="I130" s="24"/>
      <c r="J130" s="24"/>
      <c r="K130" s="25"/>
      <c r="L130" s="24"/>
      <c r="M130" s="24"/>
      <c r="N130" s="24"/>
      <c r="O130" s="26" t="str">
        <f aca="false">IF($E130="","",IFERROR(INDEX(LOT_PRODE,MATCH($E130,LOT_KEY,0)),"LOT NON REFERENCE"))</f>
        <v/>
      </c>
      <c r="P130" s="26" t="str">
        <f aca="false">IF($E130="","",IFERROR(INDEX(LOT_FOURNE,MATCH($E130,LOT_KEY,0)),""))</f>
        <v/>
      </c>
      <c r="Q130" s="28" t="n">
        <f aca="false">IF($D130="",0,IF(OR($B130="",$C130="",$E130="",NOT(ISNUMBER($G130)),$G130&lt;=0),0,IF($D130="STOCK EXISTANT",IF($F130="",0,1),1)))</f>
        <v>0</v>
      </c>
      <c r="R130" s="27" t="str">
        <f aca="false">IF(OR($Q130=0,$D130&lt;&gt;"STOCK EXISTANT"),"",SUMIFS(MVT_BRUT,MVT_LOT,$E130,MVT_EMPL,$F130)+$G130)</f>
        <v/>
      </c>
      <c r="S130" s="27" t="str">
        <f aca="false">IF($A130="","",SUMIFS(RES_QTEVAL,RES_IDST,$A130))</f>
        <v/>
      </c>
      <c r="T130" s="28" t="str">
        <f aca="false">IF($A130="","",COUNTIFS(RES_IDST,$A130))</f>
        <v/>
      </c>
      <c r="U130" s="27" t="str">
        <f aca="false">IF(OR($A130="",$T130=0),"",$G130-$S130)</f>
        <v/>
      </c>
      <c r="V130" s="30" t="str">
        <f aca="false">IF(OR($A130="",$T130=0,NOT(ISNUMBER($G130)),$G130&lt;=0),"",$S130/$G130)</f>
        <v/>
      </c>
      <c r="W130" s="26" t="str">
        <f aca="false">IF($D130="","",IF($Q130=0,"DONNEES MANQUANTES",IF($D130="STOCK EXISTANT",IF($R130&lt;=0,"EMPLACEMENT INCOHERENT",IF($G130&gt;$R130+0.001,"STOCK INSUFFISANT",IF($T130=0,"EN COURS",IF($S130&gt;$G130+0.001,"BLOQUE",IF(AND($U130&gt;P_TOL,$L130=""),"A JUSTIFIER","OK"))))),IF($T130=0,"EN COURS",IF($S130&gt;$G130+0.001,"BLOQUE",IF(AND($U130&gt;P_TOL,$L130=""),"A JUSTIFIER","OK"))))))</f>
        <v/>
      </c>
      <c r="X130" s="28" t="n">
        <f aca="false">IF(OR($W130="",$W130="DONNEES MANQUANTES",$W130="EMPLACEMENT INCOHERENT",$W130="STOCK INSUFFISANT"),0,1)</f>
        <v>0</v>
      </c>
      <c r="Y130" s="26" t="str">
        <f aca="false">IF($D130="","",IF($Q130=0,"A COMPLETER : "&amp;IF($B130="","DATE ENVOI; ","")&amp;IF($C130="","SOUS-TRAITANT; ","")&amp;IF($E130="","LOT SOURCE; ","")&amp;IF(OR(NOT(ISNUMBER($G130)),$G130&lt;=0),"QTE ENVOYEE &gt; 0; ","")&amp;IF(AND($D130="STOCK EXISTANT",$F130=""),"EMPL. SOURCE; ",""),IF($W130="EMPLACEMENT INCOHERENT","Le lot "&amp;$E130&amp;" n'existe pas sur "&amp;$F130&amp;" (stock 0).",IF($W130="STOCK INSUFFISANT","Disponible avant envoi : "&amp;TEXT($R130,"#,##0.00")&amp;" kg. Ligne NON comptee en stock.",IF($W130="BLOQUE","Total des sorties ("&amp;TEXT($S130,"#,##0.00")&amp;" kg) superieur a la quantite envoyee.",IF($W130="EN COURS","Envoi enregistre, resultats non connus. A completer dans ST_RESULTATS.",IF($W130="A JUSTIFIER","Ecart de "&amp;TEXT($U130,"#,##0.00")&amp;" kg : renseigner JUSTIFICATION ECART (colonne L).",IF($O130="LOT NON REFERENCE","Creer d'abord la fiche du lot dans l'onglet LOTS.",""))))))))</f>
        <v/>
      </c>
      <c r="Z130" s="27" t="n">
        <f aca="false">IF(OR($X130=0,$T130&gt;0),0,$G130)</f>
        <v>0</v>
      </c>
      <c r="AA130" s="26" t="n">
        <f aca="false">IF($Q130=0,0,IF(OR($E130=R_LOT,COUNTIFS(RES_IDST,$A130,RES_LOTEFF,R_LOT)&gt;0),1,0))</f>
        <v>0</v>
      </c>
      <c r="AB130" s="26" t="str">
        <f aca="false">IF($AA130=0,"",COUNTIF($AA$5:$AA130,1))</f>
        <v/>
      </c>
    </row>
    <row r="131" customFormat="false" ht="15" hidden="false" customHeight="false" outlineLevel="0" collapsed="false">
      <c r="A131" s="26" t="str">
        <f aca="false">IF($D131="","","ST-"&amp;TEXT(ROW()-4,"000"))</f>
        <v/>
      </c>
      <c r="B131" s="25"/>
      <c r="C131" s="24"/>
      <c r="D131" s="24"/>
      <c r="E131" s="24"/>
      <c r="F131" s="24"/>
      <c r="G131" s="29"/>
      <c r="H131" s="24"/>
      <c r="I131" s="24"/>
      <c r="J131" s="24"/>
      <c r="K131" s="25"/>
      <c r="L131" s="24"/>
      <c r="M131" s="24"/>
      <c r="N131" s="24"/>
      <c r="O131" s="26" t="str">
        <f aca="false">IF($E131="","",IFERROR(INDEX(LOT_PRODE,MATCH($E131,LOT_KEY,0)),"LOT NON REFERENCE"))</f>
        <v/>
      </c>
      <c r="P131" s="26" t="str">
        <f aca="false">IF($E131="","",IFERROR(INDEX(LOT_FOURNE,MATCH($E131,LOT_KEY,0)),""))</f>
        <v/>
      </c>
      <c r="Q131" s="28" t="n">
        <f aca="false">IF($D131="",0,IF(OR($B131="",$C131="",$E131="",NOT(ISNUMBER($G131)),$G131&lt;=0),0,IF($D131="STOCK EXISTANT",IF($F131="",0,1),1)))</f>
        <v>0</v>
      </c>
      <c r="R131" s="27" t="str">
        <f aca="false">IF(OR($Q131=0,$D131&lt;&gt;"STOCK EXISTANT"),"",SUMIFS(MVT_BRUT,MVT_LOT,$E131,MVT_EMPL,$F131)+$G131)</f>
        <v/>
      </c>
      <c r="S131" s="27" t="str">
        <f aca="false">IF($A131="","",SUMIFS(RES_QTEVAL,RES_IDST,$A131))</f>
        <v/>
      </c>
      <c r="T131" s="28" t="str">
        <f aca="false">IF($A131="","",COUNTIFS(RES_IDST,$A131))</f>
        <v/>
      </c>
      <c r="U131" s="27" t="str">
        <f aca="false">IF(OR($A131="",$T131=0),"",$G131-$S131)</f>
        <v/>
      </c>
      <c r="V131" s="30" t="str">
        <f aca="false">IF(OR($A131="",$T131=0,NOT(ISNUMBER($G131)),$G131&lt;=0),"",$S131/$G131)</f>
        <v/>
      </c>
      <c r="W131" s="26" t="str">
        <f aca="false">IF($D131="","",IF($Q131=0,"DONNEES MANQUANTES",IF($D131="STOCK EXISTANT",IF($R131&lt;=0,"EMPLACEMENT INCOHERENT",IF($G131&gt;$R131+0.001,"STOCK INSUFFISANT",IF($T131=0,"EN COURS",IF($S131&gt;$G131+0.001,"BLOQUE",IF(AND($U131&gt;P_TOL,$L131=""),"A JUSTIFIER","OK"))))),IF($T131=0,"EN COURS",IF($S131&gt;$G131+0.001,"BLOQUE",IF(AND($U131&gt;P_TOL,$L131=""),"A JUSTIFIER","OK"))))))</f>
        <v/>
      </c>
      <c r="X131" s="28" t="n">
        <f aca="false">IF(OR($W131="",$W131="DONNEES MANQUANTES",$W131="EMPLACEMENT INCOHERENT",$W131="STOCK INSUFFISANT"),0,1)</f>
        <v>0</v>
      </c>
      <c r="Y131" s="26" t="str">
        <f aca="false">IF($D131="","",IF($Q131=0,"A COMPLETER : "&amp;IF($B131="","DATE ENVOI; ","")&amp;IF($C131="","SOUS-TRAITANT; ","")&amp;IF($E131="","LOT SOURCE; ","")&amp;IF(OR(NOT(ISNUMBER($G131)),$G131&lt;=0),"QTE ENVOYEE &gt; 0; ","")&amp;IF(AND($D131="STOCK EXISTANT",$F131=""),"EMPL. SOURCE; ",""),IF($W131="EMPLACEMENT INCOHERENT","Le lot "&amp;$E131&amp;" n'existe pas sur "&amp;$F131&amp;" (stock 0).",IF($W131="STOCK INSUFFISANT","Disponible avant envoi : "&amp;TEXT($R131,"#,##0.00")&amp;" kg. Ligne NON comptee en stock.",IF($W131="BLOQUE","Total des sorties ("&amp;TEXT($S131,"#,##0.00")&amp;" kg) superieur a la quantite envoyee.",IF($W131="EN COURS","Envoi enregistre, resultats non connus. A completer dans ST_RESULTATS.",IF($W131="A JUSTIFIER","Ecart de "&amp;TEXT($U131,"#,##0.00")&amp;" kg : renseigner JUSTIFICATION ECART (colonne L).",IF($O131="LOT NON REFERENCE","Creer d'abord la fiche du lot dans l'onglet LOTS.",""))))))))</f>
        <v/>
      </c>
      <c r="Z131" s="27" t="n">
        <f aca="false">IF(OR($X131=0,$T131&gt;0),0,$G131)</f>
        <v>0</v>
      </c>
      <c r="AA131" s="26" t="n">
        <f aca="false">IF($Q131=0,0,IF(OR($E131=R_LOT,COUNTIFS(RES_IDST,$A131,RES_LOTEFF,R_LOT)&gt;0),1,0))</f>
        <v>0</v>
      </c>
      <c r="AB131" s="26" t="str">
        <f aca="false">IF($AA131=0,"",COUNTIF($AA$5:$AA131,1))</f>
        <v/>
      </c>
    </row>
    <row r="132" customFormat="false" ht="15" hidden="false" customHeight="false" outlineLevel="0" collapsed="false">
      <c r="A132" s="26" t="str">
        <f aca="false">IF($D132="","","ST-"&amp;TEXT(ROW()-4,"000"))</f>
        <v/>
      </c>
      <c r="B132" s="25"/>
      <c r="C132" s="24"/>
      <c r="D132" s="24"/>
      <c r="E132" s="24"/>
      <c r="F132" s="24"/>
      <c r="G132" s="29"/>
      <c r="H132" s="24"/>
      <c r="I132" s="24"/>
      <c r="J132" s="24"/>
      <c r="K132" s="25"/>
      <c r="L132" s="24"/>
      <c r="M132" s="24"/>
      <c r="N132" s="24"/>
      <c r="O132" s="26" t="str">
        <f aca="false">IF($E132="","",IFERROR(INDEX(LOT_PRODE,MATCH($E132,LOT_KEY,0)),"LOT NON REFERENCE"))</f>
        <v/>
      </c>
      <c r="P132" s="26" t="str">
        <f aca="false">IF($E132="","",IFERROR(INDEX(LOT_FOURNE,MATCH($E132,LOT_KEY,0)),""))</f>
        <v/>
      </c>
      <c r="Q132" s="28" t="n">
        <f aca="false">IF($D132="",0,IF(OR($B132="",$C132="",$E132="",NOT(ISNUMBER($G132)),$G132&lt;=0),0,IF($D132="STOCK EXISTANT",IF($F132="",0,1),1)))</f>
        <v>0</v>
      </c>
      <c r="R132" s="27" t="str">
        <f aca="false">IF(OR($Q132=0,$D132&lt;&gt;"STOCK EXISTANT"),"",SUMIFS(MVT_BRUT,MVT_LOT,$E132,MVT_EMPL,$F132)+$G132)</f>
        <v/>
      </c>
      <c r="S132" s="27" t="str">
        <f aca="false">IF($A132="","",SUMIFS(RES_QTEVAL,RES_IDST,$A132))</f>
        <v/>
      </c>
      <c r="T132" s="28" t="str">
        <f aca="false">IF($A132="","",COUNTIFS(RES_IDST,$A132))</f>
        <v/>
      </c>
      <c r="U132" s="27" t="str">
        <f aca="false">IF(OR($A132="",$T132=0),"",$G132-$S132)</f>
        <v/>
      </c>
      <c r="V132" s="30" t="str">
        <f aca="false">IF(OR($A132="",$T132=0,NOT(ISNUMBER($G132)),$G132&lt;=0),"",$S132/$G132)</f>
        <v/>
      </c>
      <c r="W132" s="26" t="str">
        <f aca="false">IF($D132="","",IF($Q132=0,"DONNEES MANQUANTES",IF($D132="STOCK EXISTANT",IF($R132&lt;=0,"EMPLACEMENT INCOHERENT",IF($G132&gt;$R132+0.001,"STOCK INSUFFISANT",IF($T132=0,"EN COURS",IF($S132&gt;$G132+0.001,"BLOQUE",IF(AND($U132&gt;P_TOL,$L132=""),"A JUSTIFIER","OK"))))),IF($T132=0,"EN COURS",IF($S132&gt;$G132+0.001,"BLOQUE",IF(AND($U132&gt;P_TOL,$L132=""),"A JUSTIFIER","OK"))))))</f>
        <v/>
      </c>
      <c r="X132" s="28" t="n">
        <f aca="false">IF(OR($W132="",$W132="DONNEES MANQUANTES",$W132="EMPLACEMENT INCOHERENT",$W132="STOCK INSUFFISANT"),0,1)</f>
        <v>0</v>
      </c>
      <c r="Y132" s="26" t="str">
        <f aca="false">IF($D132="","",IF($Q132=0,"A COMPLETER : "&amp;IF($B132="","DATE ENVOI; ","")&amp;IF($C132="","SOUS-TRAITANT; ","")&amp;IF($E132="","LOT SOURCE; ","")&amp;IF(OR(NOT(ISNUMBER($G132)),$G132&lt;=0),"QTE ENVOYEE &gt; 0; ","")&amp;IF(AND($D132="STOCK EXISTANT",$F132=""),"EMPL. SOURCE; ",""),IF($W132="EMPLACEMENT INCOHERENT","Le lot "&amp;$E132&amp;" n'existe pas sur "&amp;$F132&amp;" (stock 0).",IF($W132="STOCK INSUFFISANT","Disponible avant envoi : "&amp;TEXT($R132,"#,##0.00")&amp;" kg. Ligne NON comptee en stock.",IF($W132="BLOQUE","Total des sorties ("&amp;TEXT($S132,"#,##0.00")&amp;" kg) superieur a la quantite envoyee.",IF($W132="EN COURS","Envoi enregistre, resultats non connus. A completer dans ST_RESULTATS.",IF($W132="A JUSTIFIER","Ecart de "&amp;TEXT($U132,"#,##0.00")&amp;" kg : renseigner JUSTIFICATION ECART (colonne L).",IF($O132="LOT NON REFERENCE","Creer d'abord la fiche du lot dans l'onglet LOTS.",""))))))))</f>
        <v/>
      </c>
      <c r="Z132" s="27" t="n">
        <f aca="false">IF(OR($X132=0,$T132&gt;0),0,$G132)</f>
        <v>0</v>
      </c>
      <c r="AA132" s="26" t="n">
        <f aca="false">IF($Q132=0,0,IF(OR($E132=R_LOT,COUNTIFS(RES_IDST,$A132,RES_LOTEFF,R_LOT)&gt;0),1,0))</f>
        <v>0</v>
      </c>
      <c r="AB132" s="26" t="str">
        <f aca="false">IF($AA132=0,"",COUNTIF($AA$5:$AA132,1))</f>
        <v/>
      </c>
    </row>
    <row r="133" customFormat="false" ht="15" hidden="false" customHeight="false" outlineLevel="0" collapsed="false">
      <c r="A133" s="26" t="str">
        <f aca="false">IF($D133="","","ST-"&amp;TEXT(ROW()-4,"000"))</f>
        <v/>
      </c>
      <c r="B133" s="25"/>
      <c r="C133" s="24"/>
      <c r="D133" s="24"/>
      <c r="E133" s="24"/>
      <c r="F133" s="24"/>
      <c r="G133" s="29"/>
      <c r="H133" s="24"/>
      <c r="I133" s="24"/>
      <c r="J133" s="24"/>
      <c r="K133" s="25"/>
      <c r="L133" s="24"/>
      <c r="M133" s="24"/>
      <c r="N133" s="24"/>
      <c r="O133" s="26" t="str">
        <f aca="false">IF($E133="","",IFERROR(INDEX(LOT_PRODE,MATCH($E133,LOT_KEY,0)),"LOT NON REFERENCE"))</f>
        <v/>
      </c>
      <c r="P133" s="26" t="str">
        <f aca="false">IF($E133="","",IFERROR(INDEX(LOT_FOURNE,MATCH($E133,LOT_KEY,0)),""))</f>
        <v/>
      </c>
      <c r="Q133" s="28" t="n">
        <f aca="false">IF($D133="",0,IF(OR($B133="",$C133="",$E133="",NOT(ISNUMBER($G133)),$G133&lt;=0),0,IF($D133="STOCK EXISTANT",IF($F133="",0,1),1)))</f>
        <v>0</v>
      </c>
      <c r="R133" s="27" t="str">
        <f aca="false">IF(OR($Q133=0,$D133&lt;&gt;"STOCK EXISTANT"),"",SUMIFS(MVT_BRUT,MVT_LOT,$E133,MVT_EMPL,$F133)+$G133)</f>
        <v/>
      </c>
      <c r="S133" s="27" t="str">
        <f aca="false">IF($A133="","",SUMIFS(RES_QTEVAL,RES_IDST,$A133))</f>
        <v/>
      </c>
      <c r="T133" s="28" t="str">
        <f aca="false">IF($A133="","",COUNTIFS(RES_IDST,$A133))</f>
        <v/>
      </c>
      <c r="U133" s="27" t="str">
        <f aca="false">IF(OR($A133="",$T133=0),"",$G133-$S133)</f>
        <v/>
      </c>
      <c r="V133" s="30" t="str">
        <f aca="false">IF(OR($A133="",$T133=0,NOT(ISNUMBER($G133)),$G133&lt;=0),"",$S133/$G133)</f>
        <v/>
      </c>
      <c r="W133" s="26" t="str">
        <f aca="false">IF($D133="","",IF($Q133=0,"DONNEES MANQUANTES",IF($D133="STOCK EXISTANT",IF($R133&lt;=0,"EMPLACEMENT INCOHERENT",IF($G133&gt;$R133+0.001,"STOCK INSUFFISANT",IF($T133=0,"EN COURS",IF($S133&gt;$G133+0.001,"BLOQUE",IF(AND($U133&gt;P_TOL,$L133=""),"A JUSTIFIER","OK"))))),IF($T133=0,"EN COURS",IF($S133&gt;$G133+0.001,"BLOQUE",IF(AND($U133&gt;P_TOL,$L133=""),"A JUSTIFIER","OK"))))))</f>
        <v/>
      </c>
      <c r="X133" s="28" t="n">
        <f aca="false">IF(OR($W133="",$W133="DONNEES MANQUANTES",$W133="EMPLACEMENT INCOHERENT",$W133="STOCK INSUFFISANT"),0,1)</f>
        <v>0</v>
      </c>
      <c r="Y133" s="26" t="str">
        <f aca="false">IF($D133="","",IF($Q133=0,"A COMPLETER : "&amp;IF($B133="","DATE ENVOI; ","")&amp;IF($C133="","SOUS-TRAITANT; ","")&amp;IF($E133="","LOT SOURCE; ","")&amp;IF(OR(NOT(ISNUMBER($G133)),$G133&lt;=0),"QTE ENVOYEE &gt; 0; ","")&amp;IF(AND($D133="STOCK EXISTANT",$F133=""),"EMPL. SOURCE; ",""),IF($W133="EMPLACEMENT INCOHERENT","Le lot "&amp;$E133&amp;" n'existe pas sur "&amp;$F133&amp;" (stock 0).",IF($W133="STOCK INSUFFISANT","Disponible avant envoi : "&amp;TEXT($R133,"#,##0.00")&amp;" kg. Ligne NON comptee en stock.",IF($W133="BLOQUE","Total des sorties ("&amp;TEXT($S133,"#,##0.00")&amp;" kg) superieur a la quantite envoyee.",IF($W133="EN COURS","Envoi enregistre, resultats non connus. A completer dans ST_RESULTATS.",IF($W133="A JUSTIFIER","Ecart de "&amp;TEXT($U133,"#,##0.00")&amp;" kg : renseigner JUSTIFICATION ECART (colonne L).",IF($O133="LOT NON REFERENCE","Creer d'abord la fiche du lot dans l'onglet LOTS.",""))))))))</f>
        <v/>
      </c>
      <c r="Z133" s="27" t="n">
        <f aca="false">IF(OR($X133=0,$T133&gt;0),0,$G133)</f>
        <v>0</v>
      </c>
      <c r="AA133" s="26" t="n">
        <f aca="false">IF($Q133=0,0,IF(OR($E133=R_LOT,COUNTIFS(RES_IDST,$A133,RES_LOTEFF,R_LOT)&gt;0),1,0))</f>
        <v>0</v>
      </c>
      <c r="AB133" s="26" t="str">
        <f aca="false">IF($AA133=0,"",COUNTIF($AA$5:$AA133,1))</f>
        <v/>
      </c>
    </row>
    <row r="134" customFormat="false" ht="15" hidden="false" customHeight="false" outlineLevel="0" collapsed="false">
      <c r="A134" s="26" t="str">
        <f aca="false">IF($D134="","","ST-"&amp;TEXT(ROW()-4,"000"))</f>
        <v/>
      </c>
      <c r="B134" s="25"/>
      <c r="C134" s="24"/>
      <c r="D134" s="24"/>
      <c r="E134" s="24"/>
      <c r="F134" s="24"/>
      <c r="G134" s="29"/>
      <c r="H134" s="24"/>
      <c r="I134" s="24"/>
      <c r="J134" s="24"/>
      <c r="K134" s="25"/>
      <c r="L134" s="24"/>
      <c r="M134" s="24"/>
      <c r="N134" s="24"/>
      <c r="O134" s="26" t="str">
        <f aca="false">IF($E134="","",IFERROR(INDEX(LOT_PRODE,MATCH($E134,LOT_KEY,0)),"LOT NON REFERENCE"))</f>
        <v/>
      </c>
      <c r="P134" s="26" t="str">
        <f aca="false">IF($E134="","",IFERROR(INDEX(LOT_FOURNE,MATCH($E134,LOT_KEY,0)),""))</f>
        <v/>
      </c>
      <c r="Q134" s="28" t="n">
        <f aca="false">IF($D134="",0,IF(OR($B134="",$C134="",$E134="",NOT(ISNUMBER($G134)),$G134&lt;=0),0,IF($D134="STOCK EXISTANT",IF($F134="",0,1),1)))</f>
        <v>0</v>
      </c>
      <c r="R134" s="27" t="str">
        <f aca="false">IF(OR($Q134=0,$D134&lt;&gt;"STOCK EXISTANT"),"",SUMIFS(MVT_BRUT,MVT_LOT,$E134,MVT_EMPL,$F134)+$G134)</f>
        <v/>
      </c>
      <c r="S134" s="27" t="str">
        <f aca="false">IF($A134="","",SUMIFS(RES_QTEVAL,RES_IDST,$A134))</f>
        <v/>
      </c>
      <c r="T134" s="28" t="str">
        <f aca="false">IF($A134="","",COUNTIFS(RES_IDST,$A134))</f>
        <v/>
      </c>
      <c r="U134" s="27" t="str">
        <f aca="false">IF(OR($A134="",$T134=0),"",$G134-$S134)</f>
        <v/>
      </c>
      <c r="V134" s="30" t="str">
        <f aca="false">IF(OR($A134="",$T134=0,NOT(ISNUMBER($G134)),$G134&lt;=0),"",$S134/$G134)</f>
        <v/>
      </c>
      <c r="W134" s="26" t="str">
        <f aca="false">IF($D134="","",IF($Q134=0,"DONNEES MANQUANTES",IF($D134="STOCK EXISTANT",IF($R134&lt;=0,"EMPLACEMENT INCOHERENT",IF($G134&gt;$R134+0.001,"STOCK INSUFFISANT",IF($T134=0,"EN COURS",IF($S134&gt;$G134+0.001,"BLOQUE",IF(AND($U134&gt;P_TOL,$L134=""),"A JUSTIFIER","OK"))))),IF($T134=0,"EN COURS",IF($S134&gt;$G134+0.001,"BLOQUE",IF(AND($U134&gt;P_TOL,$L134=""),"A JUSTIFIER","OK"))))))</f>
        <v/>
      </c>
      <c r="X134" s="28" t="n">
        <f aca="false">IF(OR($W134="",$W134="DONNEES MANQUANTES",$W134="EMPLACEMENT INCOHERENT",$W134="STOCK INSUFFISANT"),0,1)</f>
        <v>0</v>
      </c>
      <c r="Y134" s="26" t="str">
        <f aca="false">IF($D134="","",IF($Q134=0,"A COMPLETER : "&amp;IF($B134="","DATE ENVOI; ","")&amp;IF($C134="","SOUS-TRAITANT; ","")&amp;IF($E134="","LOT SOURCE; ","")&amp;IF(OR(NOT(ISNUMBER($G134)),$G134&lt;=0),"QTE ENVOYEE &gt; 0; ","")&amp;IF(AND($D134="STOCK EXISTANT",$F134=""),"EMPL. SOURCE; ",""),IF($W134="EMPLACEMENT INCOHERENT","Le lot "&amp;$E134&amp;" n'existe pas sur "&amp;$F134&amp;" (stock 0).",IF($W134="STOCK INSUFFISANT","Disponible avant envoi : "&amp;TEXT($R134,"#,##0.00")&amp;" kg. Ligne NON comptee en stock.",IF($W134="BLOQUE","Total des sorties ("&amp;TEXT($S134,"#,##0.00")&amp;" kg) superieur a la quantite envoyee.",IF($W134="EN COURS","Envoi enregistre, resultats non connus. A completer dans ST_RESULTATS.",IF($W134="A JUSTIFIER","Ecart de "&amp;TEXT($U134,"#,##0.00")&amp;" kg : renseigner JUSTIFICATION ECART (colonne L).",IF($O134="LOT NON REFERENCE","Creer d'abord la fiche du lot dans l'onglet LOTS.",""))))))))</f>
        <v/>
      </c>
      <c r="Z134" s="27" t="n">
        <f aca="false">IF(OR($X134=0,$T134&gt;0),0,$G134)</f>
        <v>0</v>
      </c>
      <c r="AA134" s="26" t="n">
        <f aca="false">IF($Q134=0,0,IF(OR($E134=R_LOT,COUNTIFS(RES_IDST,$A134,RES_LOTEFF,R_LOT)&gt;0),1,0))</f>
        <v>0</v>
      </c>
      <c r="AB134" s="26" t="str">
        <f aca="false">IF($AA134=0,"",COUNTIF($AA$5:$AA134,1))</f>
        <v/>
      </c>
    </row>
    <row r="135" customFormat="false" ht="15" hidden="false" customHeight="false" outlineLevel="0" collapsed="false">
      <c r="A135" s="26" t="str">
        <f aca="false">IF($D135="","","ST-"&amp;TEXT(ROW()-4,"000"))</f>
        <v/>
      </c>
      <c r="B135" s="25"/>
      <c r="C135" s="24"/>
      <c r="D135" s="24"/>
      <c r="E135" s="24"/>
      <c r="F135" s="24"/>
      <c r="G135" s="29"/>
      <c r="H135" s="24"/>
      <c r="I135" s="24"/>
      <c r="J135" s="24"/>
      <c r="K135" s="25"/>
      <c r="L135" s="24"/>
      <c r="M135" s="24"/>
      <c r="N135" s="24"/>
      <c r="O135" s="26" t="str">
        <f aca="false">IF($E135="","",IFERROR(INDEX(LOT_PRODE,MATCH($E135,LOT_KEY,0)),"LOT NON REFERENCE"))</f>
        <v/>
      </c>
      <c r="P135" s="26" t="str">
        <f aca="false">IF($E135="","",IFERROR(INDEX(LOT_FOURNE,MATCH($E135,LOT_KEY,0)),""))</f>
        <v/>
      </c>
      <c r="Q135" s="28" t="n">
        <f aca="false">IF($D135="",0,IF(OR($B135="",$C135="",$E135="",NOT(ISNUMBER($G135)),$G135&lt;=0),0,IF($D135="STOCK EXISTANT",IF($F135="",0,1),1)))</f>
        <v>0</v>
      </c>
      <c r="R135" s="27" t="str">
        <f aca="false">IF(OR($Q135=0,$D135&lt;&gt;"STOCK EXISTANT"),"",SUMIFS(MVT_BRUT,MVT_LOT,$E135,MVT_EMPL,$F135)+$G135)</f>
        <v/>
      </c>
      <c r="S135" s="27" t="str">
        <f aca="false">IF($A135="","",SUMIFS(RES_QTEVAL,RES_IDST,$A135))</f>
        <v/>
      </c>
      <c r="T135" s="28" t="str">
        <f aca="false">IF($A135="","",COUNTIFS(RES_IDST,$A135))</f>
        <v/>
      </c>
      <c r="U135" s="27" t="str">
        <f aca="false">IF(OR($A135="",$T135=0),"",$G135-$S135)</f>
        <v/>
      </c>
      <c r="V135" s="30" t="str">
        <f aca="false">IF(OR($A135="",$T135=0,NOT(ISNUMBER($G135)),$G135&lt;=0),"",$S135/$G135)</f>
        <v/>
      </c>
      <c r="W135" s="26" t="str">
        <f aca="false">IF($D135="","",IF($Q135=0,"DONNEES MANQUANTES",IF($D135="STOCK EXISTANT",IF($R135&lt;=0,"EMPLACEMENT INCOHERENT",IF($G135&gt;$R135+0.001,"STOCK INSUFFISANT",IF($T135=0,"EN COURS",IF($S135&gt;$G135+0.001,"BLOQUE",IF(AND($U135&gt;P_TOL,$L135=""),"A JUSTIFIER","OK"))))),IF($T135=0,"EN COURS",IF($S135&gt;$G135+0.001,"BLOQUE",IF(AND($U135&gt;P_TOL,$L135=""),"A JUSTIFIER","OK"))))))</f>
        <v/>
      </c>
      <c r="X135" s="28" t="n">
        <f aca="false">IF(OR($W135="",$W135="DONNEES MANQUANTES",$W135="EMPLACEMENT INCOHERENT",$W135="STOCK INSUFFISANT"),0,1)</f>
        <v>0</v>
      </c>
      <c r="Y135" s="26" t="str">
        <f aca="false">IF($D135="","",IF($Q135=0,"A COMPLETER : "&amp;IF($B135="","DATE ENVOI; ","")&amp;IF($C135="","SOUS-TRAITANT; ","")&amp;IF($E135="","LOT SOURCE; ","")&amp;IF(OR(NOT(ISNUMBER($G135)),$G135&lt;=0),"QTE ENVOYEE &gt; 0; ","")&amp;IF(AND($D135="STOCK EXISTANT",$F135=""),"EMPL. SOURCE; ",""),IF($W135="EMPLACEMENT INCOHERENT","Le lot "&amp;$E135&amp;" n'existe pas sur "&amp;$F135&amp;" (stock 0).",IF($W135="STOCK INSUFFISANT","Disponible avant envoi : "&amp;TEXT($R135,"#,##0.00")&amp;" kg. Ligne NON comptee en stock.",IF($W135="BLOQUE","Total des sorties ("&amp;TEXT($S135,"#,##0.00")&amp;" kg) superieur a la quantite envoyee.",IF($W135="EN COURS","Envoi enregistre, resultats non connus. A completer dans ST_RESULTATS.",IF($W135="A JUSTIFIER","Ecart de "&amp;TEXT($U135,"#,##0.00")&amp;" kg : renseigner JUSTIFICATION ECART (colonne L).",IF($O135="LOT NON REFERENCE","Creer d'abord la fiche du lot dans l'onglet LOTS.",""))))))))</f>
        <v/>
      </c>
      <c r="Z135" s="27" t="n">
        <f aca="false">IF(OR($X135=0,$T135&gt;0),0,$G135)</f>
        <v>0</v>
      </c>
      <c r="AA135" s="26" t="n">
        <f aca="false">IF($Q135=0,0,IF(OR($E135=R_LOT,COUNTIFS(RES_IDST,$A135,RES_LOTEFF,R_LOT)&gt;0),1,0))</f>
        <v>0</v>
      </c>
      <c r="AB135" s="26" t="str">
        <f aca="false">IF($AA135=0,"",COUNTIF($AA$5:$AA135,1))</f>
        <v/>
      </c>
    </row>
    <row r="136" customFormat="false" ht="15" hidden="false" customHeight="false" outlineLevel="0" collapsed="false">
      <c r="A136" s="26" t="str">
        <f aca="false">IF($D136="","","ST-"&amp;TEXT(ROW()-4,"000"))</f>
        <v/>
      </c>
      <c r="B136" s="25"/>
      <c r="C136" s="24"/>
      <c r="D136" s="24"/>
      <c r="E136" s="24"/>
      <c r="F136" s="24"/>
      <c r="G136" s="29"/>
      <c r="H136" s="24"/>
      <c r="I136" s="24"/>
      <c r="J136" s="24"/>
      <c r="K136" s="25"/>
      <c r="L136" s="24"/>
      <c r="M136" s="24"/>
      <c r="N136" s="24"/>
      <c r="O136" s="26" t="str">
        <f aca="false">IF($E136="","",IFERROR(INDEX(LOT_PRODE,MATCH($E136,LOT_KEY,0)),"LOT NON REFERENCE"))</f>
        <v/>
      </c>
      <c r="P136" s="26" t="str">
        <f aca="false">IF($E136="","",IFERROR(INDEX(LOT_FOURNE,MATCH($E136,LOT_KEY,0)),""))</f>
        <v/>
      </c>
      <c r="Q136" s="28" t="n">
        <f aca="false">IF($D136="",0,IF(OR($B136="",$C136="",$E136="",NOT(ISNUMBER($G136)),$G136&lt;=0),0,IF($D136="STOCK EXISTANT",IF($F136="",0,1),1)))</f>
        <v>0</v>
      </c>
      <c r="R136" s="27" t="str">
        <f aca="false">IF(OR($Q136=0,$D136&lt;&gt;"STOCK EXISTANT"),"",SUMIFS(MVT_BRUT,MVT_LOT,$E136,MVT_EMPL,$F136)+$G136)</f>
        <v/>
      </c>
      <c r="S136" s="27" t="str">
        <f aca="false">IF($A136="","",SUMIFS(RES_QTEVAL,RES_IDST,$A136))</f>
        <v/>
      </c>
      <c r="T136" s="28" t="str">
        <f aca="false">IF($A136="","",COUNTIFS(RES_IDST,$A136))</f>
        <v/>
      </c>
      <c r="U136" s="27" t="str">
        <f aca="false">IF(OR($A136="",$T136=0),"",$G136-$S136)</f>
        <v/>
      </c>
      <c r="V136" s="30" t="str">
        <f aca="false">IF(OR($A136="",$T136=0,NOT(ISNUMBER($G136)),$G136&lt;=0),"",$S136/$G136)</f>
        <v/>
      </c>
      <c r="W136" s="26" t="str">
        <f aca="false">IF($D136="","",IF($Q136=0,"DONNEES MANQUANTES",IF($D136="STOCK EXISTANT",IF($R136&lt;=0,"EMPLACEMENT INCOHERENT",IF($G136&gt;$R136+0.001,"STOCK INSUFFISANT",IF($T136=0,"EN COURS",IF($S136&gt;$G136+0.001,"BLOQUE",IF(AND($U136&gt;P_TOL,$L136=""),"A JUSTIFIER","OK"))))),IF($T136=0,"EN COURS",IF($S136&gt;$G136+0.001,"BLOQUE",IF(AND($U136&gt;P_TOL,$L136=""),"A JUSTIFIER","OK"))))))</f>
        <v/>
      </c>
      <c r="X136" s="28" t="n">
        <f aca="false">IF(OR($W136="",$W136="DONNEES MANQUANTES",$W136="EMPLACEMENT INCOHERENT",$W136="STOCK INSUFFISANT"),0,1)</f>
        <v>0</v>
      </c>
      <c r="Y136" s="26" t="str">
        <f aca="false">IF($D136="","",IF($Q136=0,"A COMPLETER : "&amp;IF($B136="","DATE ENVOI; ","")&amp;IF($C136="","SOUS-TRAITANT; ","")&amp;IF($E136="","LOT SOURCE; ","")&amp;IF(OR(NOT(ISNUMBER($G136)),$G136&lt;=0),"QTE ENVOYEE &gt; 0; ","")&amp;IF(AND($D136="STOCK EXISTANT",$F136=""),"EMPL. SOURCE; ",""),IF($W136="EMPLACEMENT INCOHERENT","Le lot "&amp;$E136&amp;" n'existe pas sur "&amp;$F136&amp;" (stock 0).",IF($W136="STOCK INSUFFISANT","Disponible avant envoi : "&amp;TEXT($R136,"#,##0.00")&amp;" kg. Ligne NON comptee en stock.",IF($W136="BLOQUE","Total des sorties ("&amp;TEXT($S136,"#,##0.00")&amp;" kg) superieur a la quantite envoyee.",IF($W136="EN COURS","Envoi enregistre, resultats non connus. A completer dans ST_RESULTATS.",IF($W136="A JUSTIFIER","Ecart de "&amp;TEXT($U136,"#,##0.00")&amp;" kg : renseigner JUSTIFICATION ECART (colonne L).",IF($O136="LOT NON REFERENCE","Creer d'abord la fiche du lot dans l'onglet LOTS.",""))))))))</f>
        <v/>
      </c>
      <c r="Z136" s="27" t="n">
        <f aca="false">IF(OR($X136=0,$T136&gt;0),0,$G136)</f>
        <v>0</v>
      </c>
      <c r="AA136" s="26" t="n">
        <f aca="false">IF($Q136=0,0,IF(OR($E136=R_LOT,COUNTIFS(RES_IDST,$A136,RES_LOTEFF,R_LOT)&gt;0),1,0))</f>
        <v>0</v>
      </c>
      <c r="AB136" s="26" t="str">
        <f aca="false">IF($AA136=0,"",COUNTIF($AA$5:$AA136,1))</f>
        <v/>
      </c>
    </row>
    <row r="137" customFormat="false" ht="15" hidden="false" customHeight="false" outlineLevel="0" collapsed="false">
      <c r="A137" s="26" t="str">
        <f aca="false">IF($D137="","","ST-"&amp;TEXT(ROW()-4,"000"))</f>
        <v/>
      </c>
      <c r="B137" s="25"/>
      <c r="C137" s="24"/>
      <c r="D137" s="24"/>
      <c r="E137" s="24"/>
      <c r="F137" s="24"/>
      <c r="G137" s="29"/>
      <c r="H137" s="24"/>
      <c r="I137" s="24"/>
      <c r="J137" s="24"/>
      <c r="K137" s="25"/>
      <c r="L137" s="24"/>
      <c r="M137" s="24"/>
      <c r="N137" s="24"/>
      <c r="O137" s="26" t="str">
        <f aca="false">IF($E137="","",IFERROR(INDEX(LOT_PRODE,MATCH($E137,LOT_KEY,0)),"LOT NON REFERENCE"))</f>
        <v/>
      </c>
      <c r="P137" s="26" t="str">
        <f aca="false">IF($E137="","",IFERROR(INDEX(LOT_FOURNE,MATCH($E137,LOT_KEY,0)),""))</f>
        <v/>
      </c>
      <c r="Q137" s="28" t="n">
        <f aca="false">IF($D137="",0,IF(OR($B137="",$C137="",$E137="",NOT(ISNUMBER($G137)),$G137&lt;=0),0,IF($D137="STOCK EXISTANT",IF($F137="",0,1),1)))</f>
        <v>0</v>
      </c>
      <c r="R137" s="27" t="str">
        <f aca="false">IF(OR($Q137=0,$D137&lt;&gt;"STOCK EXISTANT"),"",SUMIFS(MVT_BRUT,MVT_LOT,$E137,MVT_EMPL,$F137)+$G137)</f>
        <v/>
      </c>
      <c r="S137" s="27" t="str">
        <f aca="false">IF($A137="","",SUMIFS(RES_QTEVAL,RES_IDST,$A137))</f>
        <v/>
      </c>
      <c r="T137" s="28" t="str">
        <f aca="false">IF($A137="","",COUNTIFS(RES_IDST,$A137))</f>
        <v/>
      </c>
      <c r="U137" s="27" t="str">
        <f aca="false">IF(OR($A137="",$T137=0),"",$G137-$S137)</f>
        <v/>
      </c>
      <c r="V137" s="30" t="str">
        <f aca="false">IF(OR($A137="",$T137=0,NOT(ISNUMBER($G137)),$G137&lt;=0),"",$S137/$G137)</f>
        <v/>
      </c>
      <c r="W137" s="26" t="str">
        <f aca="false">IF($D137="","",IF($Q137=0,"DONNEES MANQUANTES",IF($D137="STOCK EXISTANT",IF($R137&lt;=0,"EMPLACEMENT INCOHERENT",IF($G137&gt;$R137+0.001,"STOCK INSUFFISANT",IF($T137=0,"EN COURS",IF($S137&gt;$G137+0.001,"BLOQUE",IF(AND($U137&gt;P_TOL,$L137=""),"A JUSTIFIER","OK"))))),IF($T137=0,"EN COURS",IF($S137&gt;$G137+0.001,"BLOQUE",IF(AND($U137&gt;P_TOL,$L137=""),"A JUSTIFIER","OK"))))))</f>
        <v/>
      </c>
      <c r="X137" s="28" t="n">
        <f aca="false">IF(OR($W137="",$W137="DONNEES MANQUANTES",$W137="EMPLACEMENT INCOHERENT",$W137="STOCK INSUFFISANT"),0,1)</f>
        <v>0</v>
      </c>
      <c r="Y137" s="26" t="str">
        <f aca="false">IF($D137="","",IF($Q137=0,"A COMPLETER : "&amp;IF($B137="","DATE ENVOI; ","")&amp;IF($C137="","SOUS-TRAITANT; ","")&amp;IF($E137="","LOT SOURCE; ","")&amp;IF(OR(NOT(ISNUMBER($G137)),$G137&lt;=0),"QTE ENVOYEE &gt; 0; ","")&amp;IF(AND($D137="STOCK EXISTANT",$F137=""),"EMPL. SOURCE; ",""),IF($W137="EMPLACEMENT INCOHERENT","Le lot "&amp;$E137&amp;" n'existe pas sur "&amp;$F137&amp;" (stock 0).",IF($W137="STOCK INSUFFISANT","Disponible avant envoi : "&amp;TEXT($R137,"#,##0.00")&amp;" kg. Ligne NON comptee en stock.",IF($W137="BLOQUE","Total des sorties ("&amp;TEXT($S137,"#,##0.00")&amp;" kg) superieur a la quantite envoyee.",IF($W137="EN COURS","Envoi enregistre, resultats non connus. A completer dans ST_RESULTATS.",IF($W137="A JUSTIFIER","Ecart de "&amp;TEXT($U137,"#,##0.00")&amp;" kg : renseigner JUSTIFICATION ECART (colonne L).",IF($O137="LOT NON REFERENCE","Creer d'abord la fiche du lot dans l'onglet LOTS.",""))))))))</f>
        <v/>
      </c>
      <c r="Z137" s="27" t="n">
        <f aca="false">IF(OR($X137=0,$T137&gt;0),0,$G137)</f>
        <v>0</v>
      </c>
      <c r="AA137" s="26" t="n">
        <f aca="false">IF($Q137=0,0,IF(OR($E137=R_LOT,COUNTIFS(RES_IDST,$A137,RES_LOTEFF,R_LOT)&gt;0),1,0))</f>
        <v>0</v>
      </c>
      <c r="AB137" s="26" t="str">
        <f aca="false">IF($AA137=0,"",COUNTIF($AA$5:$AA137,1))</f>
        <v/>
      </c>
    </row>
    <row r="138" customFormat="false" ht="15" hidden="false" customHeight="false" outlineLevel="0" collapsed="false">
      <c r="A138" s="26" t="str">
        <f aca="false">IF($D138="","","ST-"&amp;TEXT(ROW()-4,"000"))</f>
        <v/>
      </c>
      <c r="B138" s="25"/>
      <c r="C138" s="24"/>
      <c r="D138" s="24"/>
      <c r="E138" s="24"/>
      <c r="F138" s="24"/>
      <c r="G138" s="29"/>
      <c r="H138" s="24"/>
      <c r="I138" s="24"/>
      <c r="J138" s="24"/>
      <c r="K138" s="25"/>
      <c r="L138" s="24"/>
      <c r="M138" s="24"/>
      <c r="N138" s="24"/>
      <c r="O138" s="26" t="str">
        <f aca="false">IF($E138="","",IFERROR(INDEX(LOT_PRODE,MATCH($E138,LOT_KEY,0)),"LOT NON REFERENCE"))</f>
        <v/>
      </c>
      <c r="P138" s="26" t="str">
        <f aca="false">IF($E138="","",IFERROR(INDEX(LOT_FOURNE,MATCH($E138,LOT_KEY,0)),""))</f>
        <v/>
      </c>
      <c r="Q138" s="28" t="n">
        <f aca="false">IF($D138="",0,IF(OR($B138="",$C138="",$E138="",NOT(ISNUMBER($G138)),$G138&lt;=0),0,IF($D138="STOCK EXISTANT",IF($F138="",0,1),1)))</f>
        <v>0</v>
      </c>
      <c r="R138" s="27" t="str">
        <f aca="false">IF(OR($Q138=0,$D138&lt;&gt;"STOCK EXISTANT"),"",SUMIFS(MVT_BRUT,MVT_LOT,$E138,MVT_EMPL,$F138)+$G138)</f>
        <v/>
      </c>
      <c r="S138" s="27" t="str">
        <f aca="false">IF($A138="","",SUMIFS(RES_QTEVAL,RES_IDST,$A138))</f>
        <v/>
      </c>
      <c r="T138" s="28" t="str">
        <f aca="false">IF($A138="","",COUNTIFS(RES_IDST,$A138))</f>
        <v/>
      </c>
      <c r="U138" s="27" t="str">
        <f aca="false">IF(OR($A138="",$T138=0),"",$G138-$S138)</f>
        <v/>
      </c>
      <c r="V138" s="30" t="str">
        <f aca="false">IF(OR($A138="",$T138=0,NOT(ISNUMBER($G138)),$G138&lt;=0),"",$S138/$G138)</f>
        <v/>
      </c>
      <c r="W138" s="26" t="str">
        <f aca="false">IF($D138="","",IF($Q138=0,"DONNEES MANQUANTES",IF($D138="STOCK EXISTANT",IF($R138&lt;=0,"EMPLACEMENT INCOHERENT",IF($G138&gt;$R138+0.001,"STOCK INSUFFISANT",IF($T138=0,"EN COURS",IF($S138&gt;$G138+0.001,"BLOQUE",IF(AND($U138&gt;P_TOL,$L138=""),"A JUSTIFIER","OK"))))),IF($T138=0,"EN COURS",IF($S138&gt;$G138+0.001,"BLOQUE",IF(AND($U138&gt;P_TOL,$L138=""),"A JUSTIFIER","OK"))))))</f>
        <v/>
      </c>
      <c r="X138" s="28" t="n">
        <f aca="false">IF(OR($W138="",$W138="DONNEES MANQUANTES",$W138="EMPLACEMENT INCOHERENT",$W138="STOCK INSUFFISANT"),0,1)</f>
        <v>0</v>
      </c>
      <c r="Y138" s="26" t="str">
        <f aca="false">IF($D138="","",IF($Q138=0,"A COMPLETER : "&amp;IF($B138="","DATE ENVOI; ","")&amp;IF($C138="","SOUS-TRAITANT; ","")&amp;IF($E138="","LOT SOURCE; ","")&amp;IF(OR(NOT(ISNUMBER($G138)),$G138&lt;=0),"QTE ENVOYEE &gt; 0; ","")&amp;IF(AND($D138="STOCK EXISTANT",$F138=""),"EMPL. SOURCE; ",""),IF($W138="EMPLACEMENT INCOHERENT","Le lot "&amp;$E138&amp;" n'existe pas sur "&amp;$F138&amp;" (stock 0).",IF($W138="STOCK INSUFFISANT","Disponible avant envoi : "&amp;TEXT($R138,"#,##0.00")&amp;" kg. Ligne NON comptee en stock.",IF($W138="BLOQUE","Total des sorties ("&amp;TEXT($S138,"#,##0.00")&amp;" kg) superieur a la quantite envoyee.",IF($W138="EN COURS","Envoi enregistre, resultats non connus. A completer dans ST_RESULTATS.",IF($W138="A JUSTIFIER","Ecart de "&amp;TEXT($U138,"#,##0.00")&amp;" kg : renseigner JUSTIFICATION ECART (colonne L).",IF($O138="LOT NON REFERENCE","Creer d'abord la fiche du lot dans l'onglet LOTS.",""))))))))</f>
        <v/>
      </c>
      <c r="Z138" s="27" t="n">
        <f aca="false">IF(OR($X138=0,$T138&gt;0),0,$G138)</f>
        <v>0</v>
      </c>
      <c r="AA138" s="26" t="n">
        <f aca="false">IF($Q138=0,0,IF(OR($E138=R_LOT,COUNTIFS(RES_IDST,$A138,RES_LOTEFF,R_LOT)&gt;0),1,0))</f>
        <v>0</v>
      </c>
      <c r="AB138" s="26" t="str">
        <f aca="false">IF($AA138=0,"",COUNTIF($AA$5:$AA138,1))</f>
        <v/>
      </c>
    </row>
    <row r="139" customFormat="false" ht="15" hidden="false" customHeight="false" outlineLevel="0" collapsed="false">
      <c r="A139" s="26" t="str">
        <f aca="false">IF($D139="","","ST-"&amp;TEXT(ROW()-4,"000"))</f>
        <v/>
      </c>
      <c r="B139" s="25"/>
      <c r="C139" s="24"/>
      <c r="D139" s="24"/>
      <c r="E139" s="24"/>
      <c r="F139" s="24"/>
      <c r="G139" s="29"/>
      <c r="H139" s="24"/>
      <c r="I139" s="24"/>
      <c r="J139" s="24"/>
      <c r="K139" s="25"/>
      <c r="L139" s="24"/>
      <c r="M139" s="24"/>
      <c r="N139" s="24"/>
      <c r="O139" s="26" t="str">
        <f aca="false">IF($E139="","",IFERROR(INDEX(LOT_PRODE,MATCH($E139,LOT_KEY,0)),"LOT NON REFERENCE"))</f>
        <v/>
      </c>
      <c r="P139" s="26" t="str">
        <f aca="false">IF($E139="","",IFERROR(INDEX(LOT_FOURNE,MATCH($E139,LOT_KEY,0)),""))</f>
        <v/>
      </c>
      <c r="Q139" s="28" t="n">
        <f aca="false">IF($D139="",0,IF(OR($B139="",$C139="",$E139="",NOT(ISNUMBER($G139)),$G139&lt;=0),0,IF($D139="STOCK EXISTANT",IF($F139="",0,1),1)))</f>
        <v>0</v>
      </c>
      <c r="R139" s="27" t="str">
        <f aca="false">IF(OR($Q139=0,$D139&lt;&gt;"STOCK EXISTANT"),"",SUMIFS(MVT_BRUT,MVT_LOT,$E139,MVT_EMPL,$F139)+$G139)</f>
        <v/>
      </c>
      <c r="S139" s="27" t="str">
        <f aca="false">IF($A139="","",SUMIFS(RES_QTEVAL,RES_IDST,$A139))</f>
        <v/>
      </c>
      <c r="T139" s="28" t="str">
        <f aca="false">IF($A139="","",COUNTIFS(RES_IDST,$A139))</f>
        <v/>
      </c>
      <c r="U139" s="27" t="str">
        <f aca="false">IF(OR($A139="",$T139=0),"",$G139-$S139)</f>
        <v/>
      </c>
      <c r="V139" s="30" t="str">
        <f aca="false">IF(OR($A139="",$T139=0,NOT(ISNUMBER($G139)),$G139&lt;=0),"",$S139/$G139)</f>
        <v/>
      </c>
      <c r="W139" s="26" t="str">
        <f aca="false">IF($D139="","",IF($Q139=0,"DONNEES MANQUANTES",IF($D139="STOCK EXISTANT",IF($R139&lt;=0,"EMPLACEMENT INCOHERENT",IF($G139&gt;$R139+0.001,"STOCK INSUFFISANT",IF($T139=0,"EN COURS",IF($S139&gt;$G139+0.001,"BLOQUE",IF(AND($U139&gt;P_TOL,$L139=""),"A JUSTIFIER","OK"))))),IF($T139=0,"EN COURS",IF($S139&gt;$G139+0.001,"BLOQUE",IF(AND($U139&gt;P_TOL,$L139=""),"A JUSTIFIER","OK"))))))</f>
        <v/>
      </c>
      <c r="X139" s="28" t="n">
        <f aca="false">IF(OR($W139="",$W139="DONNEES MANQUANTES",$W139="EMPLACEMENT INCOHERENT",$W139="STOCK INSUFFISANT"),0,1)</f>
        <v>0</v>
      </c>
      <c r="Y139" s="26" t="str">
        <f aca="false">IF($D139="","",IF($Q139=0,"A COMPLETER : "&amp;IF($B139="","DATE ENVOI; ","")&amp;IF($C139="","SOUS-TRAITANT; ","")&amp;IF($E139="","LOT SOURCE; ","")&amp;IF(OR(NOT(ISNUMBER($G139)),$G139&lt;=0),"QTE ENVOYEE &gt; 0; ","")&amp;IF(AND($D139="STOCK EXISTANT",$F139=""),"EMPL. SOURCE; ",""),IF($W139="EMPLACEMENT INCOHERENT","Le lot "&amp;$E139&amp;" n'existe pas sur "&amp;$F139&amp;" (stock 0).",IF($W139="STOCK INSUFFISANT","Disponible avant envoi : "&amp;TEXT($R139,"#,##0.00")&amp;" kg. Ligne NON comptee en stock.",IF($W139="BLOQUE","Total des sorties ("&amp;TEXT($S139,"#,##0.00")&amp;" kg) superieur a la quantite envoyee.",IF($W139="EN COURS","Envoi enregistre, resultats non connus. A completer dans ST_RESULTATS.",IF($W139="A JUSTIFIER","Ecart de "&amp;TEXT($U139,"#,##0.00")&amp;" kg : renseigner JUSTIFICATION ECART (colonne L).",IF($O139="LOT NON REFERENCE","Creer d'abord la fiche du lot dans l'onglet LOTS.",""))))))))</f>
        <v/>
      </c>
      <c r="Z139" s="27" t="n">
        <f aca="false">IF(OR($X139=0,$T139&gt;0),0,$G139)</f>
        <v>0</v>
      </c>
      <c r="AA139" s="26" t="n">
        <f aca="false">IF($Q139=0,0,IF(OR($E139=R_LOT,COUNTIFS(RES_IDST,$A139,RES_LOTEFF,R_LOT)&gt;0),1,0))</f>
        <v>0</v>
      </c>
      <c r="AB139" s="26" t="str">
        <f aca="false">IF($AA139=0,"",COUNTIF($AA$5:$AA139,1))</f>
        <v/>
      </c>
    </row>
    <row r="140" customFormat="false" ht="15" hidden="false" customHeight="false" outlineLevel="0" collapsed="false">
      <c r="A140" s="26" t="str">
        <f aca="false">IF($D140="","","ST-"&amp;TEXT(ROW()-4,"000"))</f>
        <v/>
      </c>
      <c r="B140" s="25"/>
      <c r="C140" s="24"/>
      <c r="D140" s="24"/>
      <c r="E140" s="24"/>
      <c r="F140" s="24"/>
      <c r="G140" s="29"/>
      <c r="H140" s="24"/>
      <c r="I140" s="24"/>
      <c r="J140" s="24"/>
      <c r="K140" s="25"/>
      <c r="L140" s="24"/>
      <c r="M140" s="24"/>
      <c r="N140" s="24"/>
      <c r="O140" s="26" t="str">
        <f aca="false">IF($E140="","",IFERROR(INDEX(LOT_PRODE,MATCH($E140,LOT_KEY,0)),"LOT NON REFERENCE"))</f>
        <v/>
      </c>
      <c r="P140" s="26" t="str">
        <f aca="false">IF($E140="","",IFERROR(INDEX(LOT_FOURNE,MATCH($E140,LOT_KEY,0)),""))</f>
        <v/>
      </c>
      <c r="Q140" s="28" t="n">
        <f aca="false">IF($D140="",0,IF(OR($B140="",$C140="",$E140="",NOT(ISNUMBER($G140)),$G140&lt;=0),0,IF($D140="STOCK EXISTANT",IF($F140="",0,1),1)))</f>
        <v>0</v>
      </c>
      <c r="R140" s="27" t="str">
        <f aca="false">IF(OR($Q140=0,$D140&lt;&gt;"STOCK EXISTANT"),"",SUMIFS(MVT_BRUT,MVT_LOT,$E140,MVT_EMPL,$F140)+$G140)</f>
        <v/>
      </c>
      <c r="S140" s="27" t="str">
        <f aca="false">IF($A140="","",SUMIFS(RES_QTEVAL,RES_IDST,$A140))</f>
        <v/>
      </c>
      <c r="T140" s="28" t="str">
        <f aca="false">IF($A140="","",COUNTIFS(RES_IDST,$A140))</f>
        <v/>
      </c>
      <c r="U140" s="27" t="str">
        <f aca="false">IF(OR($A140="",$T140=0),"",$G140-$S140)</f>
        <v/>
      </c>
      <c r="V140" s="30" t="str">
        <f aca="false">IF(OR($A140="",$T140=0,NOT(ISNUMBER($G140)),$G140&lt;=0),"",$S140/$G140)</f>
        <v/>
      </c>
      <c r="W140" s="26" t="str">
        <f aca="false">IF($D140="","",IF($Q140=0,"DONNEES MANQUANTES",IF($D140="STOCK EXISTANT",IF($R140&lt;=0,"EMPLACEMENT INCOHERENT",IF($G140&gt;$R140+0.001,"STOCK INSUFFISANT",IF($T140=0,"EN COURS",IF($S140&gt;$G140+0.001,"BLOQUE",IF(AND($U140&gt;P_TOL,$L140=""),"A JUSTIFIER","OK"))))),IF($T140=0,"EN COURS",IF($S140&gt;$G140+0.001,"BLOQUE",IF(AND($U140&gt;P_TOL,$L140=""),"A JUSTIFIER","OK"))))))</f>
        <v/>
      </c>
      <c r="X140" s="28" t="n">
        <f aca="false">IF(OR($W140="",$W140="DONNEES MANQUANTES",$W140="EMPLACEMENT INCOHERENT",$W140="STOCK INSUFFISANT"),0,1)</f>
        <v>0</v>
      </c>
      <c r="Y140" s="26" t="str">
        <f aca="false">IF($D140="","",IF($Q140=0,"A COMPLETER : "&amp;IF($B140="","DATE ENVOI; ","")&amp;IF($C140="","SOUS-TRAITANT; ","")&amp;IF($E140="","LOT SOURCE; ","")&amp;IF(OR(NOT(ISNUMBER($G140)),$G140&lt;=0),"QTE ENVOYEE &gt; 0; ","")&amp;IF(AND($D140="STOCK EXISTANT",$F140=""),"EMPL. SOURCE; ",""),IF($W140="EMPLACEMENT INCOHERENT","Le lot "&amp;$E140&amp;" n'existe pas sur "&amp;$F140&amp;" (stock 0).",IF($W140="STOCK INSUFFISANT","Disponible avant envoi : "&amp;TEXT($R140,"#,##0.00")&amp;" kg. Ligne NON comptee en stock.",IF($W140="BLOQUE","Total des sorties ("&amp;TEXT($S140,"#,##0.00")&amp;" kg) superieur a la quantite envoyee.",IF($W140="EN COURS","Envoi enregistre, resultats non connus. A completer dans ST_RESULTATS.",IF($W140="A JUSTIFIER","Ecart de "&amp;TEXT($U140,"#,##0.00")&amp;" kg : renseigner JUSTIFICATION ECART (colonne L).",IF($O140="LOT NON REFERENCE","Creer d'abord la fiche du lot dans l'onglet LOTS.",""))))))))</f>
        <v/>
      </c>
      <c r="Z140" s="27" t="n">
        <f aca="false">IF(OR($X140=0,$T140&gt;0),0,$G140)</f>
        <v>0</v>
      </c>
      <c r="AA140" s="26" t="n">
        <f aca="false">IF($Q140=0,0,IF(OR($E140=R_LOT,COUNTIFS(RES_IDST,$A140,RES_LOTEFF,R_LOT)&gt;0),1,0))</f>
        <v>0</v>
      </c>
      <c r="AB140" s="26" t="str">
        <f aca="false">IF($AA140=0,"",COUNTIF($AA$5:$AA140,1))</f>
        <v/>
      </c>
    </row>
    <row r="141" customFormat="false" ht="15" hidden="false" customHeight="false" outlineLevel="0" collapsed="false">
      <c r="A141" s="26" t="str">
        <f aca="false">IF($D141="","","ST-"&amp;TEXT(ROW()-4,"000"))</f>
        <v/>
      </c>
      <c r="B141" s="25"/>
      <c r="C141" s="24"/>
      <c r="D141" s="24"/>
      <c r="E141" s="24"/>
      <c r="F141" s="24"/>
      <c r="G141" s="29"/>
      <c r="H141" s="24"/>
      <c r="I141" s="24"/>
      <c r="J141" s="24"/>
      <c r="K141" s="25"/>
      <c r="L141" s="24"/>
      <c r="M141" s="24"/>
      <c r="N141" s="24"/>
      <c r="O141" s="26" t="str">
        <f aca="false">IF($E141="","",IFERROR(INDEX(LOT_PRODE,MATCH($E141,LOT_KEY,0)),"LOT NON REFERENCE"))</f>
        <v/>
      </c>
      <c r="P141" s="26" t="str">
        <f aca="false">IF($E141="","",IFERROR(INDEX(LOT_FOURNE,MATCH($E141,LOT_KEY,0)),""))</f>
        <v/>
      </c>
      <c r="Q141" s="28" t="n">
        <f aca="false">IF($D141="",0,IF(OR($B141="",$C141="",$E141="",NOT(ISNUMBER($G141)),$G141&lt;=0),0,IF($D141="STOCK EXISTANT",IF($F141="",0,1),1)))</f>
        <v>0</v>
      </c>
      <c r="R141" s="27" t="str">
        <f aca="false">IF(OR($Q141=0,$D141&lt;&gt;"STOCK EXISTANT"),"",SUMIFS(MVT_BRUT,MVT_LOT,$E141,MVT_EMPL,$F141)+$G141)</f>
        <v/>
      </c>
      <c r="S141" s="27" t="str">
        <f aca="false">IF($A141="","",SUMIFS(RES_QTEVAL,RES_IDST,$A141))</f>
        <v/>
      </c>
      <c r="T141" s="28" t="str">
        <f aca="false">IF($A141="","",COUNTIFS(RES_IDST,$A141))</f>
        <v/>
      </c>
      <c r="U141" s="27" t="str">
        <f aca="false">IF(OR($A141="",$T141=0),"",$G141-$S141)</f>
        <v/>
      </c>
      <c r="V141" s="30" t="str">
        <f aca="false">IF(OR($A141="",$T141=0,NOT(ISNUMBER($G141)),$G141&lt;=0),"",$S141/$G141)</f>
        <v/>
      </c>
      <c r="W141" s="26" t="str">
        <f aca="false">IF($D141="","",IF($Q141=0,"DONNEES MANQUANTES",IF($D141="STOCK EXISTANT",IF($R141&lt;=0,"EMPLACEMENT INCOHERENT",IF($G141&gt;$R141+0.001,"STOCK INSUFFISANT",IF($T141=0,"EN COURS",IF($S141&gt;$G141+0.001,"BLOQUE",IF(AND($U141&gt;P_TOL,$L141=""),"A JUSTIFIER","OK"))))),IF($T141=0,"EN COURS",IF($S141&gt;$G141+0.001,"BLOQUE",IF(AND($U141&gt;P_TOL,$L141=""),"A JUSTIFIER","OK"))))))</f>
        <v/>
      </c>
      <c r="X141" s="28" t="n">
        <f aca="false">IF(OR($W141="",$W141="DONNEES MANQUANTES",$W141="EMPLACEMENT INCOHERENT",$W141="STOCK INSUFFISANT"),0,1)</f>
        <v>0</v>
      </c>
      <c r="Y141" s="26" t="str">
        <f aca="false">IF($D141="","",IF($Q141=0,"A COMPLETER : "&amp;IF($B141="","DATE ENVOI; ","")&amp;IF($C141="","SOUS-TRAITANT; ","")&amp;IF($E141="","LOT SOURCE; ","")&amp;IF(OR(NOT(ISNUMBER($G141)),$G141&lt;=0),"QTE ENVOYEE &gt; 0; ","")&amp;IF(AND($D141="STOCK EXISTANT",$F141=""),"EMPL. SOURCE; ",""),IF($W141="EMPLACEMENT INCOHERENT","Le lot "&amp;$E141&amp;" n'existe pas sur "&amp;$F141&amp;" (stock 0).",IF($W141="STOCK INSUFFISANT","Disponible avant envoi : "&amp;TEXT($R141,"#,##0.00")&amp;" kg. Ligne NON comptee en stock.",IF($W141="BLOQUE","Total des sorties ("&amp;TEXT($S141,"#,##0.00")&amp;" kg) superieur a la quantite envoyee.",IF($W141="EN COURS","Envoi enregistre, resultats non connus. A completer dans ST_RESULTATS.",IF($W141="A JUSTIFIER","Ecart de "&amp;TEXT($U141,"#,##0.00")&amp;" kg : renseigner JUSTIFICATION ECART (colonne L).",IF($O141="LOT NON REFERENCE","Creer d'abord la fiche du lot dans l'onglet LOTS.",""))))))))</f>
        <v/>
      </c>
      <c r="Z141" s="27" t="n">
        <f aca="false">IF(OR($X141=0,$T141&gt;0),0,$G141)</f>
        <v>0</v>
      </c>
      <c r="AA141" s="26" t="n">
        <f aca="false">IF($Q141=0,0,IF(OR($E141=R_LOT,COUNTIFS(RES_IDST,$A141,RES_LOTEFF,R_LOT)&gt;0),1,0))</f>
        <v>0</v>
      </c>
      <c r="AB141" s="26" t="str">
        <f aca="false">IF($AA141=0,"",COUNTIF($AA$5:$AA141,1))</f>
        <v/>
      </c>
    </row>
    <row r="142" customFormat="false" ht="15" hidden="false" customHeight="false" outlineLevel="0" collapsed="false">
      <c r="A142" s="26" t="str">
        <f aca="false">IF($D142="","","ST-"&amp;TEXT(ROW()-4,"000"))</f>
        <v/>
      </c>
      <c r="B142" s="25"/>
      <c r="C142" s="24"/>
      <c r="D142" s="24"/>
      <c r="E142" s="24"/>
      <c r="F142" s="24"/>
      <c r="G142" s="29"/>
      <c r="H142" s="24"/>
      <c r="I142" s="24"/>
      <c r="J142" s="24"/>
      <c r="K142" s="25"/>
      <c r="L142" s="24"/>
      <c r="M142" s="24"/>
      <c r="N142" s="24"/>
      <c r="O142" s="26" t="str">
        <f aca="false">IF($E142="","",IFERROR(INDEX(LOT_PRODE,MATCH($E142,LOT_KEY,0)),"LOT NON REFERENCE"))</f>
        <v/>
      </c>
      <c r="P142" s="26" t="str">
        <f aca="false">IF($E142="","",IFERROR(INDEX(LOT_FOURNE,MATCH($E142,LOT_KEY,0)),""))</f>
        <v/>
      </c>
      <c r="Q142" s="28" t="n">
        <f aca="false">IF($D142="",0,IF(OR($B142="",$C142="",$E142="",NOT(ISNUMBER($G142)),$G142&lt;=0),0,IF($D142="STOCK EXISTANT",IF($F142="",0,1),1)))</f>
        <v>0</v>
      </c>
      <c r="R142" s="27" t="str">
        <f aca="false">IF(OR($Q142=0,$D142&lt;&gt;"STOCK EXISTANT"),"",SUMIFS(MVT_BRUT,MVT_LOT,$E142,MVT_EMPL,$F142)+$G142)</f>
        <v/>
      </c>
      <c r="S142" s="27" t="str">
        <f aca="false">IF($A142="","",SUMIFS(RES_QTEVAL,RES_IDST,$A142))</f>
        <v/>
      </c>
      <c r="T142" s="28" t="str">
        <f aca="false">IF($A142="","",COUNTIFS(RES_IDST,$A142))</f>
        <v/>
      </c>
      <c r="U142" s="27" t="str">
        <f aca="false">IF(OR($A142="",$T142=0),"",$G142-$S142)</f>
        <v/>
      </c>
      <c r="V142" s="30" t="str">
        <f aca="false">IF(OR($A142="",$T142=0,NOT(ISNUMBER($G142)),$G142&lt;=0),"",$S142/$G142)</f>
        <v/>
      </c>
      <c r="W142" s="26" t="str">
        <f aca="false">IF($D142="","",IF($Q142=0,"DONNEES MANQUANTES",IF($D142="STOCK EXISTANT",IF($R142&lt;=0,"EMPLACEMENT INCOHERENT",IF($G142&gt;$R142+0.001,"STOCK INSUFFISANT",IF($T142=0,"EN COURS",IF($S142&gt;$G142+0.001,"BLOQUE",IF(AND($U142&gt;P_TOL,$L142=""),"A JUSTIFIER","OK"))))),IF($T142=0,"EN COURS",IF($S142&gt;$G142+0.001,"BLOQUE",IF(AND($U142&gt;P_TOL,$L142=""),"A JUSTIFIER","OK"))))))</f>
        <v/>
      </c>
      <c r="X142" s="28" t="n">
        <f aca="false">IF(OR($W142="",$W142="DONNEES MANQUANTES",$W142="EMPLACEMENT INCOHERENT",$W142="STOCK INSUFFISANT"),0,1)</f>
        <v>0</v>
      </c>
      <c r="Y142" s="26" t="str">
        <f aca="false">IF($D142="","",IF($Q142=0,"A COMPLETER : "&amp;IF($B142="","DATE ENVOI; ","")&amp;IF($C142="","SOUS-TRAITANT; ","")&amp;IF($E142="","LOT SOURCE; ","")&amp;IF(OR(NOT(ISNUMBER($G142)),$G142&lt;=0),"QTE ENVOYEE &gt; 0; ","")&amp;IF(AND($D142="STOCK EXISTANT",$F142=""),"EMPL. SOURCE; ",""),IF($W142="EMPLACEMENT INCOHERENT","Le lot "&amp;$E142&amp;" n'existe pas sur "&amp;$F142&amp;" (stock 0).",IF($W142="STOCK INSUFFISANT","Disponible avant envoi : "&amp;TEXT($R142,"#,##0.00")&amp;" kg. Ligne NON comptee en stock.",IF($W142="BLOQUE","Total des sorties ("&amp;TEXT($S142,"#,##0.00")&amp;" kg) superieur a la quantite envoyee.",IF($W142="EN COURS","Envoi enregistre, resultats non connus. A completer dans ST_RESULTATS.",IF($W142="A JUSTIFIER","Ecart de "&amp;TEXT($U142,"#,##0.00")&amp;" kg : renseigner JUSTIFICATION ECART (colonne L).",IF($O142="LOT NON REFERENCE","Creer d'abord la fiche du lot dans l'onglet LOTS.",""))))))))</f>
        <v/>
      </c>
      <c r="Z142" s="27" t="n">
        <f aca="false">IF(OR($X142=0,$T142&gt;0),0,$G142)</f>
        <v>0</v>
      </c>
      <c r="AA142" s="26" t="n">
        <f aca="false">IF($Q142=0,0,IF(OR($E142=R_LOT,COUNTIFS(RES_IDST,$A142,RES_LOTEFF,R_LOT)&gt;0),1,0))</f>
        <v>0</v>
      </c>
      <c r="AB142" s="26" t="str">
        <f aca="false">IF($AA142=0,"",COUNTIF($AA$5:$AA142,1))</f>
        <v/>
      </c>
    </row>
    <row r="143" customFormat="false" ht="15" hidden="false" customHeight="false" outlineLevel="0" collapsed="false">
      <c r="A143" s="26" t="str">
        <f aca="false">IF($D143="","","ST-"&amp;TEXT(ROW()-4,"000"))</f>
        <v/>
      </c>
      <c r="B143" s="25"/>
      <c r="C143" s="24"/>
      <c r="D143" s="24"/>
      <c r="E143" s="24"/>
      <c r="F143" s="24"/>
      <c r="G143" s="29"/>
      <c r="H143" s="24"/>
      <c r="I143" s="24"/>
      <c r="J143" s="24"/>
      <c r="K143" s="25"/>
      <c r="L143" s="24"/>
      <c r="M143" s="24"/>
      <c r="N143" s="24"/>
      <c r="O143" s="26" t="str">
        <f aca="false">IF($E143="","",IFERROR(INDEX(LOT_PRODE,MATCH($E143,LOT_KEY,0)),"LOT NON REFERENCE"))</f>
        <v/>
      </c>
      <c r="P143" s="26" t="str">
        <f aca="false">IF($E143="","",IFERROR(INDEX(LOT_FOURNE,MATCH($E143,LOT_KEY,0)),""))</f>
        <v/>
      </c>
      <c r="Q143" s="28" t="n">
        <f aca="false">IF($D143="",0,IF(OR($B143="",$C143="",$E143="",NOT(ISNUMBER($G143)),$G143&lt;=0),0,IF($D143="STOCK EXISTANT",IF($F143="",0,1),1)))</f>
        <v>0</v>
      </c>
      <c r="R143" s="27" t="str">
        <f aca="false">IF(OR($Q143=0,$D143&lt;&gt;"STOCK EXISTANT"),"",SUMIFS(MVT_BRUT,MVT_LOT,$E143,MVT_EMPL,$F143)+$G143)</f>
        <v/>
      </c>
      <c r="S143" s="27" t="str">
        <f aca="false">IF($A143="","",SUMIFS(RES_QTEVAL,RES_IDST,$A143))</f>
        <v/>
      </c>
      <c r="T143" s="28" t="str">
        <f aca="false">IF($A143="","",COUNTIFS(RES_IDST,$A143))</f>
        <v/>
      </c>
      <c r="U143" s="27" t="str">
        <f aca="false">IF(OR($A143="",$T143=0),"",$G143-$S143)</f>
        <v/>
      </c>
      <c r="V143" s="30" t="str">
        <f aca="false">IF(OR($A143="",$T143=0,NOT(ISNUMBER($G143)),$G143&lt;=0),"",$S143/$G143)</f>
        <v/>
      </c>
      <c r="W143" s="26" t="str">
        <f aca="false">IF($D143="","",IF($Q143=0,"DONNEES MANQUANTES",IF($D143="STOCK EXISTANT",IF($R143&lt;=0,"EMPLACEMENT INCOHERENT",IF($G143&gt;$R143+0.001,"STOCK INSUFFISANT",IF($T143=0,"EN COURS",IF($S143&gt;$G143+0.001,"BLOQUE",IF(AND($U143&gt;P_TOL,$L143=""),"A JUSTIFIER","OK"))))),IF($T143=0,"EN COURS",IF($S143&gt;$G143+0.001,"BLOQUE",IF(AND($U143&gt;P_TOL,$L143=""),"A JUSTIFIER","OK"))))))</f>
        <v/>
      </c>
      <c r="X143" s="28" t="n">
        <f aca="false">IF(OR($W143="",$W143="DONNEES MANQUANTES",$W143="EMPLACEMENT INCOHERENT",$W143="STOCK INSUFFISANT"),0,1)</f>
        <v>0</v>
      </c>
      <c r="Y143" s="26" t="str">
        <f aca="false">IF($D143="","",IF($Q143=0,"A COMPLETER : "&amp;IF($B143="","DATE ENVOI; ","")&amp;IF($C143="","SOUS-TRAITANT; ","")&amp;IF($E143="","LOT SOURCE; ","")&amp;IF(OR(NOT(ISNUMBER($G143)),$G143&lt;=0),"QTE ENVOYEE &gt; 0; ","")&amp;IF(AND($D143="STOCK EXISTANT",$F143=""),"EMPL. SOURCE; ",""),IF($W143="EMPLACEMENT INCOHERENT","Le lot "&amp;$E143&amp;" n'existe pas sur "&amp;$F143&amp;" (stock 0).",IF($W143="STOCK INSUFFISANT","Disponible avant envoi : "&amp;TEXT($R143,"#,##0.00")&amp;" kg. Ligne NON comptee en stock.",IF($W143="BLOQUE","Total des sorties ("&amp;TEXT($S143,"#,##0.00")&amp;" kg) superieur a la quantite envoyee.",IF($W143="EN COURS","Envoi enregistre, resultats non connus. A completer dans ST_RESULTATS.",IF($W143="A JUSTIFIER","Ecart de "&amp;TEXT($U143,"#,##0.00")&amp;" kg : renseigner JUSTIFICATION ECART (colonne L).",IF($O143="LOT NON REFERENCE","Creer d'abord la fiche du lot dans l'onglet LOTS.",""))))))))</f>
        <v/>
      </c>
      <c r="Z143" s="27" t="n">
        <f aca="false">IF(OR($X143=0,$T143&gt;0),0,$G143)</f>
        <v>0</v>
      </c>
      <c r="AA143" s="26" t="n">
        <f aca="false">IF($Q143=0,0,IF(OR($E143=R_LOT,COUNTIFS(RES_IDST,$A143,RES_LOTEFF,R_LOT)&gt;0),1,0))</f>
        <v>0</v>
      </c>
      <c r="AB143" s="26" t="str">
        <f aca="false">IF($AA143=0,"",COUNTIF($AA$5:$AA143,1))</f>
        <v/>
      </c>
    </row>
    <row r="144" customFormat="false" ht="15" hidden="false" customHeight="false" outlineLevel="0" collapsed="false">
      <c r="A144" s="26" t="str">
        <f aca="false">IF($D144="","","ST-"&amp;TEXT(ROW()-4,"000"))</f>
        <v/>
      </c>
      <c r="B144" s="25"/>
      <c r="C144" s="24"/>
      <c r="D144" s="24"/>
      <c r="E144" s="24"/>
      <c r="F144" s="24"/>
      <c r="G144" s="29"/>
      <c r="H144" s="24"/>
      <c r="I144" s="24"/>
      <c r="J144" s="24"/>
      <c r="K144" s="25"/>
      <c r="L144" s="24"/>
      <c r="M144" s="24"/>
      <c r="N144" s="24"/>
      <c r="O144" s="26" t="str">
        <f aca="false">IF($E144="","",IFERROR(INDEX(LOT_PRODE,MATCH($E144,LOT_KEY,0)),"LOT NON REFERENCE"))</f>
        <v/>
      </c>
      <c r="P144" s="26" t="str">
        <f aca="false">IF($E144="","",IFERROR(INDEX(LOT_FOURNE,MATCH($E144,LOT_KEY,0)),""))</f>
        <v/>
      </c>
      <c r="Q144" s="28" t="n">
        <f aca="false">IF($D144="",0,IF(OR($B144="",$C144="",$E144="",NOT(ISNUMBER($G144)),$G144&lt;=0),0,IF($D144="STOCK EXISTANT",IF($F144="",0,1),1)))</f>
        <v>0</v>
      </c>
      <c r="R144" s="27" t="str">
        <f aca="false">IF(OR($Q144=0,$D144&lt;&gt;"STOCK EXISTANT"),"",SUMIFS(MVT_BRUT,MVT_LOT,$E144,MVT_EMPL,$F144)+$G144)</f>
        <v/>
      </c>
      <c r="S144" s="27" t="str">
        <f aca="false">IF($A144="","",SUMIFS(RES_QTEVAL,RES_IDST,$A144))</f>
        <v/>
      </c>
      <c r="T144" s="28" t="str">
        <f aca="false">IF($A144="","",COUNTIFS(RES_IDST,$A144))</f>
        <v/>
      </c>
      <c r="U144" s="27" t="str">
        <f aca="false">IF(OR($A144="",$T144=0),"",$G144-$S144)</f>
        <v/>
      </c>
      <c r="V144" s="30" t="str">
        <f aca="false">IF(OR($A144="",$T144=0,NOT(ISNUMBER($G144)),$G144&lt;=0),"",$S144/$G144)</f>
        <v/>
      </c>
      <c r="W144" s="26" t="str">
        <f aca="false">IF($D144="","",IF($Q144=0,"DONNEES MANQUANTES",IF($D144="STOCK EXISTANT",IF($R144&lt;=0,"EMPLACEMENT INCOHERENT",IF($G144&gt;$R144+0.001,"STOCK INSUFFISANT",IF($T144=0,"EN COURS",IF($S144&gt;$G144+0.001,"BLOQUE",IF(AND($U144&gt;P_TOL,$L144=""),"A JUSTIFIER","OK"))))),IF($T144=0,"EN COURS",IF($S144&gt;$G144+0.001,"BLOQUE",IF(AND($U144&gt;P_TOL,$L144=""),"A JUSTIFIER","OK"))))))</f>
        <v/>
      </c>
      <c r="X144" s="28" t="n">
        <f aca="false">IF(OR($W144="",$W144="DONNEES MANQUANTES",$W144="EMPLACEMENT INCOHERENT",$W144="STOCK INSUFFISANT"),0,1)</f>
        <v>0</v>
      </c>
      <c r="Y144" s="26" t="str">
        <f aca="false">IF($D144="","",IF($Q144=0,"A COMPLETER : "&amp;IF($B144="","DATE ENVOI; ","")&amp;IF($C144="","SOUS-TRAITANT; ","")&amp;IF($E144="","LOT SOURCE; ","")&amp;IF(OR(NOT(ISNUMBER($G144)),$G144&lt;=0),"QTE ENVOYEE &gt; 0; ","")&amp;IF(AND($D144="STOCK EXISTANT",$F144=""),"EMPL. SOURCE; ",""),IF($W144="EMPLACEMENT INCOHERENT","Le lot "&amp;$E144&amp;" n'existe pas sur "&amp;$F144&amp;" (stock 0).",IF($W144="STOCK INSUFFISANT","Disponible avant envoi : "&amp;TEXT($R144,"#,##0.00")&amp;" kg. Ligne NON comptee en stock.",IF($W144="BLOQUE","Total des sorties ("&amp;TEXT($S144,"#,##0.00")&amp;" kg) superieur a la quantite envoyee.",IF($W144="EN COURS","Envoi enregistre, resultats non connus. A completer dans ST_RESULTATS.",IF($W144="A JUSTIFIER","Ecart de "&amp;TEXT($U144,"#,##0.00")&amp;" kg : renseigner JUSTIFICATION ECART (colonne L).",IF($O144="LOT NON REFERENCE","Creer d'abord la fiche du lot dans l'onglet LOTS.",""))))))))</f>
        <v/>
      </c>
      <c r="Z144" s="27" t="n">
        <f aca="false">IF(OR($X144=0,$T144&gt;0),0,$G144)</f>
        <v>0</v>
      </c>
      <c r="AA144" s="26" t="n">
        <f aca="false">IF($Q144=0,0,IF(OR($E144=R_LOT,COUNTIFS(RES_IDST,$A144,RES_LOTEFF,R_LOT)&gt;0),1,0))</f>
        <v>0</v>
      </c>
      <c r="AB144" s="26" t="str">
        <f aca="false">IF($AA144=0,"",COUNTIF($AA$5:$AA144,1))</f>
        <v/>
      </c>
    </row>
    <row r="145" customFormat="false" ht="15" hidden="false" customHeight="false" outlineLevel="0" collapsed="false">
      <c r="A145" s="26" t="str">
        <f aca="false">IF($D145="","","ST-"&amp;TEXT(ROW()-4,"000"))</f>
        <v/>
      </c>
      <c r="B145" s="25"/>
      <c r="C145" s="24"/>
      <c r="D145" s="24"/>
      <c r="E145" s="24"/>
      <c r="F145" s="24"/>
      <c r="G145" s="29"/>
      <c r="H145" s="24"/>
      <c r="I145" s="24"/>
      <c r="J145" s="24"/>
      <c r="K145" s="25"/>
      <c r="L145" s="24"/>
      <c r="M145" s="24"/>
      <c r="N145" s="24"/>
      <c r="O145" s="26" t="str">
        <f aca="false">IF($E145="","",IFERROR(INDEX(LOT_PRODE,MATCH($E145,LOT_KEY,0)),"LOT NON REFERENCE"))</f>
        <v/>
      </c>
      <c r="P145" s="26" t="str">
        <f aca="false">IF($E145="","",IFERROR(INDEX(LOT_FOURNE,MATCH($E145,LOT_KEY,0)),""))</f>
        <v/>
      </c>
      <c r="Q145" s="28" t="n">
        <f aca="false">IF($D145="",0,IF(OR($B145="",$C145="",$E145="",NOT(ISNUMBER($G145)),$G145&lt;=0),0,IF($D145="STOCK EXISTANT",IF($F145="",0,1),1)))</f>
        <v>0</v>
      </c>
      <c r="R145" s="27" t="str">
        <f aca="false">IF(OR($Q145=0,$D145&lt;&gt;"STOCK EXISTANT"),"",SUMIFS(MVT_BRUT,MVT_LOT,$E145,MVT_EMPL,$F145)+$G145)</f>
        <v/>
      </c>
      <c r="S145" s="27" t="str">
        <f aca="false">IF($A145="","",SUMIFS(RES_QTEVAL,RES_IDST,$A145))</f>
        <v/>
      </c>
      <c r="T145" s="28" t="str">
        <f aca="false">IF($A145="","",COUNTIFS(RES_IDST,$A145))</f>
        <v/>
      </c>
      <c r="U145" s="27" t="str">
        <f aca="false">IF(OR($A145="",$T145=0),"",$G145-$S145)</f>
        <v/>
      </c>
      <c r="V145" s="30" t="str">
        <f aca="false">IF(OR($A145="",$T145=0,NOT(ISNUMBER($G145)),$G145&lt;=0),"",$S145/$G145)</f>
        <v/>
      </c>
      <c r="W145" s="26" t="str">
        <f aca="false">IF($D145="","",IF($Q145=0,"DONNEES MANQUANTES",IF($D145="STOCK EXISTANT",IF($R145&lt;=0,"EMPLACEMENT INCOHERENT",IF($G145&gt;$R145+0.001,"STOCK INSUFFISANT",IF($T145=0,"EN COURS",IF($S145&gt;$G145+0.001,"BLOQUE",IF(AND($U145&gt;P_TOL,$L145=""),"A JUSTIFIER","OK"))))),IF($T145=0,"EN COURS",IF($S145&gt;$G145+0.001,"BLOQUE",IF(AND($U145&gt;P_TOL,$L145=""),"A JUSTIFIER","OK"))))))</f>
        <v/>
      </c>
      <c r="X145" s="28" t="n">
        <f aca="false">IF(OR($W145="",$W145="DONNEES MANQUANTES",$W145="EMPLACEMENT INCOHERENT",$W145="STOCK INSUFFISANT"),0,1)</f>
        <v>0</v>
      </c>
      <c r="Y145" s="26" t="str">
        <f aca="false">IF($D145="","",IF($Q145=0,"A COMPLETER : "&amp;IF($B145="","DATE ENVOI; ","")&amp;IF($C145="","SOUS-TRAITANT; ","")&amp;IF($E145="","LOT SOURCE; ","")&amp;IF(OR(NOT(ISNUMBER($G145)),$G145&lt;=0),"QTE ENVOYEE &gt; 0; ","")&amp;IF(AND($D145="STOCK EXISTANT",$F145=""),"EMPL. SOURCE; ",""),IF($W145="EMPLACEMENT INCOHERENT","Le lot "&amp;$E145&amp;" n'existe pas sur "&amp;$F145&amp;" (stock 0).",IF($W145="STOCK INSUFFISANT","Disponible avant envoi : "&amp;TEXT($R145,"#,##0.00")&amp;" kg. Ligne NON comptee en stock.",IF($W145="BLOQUE","Total des sorties ("&amp;TEXT($S145,"#,##0.00")&amp;" kg) superieur a la quantite envoyee.",IF($W145="EN COURS","Envoi enregistre, resultats non connus. A completer dans ST_RESULTATS.",IF($W145="A JUSTIFIER","Ecart de "&amp;TEXT($U145,"#,##0.00")&amp;" kg : renseigner JUSTIFICATION ECART (colonne L).",IF($O145="LOT NON REFERENCE","Creer d'abord la fiche du lot dans l'onglet LOTS.",""))))))))</f>
        <v/>
      </c>
      <c r="Z145" s="27" t="n">
        <f aca="false">IF(OR($X145=0,$T145&gt;0),0,$G145)</f>
        <v>0</v>
      </c>
      <c r="AA145" s="26" t="n">
        <f aca="false">IF($Q145=0,0,IF(OR($E145=R_LOT,COUNTIFS(RES_IDST,$A145,RES_LOTEFF,R_LOT)&gt;0),1,0))</f>
        <v>0</v>
      </c>
      <c r="AB145" s="26" t="str">
        <f aca="false">IF($AA145=0,"",COUNTIF($AA$5:$AA145,1))</f>
        <v/>
      </c>
    </row>
    <row r="146" customFormat="false" ht="15" hidden="false" customHeight="false" outlineLevel="0" collapsed="false">
      <c r="A146" s="26" t="str">
        <f aca="false">IF($D146="","","ST-"&amp;TEXT(ROW()-4,"000"))</f>
        <v/>
      </c>
      <c r="B146" s="25"/>
      <c r="C146" s="24"/>
      <c r="D146" s="24"/>
      <c r="E146" s="24"/>
      <c r="F146" s="24"/>
      <c r="G146" s="29"/>
      <c r="H146" s="24"/>
      <c r="I146" s="24"/>
      <c r="J146" s="24"/>
      <c r="K146" s="25"/>
      <c r="L146" s="24"/>
      <c r="M146" s="24"/>
      <c r="N146" s="24"/>
      <c r="O146" s="26" t="str">
        <f aca="false">IF($E146="","",IFERROR(INDEX(LOT_PRODE,MATCH($E146,LOT_KEY,0)),"LOT NON REFERENCE"))</f>
        <v/>
      </c>
      <c r="P146" s="26" t="str">
        <f aca="false">IF($E146="","",IFERROR(INDEX(LOT_FOURNE,MATCH($E146,LOT_KEY,0)),""))</f>
        <v/>
      </c>
      <c r="Q146" s="28" t="n">
        <f aca="false">IF($D146="",0,IF(OR($B146="",$C146="",$E146="",NOT(ISNUMBER($G146)),$G146&lt;=0),0,IF($D146="STOCK EXISTANT",IF($F146="",0,1),1)))</f>
        <v>0</v>
      </c>
      <c r="R146" s="27" t="str">
        <f aca="false">IF(OR($Q146=0,$D146&lt;&gt;"STOCK EXISTANT"),"",SUMIFS(MVT_BRUT,MVT_LOT,$E146,MVT_EMPL,$F146)+$G146)</f>
        <v/>
      </c>
      <c r="S146" s="27" t="str">
        <f aca="false">IF($A146="","",SUMIFS(RES_QTEVAL,RES_IDST,$A146))</f>
        <v/>
      </c>
      <c r="T146" s="28" t="str">
        <f aca="false">IF($A146="","",COUNTIFS(RES_IDST,$A146))</f>
        <v/>
      </c>
      <c r="U146" s="27" t="str">
        <f aca="false">IF(OR($A146="",$T146=0),"",$G146-$S146)</f>
        <v/>
      </c>
      <c r="V146" s="30" t="str">
        <f aca="false">IF(OR($A146="",$T146=0,NOT(ISNUMBER($G146)),$G146&lt;=0),"",$S146/$G146)</f>
        <v/>
      </c>
      <c r="W146" s="26" t="str">
        <f aca="false">IF($D146="","",IF($Q146=0,"DONNEES MANQUANTES",IF($D146="STOCK EXISTANT",IF($R146&lt;=0,"EMPLACEMENT INCOHERENT",IF($G146&gt;$R146+0.001,"STOCK INSUFFISANT",IF($T146=0,"EN COURS",IF($S146&gt;$G146+0.001,"BLOQUE",IF(AND($U146&gt;P_TOL,$L146=""),"A JUSTIFIER","OK"))))),IF($T146=0,"EN COURS",IF($S146&gt;$G146+0.001,"BLOQUE",IF(AND($U146&gt;P_TOL,$L146=""),"A JUSTIFIER","OK"))))))</f>
        <v/>
      </c>
      <c r="X146" s="28" t="n">
        <f aca="false">IF(OR($W146="",$W146="DONNEES MANQUANTES",$W146="EMPLACEMENT INCOHERENT",$W146="STOCK INSUFFISANT"),0,1)</f>
        <v>0</v>
      </c>
      <c r="Y146" s="26" t="str">
        <f aca="false">IF($D146="","",IF($Q146=0,"A COMPLETER : "&amp;IF($B146="","DATE ENVOI; ","")&amp;IF($C146="","SOUS-TRAITANT; ","")&amp;IF($E146="","LOT SOURCE; ","")&amp;IF(OR(NOT(ISNUMBER($G146)),$G146&lt;=0),"QTE ENVOYEE &gt; 0; ","")&amp;IF(AND($D146="STOCK EXISTANT",$F146=""),"EMPL. SOURCE; ",""),IF($W146="EMPLACEMENT INCOHERENT","Le lot "&amp;$E146&amp;" n'existe pas sur "&amp;$F146&amp;" (stock 0).",IF($W146="STOCK INSUFFISANT","Disponible avant envoi : "&amp;TEXT($R146,"#,##0.00")&amp;" kg. Ligne NON comptee en stock.",IF($W146="BLOQUE","Total des sorties ("&amp;TEXT($S146,"#,##0.00")&amp;" kg) superieur a la quantite envoyee.",IF($W146="EN COURS","Envoi enregistre, resultats non connus. A completer dans ST_RESULTATS.",IF($W146="A JUSTIFIER","Ecart de "&amp;TEXT($U146,"#,##0.00")&amp;" kg : renseigner JUSTIFICATION ECART (colonne L).",IF($O146="LOT NON REFERENCE","Creer d'abord la fiche du lot dans l'onglet LOTS.",""))))))))</f>
        <v/>
      </c>
      <c r="Z146" s="27" t="n">
        <f aca="false">IF(OR($X146=0,$T146&gt;0),0,$G146)</f>
        <v>0</v>
      </c>
      <c r="AA146" s="26" t="n">
        <f aca="false">IF($Q146=0,0,IF(OR($E146=R_LOT,COUNTIFS(RES_IDST,$A146,RES_LOTEFF,R_LOT)&gt;0),1,0))</f>
        <v>0</v>
      </c>
      <c r="AB146" s="26" t="str">
        <f aca="false">IF($AA146=0,"",COUNTIF($AA$5:$AA146,1))</f>
        <v/>
      </c>
    </row>
    <row r="147" customFormat="false" ht="15" hidden="false" customHeight="false" outlineLevel="0" collapsed="false">
      <c r="A147" s="26" t="str">
        <f aca="false">IF($D147="","","ST-"&amp;TEXT(ROW()-4,"000"))</f>
        <v/>
      </c>
      <c r="B147" s="25"/>
      <c r="C147" s="24"/>
      <c r="D147" s="24"/>
      <c r="E147" s="24"/>
      <c r="F147" s="24"/>
      <c r="G147" s="29"/>
      <c r="H147" s="24"/>
      <c r="I147" s="24"/>
      <c r="J147" s="24"/>
      <c r="K147" s="25"/>
      <c r="L147" s="24"/>
      <c r="M147" s="24"/>
      <c r="N147" s="24"/>
      <c r="O147" s="26" t="str">
        <f aca="false">IF($E147="","",IFERROR(INDEX(LOT_PRODE,MATCH($E147,LOT_KEY,0)),"LOT NON REFERENCE"))</f>
        <v/>
      </c>
      <c r="P147" s="26" t="str">
        <f aca="false">IF($E147="","",IFERROR(INDEX(LOT_FOURNE,MATCH($E147,LOT_KEY,0)),""))</f>
        <v/>
      </c>
      <c r="Q147" s="28" t="n">
        <f aca="false">IF($D147="",0,IF(OR($B147="",$C147="",$E147="",NOT(ISNUMBER($G147)),$G147&lt;=0),0,IF($D147="STOCK EXISTANT",IF($F147="",0,1),1)))</f>
        <v>0</v>
      </c>
      <c r="R147" s="27" t="str">
        <f aca="false">IF(OR($Q147=0,$D147&lt;&gt;"STOCK EXISTANT"),"",SUMIFS(MVT_BRUT,MVT_LOT,$E147,MVT_EMPL,$F147)+$G147)</f>
        <v/>
      </c>
      <c r="S147" s="27" t="str">
        <f aca="false">IF($A147="","",SUMIFS(RES_QTEVAL,RES_IDST,$A147))</f>
        <v/>
      </c>
      <c r="T147" s="28" t="str">
        <f aca="false">IF($A147="","",COUNTIFS(RES_IDST,$A147))</f>
        <v/>
      </c>
      <c r="U147" s="27" t="str">
        <f aca="false">IF(OR($A147="",$T147=0),"",$G147-$S147)</f>
        <v/>
      </c>
      <c r="V147" s="30" t="str">
        <f aca="false">IF(OR($A147="",$T147=0,NOT(ISNUMBER($G147)),$G147&lt;=0),"",$S147/$G147)</f>
        <v/>
      </c>
      <c r="W147" s="26" t="str">
        <f aca="false">IF($D147="","",IF($Q147=0,"DONNEES MANQUANTES",IF($D147="STOCK EXISTANT",IF($R147&lt;=0,"EMPLACEMENT INCOHERENT",IF($G147&gt;$R147+0.001,"STOCK INSUFFISANT",IF($T147=0,"EN COURS",IF($S147&gt;$G147+0.001,"BLOQUE",IF(AND($U147&gt;P_TOL,$L147=""),"A JUSTIFIER","OK"))))),IF($T147=0,"EN COURS",IF($S147&gt;$G147+0.001,"BLOQUE",IF(AND($U147&gt;P_TOL,$L147=""),"A JUSTIFIER","OK"))))))</f>
        <v/>
      </c>
      <c r="X147" s="28" t="n">
        <f aca="false">IF(OR($W147="",$W147="DONNEES MANQUANTES",$W147="EMPLACEMENT INCOHERENT",$W147="STOCK INSUFFISANT"),0,1)</f>
        <v>0</v>
      </c>
      <c r="Y147" s="26" t="str">
        <f aca="false">IF($D147="","",IF($Q147=0,"A COMPLETER : "&amp;IF($B147="","DATE ENVOI; ","")&amp;IF($C147="","SOUS-TRAITANT; ","")&amp;IF($E147="","LOT SOURCE; ","")&amp;IF(OR(NOT(ISNUMBER($G147)),$G147&lt;=0),"QTE ENVOYEE &gt; 0; ","")&amp;IF(AND($D147="STOCK EXISTANT",$F147=""),"EMPL. SOURCE; ",""),IF($W147="EMPLACEMENT INCOHERENT","Le lot "&amp;$E147&amp;" n'existe pas sur "&amp;$F147&amp;" (stock 0).",IF($W147="STOCK INSUFFISANT","Disponible avant envoi : "&amp;TEXT($R147,"#,##0.00")&amp;" kg. Ligne NON comptee en stock.",IF($W147="BLOQUE","Total des sorties ("&amp;TEXT($S147,"#,##0.00")&amp;" kg) superieur a la quantite envoyee.",IF($W147="EN COURS","Envoi enregistre, resultats non connus. A completer dans ST_RESULTATS.",IF($W147="A JUSTIFIER","Ecart de "&amp;TEXT($U147,"#,##0.00")&amp;" kg : renseigner JUSTIFICATION ECART (colonne L).",IF($O147="LOT NON REFERENCE","Creer d'abord la fiche du lot dans l'onglet LOTS.",""))))))))</f>
        <v/>
      </c>
      <c r="Z147" s="27" t="n">
        <f aca="false">IF(OR($X147=0,$T147&gt;0),0,$G147)</f>
        <v>0</v>
      </c>
      <c r="AA147" s="26" t="n">
        <f aca="false">IF($Q147=0,0,IF(OR($E147=R_LOT,COUNTIFS(RES_IDST,$A147,RES_LOTEFF,R_LOT)&gt;0),1,0))</f>
        <v>0</v>
      </c>
      <c r="AB147" s="26" t="str">
        <f aca="false">IF($AA147=0,"",COUNTIF($AA$5:$AA147,1))</f>
        <v/>
      </c>
    </row>
    <row r="148" customFormat="false" ht="15" hidden="false" customHeight="false" outlineLevel="0" collapsed="false">
      <c r="A148" s="26" t="str">
        <f aca="false">IF($D148="","","ST-"&amp;TEXT(ROW()-4,"000"))</f>
        <v/>
      </c>
      <c r="B148" s="25"/>
      <c r="C148" s="24"/>
      <c r="D148" s="24"/>
      <c r="E148" s="24"/>
      <c r="F148" s="24"/>
      <c r="G148" s="29"/>
      <c r="H148" s="24"/>
      <c r="I148" s="24"/>
      <c r="J148" s="24"/>
      <c r="K148" s="25"/>
      <c r="L148" s="24"/>
      <c r="M148" s="24"/>
      <c r="N148" s="24"/>
      <c r="O148" s="26" t="str">
        <f aca="false">IF($E148="","",IFERROR(INDEX(LOT_PRODE,MATCH($E148,LOT_KEY,0)),"LOT NON REFERENCE"))</f>
        <v/>
      </c>
      <c r="P148" s="26" t="str">
        <f aca="false">IF($E148="","",IFERROR(INDEX(LOT_FOURNE,MATCH($E148,LOT_KEY,0)),""))</f>
        <v/>
      </c>
      <c r="Q148" s="28" t="n">
        <f aca="false">IF($D148="",0,IF(OR($B148="",$C148="",$E148="",NOT(ISNUMBER($G148)),$G148&lt;=0),0,IF($D148="STOCK EXISTANT",IF($F148="",0,1),1)))</f>
        <v>0</v>
      </c>
      <c r="R148" s="27" t="str">
        <f aca="false">IF(OR($Q148=0,$D148&lt;&gt;"STOCK EXISTANT"),"",SUMIFS(MVT_BRUT,MVT_LOT,$E148,MVT_EMPL,$F148)+$G148)</f>
        <v/>
      </c>
      <c r="S148" s="27" t="str">
        <f aca="false">IF($A148="","",SUMIFS(RES_QTEVAL,RES_IDST,$A148))</f>
        <v/>
      </c>
      <c r="T148" s="28" t="str">
        <f aca="false">IF($A148="","",COUNTIFS(RES_IDST,$A148))</f>
        <v/>
      </c>
      <c r="U148" s="27" t="str">
        <f aca="false">IF(OR($A148="",$T148=0),"",$G148-$S148)</f>
        <v/>
      </c>
      <c r="V148" s="30" t="str">
        <f aca="false">IF(OR($A148="",$T148=0,NOT(ISNUMBER($G148)),$G148&lt;=0),"",$S148/$G148)</f>
        <v/>
      </c>
      <c r="W148" s="26" t="str">
        <f aca="false">IF($D148="","",IF($Q148=0,"DONNEES MANQUANTES",IF($D148="STOCK EXISTANT",IF($R148&lt;=0,"EMPLACEMENT INCOHERENT",IF($G148&gt;$R148+0.001,"STOCK INSUFFISANT",IF($T148=0,"EN COURS",IF($S148&gt;$G148+0.001,"BLOQUE",IF(AND($U148&gt;P_TOL,$L148=""),"A JUSTIFIER","OK"))))),IF($T148=0,"EN COURS",IF($S148&gt;$G148+0.001,"BLOQUE",IF(AND($U148&gt;P_TOL,$L148=""),"A JUSTIFIER","OK"))))))</f>
        <v/>
      </c>
      <c r="X148" s="28" t="n">
        <f aca="false">IF(OR($W148="",$W148="DONNEES MANQUANTES",$W148="EMPLACEMENT INCOHERENT",$W148="STOCK INSUFFISANT"),0,1)</f>
        <v>0</v>
      </c>
      <c r="Y148" s="26" t="str">
        <f aca="false">IF($D148="","",IF($Q148=0,"A COMPLETER : "&amp;IF($B148="","DATE ENVOI; ","")&amp;IF($C148="","SOUS-TRAITANT; ","")&amp;IF($E148="","LOT SOURCE; ","")&amp;IF(OR(NOT(ISNUMBER($G148)),$G148&lt;=0),"QTE ENVOYEE &gt; 0; ","")&amp;IF(AND($D148="STOCK EXISTANT",$F148=""),"EMPL. SOURCE; ",""),IF($W148="EMPLACEMENT INCOHERENT","Le lot "&amp;$E148&amp;" n'existe pas sur "&amp;$F148&amp;" (stock 0).",IF($W148="STOCK INSUFFISANT","Disponible avant envoi : "&amp;TEXT($R148,"#,##0.00")&amp;" kg. Ligne NON comptee en stock.",IF($W148="BLOQUE","Total des sorties ("&amp;TEXT($S148,"#,##0.00")&amp;" kg) superieur a la quantite envoyee.",IF($W148="EN COURS","Envoi enregistre, resultats non connus. A completer dans ST_RESULTATS.",IF($W148="A JUSTIFIER","Ecart de "&amp;TEXT($U148,"#,##0.00")&amp;" kg : renseigner JUSTIFICATION ECART (colonne L).",IF($O148="LOT NON REFERENCE","Creer d'abord la fiche du lot dans l'onglet LOTS.",""))))))))</f>
        <v/>
      </c>
      <c r="Z148" s="27" t="n">
        <f aca="false">IF(OR($X148=0,$T148&gt;0),0,$G148)</f>
        <v>0</v>
      </c>
      <c r="AA148" s="26" t="n">
        <f aca="false">IF($Q148=0,0,IF(OR($E148=R_LOT,COUNTIFS(RES_IDST,$A148,RES_LOTEFF,R_LOT)&gt;0),1,0))</f>
        <v>0</v>
      </c>
      <c r="AB148" s="26" t="str">
        <f aca="false">IF($AA148=0,"",COUNTIF($AA$5:$AA148,1))</f>
        <v/>
      </c>
    </row>
    <row r="149" customFormat="false" ht="15" hidden="false" customHeight="false" outlineLevel="0" collapsed="false">
      <c r="A149" s="26" t="str">
        <f aca="false">IF($D149="","","ST-"&amp;TEXT(ROW()-4,"000"))</f>
        <v/>
      </c>
      <c r="B149" s="25"/>
      <c r="C149" s="24"/>
      <c r="D149" s="24"/>
      <c r="E149" s="24"/>
      <c r="F149" s="24"/>
      <c r="G149" s="29"/>
      <c r="H149" s="24"/>
      <c r="I149" s="24"/>
      <c r="J149" s="24"/>
      <c r="K149" s="25"/>
      <c r="L149" s="24"/>
      <c r="M149" s="24"/>
      <c r="N149" s="24"/>
      <c r="O149" s="26" t="str">
        <f aca="false">IF($E149="","",IFERROR(INDEX(LOT_PRODE,MATCH($E149,LOT_KEY,0)),"LOT NON REFERENCE"))</f>
        <v/>
      </c>
      <c r="P149" s="26" t="str">
        <f aca="false">IF($E149="","",IFERROR(INDEX(LOT_FOURNE,MATCH($E149,LOT_KEY,0)),""))</f>
        <v/>
      </c>
      <c r="Q149" s="28" t="n">
        <f aca="false">IF($D149="",0,IF(OR($B149="",$C149="",$E149="",NOT(ISNUMBER($G149)),$G149&lt;=0),0,IF($D149="STOCK EXISTANT",IF($F149="",0,1),1)))</f>
        <v>0</v>
      </c>
      <c r="R149" s="27" t="str">
        <f aca="false">IF(OR($Q149=0,$D149&lt;&gt;"STOCK EXISTANT"),"",SUMIFS(MVT_BRUT,MVT_LOT,$E149,MVT_EMPL,$F149)+$G149)</f>
        <v/>
      </c>
      <c r="S149" s="27" t="str">
        <f aca="false">IF($A149="","",SUMIFS(RES_QTEVAL,RES_IDST,$A149))</f>
        <v/>
      </c>
      <c r="T149" s="28" t="str">
        <f aca="false">IF($A149="","",COUNTIFS(RES_IDST,$A149))</f>
        <v/>
      </c>
      <c r="U149" s="27" t="str">
        <f aca="false">IF(OR($A149="",$T149=0),"",$G149-$S149)</f>
        <v/>
      </c>
      <c r="V149" s="30" t="str">
        <f aca="false">IF(OR($A149="",$T149=0,NOT(ISNUMBER($G149)),$G149&lt;=0),"",$S149/$G149)</f>
        <v/>
      </c>
      <c r="W149" s="26" t="str">
        <f aca="false">IF($D149="","",IF($Q149=0,"DONNEES MANQUANTES",IF($D149="STOCK EXISTANT",IF($R149&lt;=0,"EMPLACEMENT INCOHERENT",IF($G149&gt;$R149+0.001,"STOCK INSUFFISANT",IF($T149=0,"EN COURS",IF($S149&gt;$G149+0.001,"BLOQUE",IF(AND($U149&gt;P_TOL,$L149=""),"A JUSTIFIER","OK"))))),IF($T149=0,"EN COURS",IF($S149&gt;$G149+0.001,"BLOQUE",IF(AND($U149&gt;P_TOL,$L149=""),"A JUSTIFIER","OK"))))))</f>
        <v/>
      </c>
      <c r="X149" s="28" t="n">
        <f aca="false">IF(OR($W149="",$W149="DONNEES MANQUANTES",$W149="EMPLACEMENT INCOHERENT",$W149="STOCK INSUFFISANT"),0,1)</f>
        <v>0</v>
      </c>
      <c r="Y149" s="26" t="str">
        <f aca="false">IF($D149="","",IF($Q149=0,"A COMPLETER : "&amp;IF($B149="","DATE ENVOI; ","")&amp;IF($C149="","SOUS-TRAITANT; ","")&amp;IF($E149="","LOT SOURCE; ","")&amp;IF(OR(NOT(ISNUMBER($G149)),$G149&lt;=0),"QTE ENVOYEE &gt; 0; ","")&amp;IF(AND($D149="STOCK EXISTANT",$F149=""),"EMPL. SOURCE; ",""),IF($W149="EMPLACEMENT INCOHERENT","Le lot "&amp;$E149&amp;" n'existe pas sur "&amp;$F149&amp;" (stock 0).",IF($W149="STOCK INSUFFISANT","Disponible avant envoi : "&amp;TEXT($R149,"#,##0.00")&amp;" kg. Ligne NON comptee en stock.",IF($W149="BLOQUE","Total des sorties ("&amp;TEXT($S149,"#,##0.00")&amp;" kg) superieur a la quantite envoyee.",IF($W149="EN COURS","Envoi enregistre, resultats non connus. A completer dans ST_RESULTATS.",IF($W149="A JUSTIFIER","Ecart de "&amp;TEXT($U149,"#,##0.00")&amp;" kg : renseigner JUSTIFICATION ECART (colonne L).",IF($O149="LOT NON REFERENCE","Creer d'abord la fiche du lot dans l'onglet LOTS.",""))))))))</f>
        <v/>
      </c>
      <c r="Z149" s="27" t="n">
        <f aca="false">IF(OR($X149=0,$T149&gt;0),0,$G149)</f>
        <v>0</v>
      </c>
      <c r="AA149" s="26" t="n">
        <f aca="false">IF($Q149=0,0,IF(OR($E149=R_LOT,COUNTIFS(RES_IDST,$A149,RES_LOTEFF,R_LOT)&gt;0),1,0))</f>
        <v>0</v>
      </c>
      <c r="AB149" s="26" t="str">
        <f aca="false">IF($AA149=0,"",COUNTIF($AA$5:$AA149,1))</f>
        <v/>
      </c>
    </row>
    <row r="150" customFormat="false" ht="15" hidden="false" customHeight="false" outlineLevel="0" collapsed="false">
      <c r="A150" s="26" t="str">
        <f aca="false">IF($D150="","","ST-"&amp;TEXT(ROW()-4,"000"))</f>
        <v/>
      </c>
      <c r="B150" s="25"/>
      <c r="C150" s="24"/>
      <c r="D150" s="24"/>
      <c r="E150" s="24"/>
      <c r="F150" s="24"/>
      <c r="G150" s="29"/>
      <c r="H150" s="24"/>
      <c r="I150" s="24"/>
      <c r="J150" s="24"/>
      <c r="K150" s="25"/>
      <c r="L150" s="24"/>
      <c r="M150" s="24"/>
      <c r="N150" s="24"/>
      <c r="O150" s="26" t="str">
        <f aca="false">IF($E150="","",IFERROR(INDEX(LOT_PRODE,MATCH($E150,LOT_KEY,0)),"LOT NON REFERENCE"))</f>
        <v/>
      </c>
      <c r="P150" s="26" t="str">
        <f aca="false">IF($E150="","",IFERROR(INDEX(LOT_FOURNE,MATCH($E150,LOT_KEY,0)),""))</f>
        <v/>
      </c>
      <c r="Q150" s="28" t="n">
        <f aca="false">IF($D150="",0,IF(OR($B150="",$C150="",$E150="",NOT(ISNUMBER($G150)),$G150&lt;=0),0,IF($D150="STOCK EXISTANT",IF($F150="",0,1),1)))</f>
        <v>0</v>
      </c>
      <c r="R150" s="27" t="str">
        <f aca="false">IF(OR($Q150=0,$D150&lt;&gt;"STOCK EXISTANT"),"",SUMIFS(MVT_BRUT,MVT_LOT,$E150,MVT_EMPL,$F150)+$G150)</f>
        <v/>
      </c>
      <c r="S150" s="27" t="str">
        <f aca="false">IF($A150="","",SUMIFS(RES_QTEVAL,RES_IDST,$A150))</f>
        <v/>
      </c>
      <c r="T150" s="28" t="str">
        <f aca="false">IF($A150="","",COUNTIFS(RES_IDST,$A150))</f>
        <v/>
      </c>
      <c r="U150" s="27" t="str">
        <f aca="false">IF(OR($A150="",$T150=0),"",$G150-$S150)</f>
        <v/>
      </c>
      <c r="V150" s="30" t="str">
        <f aca="false">IF(OR($A150="",$T150=0,NOT(ISNUMBER($G150)),$G150&lt;=0),"",$S150/$G150)</f>
        <v/>
      </c>
      <c r="W150" s="26" t="str">
        <f aca="false">IF($D150="","",IF($Q150=0,"DONNEES MANQUANTES",IF($D150="STOCK EXISTANT",IF($R150&lt;=0,"EMPLACEMENT INCOHERENT",IF($G150&gt;$R150+0.001,"STOCK INSUFFISANT",IF($T150=0,"EN COURS",IF($S150&gt;$G150+0.001,"BLOQUE",IF(AND($U150&gt;P_TOL,$L150=""),"A JUSTIFIER","OK"))))),IF($T150=0,"EN COURS",IF($S150&gt;$G150+0.001,"BLOQUE",IF(AND($U150&gt;P_TOL,$L150=""),"A JUSTIFIER","OK"))))))</f>
        <v/>
      </c>
      <c r="X150" s="28" t="n">
        <f aca="false">IF(OR($W150="",$W150="DONNEES MANQUANTES",$W150="EMPLACEMENT INCOHERENT",$W150="STOCK INSUFFISANT"),0,1)</f>
        <v>0</v>
      </c>
      <c r="Y150" s="26" t="str">
        <f aca="false">IF($D150="","",IF($Q150=0,"A COMPLETER : "&amp;IF($B150="","DATE ENVOI; ","")&amp;IF($C150="","SOUS-TRAITANT; ","")&amp;IF($E150="","LOT SOURCE; ","")&amp;IF(OR(NOT(ISNUMBER($G150)),$G150&lt;=0),"QTE ENVOYEE &gt; 0; ","")&amp;IF(AND($D150="STOCK EXISTANT",$F150=""),"EMPL. SOURCE; ",""),IF($W150="EMPLACEMENT INCOHERENT","Le lot "&amp;$E150&amp;" n'existe pas sur "&amp;$F150&amp;" (stock 0).",IF($W150="STOCK INSUFFISANT","Disponible avant envoi : "&amp;TEXT($R150,"#,##0.00")&amp;" kg. Ligne NON comptee en stock.",IF($W150="BLOQUE","Total des sorties ("&amp;TEXT($S150,"#,##0.00")&amp;" kg) superieur a la quantite envoyee.",IF($W150="EN COURS","Envoi enregistre, resultats non connus. A completer dans ST_RESULTATS.",IF($W150="A JUSTIFIER","Ecart de "&amp;TEXT($U150,"#,##0.00")&amp;" kg : renseigner JUSTIFICATION ECART (colonne L).",IF($O150="LOT NON REFERENCE","Creer d'abord la fiche du lot dans l'onglet LOTS.",""))))))))</f>
        <v/>
      </c>
      <c r="Z150" s="27" t="n">
        <f aca="false">IF(OR($X150=0,$T150&gt;0),0,$G150)</f>
        <v>0</v>
      </c>
      <c r="AA150" s="26" t="n">
        <f aca="false">IF($Q150=0,0,IF(OR($E150=R_LOT,COUNTIFS(RES_IDST,$A150,RES_LOTEFF,R_LOT)&gt;0),1,0))</f>
        <v>0</v>
      </c>
      <c r="AB150" s="26" t="str">
        <f aca="false">IF($AA150=0,"",COUNTIF($AA$5:$AA150,1))</f>
        <v/>
      </c>
    </row>
    <row r="151" customFormat="false" ht="15" hidden="false" customHeight="false" outlineLevel="0" collapsed="false">
      <c r="A151" s="26" t="str">
        <f aca="false">IF($D151="","","ST-"&amp;TEXT(ROW()-4,"000"))</f>
        <v/>
      </c>
      <c r="B151" s="25"/>
      <c r="C151" s="24"/>
      <c r="D151" s="24"/>
      <c r="E151" s="24"/>
      <c r="F151" s="24"/>
      <c r="G151" s="29"/>
      <c r="H151" s="24"/>
      <c r="I151" s="24"/>
      <c r="J151" s="24"/>
      <c r="K151" s="25"/>
      <c r="L151" s="24"/>
      <c r="M151" s="24"/>
      <c r="N151" s="24"/>
      <c r="O151" s="26" t="str">
        <f aca="false">IF($E151="","",IFERROR(INDEX(LOT_PRODE,MATCH($E151,LOT_KEY,0)),"LOT NON REFERENCE"))</f>
        <v/>
      </c>
      <c r="P151" s="26" t="str">
        <f aca="false">IF($E151="","",IFERROR(INDEX(LOT_FOURNE,MATCH($E151,LOT_KEY,0)),""))</f>
        <v/>
      </c>
      <c r="Q151" s="28" t="n">
        <f aca="false">IF($D151="",0,IF(OR($B151="",$C151="",$E151="",NOT(ISNUMBER($G151)),$G151&lt;=0),0,IF($D151="STOCK EXISTANT",IF($F151="",0,1),1)))</f>
        <v>0</v>
      </c>
      <c r="R151" s="27" t="str">
        <f aca="false">IF(OR($Q151=0,$D151&lt;&gt;"STOCK EXISTANT"),"",SUMIFS(MVT_BRUT,MVT_LOT,$E151,MVT_EMPL,$F151)+$G151)</f>
        <v/>
      </c>
      <c r="S151" s="27" t="str">
        <f aca="false">IF($A151="","",SUMIFS(RES_QTEVAL,RES_IDST,$A151))</f>
        <v/>
      </c>
      <c r="T151" s="28" t="str">
        <f aca="false">IF($A151="","",COUNTIFS(RES_IDST,$A151))</f>
        <v/>
      </c>
      <c r="U151" s="27" t="str">
        <f aca="false">IF(OR($A151="",$T151=0),"",$G151-$S151)</f>
        <v/>
      </c>
      <c r="V151" s="30" t="str">
        <f aca="false">IF(OR($A151="",$T151=0,NOT(ISNUMBER($G151)),$G151&lt;=0),"",$S151/$G151)</f>
        <v/>
      </c>
      <c r="W151" s="26" t="str">
        <f aca="false">IF($D151="","",IF($Q151=0,"DONNEES MANQUANTES",IF($D151="STOCK EXISTANT",IF($R151&lt;=0,"EMPLACEMENT INCOHERENT",IF($G151&gt;$R151+0.001,"STOCK INSUFFISANT",IF($T151=0,"EN COURS",IF($S151&gt;$G151+0.001,"BLOQUE",IF(AND($U151&gt;P_TOL,$L151=""),"A JUSTIFIER","OK"))))),IF($T151=0,"EN COURS",IF($S151&gt;$G151+0.001,"BLOQUE",IF(AND($U151&gt;P_TOL,$L151=""),"A JUSTIFIER","OK"))))))</f>
        <v/>
      </c>
      <c r="X151" s="28" t="n">
        <f aca="false">IF(OR($W151="",$W151="DONNEES MANQUANTES",$W151="EMPLACEMENT INCOHERENT",$W151="STOCK INSUFFISANT"),0,1)</f>
        <v>0</v>
      </c>
      <c r="Y151" s="26" t="str">
        <f aca="false">IF($D151="","",IF($Q151=0,"A COMPLETER : "&amp;IF($B151="","DATE ENVOI; ","")&amp;IF($C151="","SOUS-TRAITANT; ","")&amp;IF($E151="","LOT SOURCE; ","")&amp;IF(OR(NOT(ISNUMBER($G151)),$G151&lt;=0),"QTE ENVOYEE &gt; 0; ","")&amp;IF(AND($D151="STOCK EXISTANT",$F151=""),"EMPL. SOURCE; ",""),IF($W151="EMPLACEMENT INCOHERENT","Le lot "&amp;$E151&amp;" n'existe pas sur "&amp;$F151&amp;" (stock 0).",IF($W151="STOCK INSUFFISANT","Disponible avant envoi : "&amp;TEXT($R151,"#,##0.00")&amp;" kg. Ligne NON comptee en stock.",IF($W151="BLOQUE","Total des sorties ("&amp;TEXT($S151,"#,##0.00")&amp;" kg) superieur a la quantite envoyee.",IF($W151="EN COURS","Envoi enregistre, resultats non connus. A completer dans ST_RESULTATS.",IF($W151="A JUSTIFIER","Ecart de "&amp;TEXT($U151,"#,##0.00")&amp;" kg : renseigner JUSTIFICATION ECART (colonne L).",IF($O151="LOT NON REFERENCE","Creer d'abord la fiche du lot dans l'onglet LOTS.",""))))))))</f>
        <v/>
      </c>
      <c r="Z151" s="27" t="n">
        <f aca="false">IF(OR($X151=0,$T151&gt;0),0,$G151)</f>
        <v>0</v>
      </c>
      <c r="AA151" s="26" t="n">
        <f aca="false">IF($Q151=0,0,IF(OR($E151=R_LOT,COUNTIFS(RES_IDST,$A151,RES_LOTEFF,R_LOT)&gt;0),1,0))</f>
        <v>0</v>
      </c>
      <c r="AB151" s="26" t="str">
        <f aca="false">IF($AA151=0,"",COUNTIF($AA$5:$AA151,1))</f>
        <v/>
      </c>
    </row>
    <row r="152" customFormat="false" ht="15" hidden="false" customHeight="false" outlineLevel="0" collapsed="false">
      <c r="A152" s="26" t="str">
        <f aca="false">IF($D152="","","ST-"&amp;TEXT(ROW()-4,"000"))</f>
        <v/>
      </c>
      <c r="B152" s="25"/>
      <c r="C152" s="24"/>
      <c r="D152" s="24"/>
      <c r="E152" s="24"/>
      <c r="F152" s="24"/>
      <c r="G152" s="29"/>
      <c r="H152" s="24"/>
      <c r="I152" s="24"/>
      <c r="J152" s="24"/>
      <c r="K152" s="25"/>
      <c r="L152" s="24"/>
      <c r="M152" s="24"/>
      <c r="N152" s="24"/>
      <c r="O152" s="26" t="str">
        <f aca="false">IF($E152="","",IFERROR(INDEX(LOT_PRODE,MATCH($E152,LOT_KEY,0)),"LOT NON REFERENCE"))</f>
        <v/>
      </c>
      <c r="P152" s="26" t="str">
        <f aca="false">IF($E152="","",IFERROR(INDEX(LOT_FOURNE,MATCH($E152,LOT_KEY,0)),""))</f>
        <v/>
      </c>
      <c r="Q152" s="28" t="n">
        <f aca="false">IF($D152="",0,IF(OR($B152="",$C152="",$E152="",NOT(ISNUMBER($G152)),$G152&lt;=0),0,IF($D152="STOCK EXISTANT",IF($F152="",0,1),1)))</f>
        <v>0</v>
      </c>
      <c r="R152" s="27" t="str">
        <f aca="false">IF(OR($Q152=0,$D152&lt;&gt;"STOCK EXISTANT"),"",SUMIFS(MVT_BRUT,MVT_LOT,$E152,MVT_EMPL,$F152)+$G152)</f>
        <v/>
      </c>
      <c r="S152" s="27" t="str">
        <f aca="false">IF($A152="","",SUMIFS(RES_QTEVAL,RES_IDST,$A152))</f>
        <v/>
      </c>
      <c r="T152" s="28" t="str">
        <f aca="false">IF($A152="","",COUNTIFS(RES_IDST,$A152))</f>
        <v/>
      </c>
      <c r="U152" s="27" t="str">
        <f aca="false">IF(OR($A152="",$T152=0),"",$G152-$S152)</f>
        <v/>
      </c>
      <c r="V152" s="30" t="str">
        <f aca="false">IF(OR($A152="",$T152=0,NOT(ISNUMBER($G152)),$G152&lt;=0),"",$S152/$G152)</f>
        <v/>
      </c>
      <c r="W152" s="26" t="str">
        <f aca="false">IF($D152="","",IF($Q152=0,"DONNEES MANQUANTES",IF($D152="STOCK EXISTANT",IF($R152&lt;=0,"EMPLACEMENT INCOHERENT",IF($G152&gt;$R152+0.001,"STOCK INSUFFISANT",IF($T152=0,"EN COURS",IF($S152&gt;$G152+0.001,"BLOQUE",IF(AND($U152&gt;P_TOL,$L152=""),"A JUSTIFIER","OK"))))),IF($T152=0,"EN COURS",IF($S152&gt;$G152+0.001,"BLOQUE",IF(AND($U152&gt;P_TOL,$L152=""),"A JUSTIFIER","OK"))))))</f>
        <v/>
      </c>
      <c r="X152" s="28" t="n">
        <f aca="false">IF(OR($W152="",$W152="DONNEES MANQUANTES",$W152="EMPLACEMENT INCOHERENT",$W152="STOCK INSUFFISANT"),0,1)</f>
        <v>0</v>
      </c>
      <c r="Y152" s="26" t="str">
        <f aca="false">IF($D152="","",IF($Q152=0,"A COMPLETER : "&amp;IF($B152="","DATE ENVOI; ","")&amp;IF($C152="","SOUS-TRAITANT; ","")&amp;IF($E152="","LOT SOURCE; ","")&amp;IF(OR(NOT(ISNUMBER($G152)),$G152&lt;=0),"QTE ENVOYEE &gt; 0; ","")&amp;IF(AND($D152="STOCK EXISTANT",$F152=""),"EMPL. SOURCE; ",""),IF($W152="EMPLACEMENT INCOHERENT","Le lot "&amp;$E152&amp;" n'existe pas sur "&amp;$F152&amp;" (stock 0).",IF($W152="STOCK INSUFFISANT","Disponible avant envoi : "&amp;TEXT($R152,"#,##0.00")&amp;" kg. Ligne NON comptee en stock.",IF($W152="BLOQUE","Total des sorties ("&amp;TEXT($S152,"#,##0.00")&amp;" kg) superieur a la quantite envoyee.",IF($W152="EN COURS","Envoi enregistre, resultats non connus. A completer dans ST_RESULTATS.",IF($W152="A JUSTIFIER","Ecart de "&amp;TEXT($U152,"#,##0.00")&amp;" kg : renseigner JUSTIFICATION ECART (colonne L).",IF($O152="LOT NON REFERENCE","Creer d'abord la fiche du lot dans l'onglet LOTS.",""))))))))</f>
        <v/>
      </c>
      <c r="Z152" s="27" t="n">
        <f aca="false">IF(OR($X152=0,$T152&gt;0),0,$G152)</f>
        <v>0</v>
      </c>
      <c r="AA152" s="26" t="n">
        <f aca="false">IF($Q152=0,0,IF(OR($E152=R_LOT,COUNTIFS(RES_IDST,$A152,RES_LOTEFF,R_LOT)&gt;0),1,0))</f>
        <v>0</v>
      </c>
      <c r="AB152" s="26" t="str">
        <f aca="false">IF($AA152=0,"",COUNTIF($AA$5:$AA152,1))</f>
        <v/>
      </c>
    </row>
    <row r="153" customFormat="false" ht="15" hidden="false" customHeight="false" outlineLevel="0" collapsed="false">
      <c r="A153" s="26" t="str">
        <f aca="false">IF($D153="","","ST-"&amp;TEXT(ROW()-4,"000"))</f>
        <v/>
      </c>
      <c r="B153" s="25"/>
      <c r="C153" s="24"/>
      <c r="D153" s="24"/>
      <c r="E153" s="24"/>
      <c r="F153" s="24"/>
      <c r="G153" s="29"/>
      <c r="H153" s="24"/>
      <c r="I153" s="24"/>
      <c r="J153" s="24"/>
      <c r="K153" s="25"/>
      <c r="L153" s="24"/>
      <c r="M153" s="24"/>
      <c r="N153" s="24"/>
      <c r="O153" s="26" t="str">
        <f aca="false">IF($E153="","",IFERROR(INDEX(LOT_PRODE,MATCH($E153,LOT_KEY,0)),"LOT NON REFERENCE"))</f>
        <v/>
      </c>
      <c r="P153" s="26" t="str">
        <f aca="false">IF($E153="","",IFERROR(INDEX(LOT_FOURNE,MATCH($E153,LOT_KEY,0)),""))</f>
        <v/>
      </c>
      <c r="Q153" s="28" t="n">
        <f aca="false">IF($D153="",0,IF(OR($B153="",$C153="",$E153="",NOT(ISNUMBER($G153)),$G153&lt;=0),0,IF($D153="STOCK EXISTANT",IF($F153="",0,1),1)))</f>
        <v>0</v>
      </c>
      <c r="R153" s="27" t="str">
        <f aca="false">IF(OR($Q153=0,$D153&lt;&gt;"STOCK EXISTANT"),"",SUMIFS(MVT_BRUT,MVT_LOT,$E153,MVT_EMPL,$F153)+$G153)</f>
        <v/>
      </c>
      <c r="S153" s="27" t="str">
        <f aca="false">IF($A153="","",SUMIFS(RES_QTEVAL,RES_IDST,$A153))</f>
        <v/>
      </c>
      <c r="T153" s="28" t="str">
        <f aca="false">IF($A153="","",COUNTIFS(RES_IDST,$A153))</f>
        <v/>
      </c>
      <c r="U153" s="27" t="str">
        <f aca="false">IF(OR($A153="",$T153=0),"",$G153-$S153)</f>
        <v/>
      </c>
      <c r="V153" s="30" t="str">
        <f aca="false">IF(OR($A153="",$T153=0,NOT(ISNUMBER($G153)),$G153&lt;=0),"",$S153/$G153)</f>
        <v/>
      </c>
      <c r="W153" s="26" t="str">
        <f aca="false">IF($D153="","",IF($Q153=0,"DONNEES MANQUANTES",IF($D153="STOCK EXISTANT",IF($R153&lt;=0,"EMPLACEMENT INCOHERENT",IF($G153&gt;$R153+0.001,"STOCK INSUFFISANT",IF($T153=0,"EN COURS",IF($S153&gt;$G153+0.001,"BLOQUE",IF(AND($U153&gt;P_TOL,$L153=""),"A JUSTIFIER","OK"))))),IF($T153=0,"EN COURS",IF($S153&gt;$G153+0.001,"BLOQUE",IF(AND($U153&gt;P_TOL,$L153=""),"A JUSTIFIER","OK"))))))</f>
        <v/>
      </c>
      <c r="X153" s="28" t="n">
        <f aca="false">IF(OR($W153="",$W153="DONNEES MANQUANTES",$W153="EMPLACEMENT INCOHERENT",$W153="STOCK INSUFFISANT"),0,1)</f>
        <v>0</v>
      </c>
      <c r="Y153" s="26" t="str">
        <f aca="false">IF($D153="","",IF($Q153=0,"A COMPLETER : "&amp;IF($B153="","DATE ENVOI; ","")&amp;IF($C153="","SOUS-TRAITANT; ","")&amp;IF($E153="","LOT SOURCE; ","")&amp;IF(OR(NOT(ISNUMBER($G153)),$G153&lt;=0),"QTE ENVOYEE &gt; 0; ","")&amp;IF(AND($D153="STOCK EXISTANT",$F153=""),"EMPL. SOURCE; ",""),IF($W153="EMPLACEMENT INCOHERENT","Le lot "&amp;$E153&amp;" n'existe pas sur "&amp;$F153&amp;" (stock 0).",IF($W153="STOCK INSUFFISANT","Disponible avant envoi : "&amp;TEXT($R153,"#,##0.00")&amp;" kg. Ligne NON comptee en stock.",IF($W153="BLOQUE","Total des sorties ("&amp;TEXT($S153,"#,##0.00")&amp;" kg) superieur a la quantite envoyee.",IF($W153="EN COURS","Envoi enregistre, resultats non connus. A completer dans ST_RESULTATS.",IF($W153="A JUSTIFIER","Ecart de "&amp;TEXT($U153,"#,##0.00")&amp;" kg : renseigner JUSTIFICATION ECART (colonne L).",IF($O153="LOT NON REFERENCE","Creer d'abord la fiche du lot dans l'onglet LOTS.",""))))))))</f>
        <v/>
      </c>
      <c r="Z153" s="27" t="n">
        <f aca="false">IF(OR($X153=0,$T153&gt;0),0,$G153)</f>
        <v>0</v>
      </c>
      <c r="AA153" s="26" t="n">
        <f aca="false">IF($Q153=0,0,IF(OR($E153=R_LOT,COUNTIFS(RES_IDST,$A153,RES_LOTEFF,R_LOT)&gt;0),1,0))</f>
        <v>0</v>
      </c>
      <c r="AB153" s="26" t="str">
        <f aca="false">IF($AA153=0,"",COUNTIF($AA$5:$AA153,1))</f>
        <v/>
      </c>
    </row>
    <row r="154" customFormat="false" ht="15" hidden="false" customHeight="false" outlineLevel="0" collapsed="false">
      <c r="A154" s="26" t="str">
        <f aca="false">IF($D154="","","ST-"&amp;TEXT(ROW()-4,"000"))</f>
        <v/>
      </c>
      <c r="B154" s="25"/>
      <c r="C154" s="24"/>
      <c r="D154" s="24"/>
      <c r="E154" s="24"/>
      <c r="F154" s="24"/>
      <c r="G154" s="29"/>
      <c r="H154" s="24"/>
      <c r="I154" s="24"/>
      <c r="J154" s="24"/>
      <c r="K154" s="25"/>
      <c r="L154" s="24"/>
      <c r="M154" s="24"/>
      <c r="N154" s="24"/>
      <c r="O154" s="26" t="str">
        <f aca="false">IF($E154="","",IFERROR(INDEX(LOT_PRODE,MATCH($E154,LOT_KEY,0)),"LOT NON REFERENCE"))</f>
        <v/>
      </c>
      <c r="P154" s="26" t="str">
        <f aca="false">IF($E154="","",IFERROR(INDEX(LOT_FOURNE,MATCH($E154,LOT_KEY,0)),""))</f>
        <v/>
      </c>
      <c r="Q154" s="28" t="n">
        <f aca="false">IF($D154="",0,IF(OR($B154="",$C154="",$E154="",NOT(ISNUMBER($G154)),$G154&lt;=0),0,IF($D154="STOCK EXISTANT",IF($F154="",0,1),1)))</f>
        <v>0</v>
      </c>
      <c r="R154" s="27" t="str">
        <f aca="false">IF(OR($Q154=0,$D154&lt;&gt;"STOCK EXISTANT"),"",SUMIFS(MVT_BRUT,MVT_LOT,$E154,MVT_EMPL,$F154)+$G154)</f>
        <v/>
      </c>
      <c r="S154" s="27" t="str">
        <f aca="false">IF($A154="","",SUMIFS(RES_QTEVAL,RES_IDST,$A154))</f>
        <v/>
      </c>
      <c r="T154" s="28" t="str">
        <f aca="false">IF($A154="","",COUNTIFS(RES_IDST,$A154))</f>
        <v/>
      </c>
      <c r="U154" s="27" t="str">
        <f aca="false">IF(OR($A154="",$T154=0),"",$G154-$S154)</f>
        <v/>
      </c>
      <c r="V154" s="30" t="str">
        <f aca="false">IF(OR($A154="",$T154=0,NOT(ISNUMBER($G154)),$G154&lt;=0),"",$S154/$G154)</f>
        <v/>
      </c>
      <c r="W154" s="26" t="str">
        <f aca="false">IF($D154="","",IF($Q154=0,"DONNEES MANQUANTES",IF($D154="STOCK EXISTANT",IF($R154&lt;=0,"EMPLACEMENT INCOHERENT",IF($G154&gt;$R154+0.001,"STOCK INSUFFISANT",IF($T154=0,"EN COURS",IF($S154&gt;$G154+0.001,"BLOQUE",IF(AND($U154&gt;P_TOL,$L154=""),"A JUSTIFIER","OK"))))),IF($T154=0,"EN COURS",IF($S154&gt;$G154+0.001,"BLOQUE",IF(AND($U154&gt;P_TOL,$L154=""),"A JUSTIFIER","OK"))))))</f>
        <v/>
      </c>
      <c r="X154" s="28" t="n">
        <f aca="false">IF(OR($W154="",$W154="DONNEES MANQUANTES",$W154="EMPLACEMENT INCOHERENT",$W154="STOCK INSUFFISANT"),0,1)</f>
        <v>0</v>
      </c>
      <c r="Y154" s="26" t="str">
        <f aca="false">IF($D154="","",IF($Q154=0,"A COMPLETER : "&amp;IF($B154="","DATE ENVOI; ","")&amp;IF($C154="","SOUS-TRAITANT; ","")&amp;IF($E154="","LOT SOURCE; ","")&amp;IF(OR(NOT(ISNUMBER($G154)),$G154&lt;=0),"QTE ENVOYEE &gt; 0; ","")&amp;IF(AND($D154="STOCK EXISTANT",$F154=""),"EMPL. SOURCE; ",""),IF($W154="EMPLACEMENT INCOHERENT","Le lot "&amp;$E154&amp;" n'existe pas sur "&amp;$F154&amp;" (stock 0).",IF($W154="STOCK INSUFFISANT","Disponible avant envoi : "&amp;TEXT($R154,"#,##0.00")&amp;" kg. Ligne NON comptee en stock.",IF($W154="BLOQUE","Total des sorties ("&amp;TEXT($S154,"#,##0.00")&amp;" kg) superieur a la quantite envoyee.",IF($W154="EN COURS","Envoi enregistre, resultats non connus. A completer dans ST_RESULTATS.",IF($W154="A JUSTIFIER","Ecart de "&amp;TEXT($U154,"#,##0.00")&amp;" kg : renseigner JUSTIFICATION ECART (colonne L).",IF($O154="LOT NON REFERENCE","Creer d'abord la fiche du lot dans l'onglet LOTS.",""))))))))</f>
        <v/>
      </c>
      <c r="Z154" s="27" t="n">
        <f aca="false">IF(OR($X154=0,$T154&gt;0),0,$G154)</f>
        <v>0</v>
      </c>
      <c r="AA154" s="26" t="n">
        <f aca="false">IF($Q154=0,0,IF(OR($E154=R_LOT,COUNTIFS(RES_IDST,$A154,RES_LOTEFF,R_LOT)&gt;0),1,0))</f>
        <v>0</v>
      </c>
      <c r="AB154" s="26" t="str">
        <f aca="false">IF($AA154=0,"",COUNTIF($AA$5:$AA154,1))</f>
        <v/>
      </c>
    </row>
  </sheetData>
  <autoFilter ref="A4:AB154"/>
  <mergeCells count="3">
    <mergeCell ref="A1:AB1"/>
    <mergeCell ref="A2:AB2"/>
    <mergeCell ref="A3:AB3"/>
  </mergeCells>
  <conditionalFormatting sqref="W5:W154">
    <cfRule type="cellIs" priority="2" operator="equal" aboveAverage="0" equalAverage="0" bottom="0" percent="0" rank="0" text="" dxfId="11">
      <formula>"OK"</formula>
    </cfRule>
    <cfRule type="cellIs" priority="3" operator="equal" aboveAverage="0" equalAverage="0" bottom="0" percent="0" rank="0" text="" dxfId="12">
      <formula>"EN COURS"</formula>
    </cfRule>
    <cfRule type="cellIs" priority="4" operator="equal" aboveAverage="0" equalAverage="0" bottom="0" percent="0" rank="0" text="" dxfId="13">
      <formula>"A JUSTIFIER"</formula>
    </cfRule>
    <cfRule type="cellIs" priority="5" operator="equal" aboveAverage="0" equalAverage="0" bottom="0" percent="0" rank="0" text="" dxfId="14">
      <formula>"DONNEES MANQUANTES"</formula>
    </cfRule>
    <cfRule type="cellIs" priority="6" operator="equal" aboveAverage="0" equalAverage="0" bottom="0" percent="0" rank="0" text="" dxfId="15">
      <formula>"STOCK INSUFFISANT"</formula>
    </cfRule>
    <cfRule type="cellIs" priority="7" operator="equal" aboveAverage="0" equalAverage="0" bottom="0" percent="0" rank="0" text="" dxfId="15">
      <formula>"EMPLACEMENT INCOHERENT"</formula>
    </cfRule>
    <cfRule type="cellIs" priority="8" operator="equal" aboveAverage="0" equalAverage="0" bottom="0" percent="0" rank="0" text="" dxfId="15">
      <formula>"BLOQUE"</formula>
    </cfRule>
    <cfRule type="cellIs" priority="9" operator="equal" aboveAverage="0" equalAverage="0" bottom="0" percent="0" rank="0" text="" dxfId="15">
      <formula>"INCOHERENCE"</formula>
    </cfRule>
    <cfRule type="cellIs" priority="10" operator="equal" aboveAverage="0" equalAverage="0" bottom="0" percent="0" rank="0" text="" dxfId="13">
      <formula>"LOT EN DOUBLE"</formula>
    </cfRule>
  </conditionalFormatting>
  <conditionalFormatting sqref="U5:U154">
    <cfRule type="cellIs" priority="11" operator="greaterThan" aboveAverage="0" equalAverage="0" bottom="0" percent="0" rank="0" text="" dxfId="23">
      <formula>0</formula>
    </cfRule>
  </conditionalFormatting>
  <dataValidations count="8">
    <dataValidation allowBlank="true" errorStyle="stop" operator="between" showDropDown="false" showErrorMessage="false" showInputMessage="false" sqref="C5:C154" type="list">
      <formula1>L_STRAIT</formula1>
      <formula2>0</formula2>
    </dataValidation>
    <dataValidation allowBlank="true" error="Choisissez une valeur dans la liste deroulante." errorStyle="stop" errorTitle="Valeur non autorisee" operator="between" prompt="FOURNISSEUR = livraison directe (aucun stock consomme). STOCK EXISTANT = prelevement sur stock." promptTitle="Aide" showDropDown="false" showErrorMessage="true" showInputMessage="true" sqref="D5:D154" type="list">
      <formula1>"FOURNISSEUR,STOCK EXISTANT"</formula1>
      <formula2>0</formula2>
    </dataValidation>
    <dataValidation allowBlank="true" error="Choisissez une valeur dans la liste deroulante." errorStyle="stop" errorTitle="Valeur non autorisee" operator="between" showDropDown="false" showErrorMessage="true" showInputMessage="false" sqref="E5:E154" type="list">
      <formula1>L_LOTS</formula1>
      <formula2>0</formula2>
    </dataValidation>
    <dataValidation allowBlank="true" error="Choisissez une valeur dans la liste deroulante." errorStyle="stop" errorTitle="Valeur non autorisee" operator="between" prompt="A remplir uniquement si SOURCE = STOCK EXISTANT." promptTitle="Aide" showDropDown="false" showErrorMessage="true" showInputMessage="true" sqref="F5:F154" type="list">
      <formula1>L_EMPL</formula1>
      <formula2>0</formula2>
    </dataValidation>
    <dataValidation allowBlank="true" error="Choisissez une valeur dans la liste deroulante." errorStyle="stop" errorTitle="Valeur non autorisee" operator="greaterThan" showDropDown="false" showErrorMessage="true" showInputMessage="false" sqref="G5:G154" type="decimal">
      <formula1>0</formula1>
      <formula2>0</formula2>
    </dataValidation>
    <dataValidation allowBlank="true" errorStyle="stop" operator="between" showDropDown="false" showErrorMessage="false" showInputMessage="false" sqref="H5:H154" type="list">
      <formula1>L_QUALITE</formula1>
      <formula2>0</formula2>
    </dataValidation>
    <dataValidation allowBlank="true" errorStyle="stop" operator="between" showDropDown="false" showErrorMessage="false" showInputMessage="false" sqref="I5:I154" type="list">
      <formula1>L_MOULE</formula1>
      <formula2>0</formula2>
    </dataValidation>
    <dataValidation allowBlank="true" errorStyle="stop" operator="between" showDropDown="false" showErrorMessage="false" showInputMessage="false" sqref="M5:M154" type="list">
      <formula1>L_MOTIF</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7A8C"/>
    <pageSetUpPr fitToPage="false"/>
  </sheetPr>
  <dimension ref="A1:Z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0"/>
    <col collapsed="false" customWidth="true" hidden="false" outlineLevel="0" max="3" min="3" style="0" width="12"/>
    <col collapsed="false" customWidth="true" hidden="false" outlineLevel="0" max="5" min="4" style="0" width="14"/>
    <col collapsed="false" customWidth="true" hidden="false" outlineLevel="0" max="6" min="6" style="0" width="13"/>
    <col collapsed="false" customWidth="true" hidden="false" outlineLevel="0" max="7" min="7" style="0" width="12"/>
    <col collapsed="false" customWidth="true" hidden="false" outlineLevel="0" max="9" min="8" style="0" width="11"/>
    <col collapsed="false" customWidth="true" hidden="false" outlineLevel="0" max="10" min="10" style="0" width="17"/>
    <col collapsed="false" customWidth="true" hidden="false" outlineLevel="0" max="11" min="11" style="0" width="22"/>
    <col collapsed="false" customWidth="true" hidden="false" outlineLevel="0" max="12" min="12" style="0" width="12"/>
    <col collapsed="false" customWidth="true" hidden="false" outlineLevel="0" max="13" min="13" style="0" width="20"/>
    <col collapsed="false" customWidth="true" hidden="false" outlineLevel="0" max="14" min="14" style="0" width="18"/>
    <col collapsed="false" customWidth="true" hidden="false" outlineLevel="0" max="15" min="15" style="0" width="12"/>
    <col collapsed="false" customWidth="true" hidden="false" outlineLevel="0" max="16" min="16" style="0" width="8"/>
    <col collapsed="false" customWidth="true" hidden="false" outlineLevel="0" max="17" min="17" style="0" width="13"/>
    <col collapsed="false" customWidth="true" hidden="false" outlineLevel="0" max="19" min="18" style="0" width="20"/>
    <col collapsed="false" customWidth="true" hidden="false" outlineLevel="0" max="20" min="20" style="0" width="11"/>
    <col collapsed="false" customWidth="true" hidden="false" outlineLevel="0" max="21" min="21" style="0" width="44"/>
    <col collapsed="false" customWidth="true" hidden="false" outlineLevel="0" max="23" min="22" style="0" width="13"/>
    <col collapsed="false" customWidth="true" hidden="false" outlineLevel="0" max="24" min="24" style="0" width="10"/>
    <col collapsed="false" customWidth="true" hidden="false" outlineLevel="0" max="26" min="25" style="0" width="12"/>
  </cols>
  <sheetData>
    <row r="1" customFormat="false" ht="30" hidden="false" customHeight="true" outlineLevel="0" collapsed="false">
      <c r="A1" s="1" t="s">
        <v>177</v>
      </c>
      <c r="B1" s="1"/>
      <c r="C1" s="1"/>
      <c r="D1" s="1"/>
      <c r="E1" s="1"/>
      <c r="F1" s="1"/>
      <c r="G1" s="1"/>
      <c r="H1" s="1"/>
      <c r="I1" s="1"/>
      <c r="J1" s="1"/>
      <c r="K1" s="1"/>
      <c r="L1" s="1"/>
      <c r="M1" s="1"/>
      <c r="N1" s="1"/>
      <c r="O1" s="1"/>
      <c r="P1" s="1"/>
      <c r="Q1" s="1"/>
      <c r="R1" s="1"/>
      <c r="S1" s="1"/>
      <c r="T1" s="1"/>
      <c r="U1" s="1"/>
      <c r="V1" s="1"/>
      <c r="W1" s="1"/>
      <c r="X1" s="1"/>
      <c r="Y1" s="1"/>
      <c r="Z1" s="1"/>
    </row>
    <row r="2" customFormat="false" ht="18" hidden="false" customHeight="true" outlineLevel="0" collapsed="false">
      <c r="A2" s="2" t="s">
        <v>178</v>
      </c>
      <c r="B2" s="2"/>
      <c r="C2" s="2"/>
      <c r="D2" s="2"/>
      <c r="E2" s="2"/>
      <c r="F2" s="2"/>
      <c r="G2" s="2"/>
      <c r="H2" s="2"/>
      <c r="I2" s="2"/>
      <c r="J2" s="2"/>
      <c r="K2" s="2"/>
      <c r="L2" s="2"/>
      <c r="M2" s="2"/>
      <c r="N2" s="2"/>
      <c r="O2" s="2"/>
      <c r="P2" s="2"/>
      <c r="Q2" s="2"/>
      <c r="R2" s="2"/>
      <c r="S2" s="2"/>
      <c r="T2" s="2"/>
      <c r="U2" s="2"/>
      <c r="V2" s="2"/>
      <c r="W2" s="2"/>
      <c r="X2" s="2"/>
      <c r="Y2" s="2"/>
      <c r="Z2" s="2"/>
    </row>
    <row r="3" customFormat="false" ht="19.5" hidden="false" customHeight="true" outlineLevel="0" collapsed="false">
      <c r="A3" s="3" t="s">
        <v>179</v>
      </c>
      <c r="B3" s="3"/>
      <c r="C3" s="3"/>
      <c r="D3" s="3"/>
      <c r="E3" s="3"/>
      <c r="F3" s="3"/>
      <c r="G3" s="3"/>
      <c r="H3" s="3"/>
      <c r="I3" s="3"/>
      <c r="J3" s="3"/>
      <c r="K3" s="3"/>
      <c r="L3" s="3"/>
      <c r="M3" s="3"/>
      <c r="N3" s="3"/>
      <c r="O3" s="3"/>
      <c r="P3" s="3"/>
      <c r="Q3" s="3"/>
      <c r="R3" s="3"/>
      <c r="S3" s="3"/>
      <c r="T3" s="3"/>
      <c r="U3" s="3"/>
      <c r="V3" s="3"/>
      <c r="W3" s="3"/>
      <c r="X3" s="3"/>
      <c r="Y3" s="3"/>
      <c r="Z3" s="3"/>
    </row>
    <row r="4" customFormat="false" ht="30" hidden="false" customHeight="true" outlineLevel="0" collapsed="false">
      <c r="A4" s="23" t="s">
        <v>180</v>
      </c>
      <c r="B4" s="22" t="s">
        <v>150</v>
      </c>
      <c r="C4" s="22" t="s">
        <v>181</v>
      </c>
      <c r="D4" s="22" t="s">
        <v>182</v>
      </c>
      <c r="E4" s="22" t="s">
        <v>183</v>
      </c>
      <c r="F4" s="22" t="s">
        <v>122</v>
      </c>
      <c r="G4" s="22" t="s">
        <v>184</v>
      </c>
      <c r="H4" s="22" t="s">
        <v>185</v>
      </c>
      <c r="I4" s="22" t="s">
        <v>186</v>
      </c>
      <c r="J4" s="22" t="s">
        <v>121</v>
      </c>
      <c r="K4" s="22" t="s">
        <v>59</v>
      </c>
      <c r="L4" s="23" t="s">
        <v>154</v>
      </c>
      <c r="M4" s="23" t="s">
        <v>152</v>
      </c>
      <c r="N4" s="23" t="s">
        <v>187</v>
      </c>
      <c r="O4" s="23" t="s">
        <v>127</v>
      </c>
      <c r="P4" s="23" t="s">
        <v>128</v>
      </c>
      <c r="Q4" s="23" t="s">
        <v>188</v>
      </c>
      <c r="R4" s="23" t="s">
        <v>189</v>
      </c>
      <c r="S4" s="23" t="s">
        <v>130</v>
      </c>
      <c r="T4" s="23" t="s">
        <v>131</v>
      </c>
      <c r="U4" s="23" t="s">
        <v>132</v>
      </c>
      <c r="V4" s="23" t="s">
        <v>190</v>
      </c>
      <c r="W4" s="23" t="s">
        <v>191</v>
      </c>
      <c r="X4" s="23" t="s">
        <v>192</v>
      </c>
      <c r="Y4" s="23" t="s">
        <v>167</v>
      </c>
      <c r="Z4" s="23" t="s">
        <v>168</v>
      </c>
    </row>
    <row r="5" customFormat="false" ht="15" hidden="false" customHeight="false" outlineLevel="0" collapsed="false">
      <c r="A5" s="26" t="str">
        <f aca="false">IF($B5="","","RES-"&amp;TEXT(ROW()-4,"000"))</f>
        <v>RES-001</v>
      </c>
      <c r="B5" s="24" t="s">
        <v>193</v>
      </c>
      <c r="C5" s="25" t="n">
        <v>46248</v>
      </c>
      <c r="D5" s="24" t="s">
        <v>106</v>
      </c>
      <c r="E5" s="24" t="s">
        <v>105</v>
      </c>
      <c r="F5" s="29" t="n">
        <v>300</v>
      </c>
      <c r="G5" s="24" t="s">
        <v>76</v>
      </c>
      <c r="H5" s="24" t="s">
        <v>77</v>
      </c>
      <c r="I5" s="24" t="n">
        <v>40</v>
      </c>
      <c r="J5" s="24" t="s">
        <v>134</v>
      </c>
      <c r="K5" s="24" t="s">
        <v>194</v>
      </c>
      <c r="L5" s="26" t="str">
        <f aca="false">IF($B5="","",IFERROR(INDEX(ST_LOT,MATCH($B5,ST_ID,0)),""))</f>
        <v>255</v>
      </c>
      <c r="M5" s="26" t="str">
        <f aca="false">IF($B5="","",IFERROR(INDEX(ST_STRAIT,MATCH($B5,ST_ID,0)),""))</f>
        <v>STE FILETAGE ATLANTIC</v>
      </c>
      <c r="N5" s="26" t="str">
        <f aca="false">IF($B5="","",IF($E5="",$L5,$E5))</f>
        <v>255-HG</v>
      </c>
      <c r="O5" s="26" t="str">
        <f aca="false">IF($J5="","",IFERROR(INDEX(EMPL_CLASSE,MATCH($J5,EMPL_KEY,0)),"?"))</f>
        <v>INTERNE</v>
      </c>
      <c r="P5" s="28" t="n">
        <f aca="false">IF($B5="",0,IF(OR(ISNA(MATCH($B5,ST_ID,0)),NOT(ISNUMBER($F5)),$F5&lt;=0,$J5="",$N5=""),0,1))</f>
        <v>1</v>
      </c>
      <c r="Q5" s="27" t="n">
        <f aca="false">IF($P5=0,0,$F5)</f>
        <v>300</v>
      </c>
      <c r="R5" s="26" t="str">
        <f aca="false">IF($B5="","",IFERROR(INDEX(ST_STATUT,MATCH($B5,ST_ID,0)),""))</f>
        <v>A JUSTIFIER</v>
      </c>
      <c r="S5" s="26" t="str">
        <f aca="false">IF($B5="","",IF($P5=0,"DONNEES MANQUANTES",IF(OR($R5="DONNEES MANQUANTES",$R5="STOCK INSUFFISANT",$R5="EMPLACEMENT INCOHERENT",$R5="BLOQUE"),"BLOQUE","OK")))</f>
        <v>OK</v>
      </c>
      <c r="T5" s="28" t="n">
        <f aca="false">IF($S5="OK",1,0)</f>
        <v>1</v>
      </c>
      <c r="U5" s="26" t="str">
        <f aca="false">IF($B5="","",IF($P5=0,"A COMPLETER : "&amp;IF(ISNA(MATCH($B5,ST_ID,0)),"ID ST valide; ","")&amp;IF(OR(NOT(ISNUMBER($F5)),$F5&lt;=0),"QUANTITE &gt; 0; ","")&amp;IF($J5="","EMPL. DESTINATION; ",""),IF($S5="BLOQUE","Envoi parent en anomalie ("&amp;$R5&amp;") : corriger l'onglet SOUS_TRAITANCE.",IF(AND($E5&lt;&gt;"",ISNA(MATCH($E5,LOT_KEY,0))),"Creer la fiche du lot resultat dans l'onglet LOTS.",""))))</f>
        <v/>
      </c>
      <c r="V5" s="31" t="n">
        <f aca="false">IF($B5="","",IF($C5&lt;&gt;"",$C5,IFERROR(INDEX(ST_DATERET,MATCH($B5,ST_ID,0)),"")))</f>
        <v>46248</v>
      </c>
      <c r="W5" s="26" t="str">
        <f aca="false">IF($P5=0,"",IF($L5=R_LOT,IF($N5&lt;&gt;R_LOT,$N5,""),IF($N5=R_LOT,$L5,"")))</f>
        <v>255-HG</v>
      </c>
      <c r="X5" s="26" t="n">
        <f aca="false">IF($W5="","",IF(COUNTIF($W$4:$W4,$W5)&gt;0,"",COUNT($X$4:$X4)+1))</f>
        <v>1</v>
      </c>
      <c r="Y5" s="26" t="n">
        <f aca="false">IF($P5=0,0,IF(OR($L5=R_LOT,$N5=R_LOT),1,0))</f>
        <v>1</v>
      </c>
      <c r="Z5" s="26" t="n">
        <f aca="false">IF($Y5=0,"",COUNTIF($Y$5:$Y5,1))</f>
        <v>1</v>
      </c>
    </row>
    <row r="6" customFormat="false" ht="15" hidden="false" customHeight="false" outlineLevel="0" collapsed="false">
      <c r="A6" s="26" t="str">
        <f aca="false">IF($B6="","","RES-"&amp;TEXT(ROW()-4,"000"))</f>
        <v>RES-002</v>
      </c>
      <c r="B6" s="24" t="s">
        <v>193</v>
      </c>
      <c r="C6" s="25" t="n">
        <v>46248</v>
      </c>
      <c r="D6" s="24" t="s">
        <v>109</v>
      </c>
      <c r="E6" s="24" t="s">
        <v>108</v>
      </c>
      <c r="F6" s="29" t="n">
        <v>150</v>
      </c>
      <c r="G6" s="24" t="s">
        <v>84</v>
      </c>
      <c r="H6" s="24" t="s">
        <v>85</v>
      </c>
      <c r="I6" s="24"/>
      <c r="J6" s="24" t="s">
        <v>195</v>
      </c>
      <c r="K6" s="24" t="s">
        <v>196</v>
      </c>
      <c r="L6" s="26" t="str">
        <f aca="false">IF($B6="","",IFERROR(INDEX(ST_LOT,MATCH($B6,ST_ID,0)),""))</f>
        <v>255</v>
      </c>
      <c r="M6" s="26" t="str">
        <f aca="false">IF($B6="","",IFERROR(INDEX(ST_STRAIT,MATCH($B6,ST_ID,0)),""))</f>
        <v>STE FILETAGE ATLANTIC</v>
      </c>
      <c r="N6" s="26" t="str">
        <f aca="false">IF($B6="","",IF($E6="",$L6,$E6))</f>
        <v>255-HGT</v>
      </c>
      <c r="O6" s="26" t="str">
        <f aca="false">IF($J6="","",IFERROR(INDEX(EMPL_CLASSE,MATCH($J6,EMPL_KEY,0)),"?"))</f>
        <v>EXTERNE</v>
      </c>
      <c r="P6" s="28" t="n">
        <f aca="false">IF($B6="",0,IF(OR(ISNA(MATCH($B6,ST_ID,0)),NOT(ISNUMBER($F6)),$F6&lt;=0,$J6="",$N6=""),0,1))</f>
        <v>1</v>
      </c>
      <c r="Q6" s="27" t="n">
        <f aca="false">IF($P6=0,0,$F6)</f>
        <v>150</v>
      </c>
      <c r="R6" s="26" t="str">
        <f aca="false">IF($B6="","",IFERROR(INDEX(ST_STATUT,MATCH($B6,ST_ID,0)),""))</f>
        <v>A JUSTIFIER</v>
      </c>
      <c r="S6" s="26" t="str">
        <f aca="false">IF($B6="","",IF($P6=0,"DONNEES MANQUANTES",IF(OR($R6="DONNEES MANQUANTES",$R6="STOCK INSUFFISANT",$R6="EMPLACEMENT INCOHERENT",$R6="BLOQUE"),"BLOQUE","OK")))</f>
        <v>OK</v>
      </c>
      <c r="T6" s="28" t="n">
        <f aca="false">IF($S6="OK",1,0)</f>
        <v>1</v>
      </c>
      <c r="U6" s="26" t="str">
        <f aca="false">IF($B6="","",IF($P6=0,"A COMPLETER : "&amp;IF(ISNA(MATCH($B6,ST_ID,0)),"ID ST valide; ","")&amp;IF(OR(NOT(ISNUMBER($F6)),$F6&lt;=0),"QUANTITE &gt; 0; ","")&amp;IF($J6="","EMPL. DESTINATION; ",""),IF($S6="BLOQUE","Envoi parent en anomalie ("&amp;$R6&amp;") : corriger l'onglet SOUS_TRAITANCE.",IF(AND($E6&lt;&gt;"",ISNA(MATCH($E6,LOT_KEY,0))),"Creer la fiche du lot resultat dans l'onglet LOTS.",""))))</f>
        <v/>
      </c>
      <c r="V6" s="31" t="n">
        <f aca="false">IF($B6="","",IF($C6&lt;&gt;"",$C6,IFERROR(INDEX(ST_DATERET,MATCH($B6,ST_ID,0)),"")))</f>
        <v>46248</v>
      </c>
      <c r="W6" s="26" t="str">
        <f aca="false">IF($P6=0,"",IF($L6=R_LOT,IF($N6&lt;&gt;R_LOT,$N6,""),IF($N6=R_LOT,$L6,"")))</f>
        <v>255-HGT</v>
      </c>
      <c r="X6" s="26" t="n">
        <f aca="false">IF($W6="","",IF(COUNTIF($W$4:$W5,$W6)&gt;0,"",COUNT($X$4:$X5)+1))</f>
        <v>2</v>
      </c>
      <c r="Y6" s="26" t="n">
        <f aca="false">IF($P6=0,0,IF(OR($L6=R_LOT,$N6=R_LOT),1,0))</f>
        <v>1</v>
      </c>
      <c r="Z6" s="26" t="n">
        <f aca="false">IF($Y6=0,"",COUNTIF($Y$5:$Y6,1))</f>
        <v>2</v>
      </c>
    </row>
    <row r="7" customFormat="false" ht="15" hidden="false" customHeight="false" outlineLevel="0" collapsed="false">
      <c r="A7" s="26" t="str">
        <f aca="false">IF($B7="","","RES-"&amp;TEXT(ROW()-4,"000"))</f>
        <v>RES-003</v>
      </c>
      <c r="B7" s="24" t="s">
        <v>197</v>
      </c>
      <c r="C7" s="25" t="n">
        <v>46247</v>
      </c>
      <c r="D7" s="24" t="s">
        <v>112</v>
      </c>
      <c r="E7" s="24" t="s">
        <v>111</v>
      </c>
      <c r="F7" s="29" t="n">
        <v>590</v>
      </c>
      <c r="G7" s="24" t="s">
        <v>76</v>
      </c>
      <c r="H7" s="24" t="s">
        <v>90</v>
      </c>
      <c r="I7" s="24"/>
      <c r="J7" s="24" t="s">
        <v>134</v>
      </c>
      <c r="K7" s="24" t="s">
        <v>198</v>
      </c>
      <c r="L7" s="26" t="str">
        <f aca="false">IF($B7="","",IFERROR(INDEX(ST_LOT,MATCH($B7,ST_ID,0)),""))</f>
        <v>300</v>
      </c>
      <c r="M7" s="26" t="str">
        <f aca="false">IF($B7="","",IFERROR(INDEX(ST_STRAIT,MATCH($B7,ST_ID,0)),""))</f>
        <v>STE FILETAGE ATLANTIC</v>
      </c>
      <c r="N7" s="26" t="str">
        <f aca="false">IF($B7="","",IF($E7="",$L7,$E7))</f>
        <v>300-FIL</v>
      </c>
      <c r="O7" s="26" t="str">
        <f aca="false">IF($J7="","",IFERROR(INDEX(EMPL_CLASSE,MATCH($J7,EMPL_KEY,0)),"?"))</f>
        <v>INTERNE</v>
      </c>
      <c r="P7" s="28" t="n">
        <f aca="false">IF($B7="",0,IF(OR(ISNA(MATCH($B7,ST_ID,0)),NOT(ISNUMBER($F7)),$F7&lt;=0,$J7="",$N7=""),0,1))</f>
        <v>1</v>
      </c>
      <c r="Q7" s="27" t="n">
        <f aca="false">IF($P7=0,0,$F7)</f>
        <v>590</v>
      </c>
      <c r="R7" s="26" t="str">
        <f aca="false">IF($B7="","",IFERROR(INDEX(ST_STATUT,MATCH($B7,ST_ID,0)),""))</f>
        <v>OK</v>
      </c>
      <c r="S7" s="26" t="str">
        <f aca="false">IF($B7="","",IF($P7=0,"DONNEES MANQUANTES",IF(OR($R7="DONNEES MANQUANTES",$R7="STOCK INSUFFISANT",$R7="EMPLACEMENT INCOHERENT",$R7="BLOQUE"),"BLOQUE","OK")))</f>
        <v>OK</v>
      </c>
      <c r="T7" s="28" t="n">
        <f aca="false">IF($S7="OK",1,0)</f>
        <v>1</v>
      </c>
      <c r="U7" s="26" t="str">
        <f aca="false">IF($B7="","",IF($P7=0,"A COMPLETER : "&amp;IF(ISNA(MATCH($B7,ST_ID,0)),"ID ST valide; ","")&amp;IF(OR(NOT(ISNUMBER($F7)),$F7&lt;=0),"QUANTITE &gt; 0; ","")&amp;IF($J7="","EMPL. DESTINATION; ",""),IF($S7="BLOQUE","Envoi parent en anomalie ("&amp;$R7&amp;") : corriger l'onglet SOUS_TRAITANCE.",IF(AND($E7&lt;&gt;"",ISNA(MATCH($E7,LOT_KEY,0))),"Creer la fiche du lot resultat dans l'onglet LOTS.",""))))</f>
        <v/>
      </c>
      <c r="V7" s="31" t="n">
        <f aca="false">IF($B7="","",IF($C7&lt;&gt;"",$C7,IFERROR(INDEX(ST_DATERET,MATCH($B7,ST_ID,0)),"")))</f>
        <v>46247</v>
      </c>
      <c r="W7" s="26" t="str">
        <f aca="false">IF($P7=0,"",IF($L7=R_LOT,IF($N7&lt;&gt;R_LOT,$N7,""),IF($N7=R_LOT,$L7,"")))</f>
        <v/>
      </c>
      <c r="X7" s="26" t="str">
        <f aca="false">IF($W7="","",IF(COUNTIF($W$4:$W6,$W7)&gt;0,"",COUNT($X$4:$X6)+1))</f>
        <v/>
      </c>
      <c r="Y7" s="26" t="n">
        <f aca="false">IF($P7=0,0,IF(OR($L7=R_LOT,$N7=R_LOT),1,0))</f>
        <v>0</v>
      </c>
      <c r="Z7" s="26" t="str">
        <f aca="false">IF($Y7=0,"",COUNTIF($Y$5:$Y7,1))</f>
        <v/>
      </c>
    </row>
    <row r="8" customFormat="false" ht="15" hidden="false" customHeight="false" outlineLevel="0" collapsed="false">
      <c r="A8" s="26" t="str">
        <f aca="false">IF($B8="","","RES-"&amp;TEXT(ROW()-4,"000"))</f>
        <v/>
      </c>
      <c r="B8" s="24"/>
      <c r="C8" s="25"/>
      <c r="D8" s="24"/>
      <c r="E8" s="24"/>
      <c r="F8" s="29"/>
      <c r="G8" s="24"/>
      <c r="H8" s="24"/>
      <c r="I8" s="24"/>
      <c r="J8" s="24"/>
      <c r="K8" s="24"/>
      <c r="L8" s="26" t="str">
        <f aca="false">IF($B8="","",IFERROR(INDEX(ST_LOT,MATCH($B8,ST_ID,0)),""))</f>
        <v/>
      </c>
      <c r="M8" s="26" t="str">
        <f aca="false">IF($B8="","",IFERROR(INDEX(ST_STRAIT,MATCH($B8,ST_ID,0)),""))</f>
        <v/>
      </c>
      <c r="N8" s="26" t="str">
        <f aca="false">IF($B8="","",IF($E8="",$L8,$E8))</f>
        <v/>
      </c>
      <c r="O8" s="26" t="str">
        <f aca="false">IF($J8="","",IFERROR(INDEX(EMPL_CLASSE,MATCH($J8,EMPL_KEY,0)),"?"))</f>
        <v/>
      </c>
      <c r="P8" s="28" t="n">
        <f aca="false">IF($B8="",0,IF(OR(ISNA(MATCH($B8,ST_ID,0)),NOT(ISNUMBER($F8)),$F8&lt;=0,$J8="",$N8=""),0,1))</f>
        <v>0</v>
      </c>
      <c r="Q8" s="27" t="n">
        <f aca="false">IF($P8=0,0,$F8)</f>
        <v>0</v>
      </c>
      <c r="R8" s="26" t="str">
        <f aca="false">IF($B8="","",IFERROR(INDEX(ST_STATUT,MATCH($B8,ST_ID,0)),""))</f>
        <v/>
      </c>
      <c r="S8" s="26" t="str">
        <f aca="false">IF($B8="","",IF($P8=0,"DONNEES MANQUANTES",IF(OR($R8="DONNEES MANQUANTES",$R8="STOCK INSUFFISANT",$R8="EMPLACEMENT INCOHERENT",$R8="BLOQUE"),"BLOQUE","OK")))</f>
        <v/>
      </c>
      <c r="T8" s="28" t="n">
        <f aca="false">IF($S8="OK",1,0)</f>
        <v>0</v>
      </c>
      <c r="U8" s="26" t="str">
        <f aca="false">IF($B8="","",IF($P8=0,"A COMPLETER : "&amp;IF(ISNA(MATCH($B8,ST_ID,0)),"ID ST valide; ","")&amp;IF(OR(NOT(ISNUMBER($F8)),$F8&lt;=0),"QUANTITE &gt; 0; ","")&amp;IF($J8="","EMPL. DESTINATION; ",""),IF($S8="BLOQUE","Envoi parent en anomalie ("&amp;$R8&amp;") : corriger l'onglet SOUS_TRAITANCE.",IF(AND($E8&lt;&gt;"",ISNA(MATCH($E8,LOT_KEY,0))),"Creer la fiche du lot resultat dans l'onglet LOTS.",""))))</f>
        <v/>
      </c>
      <c r="V8" s="31" t="str">
        <f aca="false">IF($B8="","",IF($C8&lt;&gt;"",$C8,IFERROR(INDEX(ST_DATERET,MATCH($B8,ST_ID,0)),"")))</f>
        <v/>
      </c>
      <c r="W8" s="26" t="str">
        <f aca="false">IF($P8=0,"",IF($L8=R_LOT,IF($N8&lt;&gt;R_LOT,$N8,""),IF($N8=R_LOT,$L8,"")))</f>
        <v/>
      </c>
      <c r="X8" s="26" t="str">
        <f aca="false">IF($W8="","",IF(COUNTIF($W$4:$W7,$W8)&gt;0,"",COUNT($X$4:$X7)+1))</f>
        <v/>
      </c>
      <c r="Y8" s="26" t="n">
        <f aca="false">IF($P8=0,0,IF(OR($L8=R_LOT,$N8=R_LOT),1,0))</f>
        <v>0</v>
      </c>
      <c r="Z8" s="26" t="str">
        <f aca="false">IF($Y8=0,"",COUNTIF($Y$5:$Y8,1))</f>
        <v/>
      </c>
    </row>
    <row r="9" customFormat="false" ht="15" hidden="false" customHeight="false" outlineLevel="0" collapsed="false">
      <c r="A9" s="26" t="str">
        <f aca="false">IF($B9="","","RES-"&amp;TEXT(ROW()-4,"000"))</f>
        <v/>
      </c>
      <c r="B9" s="24"/>
      <c r="C9" s="25"/>
      <c r="D9" s="24"/>
      <c r="E9" s="24"/>
      <c r="F9" s="29"/>
      <c r="G9" s="24"/>
      <c r="H9" s="24"/>
      <c r="I9" s="24"/>
      <c r="J9" s="24"/>
      <c r="K9" s="24"/>
      <c r="L9" s="26" t="str">
        <f aca="false">IF($B9="","",IFERROR(INDEX(ST_LOT,MATCH($B9,ST_ID,0)),""))</f>
        <v/>
      </c>
      <c r="M9" s="26" t="str">
        <f aca="false">IF($B9="","",IFERROR(INDEX(ST_STRAIT,MATCH($B9,ST_ID,0)),""))</f>
        <v/>
      </c>
      <c r="N9" s="26" t="str">
        <f aca="false">IF($B9="","",IF($E9="",$L9,$E9))</f>
        <v/>
      </c>
      <c r="O9" s="26" t="str">
        <f aca="false">IF($J9="","",IFERROR(INDEX(EMPL_CLASSE,MATCH($J9,EMPL_KEY,0)),"?"))</f>
        <v/>
      </c>
      <c r="P9" s="28" t="n">
        <f aca="false">IF($B9="",0,IF(OR(ISNA(MATCH($B9,ST_ID,0)),NOT(ISNUMBER($F9)),$F9&lt;=0,$J9="",$N9=""),0,1))</f>
        <v>0</v>
      </c>
      <c r="Q9" s="27" t="n">
        <f aca="false">IF($P9=0,0,$F9)</f>
        <v>0</v>
      </c>
      <c r="R9" s="26" t="str">
        <f aca="false">IF($B9="","",IFERROR(INDEX(ST_STATUT,MATCH($B9,ST_ID,0)),""))</f>
        <v/>
      </c>
      <c r="S9" s="26" t="str">
        <f aca="false">IF($B9="","",IF($P9=0,"DONNEES MANQUANTES",IF(OR($R9="DONNEES MANQUANTES",$R9="STOCK INSUFFISANT",$R9="EMPLACEMENT INCOHERENT",$R9="BLOQUE"),"BLOQUE","OK")))</f>
        <v/>
      </c>
      <c r="T9" s="28" t="n">
        <f aca="false">IF($S9="OK",1,0)</f>
        <v>0</v>
      </c>
      <c r="U9" s="26" t="str">
        <f aca="false">IF($B9="","",IF($P9=0,"A COMPLETER : "&amp;IF(ISNA(MATCH($B9,ST_ID,0)),"ID ST valide; ","")&amp;IF(OR(NOT(ISNUMBER($F9)),$F9&lt;=0),"QUANTITE &gt; 0; ","")&amp;IF($J9="","EMPL. DESTINATION; ",""),IF($S9="BLOQUE","Envoi parent en anomalie ("&amp;$R9&amp;") : corriger l'onglet SOUS_TRAITANCE.",IF(AND($E9&lt;&gt;"",ISNA(MATCH($E9,LOT_KEY,0))),"Creer la fiche du lot resultat dans l'onglet LOTS.",""))))</f>
        <v/>
      </c>
      <c r="V9" s="31" t="str">
        <f aca="false">IF($B9="","",IF($C9&lt;&gt;"",$C9,IFERROR(INDEX(ST_DATERET,MATCH($B9,ST_ID,0)),"")))</f>
        <v/>
      </c>
      <c r="W9" s="26" t="str">
        <f aca="false">IF($P9=0,"",IF($L9=R_LOT,IF($N9&lt;&gt;R_LOT,$N9,""),IF($N9=R_LOT,$L9,"")))</f>
        <v/>
      </c>
      <c r="X9" s="26" t="str">
        <f aca="false">IF($W9="","",IF(COUNTIF($W$4:$W8,$W9)&gt;0,"",COUNT($X$4:$X8)+1))</f>
        <v/>
      </c>
      <c r="Y9" s="26" t="n">
        <f aca="false">IF($P9=0,0,IF(OR($L9=R_LOT,$N9=R_LOT),1,0))</f>
        <v>0</v>
      </c>
      <c r="Z9" s="26" t="str">
        <f aca="false">IF($Y9=0,"",COUNTIF($Y$5:$Y9,1))</f>
        <v/>
      </c>
    </row>
    <row r="10" customFormat="false" ht="15" hidden="false" customHeight="false" outlineLevel="0" collapsed="false">
      <c r="A10" s="26" t="str">
        <f aca="false">IF($B10="","","RES-"&amp;TEXT(ROW()-4,"000"))</f>
        <v/>
      </c>
      <c r="B10" s="24"/>
      <c r="C10" s="25"/>
      <c r="D10" s="24"/>
      <c r="E10" s="24"/>
      <c r="F10" s="29"/>
      <c r="G10" s="24"/>
      <c r="H10" s="24"/>
      <c r="I10" s="24"/>
      <c r="J10" s="24"/>
      <c r="K10" s="24"/>
      <c r="L10" s="26" t="str">
        <f aca="false">IF($B10="","",IFERROR(INDEX(ST_LOT,MATCH($B10,ST_ID,0)),""))</f>
        <v/>
      </c>
      <c r="M10" s="26" t="str">
        <f aca="false">IF($B10="","",IFERROR(INDEX(ST_STRAIT,MATCH($B10,ST_ID,0)),""))</f>
        <v/>
      </c>
      <c r="N10" s="26" t="str">
        <f aca="false">IF($B10="","",IF($E10="",$L10,$E10))</f>
        <v/>
      </c>
      <c r="O10" s="26" t="str">
        <f aca="false">IF($J10="","",IFERROR(INDEX(EMPL_CLASSE,MATCH($J10,EMPL_KEY,0)),"?"))</f>
        <v/>
      </c>
      <c r="P10" s="28" t="n">
        <f aca="false">IF($B10="",0,IF(OR(ISNA(MATCH($B10,ST_ID,0)),NOT(ISNUMBER($F10)),$F10&lt;=0,$J10="",$N10=""),0,1))</f>
        <v>0</v>
      </c>
      <c r="Q10" s="27" t="n">
        <f aca="false">IF($P10=0,0,$F10)</f>
        <v>0</v>
      </c>
      <c r="R10" s="26" t="str">
        <f aca="false">IF($B10="","",IFERROR(INDEX(ST_STATUT,MATCH($B10,ST_ID,0)),""))</f>
        <v/>
      </c>
      <c r="S10" s="26" t="str">
        <f aca="false">IF($B10="","",IF($P10=0,"DONNEES MANQUANTES",IF(OR($R10="DONNEES MANQUANTES",$R10="STOCK INSUFFISANT",$R10="EMPLACEMENT INCOHERENT",$R10="BLOQUE"),"BLOQUE","OK")))</f>
        <v/>
      </c>
      <c r="T10" s="28" t="n">
        <f aca="false">IF($S10="OK",1,0)</f>
        <v>0</v>
      </c>
      <c r="U10" s="26" t="str">
        <f aca="false">IF($B10="","",IF($P10=0,"A COMPLETER : "&amp;IF(ISNA(MATCH($B10,ST_ID,0)),"ID ST valide; ","")&amp;IF(OR(NOT(ISNUMBER($F10)),$F10&lt;=0),"QUANTITE &gt; 0; ","")&amp;IF($J10="","EMPL. DESTINATION; ",""),IF($S10="BLOQUE","Envoi parent en anomalie ("&amp;$R10&amp;") : corriger l'onglet SOUS_TRAITANCE.",IF(AND($E10&lt;&gt;"",ISNA(MATCH($E10,LOT_KEY,0))),"Creer la fiche du lot resultat dans l'onglet LOTS.",""))))</f>
        <v/>
      </c>
      <c r="V10" s="31" t="str">
        <f aca="false">IF($B10="","",IF($C10&lt;&gt;"",$C10,IFERROR(INDEX(ST_DATERET,MATCH($B10,ST_ID,0)),"")))</f>
        <v/>
      </c>
      <c r="W10" s="26" t="str">
        <f aca="false">IF($P10=0,"",IF($L10=R_LOT,IF($N10&lt;&gt;R_LOT,$N10,""),IF($N10=R_LOT,$L10,"")))</f>
        <v/>
      </c>
      <c r="X10" s="26" t="str">
        <f aca="false">IF($W10="","",IF(COUNTIF($W$4:$W9,$W10)&gt;0,"",COUNT($X$4:$X9)+1))</f>
        <v/>
      </c>
      <c r="Y10" s="26" t="n">
        <f aca="false">IF($P10=0,0,IF(OR($L10=R_LOT,$N10=R_LOT),1,0))</f>
        <v>0</v>
      </c>
      <c r="Z10" s="26" t="str">
        <f aca="false">IF($Y10=0,"",COUNTIF($Y$5:$Y10,1))</f>
        <v/>
      </c>
    </row>
    <row r="11" customFormat="false" ht="15" hidden="false" customHeight="false" outlineLevel="0" collapsed="false">
      <c r="A11" s="26" t="str">
        <f aca="false">IF($B11="","","RES-"&amp;TEXT(ROW()-4,"000"))</f>
        <v/>
      </c>
      <c r="B11" s="24"/>
      <c r="C11" s="25"/>
      <c r="D11" s="24"/>
      <c r="E11" s="24"/>
      <c r="F11" s="29"/>
      <c r="G11" s="24"/>
      <c r="H11" s="24"/>
      <c r="I11" s="24"/>
      <c r="J11" s="24"/>
      <c r="K11" s="24"/>
      <c r="L11" s="26" t="str">
        <f aca="false">IF($B11="","",IFERROR(INDEX(ST_LOT,MATCH($B11,ST_ID,0)),""))</f>
        <v/>
      </c>
      <c r="M11" s="26" t="str">
        <f aca="false">IF($B11="","",IFERROR(INDEX(ST_STRAIT,MATCH($B11,ST_ID,0)),""))</f>
        <v/>
      </c>
      <c r="N11" s="26" t="str">
        <f aca="false">IF($B11="","",IF($E11="",$L11,$E11))</f>
        <v/>
      </c>
      <c r="O11" s="26" t="str">
        <f aca="false">IF($J11="","",IFERROR(INDEX(EMPL_CLASSE,MATCH($J11,EMPL_KEY,0)),"?"))</f>
        <v/>
      </c>
      <c r="P11" s="28" t="n">
        <f aca="false">IF($B11="",0,IF(OR(ISNA(MATCH($B11,ST_ID,0)),NOT(ISNUMBER($F11)),$F11&lt;=0,$J11="",$N11=""),0,1))</f>
        <v>0</v>
      </c>
      <c r="Q11" s="27" t="n">
        <f aca="false">IF($P11=0,0,$F11)</f>
        <v>0</v>
      </c>
      <c r="R11" s="26" t="str">
        <f aca="false">IF($B11="","",IFERROR(INDEX(ST_STATUT,MATCH($B11,ST_ID,0)),""))</f>
        <v/>
      </c>
      <c r="S11" s="26" t="str">
        <f aca="false">IF($B11="","",IF($P11=0,"DONNEES MANQUANTES",IF(OR($R11="DONNEES MANQUANTES",$R11="STOCK INSUFFISANT",$R11="EMPLACEMENT INCOHERENT",$R11="BLOQUE"),"BLOQUE","OK")))</f>
        <v/>
      </c>
      <c r="T11" s="28" t="n">
        <f aca="false">IF($S11="OK",1,0)</f>
        <v>0</v>
      </c>
      <c r="U11" s="26" t="str">
        <f aca="false">IF($B11="","",IF($P11=0,"A COMPLETER : "&amp;IF(ISNA(MATCH($B11,ST_ID,0)),"ID ST valide; ","")&amp;IF(OR(NOT(ISNUMBER($F11)),$F11&lt;=0),"QUANTITE &gt; 0; ","")&amp;IF($J11="","EMPL. DESTINATION; ",""),IF($S11="BLOQUE","Envoi parent en anomalie ("&amp;$R11&amp;") : corriger l'onglet SOUS_TRAITANCE.",IF(AND($E11&lt;&gt;"",ISNA(MATCH($E11,LOT_KEY,0))),"Creer la fiche du lot resultat dans l'onglet LOTS.",""))))</f>
        <v/>
      </c>
      <c r="V11" s="31" t="str">
        <f aca="false">IF($B11="","",IF($C11&lt;&gt;"",$C11,IFERROR(INDEX(ST_DATERET,MATCH($B11,ST_ID,0)),"")))</f>
        <v/>
      </c>
      <c r="W11" s="26" t="str">
        <f aca="false">IF($P11=0,"",IF($L11=R_LOT,IF($N11&lt;&gt;R_LOT,$N11,""),IF($N11=R_LOT,$L11,"")))</f>
        <v/>
      </c>
      <c r="X11" s="26" t="str">
        <f aca="false">IF($W11="","",IF(COUNTIF($W$4:$W10,$W11)&gt;0,"",COUNT($X$4:$X10)+1))</f>
        <v/>
      </c>
      <c r="Y11" s="26" t="n">
        <f aca="false">IF($P11=0,0,IF(OR($L11=R_LOT,$N11=R_LOT),1,0))</f>
        <v>0</v>
      </c>
      <c r="Z11" s="26" t="str">
        <f aca="false">IF($Y11=0,"",COUNTIF($Y$5:$Y11,1))</f>
        <v/>
      </c>
    </row>
    <row r="12" customFormat="false" ht="15" hidden="false" customHeight="false" outlineLevel="0" collapsed="false">
      <c r="A12" s="26" t="str">
        <f aca="false">IF($B12="","","RES-"&amp;TEXT(ROW()-4,"000"))</f>
        <v/>
      </c>
      <c r="B12" s="24"/>
      <c r="C12" s="25"/>
      <c r="D12" s="24"/>
      <c r="E12" s="24"/>
      <c r="F12" s="29"/>
      <c r="G12" s="24"/>
      <c r="H12" s="24"/>
      <c r="I12" s="24"/>
      <c r="J12" s="24"/>
      <c r="K12" s="24"/>
      <c r="L12" s="26" t="str">
        <f aca="false">IF($B12="","",IFERROR(INDEX(ST_LOT,MATCH($B12,ST_ID,0)),""))</f>
        <v/>
      </c>
      <c r="M12" s="26" t="str">
        <f aca="false">IF($B12="","",IFERROR(INDEX(ST_STRAIT,MATCH($B12,ST_ID,0)),""))</f>
        <v/>
      </c>
      <c r="N12" s="26" t="str">
        <f aca="false">IF($B12="","",IF($E12="",$L12,$E12))</f>
        <v/>
      </c>
      <c r="O12" s="26" t="str">
        <f aca="false">IF($J12="","",IFERROR(INDEX(EMPL_CLASSE,MATCH($J12,EMPL_KEY,0)),"?"))</f>
        <v/>
      </c>
      <c r="P12" s="28" t="n">
        <f aca="false">IF($B12="",0,IF(OR(ISNA(MATCH($B12,ST_ID,0)),NOT(ISNUMBER($F12)),$F12&lt;=0,$J12="",$N12=""),0,1))</f>
        <v>0</v>
      </c>
      <c r="Q12" s="27" t="n">
        <f aca="false">IF($P12=0,0,$F12)</f>
        <v>0</v>
      </c>
      <c r="R12" s="26" t="str">
        <f aca="false">IF($B12="","",IFERROR(INDEX(ST_STATUT,MATCH($B12,ST_ID,0)),""))</f>
        <v/>
      </c>
      <c r="S12" s="26" t="str">
        <f aca="false">IF($B12="","",IF($P12=0,"DONNEES MANQUANTES",IF(OR($R12="DONNEES MANQUANTES",$R12="STOCK INSUFFISANT",$R12="EMPLACEMENT INCOHERENT",$R12="BLOQUE"),"BLOQUE","OK")))</f>
        <v/>
      </c>
      <c r="T12" s="28" t="n">
        <f aca="false">IF($S12="OK",1,0)</f>
        <v>0</v>
      </c>
      <c r="U12" s="26" t="str">
        <f aca="false">IF($B12="","",IF($P12=0,"A COMPLETER : "&amp;IF(ISNA(MATCH($B12,ST_ID,0)),"ID ST valide; ","")&amp;IF(OR(NOT(ISNUMBER($F12)),$F12&lt;=0),"QUANTITE &gt; 0; ","")&amp;IF($J12="","EMPL. DESTINATION; ",""),IF($S12="BLOQUE","Envoi parent en anomalie ("&amp;$R12&amp;") : corriger l'onglet SOUS_TRAITANCE.",IF(AND($E12&lt;&gt;"",ISNA(MATCH($E12,LOT_KEY,0))),"Creer la fiche du lot resultat dans l'onglet LOTS.",""))))</f>
        <v/>
      </c>
      <c r="V12" s="31" t="str">
        <f aca="false">IF($B12="","",IF($C12&lt;&gt;"",$C12,IFERROR(INDEX(ST_DATERET,MATCH($B12,ST_ID,0)),"")))</f>
        <v/>
      </c>
      <c r="W12" s="26" t="str">
        <f aca="false">IF($P12=0,"",IF($L12=R_LOT,IF($N12&lt;&gt;R_LOT,$N12,""),IF($N12=R_LOT,$L12,"")))</f>
        <v/>
      </c>
      <c r="X12" s="26" t="str">
        <f aca="false">IF($W12="","",IF(COUNTIF($W$4:$W11,$W12)&gt;0,"",COUNT($X$4:$X11)+1))</f>
        <v/>
      </c>
      <c r="Y12" s="26" t="n">
        <f aca="false">IF($P12=0,0,IF(OR($L12=R_LOT,$N12=R_LOT),1,0))</f>
        <v>0</v>
      </c>
      <c r="Z12" s="26" t="str">
        <f aca="false">IF($Y12=0,"",COUNTIF($Y$5:$Y12,1))</f>
        <v/>
      </c>
    </row>
    <row r="13" customFormat="false" ht="15" hidden="false" customHeight="false" outlineLevel="0" collapsed="false">
      <c r="A13" s="26" t="str">
        <f aca="false">IF($B13="","","RES-"&amp;TEXT(ROW()-4,"000"))</f>
        <v/>
      </c>
      <c r="B13" s="24"/>
      <c r="C13" s="25"/>
      <c r="D13" s="24"/>
      <c r="E13" s="24"/>
      <c r="F13" s="29"/>
      <c r="G13" s="24"/>
      <c r="H13" s="24"/>
      <c r="I13" s="24"/>
      <c r="J13" s="24"/>
      <c r="K13" s="24"/>
      <c r="L13" s="26" t="str">
        <f aca="false">IF($B13="","",IFERROR(INDEX(ST_LOT,MATCH($B13,ST_ID,0)),""))</f>
        <v/>
      </c>
      <c r="M13" s="26" t="str">
        <f aca="false">IF($B13="","",IFERROR(INDEX(ST_STRAIT,MATCH($B13,ST_ID,0)),""))</f>
        <v/>
      </c>
      <c r="N13" s="26" t="str">
        <f aca="false">IF($B13="","",IF($E13="",$L13,$E13))</f>
        <v/>
      </c>
      <c r="O13" s="26" t="str">
        <f aca="false">IF($J13="","",IFERROR(INDEX(EMPL_CLASSE,MATCH($J13,EMPL_KEY,0)),"?"))</f>
        <v/>
      </c>
      <c r="P13" s="28" t="n">
        <f aca="false">IF($B13="",0,IF(OR(ISNA(MATCH($B13,ST_ID,0)),NOT(ISNUMBER($F13)),$F13&lt;=0,$J13="",$N13=""),0,1))</f>
        <v>0</v>
      </c>
      <c r="Q13" s="27" t="n">
        <f aca="false">IF($P13=0,0,$F13)</f>
        <v>0</v>
      </c>
      <c r="R13" s="26" t="str">
        <f aca="false">IF($B13="","",IFERROR(INDEX(ST_STATUT,MATCH($B13,ST_ID,0)),""))</f>
        <v/>
      </c>
      <c r="S13" s="26" t="str">
        <f aca="false">IF($B13="","",IF($P13=0,"DONNEES MANQUANTES",IF(OR($R13="DONNEES MANQUANTES",$R13="STOCK INSUFFISANT",$R13="EMPLACEMENT INCOHERENT",$R13="BLOQUE"),"BLOQUE","OK")))</f>
        <v/>
      </c>
      <c r="T13" s="28" t="n">
        <f aca="false">IF($S13="OK",1,0)</f>
        <v>0</v>
      </c>
      <c r="U13" s="26" t="str">
        <f aca="false">IF($B13="","",IF($P13=0,"A COMPLETER : "&amp;IF(ISNA(MATCH($B13,ST_ID,0)),"ID ST valide; ","")&amp;IF(OR(NOT(ISNUMBER($F13)),$F13&lt;=0),"QUANTITE &gt; 0; ","")&amp;IF($J13="","EMPL. DESTINATION; ",""),IF($S13="BLOQUE","Envoi parent en anomalie ("&amp;$R13&amp;") : corriger l'onglet SOUS_TRAITANCE.",IF(AND($E13&lt;&gt;"",ISNA(MATCH($E13,LOT_KEY,0))),"Creer la fiche du lot resultat dans l'onglet LOTS.",""))))</f>
        <v/>
      </c>
      <c r="V13" s="31" t="str">
        <f aca="false">IF($B13="","",IF($C13&lt;&gt;"",$C13,IFERROR(INDEX(ST_DATERET,MATCH($B13,ST_ID,0)),"")))</f>
        <v/>
      </c>
      <c r="W13" s="26" t="str">
        <f aca="false">IF($P13=0,"",IF($L13=R_LOT,IF($N13&lt;&gt;R_LOT,$N13,""),IF($N13=R_LOT,$L13,"")))</f>
        <v/>
      </c>
      <c r="X13" s="26" t="str">
        <f aca="false">IF($W13="","",IF(COUNTIF($W$4:$W12,$W13)&gt;0,"",COUNT($X$4:$X12)+1))</f>
        <v/>
      </c>
      <c r="Y13" s="26" t="n">
        <f aca="false">IF($P13=0,0,IF(OR($L13=R_LOT,$N13=R_LOT),1,0))</f>
        <v>0</v>
      </c>
      <c r="Z13" s="26" t="str">
        <f aca="false">IF($Y13=0,"",COUNTIF($Y$5:$Y13,1))</f>
        <v/>
      </c>
    </row>
    <row r="14" customFormat="false" ht="15" hidden="false" customHeight="false" outlineLevel="0" collapsed="false">
      <c r="A14" s="26" t="str">
        <f aca="false">IF($B14="","","RES-"&amp;TEXT(ROW()-4,"000"))</f>
        <v/>
      </c>
      <c r="B14" s="24"/>
      <c r="C14" s="25"/>
      <c r="D14" s="24"/>
      <c r="E14" s="24"/>
      <c r="F14" s="29"/>
      <c r="G14" s="24"/>
      <c r="H14" s="24"/>
      <c r="I14" s="24"/>
      <c r="J14" s="24"/>
      <c r="K14" s="24"/>
      <c r="L14" s="26" t="str">
        <f aca="false">IF($B14="","",IFERROR(INDEX(ST_LOT,MATCH($B14,ST_ID,0)),""))</f>
        <v/>
      </c>
      <c r="M14" s="26" t="str">
        <f aca="false">IF($B14="","",IFERROR(INDEX(ST_STRAIT,MATCH($B14,ST_ID,0)),""))</f>
        <v/>
      </c>
      <c r="N14" s="26" t="str">
        <f aca="false">IF($B14="","",IF($E14="",$L14,$E14))</f>
        <v/>
      </c>
      <c r="O14" s="26" t="str">
        <f aca="false">IF($J14="","",IFERROR(INDEX(EMPL_CLASSE,MATCH($J14,EMPL_KEY,0)),"?"))</f>
        <v/>
      </c>
      <c r="P14" s="28" t="n">
        <f aca="false">IF($B14="",0,IF(OR(ISNA(MATCH($B14,ST_ID,0)),NOT(ISNUMBER($F14)),$F14&lt;=0,$J14="",$N14=""),0,1))</f>
        <v>0</v>
      </c>
      <c r="Q14" s="27" t="n">
        <f aca="false">IF($P14=0,0,$F14)</f>
        <v>0</v>
      </c>
      <c r="R14" s="26" t="str">
        <f aca="false">IF($B14="","",IFERROR(INDEX(ST_STATUT,MATCH($B14,ST_ID,0)),""))</f>
        <v/>
      </c>
      <c r="S14" s="26" t="str">
        <f aca="false">IF($B14="","",IF($P14=0,"DONNEES MANQUANTES",IF(OR($R14="DONNEES MANQUANTES",$R14="STOCK INSUFFISANT",$R14="EMPLACEMENT INCOHERENT",$R14="BLOQUE"),"BLOQUE","OK")))</f>
        <v/>
      </c>
      <c r="T14" s="28" t="n">
        <f aca="false">IF($S14="OK",1,0)</f>
        <v>0</v>
      </c>
      <c r="U14" s="26" t="str">
        <f aca="false">IF($B14="","",IF($P14=0,"A COMPLETER : "&amp;IF(ISNA(MATCH($B14,ST_ID,0)),"ID ST valide; ","")&amp;IF(OR(NOT(ISNUMBER($F14)),$F14&lt;=0),"QUANTITE &gt; 0; ","")&amp;IF($J14="","EMPL. DESTINATION; ",""),IF($S14="BLOQUE","Envoi parent en anomalie ("&amp;$R14&amp;") : corriger l'onglet SOUS_TRAITANCE.",IF(AND($E14&lt;&gt;"",ISNA(MATCH($E14,LOT_KEY,0))),"Creer la fiche du lot resultat dans l'onglet LOTS.",""))))</f>
        <v/>
      </c>
      <c r="V14" s="31" t="str">
        <f aca="false">IF($B14="","",IF($C14&lt;&gt;"",$C14,IFERROR(INDEX(ST_DATERET,MATCH($B14,ST_ID,0)),"")))</f>
        <v/>
      </c>
      <c r="W14" s="26" t="str">
        <f aca="false">IF($P14=0,"",IF($L14=R_LOT,IF($N14&lt;&gt;R_LOT,$N14,""),IF($N14=R_LOT,$L14,"")))</f>
        <v/>
      </c>
      <c r="X14" s="26" t="str">
        <f aca="false">IF($W14="","",IF(COUNTIF($W$4:$W13,$W14)&gt;0,"",COUNT($X$4:$X13)+1))</f>
        <v/>
      </c>
      <c r="Y14" s="26" t="n">
        <f aca="false">IF($P14=0,0,IF(OR($L14=R_LOT,$N14=R_LOT),1,0))</f>
        <v>0</v>
      </c>
      <c r="Z14" s="26" t="str">
        <f aca="false">IF($Y14=0,"",COUNTIF($Y$5:$Y14,1))</f>
        <v/>
      </c>
    </row>
    <row r="15" customFormat="false" ht="15" hidden="false" customHeight="false" outlineLevel="0" collapsed="false">
      <c r="A15" s="26" t="str">
        <f aca="false">IF($B15="","","RES-"&amp;TEXT(ROW()-4,"000"))</f>
        <v/>
      </c>
      <c r="B15" s="24"/>
      <c r="C15" s="25"/>
      <c r="D15" s="24"/>
      <c r="E15" s="24"/>
      <c r="F15" s="29"/>
      <c r="G15" s="24"/>
      <c r="H15" s="24"/>
      <c r="I15" s="24"/>
      <c r="J15" s="24"/>
      <c r="K15" s="24"/>
      <c r="L15" s="26" t="str">
        <f aca="false">IF($B15="","",IFERROR(INDEX(ST_LOT,MATCH($B15,ST_ID,0)),""))</f>
        <v/>
      </c>
      <c r="M15" s="26" t="str">
        <f aca="false">IF($B15="","",IFERROR(INDEX(ST_STRAIT,MATCH($B15,ST_ID,0)),""))</f>
        <v/>
      </c>
      <c r="N15" s="26" t="str">
        <f aca="false">IF($B15="","",IF($E15="",$L15,$E15))</f>
        <v/>
      </c>
      <c r="O15" s="26" t="str">
        <f aca="false">IF($J15="","",IFERROR(INDEX(EMPL_CLASSE,MATCH($J15,EMPL_KEY,0)),"?"))</f>
        <v/>
      </c>
      <c r="P15" s="28" t="n">
        <f aca="false">IF($B15="",0,IF(OR(ISNA(MATCH($B15,ST_ID,0)),NOT(ISNUMBER($F15)),$F15&lt;=0,$J15="",$N15=""),0,1))</f>
        <v>0</v>
      </c>
      <c r="Q15" s="27" t="n">
        <f aca="false">IF($P15=0,0,$F15)</f>
        <v>0</v>
      </c>
      <c r="R15" s="26" t="str">
        <f aca="false">IF($B15="","",IFERROR(INDEX(ST_STATUT,MATCH($B15,ST_ID,0)),""))</f>
        <v/>
      </c>
      <c r="S15" s="26" t="str">
        <f aca="false">IF($B15="","",IF($P15=0,"DONNEES MANQUANTES",IF(OR($R15="DONNEES MANQUANTES",$R15="STOCK INSUFFISANT",$R15="EMPLACEMENT INCOHERENT",$R15="BLOQUE"),"BLOQUE","OK")))</f>
        <v/>
      </c>
      <c r="T15" s="28" t="n">
        <f aca="false">IF($S15="OK",1,0)</f>
        <v>0</v>
      </c>
      <c r="U15" s="26" t="str">
        <f aca="false">IF($B15="","",IF($P15=0,"A COMPLETER : "&amp;IF(ISNA(MATCH($B15,ST_ID,0)),"ID ST valide; ","")&amp;IF(OR(NOT(ISNUMBER($F15)),$F15&lt;=0),"QUANTITE &gt; 0; ","")&amp;IF($J15="","EMPL. DESTINATION; ",""),IF($S15="BLOQUE","Envoi parent en anomalie ("&amp;$R15&amp;") : corriger l'onglet SOUS_TRAITANCE.",IF(AND($E15&lt;&gt;"",ISNA(MATCH($E15,LOT_KEY,0))),"Creer la fiche du lot resultat dans l'onglet LOTS.",""))))</f>
        <v/>
      </c>
      <c r="V15" s="31" t="str">
        <f aca="false">IF($B15="","",IF($C15&lt;&gt;"",$C15,IFERROR(INDEX(ST_DATERET,MATCH($B15,ST_ID,0)),"")))</f>
        <v/>
      </c>
      <c r="W15" s="26" t="str">
        <f aca="false">IF($P15=0,"",IF($L15=R_LOT,IF($N15&lt;&gt;R_LOT,$N15,""),IF($N15=R_LOT,$L15,"")))</f>
        <v/>
      </c>
      <c r="X15" s="26" t="str">
        <f aca="false">IF($W15="","",IF(COUNTIF($W$4:$W14,$W15)&gt;0,"",COUNT($X$4:$X14)+1))</f>
        <v/>
      </c>
      <c r="Y15" s="26" t="n">
        <f aca="false">IF($P15=0,0,IF(OR($L15=R_LOT,$N15=R_LOT),1,0))</f>
        <v>0</v>
      </c>
      <c r="Z15" s="26" t="str">
        <f aca="false">IF($Y15=0,"",COUNTIF($Y$5:$Y15,1))</f>
        <v/>
      </c>
    </row>
    <row r="16" customFormat="false" ht="15" hidden="false" customHeight="false" outlineLevel="0" collapsed="false">
      <c r="A16" s="26" t="str">
        <f aca="false">IF($B16="","","RES-"&amp;TEXT(ROW()-4,"000"))</f>
        <v/>
      </c>
      <c r="B16" s="24"/>
      <c r="C16" s="25"/>
      <c r="D16" s="24"/>
      <c r="E16" s="24"/>
      <c r="F16" s="29"/>
      <c r="G16" s="24"/>
      <c r="H16" s="24"/>
      <c r="I16" s="24"/>
      <c r="J16" s="24"/>
      <c r="K16" s="24"/>
      <c r="L16" s="26" t="str">
        <f aca="false">IF($B16="","",IFERROR(INDEX(ST_LOT,MATCH($B16,ST_ID,0)),""))</f>
        <v/>
      </c>
      <c r="M16" s="26" t="str">
        <f aca="false">IF($B16="","",IFERROR(INDEX(ST_STRAIT,MATCH($B16,ST_ID,0)),""))</f>
        <v/>
      </c>
      <c r="N16" s="26" t="str">
        <f aca="false">IF($B16="","",IF($E16="",$L16,$E16))</f>
        <v/>
      </c>
      <c r="O16" s="26" t="str">
        <f aca="false">IF($J16="","",IFERROR(INDEX(EMPL_CLASSE,MATCH($J16,EMPL_KEY,0)),"?"))</f>
        <v/>
      </c>
      <c r="P16" s="28" t="n">
        <f aca="false">IF($B16="",0,IF(OR(ISNA(MATCH($B16,ST_ID,0)),NOT(ISNUMBER($F16)),$F16&lt;=0,$J16="",$N16=""),0,1))</f>
        <v>0</v>
      </c>
      <c r="Q16" s="27" t="n">
        <f aca="false">IF($P16=0,0,$F16)</f>
        <v>0</v>
      </c>
      <c r="R16" s="26" t="str">
        <f aca="false">IF($B16="","",IFERROR(INDEX(ST_STATUT,MATCH($B16,ST_ID,0)),""))</f>
        <v/>
      </c>
      <c r="S16" s="26" t="str">
        <f aca="false">IF($B16="","",IF($P16=0,"DONNEES MANQUANTES",IF(OR($R16="DONNEES MANQUANTES",$R16="STOCK INSUFFISANT",$R16="EMPLACEMENT INCOHERENT",$R16="BLOQUE"),"BLOQUE","OK")))</f>
        <v/>
      </c>
      <c r="T16" s="28" t="n">
        <f aca="false">IF($S16="OK",1,0)</f>
        <v>0</v>
      </c>
      <c r="U16" s="26" t="str">
        <f aca="false">IF($B16="","",IF($P16=0,"A COMPLETER : "&amp;IF(ISNA(MATCH($B16,ST_ID,0)),"ID ST valide; ","")&amp;IF(OR(NOT(ISNUMBER($F16)),$F16&lt;=0),"QUANTITE &gt; 0; ","")&amp;IF($J16="","EMPL. DESTINATION; ",""),IF($S16="BLOQUE","Envoi parent en anomalie ("&amp;$R16&amp;") : corriger l'onglet SOUS_TRAITANCE.",IF(AND($E16&lt;&gt;"",ISNA(MATCH($E16,LOT_KEY,0))),"Creer la fiche du lot resultat dans l'onglet LOTS.",""))))</f>
        <v/>
      </c>
      <c r="V16" s="31" t="str">
        <f aca="false">IF($B16="","",IF($C16&lt;&gt;"",$C16,IFERROR(INDEX(ST_DATERET,MATCH($B16,ST_ID,0)),"")))</f>
        <v/>
      </c>
      <c r="W16" s="26" t="str">
        <f aca="false">IF($P16=0,"",IF($L16=R_LOT,IF($N16&lt;&gt;R_LOT,$N16,""),IF($N16=R_LOT,$L16,"")))</f>
        <v/>
      </c>
      <c r="X16" s="26" t="str">
        <f aca="false">IF($W16="","",IF(COUNTIF($W$4:$W15,$W16)&gt;0,"",COUNT($X$4:$X15)+1))</f>
        <v/>
      </c>
      <c r="Y16" s="26" t="n">
        <f aca="false">IF($P16=0,0,IF(OR($L16=R_LOT,$N16=R_LOT),1,0))</f>
        <v>0</v>
      </c>
      <c r="Z16" s="26" t="str">
        <f aca="false">IF($Y16=0,"",COUNTIF($Y$5:$Y16,1))</f>
        <v/>
      </c>
    </row>
    <row r="17" customFormat="false" ht="15" hidden="false" customHeight="false" outlineLevel="0" collapsed="false">
      <c r="A17" s="26" t="str">
        <f aca="false">IF($B17="","","RES-"&amp;TEXT(ROW()-4,"000"))</f>
        <v/>
      </c>
      <c r="B17" s="24"/>
      <c r="C17" s="25"/>
      <c r="D17" s="24"/>
      <c r="E17" s="24"/>
      <c r="F17" s="29"/>
      <c r="G17" s="24"/>
      <c r="H17" s="24"/>
      <c r="I17" s="24"/>
      <c r="J17" s="24"/>
      <c r="K17" s="24"/>
      <c r="L17" s="26" t="str">
        <f aca="false">IF($B17="","",IFERROR(INDEX(ST_LOT,MATCH($B17,ST_ID,0)),""))</f>
        <v/>
      </c>
      <c r="M17" s="26" t="str">
        <f aca="false">IF($B17="","",IFERROR(INDEX(ST_STRAIT,MATCH($B17,ST_ID,0)),""))</f>
        <v/>
      </c>
      <c r="N17" s="26" t="str">
        <f aca="false">IF($B17="","",IF($E17="",$L17,$E17))</f>
        <v/>
      </c>
      <c r="O17" s="26" t="str">
        <f aca="false">IF($J17="","",IFERROR(INDEX(EMPL_CLASSE,MATCH($J17,EMPL_KEY,0)),"?"))</f>
        <v/>
      </c>
      <c r="P17" s="28" t="n">
        <f aca="false">IF($B17="",0,IF(OR(ISNA(MATCH($B17,ST_ID,0)),NOT(ISNUMBER($F17)),$F17&lt;=0,$J17="",$N17=""),0,1))</f>
        <v>0</v>
      </c>
      <c r="Q17" s="27" t="n">
        <f aca="false">IF($P17=0,0,$F17)</f>
        <v>0</v>
      </c>
      <c r="R17" s="26" t="str">
        <f aca="false">IF($B17="","",IFERROR(INDEX(ST_STATUT,MATCH($B17,ST_ID,0)),""))</f>
        <v/>
      </c>
      <c r="S17" s="26" t="str">
        <f aca="false">IF($B17="","",IF($P17=0,"DONNEES MANQUANTES",IF(OR($R17="DONNEES MANQUANTES",$R17="STOCK INSUFFISANT",$R17="EMPLACEMENT INCOHERENT",$R17="BLOQUE"),"BLOQUE","OK")))</f>
        <v/>
      </c>
      <c r="T17" s="28" t="n">
        <f aca="false">IF($S17="OK",1,0)</f>
        <v>0</v>
      </c>
      <c r="U17" s="26" t="str">
        <f aca="false">IF($B17="","",IF($P17=0,"A COMPLETER : "&amp;IF(ISNA(MATCH($B17,ST_ID,0)),"ID ST valide; ","")&amp;IF(OR(NOT(ISNUMBER($F17)),$F17&lt;=0),"QUANTITE &gt; 0; ","")&amp;IF($J17="","EMPL. DESTINATION; ",""),IF($S17="BLOQUE","Envoi parent en anomalie ("&amp;$R17&amp;") : corriger l'onglet SOUS_TRAITANCE.",IF(AND($E17&lt;&gt;"",ISNA(MATCH($E17,LOT_KEY,0))),"Creer la fiche du lot resultat dans l'onglet LOTS.",""))))</f>
        <v/>
      </c>
      <c r="V17" s="31" t="str">
        <f aca="false">IF($B17="","",IF($C17&lt;&gt;"",$C17,IFERROR(INDEX(ST_DATERET,MATCH($B17,ST_ID,0)),"")))</f>
        <v/>
      </c>
      <c r="W17" s="26" t="str">
        <f aca="false">IF($P17=0,"",IF($L17=R_LOT,IF($N17&lt;&gt;R_LOT,$N17,""),IF($N17=R_LOT,$L17,"")))</f>
        <v/>
      </c>
      <c r="X17" s="26" t="str">
        <f aca="false">IF($W17="","",IF(COUNTIF($W$4:$W16,$W17)&gt;0,"",COUNT($X$4:$X16)+1))</f>
        <v/>
      </c>
      <c r="Y17" s="26" t="n">
        <f aca="false">IF($P17=0,0,IF(OR($L17=R_LOT,$N17=R_LOT),1,0))</f>
        <v>0</v>
      </c>
      <c r="Z17" s="26" t="str">
        <f aca="false">IF($Y17=0,"",COUNTIF($Y$5:$Y17,1))</f>
        <v/>
      </c>
    </row>
    <row r="18" customFormat="false" ht="15" hidden="false" customHeight="false" outlineLevel="0" collapsed="false">
      <c r="A18" s="26" t="str">
        <f aca="false">IF($B18="","","RES-"&amp;TEXT(ROW()-4,"000"))</f>
        <v/>
      </c>
      <c r="B18" s="24"/>
      <c r="C18" s="25"/>
      <c r="D18" s="24"/>
      <c r="E18" s="24"/>
      <c r="F18" s="29"/>
      <c r="G18" s="24"/>
      <c r="H18" s="24"/>
      <c r="I18" s="24"/>
      <c r="J18" s="24"/>
      <c r="K18" s="24"/>
      <c r="L18" s="26" t="str">
        <f aca="false">IF($B18="","",IFERROR(INDEX(ST_LOT,MATCH($B18,ST_ID,0)),""))</f>
        <v/>
      </c>
      <c r="M18" s="26" t="str">
        <f aca="false">IF($B18="","",IFERROR(INDEX(ST_STRAIT,MATCH($B18,ST_ID,0)),""))</f>
        <v/>
      </c>
      <c r="N18" s="26" t="str">
        <f aca="false">IF($B18="","",IF($E18="",$L18,$E18))</f>
        <v/>
      </c>
      <c r="O18" s="26" t="str">
        <f aca="false">IF($J18="","",IFERROR(INDEX(EMPL_CLASSE,MATCH($J18,EMPL_KEY,0)),"?"))</f>
        <v/>
      </c>
      <c r="P18" s="28" t="n">
        <f aca="false">IF($B18="",0,IF(OR(ISNA(MATCH($B18,ST_ID,0)),NOT(ISNUMBER($F18)),$F18&lt;=0,$J18="",$N18=""),0,1))</f>
        <v>0</v>
      </c>
      <c r="Q18" s="27" t="n">
        <f aca="false">IF($P18=0,0,$F18)</f>
        <v>0</v>
      </c>
      <c r="R18" s="26" t="str">
        <f aca="false">IF($B18="","",IFERROR(INDEX(ST_STATUT,MATCH($B18,ST_ID,0)),""))</f>
        <v/>
      </c>
      <c r="S18" s="26" t="str">
        <f aca="false">IF($B18="","",IF($P18=0,"DONNEES MANQUANTES",IF(OR($R18="DONNEES MANQUANTES",$R18="STOCK INSUFFISANT",$R18="EMPLACEMENT INCOHERENT",$R18="BLOQUE"),"BLOQUE","OK")))</f>
        <v/>
      </c>
      <c r="T18" s="28" t="n">
        <f aca="false">IF($S18="OK",1,0)</f>
        <v>0</v>
      </c>
      <c r="U18" s="26" t="str">
        <f aca="false">IF($B18="","",IF($P18=0,"A COMPLETER : "&amp;IF(ISNA(MATCH($B18,ST_ID,0)),"ID ST valide; ","")&amp;IF(OR(NOT(ISNUMBER($F18)),$F18&lt;=0),"QUANTITE &gt; 0; ","")&amp;IF($J18="","EMPL. DESTINATION; ",""),IF($S18="BLOQUE","Envoi parent en anomalie ("&amp;$R18&amp;") : corriger l'onglet SOUS_TRAITANCE.",IF(AND($E18&lt;&gt;"",ISNA(MATCH($E18,LOT_KEY,0))),"Creer la fiche du lot resultat dans l'onglet LOTS.",""))))</f>
        <v/>
      </c>
      <c r="V18" s="31" t="str">
        <f aca="false">IF($B18="","",IF($C18&lt;&gt;"",$C18,IFERROR(INDEX(ST_DATERET,MATCH($B18,ST_ID,0)),"")))</f>
        <v/>
      </c>
      <c r="W18" s="26" t="str">
        <f aca="false">IF($P18=0,"",IF($L18=R_LOT,IF($N18&lt;&gt;R_LOT,$N18,""),IF($N18=R_LOT,$L18,"")))</f>
        <v/>
      </c>
      <c r="X18" s="26" t="str">
        <f aca="false">IF($W18="","",IF(COUNTIF($W$4:$W17,$W18)&gt;0,"",COUNT($X$4:$X17)+1))</f>
        <v/>
      </c>
      <c r="Y18" s="26" t="n">
        <f aca="false">IF($P18=0,0,IF(OR($L18=R_LOT,$N18=R_LOT),1,0))</f>
        <v>0</v>
      </c>
      <c r="Z18" s="26" t="str">
        <f aca="false">IF($Y18=0,"",COUNTIF($Y$5:$Y18,1))</f>
        <v/>
      </c>
    </row>
    <row r="19" customFormat="false" ht="15" hidden="false" customHeight="false" outlineLevel="0" collapsed="false">
      <c r="A19" s="26" t="str">
        <f aca="false">IF($B19="","","RES-"&amp;TEXT(ROW()-4,"000"))</f>
        <v/>
      </c>
      <c r="B19" s="24"/>
      <c r="C19" s="25"/>
      <c r="D19" s="24"/>
      <c r="E19" s="24"/>
      <c r="F19" s="29"/>
      <c r="G19" s="24"/>
      <c r="H19" s="24"/>
      <c r="I19" s="24"/>
      <c r="J19" s="24"/>
      <c r="K19" s="24"/>
      <c r="L19" s="26" t="str">
        <f aca="false">IF($B19="","",IFERROR(INDEX(ST_LOT,MATCH($B19,ST_ID,0)),""))</f>
        <v/>
      </c>
      <c r="M19" s="26" t="str">
        <f aca="false">IF($B19="","",IFERROR(INDEX(ST_STRAIT,MATCH($B19,ST_ID,0)),""))</f>
        <v/>
      </c>
      <c r="N19" s="26" t="str">
        <f aca="false">IF($B19="","",IF($E19="",$L19,$E19))</f>
        <v/>
      </c>
      <c r="O19" s="26" t="str">
        <f aca="false">IF($J19="","",IFERROR(INDEX(EMPL_CLASSE,MATCH($J19,EMPL_KEY,0)),"?"))</f>
        <v/>
      </c>
      <c r="P19" s="28" t="n">
        <f aca="false">IF($B19="",0,IF(OR(ISNA(MATCH($B19,ST_ID,0)),NOT(ISNUMBER($F19)),$F19&lt;=0,$J19="",$N19=""),0,1))</f>
        <v>0</v>
      </c>
      <c r="Q19" s="27" t="n">
        <f aca="false">IF($P19=0,0,$F19)</f>
        <v>0</v>
      </c>
      <c r="R19" s="26" t="str">
        <f aca="false">IF($B19="","",IFERROR(INDEX(ST_STATUT,MATCH($B19,ST_ID,0)),""))</f>
        <v/>
      </c>
      <c r="S19" s="26" t="str">
        <f aca="false">IF($B19="","",IF($P19=0,"DONNEES MANQUANTES",IF(OR($R19="DONNEES MANQUANTES",$R19="STOCK INSUFFISANT",$R19="EMPLACEMENT INCOHERENT",$R19="BLOQUE"),"BLOQUE","OK")))</f>
        <v/>
      </c>
      <c r="T19" s="28" t="n">
        <f aca="false">IF($S19="OK",1,0)</f>
        <v>0</v>
      </c>
      <c r="U19" s="26" t="str">
        <f aca="false">IF($B19="","",IF($P19=0,"A COMPLETER : "&amp;IF(ISNA(MATCH($B19,ST_ID,0)),"ID ST valide; ","")&amp;IF(OR(NOT(ISNUMBER($F19)),$F19&lt;=0),"QUANTITE &gt; 0; ","")&amp;IF($J19="","EMPL. DESTINATION; ",""),IF($S19="BLOQUE","Envoi parent en anomalie ("&amp;$R19&amp;") : corriger l'onglet SOUS_TRAITANCE.",IF(AND($E19&lt;&gt;"",ISNA(MATCH($E19,LOT_KEY,0))),"Creer la fiche du lot resultat dans l'onglet LOTS.",""))))</f>
        <v/>
      </c>
      <c r="V19" s="31" t="str">
        <f aca="false">IF($B19="","",IF($C19&lt;&gt;"",$C19,IFERROR(INDEX(ST_DATERET,MATCH($B19,ST_ID,0)),"")))</f>
        <v/>
      </c>
      <c r="W19" s="26" t="str">
        <f aca="false">IF($P19=0,"",IF($L19=R_LOT,IF($N19&lt;&gt;R_LOT,$N19,""),IF($N19=R_LOT,$L19,"")))</f>
        <v/>
      </c>
      <c r="X19" s="26" t="str">
        <f aca="false">IF($W19="","",IF(COUNTIF($W$4:$W18,$W19)&gt;0,"",COUNT($X$4:$X18)+1))</f>
        <v/>
      </c>
      <c r="Y19" s="26" t="n">
        <f aca="false">IF($P19=0,0,IF(OR($L19=R_LOT,$N19=R_LOT),1,0))</f>
        <v>0</v>
      </c>
      <c r="Z19" s="26" t="str">
        <f aca="false">IF($Y19=0,"",COUNTIF($Y$5:$Y19,1))</f>
        <v/>
      </c>
    </row>
    <row r="20" customFormat="false" ht="15" hidden="false" customHeight="false" outlineLevel="0" collapsed="false">
      <c r="A20" s="26" t="str">
        <f aca="false">IF($B20="","","RES-"&amp;TEXT(ROW()-4,"000"))</f>
        <v/>
      </c>
      <c r="B20" s="24"/>
      <c r="C20" s="25"/>
      <c r="D20" s="24"/>
      <c r="E20" s="24"/>
      <c r="F20" s="29"/>
      <c r="G20" s="24"/>
      <c r="H20" s="24"/>
      <c r="I20" s="24"/>
      <c r="J20" s="24"/>
      <c r="K20" s="24"/>
      <c r="L20" s="26" t="str">
        <f aca="false">IF($B20="","",IFERROR(INDEX(ST_LOT,MATCH($B20,ST_ID,0)),""))</f>
        <v/>
      </c>
      <c r="M20" s="26" t="str">
        <f aca="false">IF($B20="","",IFERROR(INDEX(ST_STRAIT,MATCH($B20,ST_ID,0)),""))</f>
        <v/>
      </c>
      <c r="N20" s="26" t="str">
        <f aca="false">IF($B20="","",IF($E20="",$L20,$E20))</f>
        <v/>
      </c>
      <c r="O20" s="26" t="str">
        <f aca="false">IF($J20="","",IFERROR(INDEX(EMPL_CLASSE,MATCH($J20,EMPL_KEY,0)),"?"))</f>
        <v/>
      </c>
      <c r="P20" s="28" t="n">
        <f aca="false">IF($B20="",0,IF(OR(ISNA(MATCH($B20,ST_ID,0)),NOT(ISNUMBER($F20)),$F20&lt;=0,$J20="",$N20=""),0,1))</f>
        <v>0</v>
      </c>
      <c r="Q20" s="27" t="n">
        <f aca="false">IF($P20=0,0,$F20)</f>
        <v>0</v>
      </c>
      <c r="R20" s="26" t="str">
        <f aca="false">IF($B20="","",IFERROR(INDEX(ST_STATUT,MATCH($B20,ST_ID,0)),""))</f>
        <v/>
      </c>
      <c r="S20" s="26" t="str">
        <f aca="false">IF($B20="","",IF($P20=0,"DONNEES MANQUANTES",IF(OR($R20="DONNEES MANQUANTES",$R20="STOCK INSUFFISANT",$R20="EMPLACEMENT INCOHERENT",$R20="BLOQUE"),"BLOQUE","OK")))</f>
        <v/>
      </c>
      <c r="T20" s="28" t="n">
        <f aca="false">IF($S20="OK",1,0)</f>
        <v>0</v>
      </c>
      <c r="U20" s="26" t="str">
        <f aca="false">IF($B20="","",IF($P20=0,"A COMPLETER : "&amp;IF(ISNA(MATCH($B20,ST_ID,0)),"ID ST valide; ","")&amp;IF(OR(NOT(ISNUMBER($F20)),$F20&lt;=0),"QUANTITE &gt; 0; ","")&amp;IF($J20="","EMPL. DESTINATION; ",""),IF($S20="BLOQUE","Envoi parent en anomalie ("&amp;$R20&amp;") : corriger l'onglet SOUS_TRAITANCE.",IF(AND($E20&lt;&gt;"",ISNA(MATCH($E20,LOT_KEY,0))),"Creer la fiche du lot resultat dans l'onglet LOTS.",""))))</f>
        <v/>
      </c>
      <c r="V20" s="31" t="str">
        <f aca="false">IF($B20="","",IF($C20&lt;&gt;"",$C20,IFERROR(INDEX(ST_DATERET,MATCH($B20,ST_ID,0)),"")))</f>
        <v/>
      </c>
      <c r="W20" s="26" t="str">
        <f aca="false">IF($P20=0,"",IF($L20=R_LOT,IF($N20&lt;&gt;R_LOT,$N20,""),IF($N20=R_LOT,$L20,"")))</f>
        <v/>
      </c>
      <c r="X20" s="26" t="str">
        <f aca="false">IF($W20="","",IF(COUNTIF($W$4:$W19,$W20)&gt;0,"",COUNT($X$4:$X19)+1))</f>
        <v/>
      </c>
      <c r="Y20" s="26" t="n">
        <f aca="false">IF($P20=0,0,IF(OR($L20=R_LOT,$N20=R_LOT),1,0))</f>
        <v>0</v>
      </c>
      <c r="Z20" s="26" t="str">
        <f aca="false">IF($Y20=0,"",COUNTIF($Y$5:$Y20,1))</f>
        <v/>
      </c>
    </row>
    <row r="21" customFormat="false" ht="15" hidden="false" customHeight="false" outlineLevel="0" collapsed="false">
      <c r="A21" s="26" t="str">
        <f aca="false">IF($B21="","","RES-"&amp;TEXT(ROW()-4,"000"))</f>
        <v/>
      </c>
      <c r="B21" s="24"/>
      <c r="C21" s="25"/>
      <c r="D21" s="24"/>
      <c r="E21" s="24"/>
      <c r="F21" s="29"/>
      <c r="G21" s="24"/>
      <c r="H21" s="24"/>
      <c r="I21" s="24"/>
      <c r="J21" s="24"/>
      <c r="K21" s="24"/>
      <c r="L21" s="26" t="str">
        <f aca="false">IF($B21="","",IFERROR(INDEX(ST_LOT,MATCH($B21,ST_ID,0)),""))</f>
        <v/>
      </c>
      <c r="M21" s="26" t="str">
        <f aca="false">IF($B21="","",IFERROR(INDEX(ST_STRAIT,MATCH($B21,ST_ID,0)),""))</f>
        <v/>
      </c>
      <c r="N21" s="26" t="str">
        <f aca="false">IF($B21="","",IF($E21="",$L21,$E21))</f>
        <v/>
      </c>
      <c r="O21" s="26" t="str">
        <f aca="false">IF($J21="","",IFERROR(INDEX(EMPL_CLASSE,MATCH($J21,EMPL_KEY,0)),"?"))</f>
        <v/>
      </c>
      <c r="P21" s="28" t="n">
        <f aca="false">IF($B21="",0,IF(OR(ISNA(MATCH($B21,ST_ID,0)),NOT(ISNUMBER($F21)),$F21&lt;=0,$J21="",$N21=""),0,1))</f>
        <v>0</v>
      </c>
      <c r="Q21" s="27" t="n">
        <f aca="false">IF($P21=0,0,$F21)</f>
        <v>0</v>
      </c>
      <c r="R21" s="26" t="str">
        <f aca="false">IF($B21="","",IFERROR(INDEX(ST_STATUT,MATCH($B21,ST_ID,0)),""))</f>
        <v/>
      </c>
      <c r="S21" s="26" t="str">
        <f aca="false">IF($B21="","",IF($P21=0,"DONNEES MANQUANTES",IF(OR($R21="DONNEES MANQUANTES",$R21="STOCK INSUFFISANT",$R21="EMPLACEMENT INCOHERENT",$R21="BLOQUE"),"BLOQUE","OK")))</f>
        <v/>
      </c>
      <c r="T21" s="28" t="n">
        <f aca="false">IF($S21="OK",1,0)</f>
        <v>0</v>
      </c>
      <c r="U21" s="26" t="str">
        <f aca="false">IF($B21="","",IF($P21=0,"A COMPLETER : "&amp;IF(ISNA(MATCH($B21,ST_ID,0)),"ID ST valide; ","")&amp;IF(OR(NOT(ISNUMBER($F21)),$F21&lt;=0),"QUANTITE &gt; 0; ","")&amp;IF($J21="","EMPL. DESTINATION; ",""),IF($S21="BLOQUE","Envoi parent en anomalie ("&amp;$R21&amp;") : corriger l'onglet SOUS_TRAITANCE.",IF(AND($E21&lt;&gt;"",ISNA(MATCH($E21,LOT_KEY,0))),"Creer la fiche du lot resultat dans l'onglet LOTS.",""))))</f>
        <v/>
      </c>
      <c r="V21" s="31" t="str">
        <f aca="false">IF($B21="","",IF($C21&lt;&gt;"",$C21,IFERROR(INDEX(ST_DATERET,MATCH($B21,ST_ID,0)),"")))</f>
        <v/>
      </c>
      <c r="W21" s="26" t="str">
        <f aca="false">IF($P21=0,"",IF($L21=R_LOT,IF($N21&lt;&gt;R_LOT,$N21,""),IF($N21=R_LOT,$L21,"")))</f>
        <v/>
      </c>
      <c r="X21" s="26" t="str">
        <f aca="false">IF($W21="","",IF(COUNTIF($W$4:$W20,$W21)&gt;0,"",COUNT($X$4:$X20)+1))</f>
        <v/>
      </c>
      <c r="Y21" s="26" t="n">
        <f aca="false">IF($P21=0,0,IF(OR($L21=R_LOT,$N21=R_LOT),1,0))</f>
        <v>0</v>
      </c>
      <c r="Z21" s="26" t="str">
        <f aca="false">IF($Y21=0,"",COUNTIF($Y$5:$Y21,1))</f>
        <v/>
      </c>
    </row>
    <row r="22" customFormat="false" ht="15" hidden="false" customHeight="false" outlineLevel="0" collapsed="false">
      <c r="A22" s="26" t="str">
        <f aca="false">IF($B22="","","RES-"&amp;TEXT(ROW()-4,"000"))</f>
        <v/>
      </c>
      <c r="B22" s="24"/>
      <c r="C22" s="25"/>
      <c r="D22" s="24"/>
      <c r="E22" s="24"/>
      <c r="F22" s="29"/>
      <c r="G22" s="24"/>
      <c r="H22" s="24"/>
      <c r="I22" s="24"/>
      <c r="J22" s="24"/>
      <c r="K22" s="24"/>
      <c r="L22" s="26" t="str">
        <f aca="false">IF($B22="","",IFERROR(INDEX(ST_LOT,MATCH($B22,ST_ID,0)),""))</f>
        <v/>
      </c>
      <c r="M22" s="26" t="str">
        <f aca="false">IF($B22="","",IFERROR(INDEX(ST_STRAIT,MATCH($B22,ST_ID,0)),""))</f>
        <v/>
      </c>
      <c r="N22" s="26" t="str">
        <f aca="false">IF($B22="","",IF($E22="",$L22,$E22))</f>
        <v/>
      </c>
      <c r="O22" s="26" t="str">
        <f aca="false">IF($J22="","",IFERROR(INDEX(EMPL_CLASSE,MATCH($J22,EMPL_KEY,0)),"?"))</f>
        <v/>
      </c>
      <c r="P22" s="28" t="n">
        <f aca="false">IF($B22="",0,IF(OR(ISNA(MATCH($B22,ST_ID,0)),NOT(ISNUMBER($F22)),$F22&lt;=0,$J22="",$N22=""),0,1))</f>
        <v>0</v>
      </c>
      <c r="Q22" s="27" t="n">
        <f aca="false">IF($P22=0,0,$F22)</f>
        <v>0</v>
      </c>
      <c r="R22" s="26" t="str">
        <f aca="false">IF($B22="","",IFERROR(INDEX(ST_STATUT,MATCH($B22,ST_ID,0)),""))</f>
        <v/>
      </c>
      <c r="S22" s="26" t="str">
        <f aca="false">IF($B22="","",IF($P22=0,"DONNEES MANQUANTES",IF(OR($R22="DONNEES MANQUANTES",$R22="STOCK INSUFFISANT",$R22="EMPLACEMENT INCOHERENT",$R22="BLOQUE"),"BLOQUE","OK")))</f>
        <v/>
      </c>
      <c r="T22" s="28" t="n">
        <f aca="false">IF($S22="OK",1,0)</f>
        <v>0</v>
      </c>
      <c r="U22" s="26" t="str">
        <f aca="false">IF($B22="","",IF($P22=0,"A COMPLETER : "&amp;IF(ISNA(MATCH($B22,ST_ID,0)),"ID ST valide; ","")&amp;IF(OR(NOT(ISNUMBER($F22)),$F22&lt;=0),"QUANTITE &gt; 0; ","")&amp;IF($J22="","EMPL. DESTINATION; ",""),IF($S22="BLOQUE","Envoi parent en anomalie ("&amp;$R22&amp;") : corriger l'onglet SOUS_TRAITANCE.",IF(AND($E22&lt;&gt;"",ISNA(MATCH($E22,LOT_KEY,0))),"Creer la fiche du lot resultat dans l'onglet LOTS.",""))))</f>
        <v/>
      </c>
      <c r="V22" s="31" t="str">
        <f aca="false">IF($B22="","",IF($C22&lt;&gt;"",$C22,IFERROR(INDEX(ST_DATERET,MATCH($B22,ST_ID,0)),"")))</f>
        <v/>
      </c>
      <c r="W22" s="26" t="str">
        <f aca="false">IF($P22=0,"",IF($L22=R_LOT,IF($N22&lt;&gt;R_LOT,$N22,""),IF($N22=R_LOT,$L22,"")))</f>
        <v/>
      </c>
      <c r="X22" s="26" t="str">
        <f aca="false">IF($W22="","",IF(COUNTIF($W$4:$W21,$W22)&gt;0,"",COUNT($X$4:$X21)+1))</f>
        <v/>
      </c>
      <c r="Y22" s="26" t="n">
        <f aca="false">IF($P22=0,0,IF(OR($L22=R_LOT,$N22=R_LOT),1,0))</f>
        <v>0</v>
      </c>
      <c r="Z22" s="26" t="str">
        <f aca="false">IF($Y22=0,"",COUNTIF($Y$5:$Y22,1))</f>
        <v/>
      </c>
    </row>
    <row r="23" customFormat="false" ht="15" hidden="false" customHeight="false" outlineLevel="0" collapsed="false">
      <c r="A23" s="26" t="str">
        <f aca="false">IF($B23="","","RES-"&amp;TEXT(ROW()-4,"000"))</f>
        <v/>
      </c>
      <c r="B23" s="24"/>
      <c r="C23" s="25"/>
      <c r="D23" s="24"/>
      <c r="E23" s="24"/>
      <c r="F23" s="29"/>
      <c r="G23" s="24"/>
      <c r="H23" s="24"/>
      <c r="I23" s="24"/>
      <c r="J23" s="24"/>
      <c r="K23" s="24"/>
      <c r="L23" s="26" t="str">
        <f aca="false">IF($B23="","",IFERROR(INDEX(ST_LOT,MATCH($B23,ST_ID,0)),""))</f>
        <v/>
      </c>
      <c r="M23" s="26" t="str">
        <f aca="false">IF($B23="","",IFERROR(INDEX(ST_STRAIT,MATCH($B23,ST_ID,0)),""))</f>
        <v/>
      </c>
      <c r="N23" s="26" t="str">
        <f aca="false">IF($B23="","",IF($E23="",$L23,$E23))</f>
        <v/>
      </c>
      <c r="O23" s="26" t="str">
        <f aca="false">IF($J23="","",IFERROR(INDEX(EMPL_CLASSE,MATCH($J23,EMPL_KEY,0)),"?"))</f>
        <v/>
      </c>
      <c r="P23" s="28" t="n">
        <f aca="false">IF($B23="",0,IF(OR(ISNA(MATCH($B23,ST_ID,0)),NOT(ISNUMBER($F23)),$F23&lt;=0,$J23="",$N23=""),0,1))</f>
        <v>0</v>
      </c>
      <c r="Q23" s="27" t="n">
        <f aca="false">IF($P23=0,0,$F23)</f>
        <v>0</v>
      </c>
      <c r="R23" s="26" t="str">
        <f aca="false">IF($B23="","",IFERROR(INDEX(ST_STATUT,MATCH($B23,ST_ID,0)),""))</f>
        <v/>
      </c>
      <c r="S23" s="26" t="str">
        <f aca="false">IF($B23="","",IF($P23=0,"DONNEES MANQUANTES",IF(OR($R23="DONNEES MANQUANTES",$R23="STOCK INSUFFISANT",$R23="EMPLACEMENT INCOHERENT",$R23="BLOQUE"),"BLOQUE","OK")))</f>
        <v/>
      </c>
      <c r="T23" s="28" t="n">
        <f aca="false">IF($S23="OK",1,0)</f>
        <v>0</v>
      </c>
      <c r="U23" s="26" t="str">
        <f aca="false">IF($B23="","",IF($P23=0,"A COMPLETER : "&amp;IF(ISNA(MATCH($B23,ST_ID,0)),"ID ST valide; ","")&amp;IF(OR(NOT(ISNUMBER($F23)),$F23&lt;=0),"QUANTITE &gt; 0; ","")&amp;IF($J23="","EMPL. DESTINATION; ",""),IF($S23="BLOQUE","Envoi parent en anomalie ("&amp;$R23&amp;") : corriger l'onglet SOUS_TRAITANCE.",IF(AND($E23&lt;&gt;"",ISNA(MATCH($E23,LOT_KEY,0))),"Creer la fiche du lot resultat dans l'onglet LOTS.",""))))</f>
        <v/>
      </c>
      <c r="V23" s="31" t="str">
        <f aca="false">IF($B23="","",IF($C23&lt;&gt;"",$C23,IFERROR(INDEX(ST_DATERET,MATCH($B23,ST_ID,0)),"")))</f>
        <v/>
      </c>
      <c r="W23" s="26" t="str">
        <f aca="false">IF($P23=0,"",IF($L23=R_LOT,IF($N23&lt;&gt;R_LOT,$N23,""),IF($N23=R_LOT,$L23,"")))</f>
        <v/>
      </c>
      <c r="X23" s="26" t="str">
        <f aca="false">IF($W23="","",IF(COUNTIF($W$4:$W22,$W23)&gt;0,"",COUNT($X$4:$X22)+1))</f>
        <v/>
      </c>
      <c r="Y23" s="26" t="n">
        <f aca="false">IF($P23=0,0,IF(OR($L23=R_LOT,$N23=R_LOT),1,0))</f>
        <v>0</v>
      </c>
      <c r="Z23" s="26" t="str">
        <f aca="false">IF($Y23=0,"",COUNTIF($Y$5:$Y23,1))</f>
        <v/>
      </c>
    </row>
    <row r="24" customFormat="false" ht="15" hidden="false" customHeight="false" outlineLevel="0" collapsed="false">
      <c r="A24" s="26" t="str">
        <f aca="false">IF($B24="","","RES-"&amp;TEXT(ROW()-4,"000"))</f>
        <v/>
      </c>
      <c r="B24" s="24"/>
      <c r="C24" s="25"/>
      <c r="D24" s="24"/>
      <c r="E24" s="24"/>
      <c r="F24" s="29"/>
      <c r="G24" s="24"/>
      <c r="H24" s="24"/>
      <c r="I24" s="24"/>
      <c r="J24" s="24"/>
      <c r="K24" s="24"/>
      <c r="L24" s="26" t="str">
        <f aca="false">IF($B24="","",IFERROR(INDEX(ST_LOT,MATCH($B24,ST_ID,0)),""))</f>
        <v/>
      </c>
      <c r="M24" s="26" t="str">
        <f aca="false">IF($B24="","",IFERROR(INDEX(ST_STRAIT,MATCH($B24,ST_ID,0)),""))</f>
        <v/>
      </c>
      <c r="N24" s="26" t="str">
        <f aca="false">IF($B24="","",IF($E24="",$L24,$E24))</f>
        <v/>
      </c>
      <c r="O24" s="26" t="str">
        <f aca="false">IF($J24="","",IFERROR(INDEX(EMPL_CLASSE,MATCH($J24,EMPL_KEY,0)),"?"))</f>
        <v/>
      </c>
      <c r="P24" s="28" t="n">
        <f aca="false">IF($B24="",0,IF(OR(ISNA(MATCH($B24,ST_ID,0)),NOT(ISNUMBER($F24)),$F24&lt;=0,$J24="",$N24=""),0,1))</f>
        <v>0</v>
      </c>
      <c r="Q24" s="27" t="n">
        <f aca="false">IF($P24=0,0,$F24)</f>
        <v>0</v>
      </c>
      <c r="R24" s="26" t="str">
        <f aca="false">IF($B24="","",IFERROR(INDEX(ST_STATUT,MATCH($B24,ST_ID,0)),""))</f>
        <v/>
      </c>
      <c r="S24" s="26" t="str">
        <f aca="false">IF($B24="","",IF($P24=0,"DONNEES MANQUANTES",IF(OR($R24="DONNEES MANQUANTES",$R24="STOCK INSUFFISANT",$R24="EMPLACEMENT INCOHERENT",$R24="BLOQUE"),"BLOQUE","OK")))</f>
        <v/>
      </c>
      <c r="T24" s="28" t="n">
        <f aca="false">IF($S24="OK",1,0)</f>
        <v>0</v>
      </c>
      <c r="U24" s="26" t="str">
        <f aca="false">IF($B24="","",IF($P24=0,"A COMPLETER : "&amp;IF(ISNA(MATCH($B24,ST_ID,0)),"ID ST valide; ","")&amp;IF(OR(NOT(ISNUMBER($F24)),$F24&lt;=0),"QUANTITE &gt; 0; ","")&amp;IF($J24="","EMPL. DESTINATION; ",""),IF($S24="BLOQUE","Envoi parent en anomalie ("&amp;$R24&amp;") : corriger l'onglet SOUS_TRAITANCE.",IF(AND($E24&lt;&gt;"",ISNA(MATCH($E24,LOT_KEY,0))),"Creer la fiche du lot resultat dans l'onglet LOTS.",""))))</f>
        <v/>
      </c>
      <c r="V24" s="31" t="str">
        <f aca="false">IF($B24="","",IF($C24&lt;&gt;"",$C24,IFERROR(INDEX(ST_DATERET,MATCH($B24,ST_ID,0)),"")))</f>
        <v/>
      </c>
      <c r="W24" s="26" t="str">
        <f aca="false">IF($P24=0,"",IF($L24=R_LOT,IF($N24&lt;&gt;R_LOT,$N24,""),IF($N24=R_LOT,$L24,"")))</f>
        <v/>
      </c>
      <c r="X24" s="26" t="str">
        <f aca="false">IF($W24="","",IF(COUNTIF($W$4:$W23,$W24)&gt;0,"",COUNT($X$4:$X23)+1))</f>
        <v/>
      </c>
      <c r="Y24" s="26" t="n">
        <f aca="false">IF($P24=0,0,IF(OR($L24=R_LOT,$N24=R_LOT),1,0))</f>
        <v>0</v>
      </c>
      <c r="Z24" s="26" t="str">
        <f aca="false">IF($Y24=0,"",COUNTIF($Y$5:$Y24,1))</f>
        <v/>
      </c>
    </row>
    <row r="25" customFormat="false" ht="15" hidden="false" customHeight="false" outlineLevel="0" collapsed="false">
      <c r="A25" s="26" t="str">
        <f aca="false">IF($B25="","","RES-"&amp;TEXT(ROW()-4,"000"))</f>
        <v/>
      </c>
      <c r="B25" s="24"/>
      <c r="C25" s="25"/>
      <c r="D25" s="24"/>
      <c r="E25" s="24"/>
      <c r="F25" s="29"/>
      <c r="G25" s="24"/>
      <c r="H25" s="24"/>
      <c r="I25" s="24"/>
      <c r="J25" s="24"/>
      <c r="K25" s="24"/>
      <c r="L25" s="26" t="str">
        <f aca="false">IF($B25="","",IFERROR(INDEX(ST_LOT,MATCH($B25,ST_ID,0)),""))</f>
        <v/>
      </c>
      <c r="M25" s="26" t="str">
        <f aca="false">IF($B25="","",IFERROR(INDEX(ST_STRAIT,MATCH($B25,ST_ID,0)),""))</f>
        <v/>
      </c>
      <c r="N25" s="26" t="str">
        <f aca="false">IF($B25="","",IF($E25="",$L25,$E25))</f>
        <v/>
      </c>
      <c r="O25" s="26" t="str">
        <f aca="false">IF($J25="","",IFERROR(INDEX(EMPL_CLASSE,MATCH($J25,EMPL_KEY,0)),"?"))</f>
        <v/>
      </c>
      <c r="P25" s="28" t="n">
        <f aca="false">IF($B25="",0,IF(OR(ISNA(MATCH($B25,ST_ID,0)),NOT(ISNUMBER($F25)),$F25&lt;=0,$J25="",$N25=""),0,1))</f>
        <v>0</v>
      </c>
      <c r="Q25" s="27" t="n">
        <f aca="false">IF($P25=0,0,$F25)</f>
        <v>0</v>
      </c>
      <c r="R25" s="26" t="str">
        <f aca="false">IF($B25="","",IFERROR(INDEX(ST_STATUT,MATCH($B25,ST_ID,0)),""))</f>
        <v/>
      </c>
      <c r="S25" s="26" t="str">
        <f aca="false">IF($B25="","",IF($P25=0,"DONNEES MANQUANTES",IF(OR($R25="DONNEES MANQUANTES",$R25="STOCK INSUFFISANT",$R25="EMPLACEMENT INCOHERENT",$R25="BLOQUE"),"BLOQUE","OK")))</f>
        <v/>
      </c>
      <c r="T25" s="28" t="n">
        <f aca="false">IF($S25="OK",1,0)</f>
        <v>0</v>
      </c>
      <c r="U25" s="26" t="str">
        <f aca="false">IF($B25="","",IF($P25=0,"A COMPLETER : "&amp;IF(ISNA(MATCH($B25,ST_ID,0)),"ID ST valide; ","")&amp;IF(OR(NOT(ISNUMBER($F25)),$F25&lt;=0),"QUANTITE &gt; 0; ","")&amp;IF($J25="","EMPL. DESTINATION; ",""),IF($S25="BLOQUE","Envoi parent en anomalie ("&amp;$R25&amp;") : corriger l'onglet SOUS_TRAITANCE.",IF(AND($E25&lt;&gt;"",ISNA(MATCH($E25,LOT_KEY,0))),"Creer la fiche du lot resultat dans l'onglet LOTS.",""))))</f>
        <v/>
      </c>
      <c r="V25" s="31" t="str">
        <f aca="false">IF($B25="","",IF($C25&lt;&gt;"",$C25,IFERROR(INDEX(ST_DATERET,MATCH($B25,ST_ID,0)),"")))</f>
        <v/>
      </c>
      <c r="W25" s="26" t="str">
        <f aca="false">IF($P25=0,"",IF($L25=R_LOT,IF($N25&lt;&gt;R_LOT,$N25,""),IF($N25=R_LOT,$L25,"")))</f>
        <v/>
      </c>
      <c r="X25" s="26" t="str">
        <f aca="false">IF($W25="","",IF(COUNTIF($W$4:$W24,$W25)&gt;0,"",COUNT($X$4:$X24)+1))</f>
        <v/>
      </c>
      <c r="Y25" s="26" t="n">
        <f aca="false">IF($P25=0,0,IF(OR($L25=R_LOT,$N25=R_LOT),1,0))</f>
        <v>0</v>
      </c>
      <c r="Z25" s="26" t="str">
        <f aca="false">IF($Y25=0,"",COUNTIF($Y$5:$Y25,1))</f>
        <v/>
      </c>
    </row>
    <row r="26" customFormat="false" ht="15" hidden="false" customHeight="false" outlineLevel="0" collapsed="false">
      <c r="A26" s="26" t="str">
        <f aca="false">IF($B26="","","RES-"&amp;TEXT(ROW()-4,"000"))</f>
        <v/>
      </c>
      <c r="B26" s="24"/>
      <c r="C26" s="25"/>
      <c r="D26" s="24"/>
      <c r="E26" s="24"/>
      <c r="F26" s="29"/>
      <c r="G26" s="24"/>
      <c r="H26" s="24"/>
      <c r="I26" s="24"/>
      <c r="J26" s="24"/>
      <c r="K26" s="24"/>
      <c r="L26" s="26" t="str">
        <f aca="false">IF($B26="","",IFERROR(INDEX(ST_LOT,MATCH($B26,ST_ID,0)),""))</f>
        <v/>
      </c>
      <c r="M26" s="26" t="str">
        <f aca="false">IF($B26="","",IFERROR(INDEX(ST_STRAIT,MATCH($B26,ST_ID,0)),""))</f>
        <v/>
      </c>
      <c r="N26" s="26" t="str">
        <f aca="false">IF($B26="","",IF($E26="",$L26,$E26))</f>
        <v/>
      </c>
      <c r="O26" s="26" t="str">
        <f aca="false">IF($J26="","",IFERROR(INDEX(EMPL_CLASSE,MATCH($J26,EMPL_KEY,0)),"?"))</f>
        <v/>
      </c>
      <c r="P26" s="28" t="n">
        <f aca="false">IF($B26="",0,IF(OR(ISNA(MATCH($B26,ST_ID,0)),NOT(ISNUMBER($F26)),$F26&lt;=0,$J26="",$N26=""),0,1))</f>
        <v>0</v>
      </c>
      <c r="Q26" s="27" t="n">
        <f aca="false">IF($P26=0,0,$F26)</f>
        <v>0</v>
      </c>
      <c r="R26" s="26" t="str">
        <f aca="false">IF($B26="","",IFERROR(INDEX(ST_STATUT,MATCH($B26,ST_ID,0)),""))</f>
        <v/>
      </c>
      <c r="S26" s="26" t="str">
        <f aca="false">IF($B26="","",IF($P26=0,"DONNEES MANQUANTES",IF(OR($R26="DONNEES MANQUANTES",$R26="STOCK INSUFFISANT",$R26="EMPLACEMENT INCOHERENT",$R26="BLOQUE"),"BLOQUE","OK")))</f>
        <v/>
      </c>
      <c r="T26" s="28" t="n">
        <f aca="false">IF($S26="OK",1,0)</f>
        <v>0</v>
      </c>
      <c r="U26" s="26" t="str">
        <f aca="false">IF($B26="","",IF($P26=0,"A COMPLETER : "&amp;IF(ISNA(MATCH($B26,ST_ID,0)),"ID ST valide; ","")&amp;IF(OR(NOT(ISNUMBER($F26)),$F26&lt;=0),"QUANTITE &gt; 0; ","")&amp;IF($J26="","EMPL. DESTINATION; ",""),IF($S26="BLOQUE","Envoi parent en anomalie ("&amp;$R26&amp;") : corriger l'onglet SOUS_TRAITANCE.",IF(AND($E26&lt;&gt;"",ISNA(MATCH($E26,LOT_KEY,0))),"Creer la fiche du lot resultat dans l'onglet LOTS.",""))))</f>
        <v/>
      </c>
      <c r="V26" s="31" t="str">
        <f aca="false">IF($B26="","",IF($C26&lt;&gt;"",$C26,IFERROR(INDEX(ST_DATERET,MATCH($B26,ST_ID,0)),"")))</f>
        <v/>
      </c>
      <c r="W26" s="26" t="str">
        <f aca="false">IF($P26=0,"",IF($L26=R_LOT,IF($N26&lt;&gt;R_LOT,$N26,""),IF($N26=R_LOT,$L26,"")))</f>
        <v/>
      </c>
      <c r="X26" s="26" t="str">
        <f aca="false">IF($W26="","",IF(COUNTIF($W$4:$W25,$W26)&gt;0,"",COUNT($X$4:$X25)+1))</f>
        <v/>
      </c>
      <c r="Y26" s="26" t="n">
        <f aca="false">IF($P26=0,0,IF(OR($L26=R_LOT,$N26=R_LOT),1,0))</f>
        <v>0</v>
      </c>
      <c r="Z26" s="26" t="str">
        <f aca="false">IF($Y26=0,"",COUNTIF($Y$5:$Y26,1))</f>
        <v/>
      </c>
    </row>
    <row r="27" customFormat="false" ht="15" hidden="false" customHeight="false" outlineLevel="0" collapsed="false">
      <c r="A27" s="26" t="str">
        <f aca="false">IF($B27="","","RES-"&amp;TEXT(ROW()-4,"000"))</f>
        <v/>
      </c>
      <c r="B27" s="24"/>
      <c r="C27" s="25"/>
      <c r="D27" s="24"/>
      <c r="E27" s="24"/>
      <c r="F27" s="29"/>
      <c r="G27" s="24"/>
      <c r="H27" s="24"/>
      <c r="I27" s="24"/>
      <c r="J27" s="24"/>
      <c r="K27" s="24"/>
      <c r="L27" s="26" t="str">
        <f aca="false">IF($B27="","",IFERROR(INDEX(ST_LOT,MATCH($B27,ST_ID,0)),""))</f>
        <v/>
      </c>
      <c r="M27" s="26" t="str">
        <f aca="false">IF($B27="","",IFERROR(INDEX(ST_STRAIT,MATCH($B27,ST_ID,0)),""))</f>
        <v/>
      </c>
      <c r="N27" s="26" t="str">
        <f aca="false">IF($B27="","",IF($E27="",$L27,$E27))</f>
        <v/>
      </c>
      <c r="O27" s="26" t="str">
        <f aca="false">IF($J27="","",IFERROR(INDEX(EMPL_CLASSE,MATCH($J27,EMPL_KEY,0)),"?"))</f>
        <v/>
      </c>
      <c r="P27" s="28" t="n">
        <f aca="false">IF($B27="",0,IF(OR(ISNA(MATCH($B27,ST_ID,0)),NOT(ISNUMBER($F27)),$F27&lt;=0,$J27="",$N27=""),0,1))</f>
        <v>0</v>
      </c>
      <c r="Q27" s="27" t="n">
        <f aca="false">IF($P27=0,0,$F27)</f>
        <v>0</v>
      </c>
      <c r="R27" s="26" t="str">
        <f aca="false">IF($B27="","",IFERROR(INDEX(ST_STATUT,MATCH($B27,ST_ID,0)),""))</f>
        <v/>
      </c>
      <c r="S27" s="26" t="str">
        <f aca="false">IF($B27="","",IF($P27=0,"DONNEES MANQUANTES",IF(OR($R27="DONNEES MANQUANTES",$R27="STOCK INSUFFISANT",$R27="EMPLACEMENT INCOHERENT",$R27="BLOQUE"),"BLOQUE","OK")))</f>
        <v/>
      </c>
      <c r="T27" s="28" t="n">
        <f aca="false">IF($S27="OK",1,0)</f>
        <v>0</v>
      </c>
      <c r="U27" s="26" t="str">
        <f aca="false">IF($B27="","",IF($P27=0,"A COMPLETER : "&amp;IF(ISNA(MATCH($B27,ST_ID,0)),"ID ST valide; ","")&amp;IF(OR(NOT(ISNUMBER($F27)),$F27&lt;=0),"QUANTITE &gt; 0; ","")&amp;IF($J27="","EMPL. DESTINATION; ",""),IF($S27="BLOQUE","Envoi parent en anomalie ("&amp;$R27&amp;") : corriger l'onglet SOUS_TRAITANCE.",IF(AND($E27&lt;&gt;"",ISNA(MATCH($E27,LOT_KEY,0))),"Creer la fiche du lot resultat dans l'onglet LOTS.",""))))</f>
        <v/>
      </c>
      <c r="V27" s="31" t="str">
        <f aca="false">IF($B27="","",IF($C27&lt;&gt;"",$C27,IFERROR(INDEX(ST_DATERET,MATCH($B27,ST_ID,0)),"")))</f>
        <v/>
      </c>
      <c r="W27" s="26" t="str">
        <f aca="false">IF($P27=0,"",IF($L27=R_LOT,IF($N27&lt;&gt;R_LOT,$N27,""),IF($N27=R_LOT,$L27,"")))</f>
        <v/>
      </c>
      <c r="X27" s="26" t="str">
        <f aca="false">IF($W27="","",IF(COUNTIF($W$4:$W26,$W27)&gt;0,"",COUNT($X$4:$X26)+1))</f>
        <v/>
      </c>
      <c r="Y27" s="26" t="n">
        <f aca="false">IF($P27=0,0,IF(OR($L27=R_LOT,$N27=R_LOT),1,0))</f>
        <v>0</v>
      </c>
      <c r="Z27" s="26" t="str">
        <f aca="false">IF($Y27=0,"",COUNTIF($Y$5:$Y27,1))</f>
        <v/>
      </c>
    </row>
    <row r="28" customFormat="false" ht="15" hidden="false" customHeight="false" outlineLevel="0" collapsed="false">
      <c r="A28" s="26" t="str">
        <f aca="false">IF($B28="","","RES-"&amp;TEXT(ROW()-4,"000"))</f>
        <v/>
      </c>
      <c r="B28" s="24"/>
      <c r="C28" s="25"/>
      <c r="D28" s="24"/>
      <c r="E28" s="24"/>
      <c r="F28" s="29"/>
      <c r="G28" s="24"/>
      <c r="H28" s="24"/>
      <c r="I28" s="24"/>
      <c r="J28" s="24"/>
      <c r="K28" s="24"/>
      <c r="L28" s="26" t="str">
        <f aca="false">IF($B28="","",IFERROR(INDEX(ST_LOT,MATCH($B28,ST_ID,0)),""))</f>
        <v/>
      </c>
      <c r="M28" s="26" t="str">
        <f aca="false">IF($B28="","",IFERROR(INDEX(ST_STRAIT,MATCH($B28,ST_ID,0)),""))</f>
        <v/>
      </c>
      <c r="N28" s="26" t="str">
        <f aca="false">IF($B28="","",IF($E28="",$L28,$E28))</f>
        <v/>
      </c>
      <c r="O28" s="26" t="str">
        <f aca="false">IF($J28="","",IFERROR(INDEX(EMPL_CLASSE,MATCH($J28,EMPL_KEY,0)),"?"))</f>
        <v/>
      </c>
      <c r="P28" s="28" t="n">
        <f aca="false">IF($B28="",0,IF(OR(ISNA(MATCH($B28,ST_ID,0)),NOT(ISNUMBER($F28)),$F28&lt;=0,$J28="",$N28=""),0,1))</f>
        <v>0</v>
      </c>
      <c r="Q28" s="27" t="n">
        <f aca="false">IF($P28=0,0,$F28)</f>
        <v>0</v>
      </c>
      <c r="R28" s="26" t="str">
        <f aca="false">IF($B28="","",IFERROR(INDEX(ST_STATUT,MATCH($B28,ST_ID,0)),""))</f>
        <v/>
      </c>
      <c r="S28" s="26" t="str">
        <f aca="false">IF($B28="","",IF($P28=0,"DONNEES MANQUANTES",IF(OR($R28="DONNEES MANQUANTES",$R28="STOCK INSUFFISANT",$R28="EMPLACEMENT INCOHERENT",$R28="BLOQUE"),"BLOQUE","OK")))</f>
        <v/>
      </c>
      <c r="T28" s="28" t="n">
        <f aca="false">IF($S28="OK",1,0)</f>
        <v>0</v>
      </c>
      <c r="U28" s="26" t="str">
        <f aca="false">IF($B28="","",IF($P28=0,"A COMPLETER : "&amp;IF(ISNA(MATCH($B28,ST_ID,0)),"ID ST valide; ","")&amp;IF(OR(NOT(ISNUMBER($F28)),$F28&lt;=0),"QUANTITE &gt; 0; ","")&amp;IF($J28="","EMPL. DESTINATION; ",""),IF($S28="BLOQUE","Envoi parent en anomalie ("&amp;$R28&amp;") : corriger l'onglet SOUS_TRAITANCE.",IF(AND($E28&lt;&gt;"",ISNA(MATCH($E28,LOT_KEY,0))),"Creer la fiche du lot resultat dans l'onglet LOTS.",""))))</f>
        <v/>
      </c>
      <c r="V28" s="31" t="str">
        <f aca="false">IF($B28="","",IF($C28&lt;&gt;"",$C28,IFERROR(INDEX(ST_DATERET,MATCH($B28,ST_ID,0)),"")))</f>
        <v/>
      </c>
      <c r="W28" s="26" t="str">
        <f aca="false">IF($P28=0,"",IF($L28=R_LOT,IF($N28&lt;&gt;R_LOT,$N28,""),IF($N28=R_LOT,$L28,"")))</f>
        <v/>
      </c>
      <c r="X28" s="26" t="str">
        <f aca="false">IF($W28="","",IF(COUNTIF($W$4:$W27,$W28)&gt;0,"",COUNT($X$4:$X27)+1))</f>
        <v/>
      </c>
      <c r="Y28" s="26" t="n">
        <f aca="false">IF($P28=0,0,IF(OR($L28=R_LOT,$N28=R_LOT),1,0))</f>
        <v>0</v>
      </c>
      <c r="Z28" s="26" t="str">
        <f aca="false">IF($Y28=0,"",COUNTIF($Y$5:$Y28,1))</f>
        <v/>
      </c>
    </row>
    <row r="29" customFormat="false" ht="15" hidden="false" customHeight="false" outlineLevel="0" collapsed="false">
      <c r="A29" s="26" t="str">
        <f aca="false">IF($B29="","","RES-"&amp;TEXT(ROW()-4,"000"))</f>
        <v/>
      </c>
      <c r="B29" s="24"/>
      <c r="C29" s="25"/>
      <c r="D29" s="24"/>
      <c r="E29" s="24"/>
      <c r="F29" s="29"/>
      <c r="G29" s="24"/>
      <c r="H29" s="24"/>
      <c r="I29" s="24"/>
      <c r="J29" s="24"/>
      <c r="K29" s="24"/>
      <c r="L29" s="26" t="str">
        <f aca="false">IF($B29="","",IFERROR(INDEX(ST_LOT,MATCH($B29,ST_ID,0)),""))</f>
        <v/>
      </c>
      <c r="M29" s="26" t="str">
        <f aca="false">IF($B29="","",IFERROR(INDEX(ST_STRAIT,MATCH($B29,ST_ID,0)),""))</f>
        <v/>
      </c>
      <c r="N29" s="26" t="str">
        <f aca="false">IF($B29="","",IF($E29="",$L29,$E29))</f>
        <v/>
      </c>
      <c r="O29" s="26" t="str">
        <f aca="false">IF($J29="","",IFERROR(INDEX(EMPL_CLASSE,MATCH($J29,EMPL_KEY,0)),"?"))</f>
        <v/>
      </c>
      <c r="P29" s="28" t="n">
        <f aca="false">IF($B29="",0,IF(OR(ISNA(MATCH($B29,ST_ID,0)),NOT(ISNUMBER($F29)),$F29&lt;=0,$J29="",$N29=""),0,1))</f>
        <v>0</v>
      </c>
      <c r="Q29" s="27" t="n">
        <f aca="false">IF($P29=0,0,$F29)</f>
        <v>0</v>
      </c>
      <c r="R29" s="26" t="str">
        <f aca="false">IF($B29="","",IFERROR(INDEX(ST_STATUT,MATCH($B29,ST_ID,0)),""))</f>
        <v/>
      </c>
      <c r="S29" s="26" t="str">
        <f aca="false">IF($B29="","",IF($P29=0,"DONNEES MANQUANTES",IF(OR($R29="DONNEES MANQUANTES",$R29="STOCK INSUFFISANT",$R29="EMPLACEMENT INCOHERENT",$R29="BLOQUE"),"BLOQUE","OK")))</f>
        <v/>
      </c>
      <c r="T29" s="28" t="n">
        <f aca="false">IF($S29="OK",1,0)</f>
        <v>0</v>
      </c>
      <c r="U29" s="26" t="str">
        <f aca="false">IF($B29="","",IF($P29=0,"A COMPLETER : "&amp;IF(ISNA(MATCH($B29,ST_ID,0)),"ID ST valide; ","")&amp;IF(OR(NOT(ISNUMBER($F29)),$F29&lt;=0),"QUANTITE &gt; 0; ","")&amp;IF($J29="","EMPL. DESTINATION; ",""),IF($S29="BLOQUE","Envoi parent en anomalie ("&amp;$R29&amp;") : corriger l'onglet SOUS_TRAITANCE.",IF(AND($E29&lt;&gt;"",ISNA(MATCH($E29,LOT_KEY,0))),"Creer la fiche du lot resultat dans l'onglet LOTS.",""))))</f>
        <v/>
      </c>
      <c r="V29" s="31" t="str">
        <f aca="false">IF($B29="","",IF($C29&lt;&gt;"",$C29,IFERROR(INDEX(ST_DATERET,MATCH($B29,ST_ID,0)),"")))</f>
        <v/>
      </c>
      <c r="W29" s="26" t="str">
        <f aca="false">IF($P29=0,"",IF($L29=R_LOT,IF($N29&lt;&gt;R_LOT,$N29,""),IF($N29=R_LOT,$L29,"")))</f>
        <v/>
      </c>
      <c r="X29" s="26" t="str">
        <f aca="false">IF($W29="","",IF(COUNTIF($W$4:$W28,$W29)&gt;0,"",COUNT($X$4:$X28)+1))</f>
        <v/>
      </c>
      <c r="Y29" s="26" t="n">
        <f aca="false">IF($P29=0,0,IF(OR($L29=R_LOT,$N29=R_LOT),1,0))</f>
        <v>0</v>
      </c>
      <c r="Z29" s="26" t="str">
        <f aca="false">IF($Y29=0,"",COUNTIF($Y$5:$Y29,1))</f>
        <v/>
      </c>
    </row>
    <row r="30" customFormat="false" ht="15" hidden="false" customHeight="false" outlineLevel="0" collapsed="false">
      <c r="A30" s="26" t="str">
        <f aca="false">IF($B30="","","RES-"&amp;TEXT(ROW()-4,"000"))</f>
        <v/>
      </c>
      <c r="B30" s="24"/>
      <c r="C30" s="25"/>
      <c r="D30" s="24"/>
      <c r="E30" s="24"/>
      <c r="F30" s="29"/>
      <c r="G30" s="24"/>
      <c r="H30" s="24"/>
      <c r="I30" s="24"/>
      <c r="J30" s="24"/>
      <c r="K30" s="24"/>
      <c r="L30" s="26" t="str">
        <f aca="false">IF($B30="","",IFERROR(INDEX(ST_LOT,MATCH($B30,ST_ID,0)),""))</f>
        <v/>
      </c>
      <c r="M30" s="26" t="str">
        <f aca="false">IF($B30="","",IFERROR(INDEX(ST_STRAIT,MATCH($B30,ST_ID,0)),""))</f>
        <v/>
      </c>
      <c r="N30" s="26" t="str">
        <f aca="false">IF($B30="","",IF($E30="",$L30,$E30))</f>
        <v/>
      </c>
      <c r="O30" s="26" t="str">
        <f aca="false">IF($J30="","",IFERROR(INDEX(EMPL_CLASSE,MATCH($J30,EMPL_KEY,0)),"?"))</f>
        <v/>
      </c>
      <c r="P30" s="28" t="n">
        <f aca="false">IF($B30="",0,IF(OR(ISNA(MATCH($B30,ST_ID,0)),NOT(ISNUMBER($F30)),$F30&lt;=0,$J30="",$N30=""),0,1))</f>
        <v>0</v>
      </c>
      <c r="Q30" s="27" t="n">
        <f aca="false">IF($P30=0,0,$F30)</f>
        <v>0</v>
      </c>
      <c r="R30" s="26" t="str">
        <f aca="false">IF($B30="","",IFERROR(INDEX(ST_STATUT,MATCH($B30,ST_ID,0)),""))</f>
        <v/>
      </c>
      <c r="S30" s="26" t="str">
        <f aca="false">IF($B30="","",IF($P30=0,"DONNEES MANQUANTES",IF(OR($R30="DONNEES MANQUANTES",$R30="STOCK INSUFFISANT",$R30="EMPLACEMENT INCOHERENT",$R30="BLOQUE"),"BLOQUE","OK")))</f>
        <v/>
      </c>
      <c r="T30" s="28" t="n">
        <f aca="false">IF($S30="OK",1,0)</f>
        <v>0</v>
      </c>
      <c r="U30" s="26" t="str">
        <f aca="false">IF($B30="","",IF($P30=0,"A COMPLETER : "&amp;IF(ISNA(MATCH($B30,ST_ID,0)),"ID ST valide; ","")&amp;IF(OR(NOT(ISNUMBER($F30)),$F30&lt;=0),"QUANTITE &gt; 0; ","")&amp;IF($J30="","EMPL. DESTINATION; ",""),IF($S30="BLOQUE","Envoi parent en anomalie ("&amp;$R30&amp;") : corriger l'onglet SOUS_TRAITANCE.",IF(AND($E30&lt;&gt;"",ISNA(MATCH($E30,LOT_KEY,0))),"Creer la fiche du lot resultat dans l'onglet LOTS.",""))))</f>
        <v/>
      </c>
      <c r="V30" s="31" t="str">
        <f aca="false">IF($B30="","",IF($C30&lt;&gt;"",$C30,IFERROR(INDEX(ST_DATERET,MATCH($B30,ST_ID,0)),"")))</f>
        <v/>
      </c>
      <c r="W30" s="26" t="str">
        <f aca="false">IF($P30=0,"",IF($L30=R_LOT,IF($N30&lt;&gt;R_LOT,$N30,""),IF($N30=R_LOT,$L30,"")))</f>
        <v/>
      </c>
      <c r="X30" s="26" t="str">
        <f aca="false">IF($W30="","",IF(COUNTIF($W$4:$W29,$W30)&gt;0,"",COUNT($X$4:$X29)+1))</f>
        <v/>
      </c>
      <c r="Y30" s="26" t="n">
        <f aca="false">IF($P30=0,0,IF(OR($L30=R_LOT,$N30=R_LOT),1,0))</f>
        <v>0</v>
      </c>
      <c r="Z30" s="26" t="str">
        <f aca="false">IF($Y30=0,"",COUNTIF($Y$5:$Y30,1))</f>
        <v/>
      </c>
    </row>
    <row r="31" customFormat="false" ht="15" hidden="false" customHeight="false" outlineLevel="0" collapsed="false">
      <c r="A31" s="26" t="str">
        <f aca="false">IF($B31="","","RES-"&amp;TEXT(ROW()-4,"000"))</f>
        <v/>
      </c>
      <c r="B31" s="24"/>
      <c r="C31" s="25"/>
      <c r="D31" s="24"/>
      <c r="E31" s="24"/>
      <c r="F31" s="29"/>
      <c r="G31" s="24"/>
      <c r="H31" s="24"/>
      <c r="I31" s="24"/>
      <c r="J31" s="24"/>
      <c r="K31" s="24"/>
      <c r="L31" s="26" t="str">
        <f aca="false">IF($B31="","",IFERROR(INDEX(ST_LOT,MATCH($B31,ST_ID,0)),""))</f>
        <v/>
      </c>
      <c r="M31" s="26" t="str">
        <f aca="false">IF($B31="","",IFERROR(INDEX(ST_STRAIT,MATCH($B31,ST_ID,0)),""))</f>
        <v/>
      </c>
      <c r="N31" s="26" t="str">
        <f aca="false">IF($B31="","",IF($E31="",$L31,$E31))</f>
        <v/>
      </c>
      <c r="O31" s="26" t="str">
        <f aca="false">IF($J31="","",IFERROR(INDEX(EMPL_CLASSE,MATCH($J31,EMPL_KEY,0)),"?"))</f>
        <v/>
      </c>
      <c r="P31" s="28" t="n">
        <f aca="false">IF($B31="",0,IF(OR(ISNA(MATCH($B31,ST_ID,0)),NOT(ISNUMBER($F31)),$F31&lt;=0,$J31="",$N31=""),0,1))</f>
        <v>0</v>
      </c>
      <c r="Q31" s="27" t="n">
        <f aca="false">IF($P31=0,0,$F31)</f>
        <v>0</v>
      </c>
      <c r="R31" s="26" t="str">
        <f aca="false">IF($B31="","",IFERROR(INDEX(ST_STATUT,MATCH($B31,ST_ID,0)),""))</f>
        <v/>
      </c>
      <c r="S31" s="26" t="str">
        <f aca="false">IF($B31="","",IF($P31=0,"DONNEES MANQUANTES",IF(OR($R31="DONNEES MANQUANTES",$R31="STOCK INSUFFISANT",$R31="EMPLACEMENT INCOHERENT",$R31="BLOQUE"),"BLOQUE","OK")))</f>
        <v/>
      </c>
      <c r="T31" s="28" t="n">
        <f aca="false">IF($S31="OK",1,0)</f>
        <v>0</v>
      </c>
      <c r="U31" s="26" t="str">
        <f aca="false">IF($B31="","",IF($P31=0,"A COMPLETER : "&amp;IF(ISNA(MATCH($B31,ST_ID,0)),"ID ST valide; ","")&amp;IF(OR(NOT(ISNUMBER($F31)),$F31&lt;=0),"QUANTITE &gt; 0; ","")&amp;IF($J31="","EMPL. DESTINATION; ",""),IF($S31="BLOQUE","Envoi parent en anomalie ("&amp;$R31&amp;") : corriger l'onglet SOUS_TRAITANCE.",IF(AND($E31&lt;&gt;"",ISNA(MATCH($E31,LOT_KEY,0))),"Creer la fiche du lot resultat dans l'onglet LOTS.",""))))</f>
        <v/>
      </c>
      <c r="V31" s="31" t="str">
        <f aca="false">IF($B31="","",IF($C31&lt;&gt;"",$C31,IFERROR(INDEX(ST_DATERET,MATCH($B31,ST_ID,0)),"")))</f>
        <v/>
      </c>
      <c r="W31" s="26" t="str">
        <f aca="false">IF($P31=0,"",IF($L31=R_LOT,IF($N31&lt;&gt;R_LOT,$N31,""),IF($N31=R_LOT,$L31,"")))</f>
        <v/>
      </c>
      <c r="X31" s="26" t="str">
        <f aca="false">IF($W31="","",IF(COUNTIF($W$4:$W30,$W31)&gt;0,"",COUNT($X$4:$X30)+1))</f>
        <v/>
      </c>
      <c r="Y31" s="26" t="n">
        <f aca="false">IF($P31=0,0,IF(OR($L31=R_LOT,$N31=R_LOT),1,0))</f>
        <v>0</v>
      </c>
      <c r="Z31" s="26" t="str">
        <f aca="false">IF($Y31=0,"",COUNTIF($Y$5:$Y31,1))</f>
        <v/>
      </c>
    </row>
    <row r="32" customFormat="false" ht="15" hidden="false" customHeight="false" outlineLevel="0" collapsed="false">
      <c r="A32" s="26" t="str">
        <f aca="false">IF($B32="","","RES-"&amp;TEXT(ROW()-4,"000"))</f>
        <v/>
      </c>
      <c r="B32" s="24"/>
      <c r="C32" s="25"/>
      <c r="D32" s="24"/>
      <c r="E32" s="24"/>
      <c r="F32" s="29"/>
      <c r="G32" s="24"/>
      <c r="H32" s="24"/>
      <c r="I32" s="24"/>
      <c r="J32" s="24"/>
      <c r="K32" s="24"/>
      <c r="L32" s="26" t="str">
        <f aca="false">IF($B32="","",IFERROR(INDEX(ST_LOT,MATCH($B32,ST_ID,0)),""))</f>
        <v/>
      </c>
      <c r="M32" s="26" t="str">
        <f aca="false">IF($B32="","",IFERROR(INDEX(ST_STRAIT,MATCH($B32,ST_ID,0)),""))</f>
        <v/>
      </c>
      <c r="N32" s="26" t="str">
        <f aca="false">IF($B32="","",IF($E32="",$L32,$E32))</f>
        <v/>
      </c>
      <c r="O32" s="26" t="str">
        <f aca="false">IF($J32="","",IFERROR(INDEX(EMPL_CLASSE,MATCH($J32,EMPL_KEY,0)),"?"))</f>
        <v/>
      </c>
      <c r="P32" s="28" t="n">
        <f aca="false">IF($B32="",0,IF(OR(ISNA(MATCH($B32,ST_ID,0)),NOT(ISNUMBER($F32)),$F32&lt;=0,$J32="",$N32=""),0,1))</f>
        <v>0</v>
      </c>
      <c r="Q32" s="27" t="n">
        <f aca="false">IF($P32=0,0,$F32)</f>
        <v>0</v>
      </c>
      <c r="R32" s="26" t="str">
        <f aca="false">IF($B32="","",IFERROR(INDEX(ST_STATUT,MATCH($B32,ST_ID,0)),""))</f>
        <v/>
      </c>
      <c r="S32" s="26" t="str">
        <f aca="false">IF($B32="","",IF($P32=0,"DONNEES MANQUANTES",IF(OR($R32="DONNEES MANQUANTES",$R32="STOCK INSUFFISANT",$R32="EMPLACEMENT INCOHERENT",$R32="BLOQUE"),"BLOQUE","OK")))</f>
        <v/>
      </c>
      <c r="T32" s="28" t="n">
        <f aca="false">IF($S32="OK",1,0)</f>
        <v>0</v>
      </c>
      <c r="U32" s="26" t="str">
        <f aca="false">IF($B32="","",IF($P32=0,"A COMPLETER : "&amp;IF(ISNA(MATCH($B32,ST_ID,0)),"ID ST valide; ","")&amp;IF(OR(NOT(ISNUMBER($F32)),$F32&lt;=0),"QUANTITE &gt; 0; ","")&amp;IF($J32="","EMPL. DESTINATION; ",""),IF($S32="BLOQUE","Envoi parent en anomalie ("&amp;$R32&amp;") : corriger l'onglet SOUS_TRAITANCE.",IF(AND($E32&lt;&gt;"",ISNA(MATCH($E32,LOT_KEY,0))),"Creer la fiche du lot resultat dans l'onglet LOTS.",""))))</f>
        <v/>
      </c>
      <c r="V32" s="31" t="str">
        <f aca="false">IF($B32="","",IF($C32&lt;&gt;"",$C32,IFERROR(INDEX(ST_DATERET,MATCH($B32,ST_ID,0)),"")))</f>
        <v/>
      </c>
      <c r="W32" s="26" t="str">
        <f aca="false">IF($P32=0,"",IF($L32=R_LOT,IF($N32&lt;&gt;R_LOT,$N32,""),IF($N32=R_LOT,$L32,"")))</f>
        <v/>
      </c>
      <c r="X32" s="26" t="str">
        <f aca="false">IF($W32="","",IF(COUNTIF($W$4:$W31,$W32)&gt;0,"",COUNT($X$4:$X31)+1))</f>
        <v/>
      </c>
      <c r="Y32" s="26" t="n">
        <f aca="false">IF($P32=0,0,IF(OR($L32=R_LOT,$N32=R_LOT),1,0))</f>
        <v>0</v>
      </c>
      <c r="Z32" s="26" t="str">
        <f aca="false">IF($Y32=0,"",COUNTIF($Y$5:$Y32,1))</f>
        <v/>
      </c>
    </row>
    <row r="33" customFormat="false" ht="15" hidden="false" customHeight="false" outlineLevel="0" collapsed="false">
      <c r="A33" s="26" t="str">
        <f aca="false">IF($B33="","","RES-"&amp;TEXT(ROW()-4,"000"))</f>
        <v/>
      </c>
      <c r="B33" s="24"/>
      <c r="C33" s="25"/>
      <c r="D33" s="24"/>
      <c r="E33" s="24"/>
      <c r="F33" s="29"/>
      <c r="G33" s="24"/>
      <c r="H33" s="24"/>
      <c r="I33" s="24"/>
      <c r="J33" s="24"/>
      <c r="K33" s="24"/>
      <c r="L33" s="26" t="str">
        <f aca="false">IF($B33="","",IFERROR(INDEX(ST_LOT,MATCH($B33,ST_ID,0)),""))</f>
        <v/>
      </c>
      <c r="M33" s="26" t="str">
        <f aca="false">IF($B33="","",IFERROR(INDEX(ST_STRAIT,MATCH($B33,ST_ID,0)),""))</f>
        <v/>
      </c>
      <c r="N33" s="26" t="str">
        <f aca="false">IF($B33="","",IF($E33="",$L33,$E33))</f>
        <v/>
      </c>
      <c r="O33" s="26" t="str">
        <f aca="false">IF($J33="","",IFERROR(INDEX(EMPL_CLASSE,MATCH($J33,EMPL_KEY,0)),"?"))</f>
        <v/>
      </c>
      <c r="P33" s="28" t="n">
        <f aca="false">IF($B33="",0,IF(OR(ISNA(MATCH($B33,ST_ID,0)),NOT(ISNUMBER($F33)),$F33&lt;=0,$J33="",$N33=""),0,1))</f>
        <v>0</v>
      </c>
      <c r="Q33" s="27" t="n">
        <f aca="false">IF($P33=0,0,$F33)</f>
        <v>0</v>
      </c>
      <c r="R33" s="26" t="str">
        <f aca="false">IF($B33="","",IFERROR(INDEX(ST_STATUT,MATCH($B33,ST_ID,0)),""))</f>
        <v/>
      </c>
      <c r="S33" s="26" t="str">
        <f aca="false">IF($B33="","",IF($P33=0,"DONNEES MANQUANTES",IF(OR($R33="DONNEES MANQUANTES",$R33="STOCK INSUFFISANT",$R33="EMPLACEMENT INCOHERENT",$R33="BLOQUE"),"BLOQUE","OK")))</f>
        <v/>
      </c>
      <c r="T33" s="28" t="n">
        <f aca="false">IF($S33="OK",1,0)</f>
        <v>0</v>
      </c>
      <c r="U33" s="26" t="str">
        <f aca="false">IF($B33="","",IF($P33=0,"A COMPLETER : "&amp;IF(ISNA(MATCH($B33,ST_ID,0)),"ID ST valide; ","")&amp;IF(OR(NOT(ISNUMBER($F33)),$F33&lt;=0),"QUANTITE &gt; 0; ","")&amp;IF($J33="","EMPL. DESTINATION; ",""),IF($S33="BLOQUE","Envoi parent en anomalie ("&amp;$R33&amp;") : corriger l'onglet SOUS_TRAITANCE.",IF(AND($E33&lt;&gt;"",ISNA(MATCH($E33,LOT_KEY,0))),"Creer la fiche du lot resultat dans l'onglet LOTS.",""))))</f>
        <v/>
      </c>
      <c r="V33" s="31" t="str">
        <f aca="false">IF($B33="","",IF($C33&lt;&gt;"",$C33,IFERROR(INDEX(ST_DATERET,MATCH($B33,ST_ID,0)),"")))</f>
        <v/>
      </c>
      <c r="W33" s="26" t="str">
        <f aca="false">IF($P33=0,"",IF($L33=R_LOT,IF($N33&lt;&gt;R_LOT,$N33,""),IF($N33=R_LOT,$L33,"")))</f>
        <v/>
      </c>
      <c r="X33" s="26" t="str">
        <f aca="false">IF($W33="","",IF(COUNTIF($W$4:$W32,$W33)&gt;0,"",COUNT($X$4:$X32)+1))</f>
        <v/>
      </c>
      <c r="Y33" s="26" t="n">
        <f aca="false">IF($P33=0,0,IF(OR($L33=R_LOT,$N33=R_LOT),1,0))</f>
        <v>0</v>
      </c>
      <c r="Z33" s="26" t="str">
        <f aca="false">IF($Y33=0,"",COUNTIF($Y$5:$Y33,1))</f>
        <v/>
      </c>
    </row>
    <row r="34" customFormat="false" ht="15" hidden="false" customHeight="false" outlineLevel="0" collapsed="false">
      <c r="A34" s="26" t="str">
        <f aca="false">IF($B34="","","RES-"&amp;TEXT(ROW()-4,"000"))</f>
        <v/>
      </c>
      <c r="B34" s="24"/>
      <c r="C34" s="25"/>
      <c r="D34" s="24"/>
      <c r="E34" s="24"/>
      <c r="F34" s="29"/>
      <c r="G34" s="24"/>
      <c r="H34" s="24"/>
      <c r="I34" s="24"/>
      <c r="J34" s="24"/>
      <c r="K34" s="24"/>
      <c r="L34" s="26" t="str">
        <f aca="false">IF($B34="","",IFERROR(INDEX(ST_LOT,MATCH($B34,ST_ID,0)),""))</f>
        <v/>
      </c>
      <c r="M34" s="26" t="str">
        <f aca="false">IF($B34="","",IFERROR(INDEX(ST_STRAIT,MATCH($B34,ST_ID,0)),""))</f>
        <v/>
      </c>
      <c r="N34" s="26" t="str">
        <f aca="false">IF($B34="","",IF($E34="",$L34,$E34))</f>
        <v/>
      </c>
      <c r="O34" s="26" t="str">
        <f aca="false">IF($J34="","",IFERROR(INDEX(EMPL_CLASSE,MATCH($J34,EMPL_KEY,0)),"?"))</f>
        <v/>
      </c>
      <c r="P34" s="28" t="n">
        <f aca="false">IF($B34="",0,IF(OR(ISNA(MATCH($B34,ST_ID,0)),NOT(ISNUMBER($F34)),$F34&lt;=0,$J34="",$N34=""),0,1))</f>
        <v>0</v>
      </c>
      <c r="Q34" s="27" t="n">
        <f aca="false">IF($P34=0,0,$F34)</f>
        <v>0</v>
      </c>
      <c r="R34" s="26" t="str">
        <f aca="false">IF($B34="","",IFERROR(INDEX(ST_STATUT,MATCH($B34,ST_ID,0)),""))</f>
        <v/>
      </c>
      <c r="S34" s="26" t="str">
        <f aca="false">IF($B34="","",IF($P34=0,"DONNEES MANQUANTES",IF(OR($R34="DONNEES MANQUANTES",$R34="STOCK INSUFFISANT",$R34="EMPLACEMENT INCOHERENT",$R34="BLOQUE"),"BLOQUE","OK")))</f>
        <v/>
      </c>
      <c r="T34" s="28" t="n">
        <f aca="false">IF($S34="OK",1,0)</f>
        <v>0</v>
      </c>
      <c r="U34" s="26" t="str">
        <f aca="false">IF($B34="","",IF($P34=0,"A COMPLETER : "&amp;IF(ISNA(MATCH($B34,ST_ID,0)),"ID ST valide; ","")&amp;IF(OR(NOT(ISNUMBER($F34)),$F34&lt;=0),"QUANTITE &gt; 0; ","")&amp;IF($J34="","EMPL. DESTINATION; ",""),IF($S34="BLOQUE","Envoi parent en anomalie ("&amp;$R34&amp;") : corriger l'onglet SOUS_TRAITANCE.",IF(AND($E34&lt;&gt;"",ISNA(MATCH($E34,LOT_KEY,0))),"Creer la fiche du lot resultat dans l'onglet LOTS.",""))))</f>
        <v/>
      </c>
      <c r="V34" s="31" t="str">
        <f aca="false">IF($B34="","",IF($C34&lt;&gt;"",$C34,IFERROR(INDEX(ST_DATERET,MATCH($B34,ST_ID,0)),"")))</f>
        <v/>
      </c>
      <c r="W34" s="26" t="str">
        <f aca="false">IF($P34=0,"",IF($L34=R_LOT,IF($N34&lt;&gt;R_LOT,$N34,""),IF($N34=R_LOT,$L34,"")))</f>
        <v/>
      </c>
      <c r="X34" s="26" t="str">
        <f aca="false">IF($W34="","",IF(COUNTIF($W$4:$W33,$W34)&gt;0,"",COUNT($X$4:$X33)+1))</f>
        <v/>
      </c>
      <c r="Y34" s="26" t="n">
        <f aca="false">IF($P34=0,0,IF(OR($L34=R_LOT,$N34=R_LOT),1,0))</f>
        <v>0</v>
      </c>
      <c r="Z34" s="26" t="str">
        <f aca="false">IF($Y34=0,"",COUNTIF($Y$5:$Y34,1))</f>
        <v/>
      </c>
    </row>
    <row r="35" customFormat="false" ht="15" hidden="false" customHeight="false" outlineLevel="0" collapsed="false">
      <c r="A35" s="26" t="str">
        <f aca="false">IF($B35="","","RES-"&amp;TEXT(ROW()-4,"000"))</f>
        <v/>
      </c>
      <c r="B35" s="24"/>
      <c r="C35" s="25"/>
      <c r="D35" s="24"/>
      <c r="E35" s="24"/>
      <c r="F35" s="29"/>
      <c r="G35" s="24"/>
      <c r="H35" s="24"/>
      <c r="I35" s="24"/>
      <c r="J35" s="24"/>
      <c r="K35" s="24"/>
      <c r="L35" s="26" t="str">
        <f aca="false">IF($B35="","",IFERROR(INDEX(ST_LOT,MATCH($B35,ST_ID,0)),""))</f>
        <v/>
      </c>
      <c r="M35" s="26" t="str">
        <f aca="false">IF($B35="","",IFERROR(INDEX(ST_STRAIT,MATCH($B35,ST_ID,0)),""))</f>
        <v/>
      </c>
      <c r="N35" s="26" t="str">
        <f aca="false">IF($B35="","",IF($E35="",$L35,$E35))</f>
        <v/>
      </c>
      <c r="O35" s="26" t="str">
        <f aca="false">IF($J35="","",IFERROR(INDEX(EMPL_CLASSE,MATCH($J35,EMPL_KEY,0)),"?"))</f>
        <v/>
      </c>
      <c r="P35" s="28" t="n">
        <f aca="false">IF($B35="",0,IF(OR(ISNA(MATCH($B35,ST_ID,0)),NOT(ISNUMBER($F35)),$F35&lt;=0,$J35="",$N35=""),0,1))</f>
        <v>0</v>
      </c>
      <c r="Q35" s="27" t="n">
        <f aca="false">IF($P35=0,0,$F35)</f>
        <v>0</v>
      </c>
      <c r="R35" s="26" t="str">
        <f aca="false">IF($B35="","",IFERROR(INDEX(ST_STATUT,MATCH($B35,ST_ID,0)),""))</f>
        <v/>
      </c>
      <c r="S35" s="26" t="str">
        <f aca="false">IF($B35="","",IF($P35=0,"DONNEES MANQUANTES",IF(OR($R35="DONNEES MANQUANTES",$R35="STOCK INSUFFISANT",$R35="EMPLACEMENT INCOHERENT",$R35="BLOQUE"),"BLOQUE","OK")))</f>
        <v/>
      </c>
      <c r="T35" s="28" t="n">
        <f aca="false">IF($S35="OK",1,0)</f>
        <v>0</v>
      </c>
      <c r="U35" s="26" t="str">
        <f aca="false">IF($B35="","",IF($P35=0,"A COMPLETER : "&amp;IF(ISNA(MATCH($B35,ST_ID,0)),"ID ST valide; ","")&amp;IF(OR(NOT(ISNUMBER($F35)),$F35&lt;=0),"QUANTITE &gt; 0; ","")&amp;IF($J35="","EMPL. DESTINATION; ",""),IF($S35="BLOQUE","Envoi parent en anomalie ("&amp;$R35&amp;") : corriger l'onglet SOUS_TRAITANCE.",IF(AND($E35&lt;&gt;"",ISNA(MATCH($E35,LOT_KEY,0))),"Creer la fiche du lot resultat dans l'onglet LOTS.",""))))</f>
        <v/>
      </c>
      <c r="V35" s="31" t="str">
        <f aca="false">IF($B35="","",IF($C35&lt;&gt;"",$C35,IFERROR(INDEX(ST_DATERET,MATCH($B35,ST_ID,0)),"")))</f>
        <v/>
      </c>
      <c r="W35" s="26" t="str">
        <f aca="false">IF($P35=0,"",IF($L35=R_LOT,IF($N35&lt;&gt;R_LOT,$N35,""),IF($N35=R_LOT,$L35,"")))</f>
        <v/>
      </c>
      <c r="X35" s="26" t="str">
        <f aca="false">IF($W35="","",IF(COUNTIF($W$4:$W34,$W35)&gt;0,"",COUNT($X$4:$X34)+1))</f>
        <v/>
      </c>
      <c r="Y35" s="26" t="n">
        <f aca="false">IF($P35=0,0,IF(OR($L35=R_LOT,$N35=R_LOT),1,0))</f>
        <v>0</v>
      </c>
      <c r="Z35" s="26" t="str">
        <f aca="false">IF($Y35=0,"",COUNTIF($Y$5:$Y35,1))</f>
        <v/>
      </c>
    </row>
    <row r="36" customFormat="false" ht="15" hidden="false" customHeight="false" outlineLevel="0" collapsed="false">
      <c r="A36" s="26" t="str">
        <f aca="false">IF($B36="","","RES-"&amp;TEXT(ROW()-4,"000"))</f>
        <v/>
      </c>
      <c r="B36" s="24"/>
      <c r="C36" s="25"/>
      <c r="D36" s="24"/>
      <c r="E36" s="24"/>
      <c r="F36" s="29"/>
      <c r="G36" s="24"/>
      <c r="H36" s="24"/>
      <c r="I36" s="24"/>
      <c r="J36" s="24"/>
      <c r="K36" s="24"/>
      <c r="L36" s="26" t="str">
        <f aca="false">IF($B36="","",IFERROR(INDEX(ST_LOT,MATCH($B36,ST_ID,0)),""))</f>
        <v/>
      </c>
      <c r="M36" s="26" t="str">
        <f aca="false">IF($B36="","",IFERROR(INDEX(ST_STRAIT,MATCH($B36,ST_ID,0)),""))</f>
        <v/>
      </c>
      <c r="N36" s="26" t="str">
        <f aca="false">IF($B36="","",IF($E36="",$L36,$E36))</f>
        <v/>
      </c>
      <c r="O36" s="26" t="str">
        <f aca="false">IF($J36="","",IFERROR(INDEX(EMPL_CLASSE,MATCH($J36,EMPL_KEY,0)),"?"))</f>
        <v/>
      </c>
      <c r="P36" s="28" t="n">
        <f aca="false">IF($B36="",0,IF(OR(ISNA(MATCH($B36,ST_ID,0)),NOT(ISNUMBER($F36)),$F36&lt;=0,$J36="",$N36=""),0,1))</f>
        <v>0</v>
      </c>
      <c r="Q36" s="27" t="n">
        <f aca="false">IF($P36=0,0,$F36)</f>
        <v>0</v>
      </c>
      <c r="R36" s="26" t="str">
        <f aca="false">IF($B36="","",IFERROR(INDEX(ST_STATUT,MATCH($B36,ST_ID,0)),""))</f>
        <v/>
      </c>
      <c r="S36" s="26" t="str">
        <f aca="false">IF($B36="","",IF($P36=0,"DONNEES MANQUANTES",IF(OR($R36="DONNEES MANQUANTES",$R36="STOCK INSUFFISANT",$R36="EMPLACEMENT INCOHERENT",$R36="BLOQUE"),"BLOQUE","OK")))</f>
        <v/>
      </c>
      <c r="T36" s="28" t="n">
        <f aca="false">IF($S36="OK",1,0)</f>
        <v>0</v>
      </c>
      <c r="U36" s="26" t="str">
        <f aca="false">IF($B36="","",IF($P36=0,"A COMPLETER : "&amp;IF(ISNA(MATCH($B36,ST_ID,0)),"ID ST valide; ","")&amp;IF(OR(NOT(ISNUMBER($F36)),$F36&lt;=0),"QUANTITE &gt; 0; ","")&amp;IF($J36="","EMPL. DESTINATION; ",""),IF($S36="BLOQUE","Envoi parent en anomalie ("&amp;$R36&amp;") : corriger l'onglet SOUS_TRAITANCE.",IF(AND($E36&lt;&gt;"",ISNA(MATCH($E36,LOT_KEY,0))),"Creer la fiche du lot resultat dans l'onglet LOTS.",""))))</f>
        <v/>
      </c>
      <c r="V36" s="31" t="str">
        <f aca="false">IF($B36="","",IF($C36&lt;&gt;"",$C36,IFERROR(INDEX(ST_DATERET,MATCH($B36,ST_ID,0)),"")))</f>
        <v/>
      </c>
      <c r="W36" s="26" t="str">
        <f aca="false">IF($P36=0,"",IF($L36=R_LOT,IF($N36&lt;&gt;R_LOT,$N36,""),IF($N36=R_LOT,$L36,"")))</f>
        <v/>
      </c>
      <c r="X36" s="26" t="str">
        <f aca="false">IF($W36="","",IF(COUNTIF($W$4:$W35,$W36)&gt;0,"",COUNT($X$4:$X35)+1))</f>
        <v/>
      </c>
      <c r="Y36" s="26" t="n">
        <f aca="false">IF($P36=0,0,IF(OR($L36=R_LOT,$N36=R_LOT),1,0))</f>
        <v>0</v>
      </c>
      <c r="Z36" s="26" t="str">
        <f aca="false">IF($Y36=0,"",COUNTIF($Y$5:$Y36,1))</f>
        <v/>
      </c>
    </row>
    <row r="37" customFormat="false" ht="15" hidden="false" customHeight="false" outlineLevel="0" collapsed="false">
      <c r="A37" s="26" t="str">
        <f aca="false">IF($B37="","","RES-"&amp;TEXT(ROW()-4,"000"))</f>
        <v/>
      </c>
      <c r="B37" s="24"/>
      <c r="C37" s="25"/>
      <c r="D37" s="24"/>
      <c r="E37" s="24"/>
      <c r="F37" s="29"/>
      <c r="G37" s="24"/>
      <c r="H37" s="24"/>
      <c r="I37" s="24"/>
      <c r="J37" s="24"/>
      <c r="K37" s="24"/>
      <c r="L37" s="26" t="str">
        <f aca="false">IF($B37="","",IFERROR(INDEX(ST_LOT,MATCH($B37,ST_ID,0)),""))</f>
        <v/>
      </c>
      <c r="M37" s="26" t="str">
        <f aca="false">IF($B37="","",IFERROR(INDEX(ST_STRAIT,MATCH($B37,ST_ID,0)),""))</f>
        <v/>
      </c>
      <c r="N37" s="26" t="str">
        <f aca="false">IF($B37="","",IF($E37="",$L37,$E37))</f>
        <v/>
      </c>
      <c r="O37" s="26" t="str">
        <f aca="false">IF($J37="","",IFERROR(INDEX(EMPL_CLASSE,MATCH($J37,EMPL_KEY,0)),"?"))</f>
        <v/>
      </c>
      <c r="P37" s="28" t="n">
        <f aca="false">IF($B37="",0,IF(OR(ISNA(MATCH($B37,ST_ID,0)),NOT(ISNUMBER($F37)),$F37&lt;=0,$J37="",$N37=""),0,1))</f>
        <v>0</v>
      </c>
      <c r="Q37" s="27" t="n">
        <f aca="false">IF($P37=0,0,$F37)</f>
        <v>0</v>
      </c>
      <c r="R37" s="26" t="str">
        <f aca="false">IF($B37="","",IFERROR(INDEX(ST_STATUT,MATCH($B37,ST_ID,0)),""))</f>
        <v/>
      </c>
      <c r="S37" s="26" t="str">
        <f aca="false">IF($B37="","",IF($P37=0,"DONNEES MANQUANTES",IF(OR($R37="DONNEES MANQUANTES",$R37="STOCK INSUFFISANT",$R37="EMPLACEMENT INCOHERENT",$R37="BLOQUE"),"BLOQUE","OK")))</f>
        <v/>
      </c>
      <c r="T37" s="28" t="n">
        <f aca="false">IF($S37="OK",1,0)</f>
        <v>0</v>
      </c>
      <c r="U37" s="26" t="str">
        <f aca="false">IF($B37="","",IF($P37=0,"A COMPLETER : "&amp;IF(ISNA(MATCH($B37,ST_ID,0)),"ID ST valide; ","")&amp;IF(OR(NOT(ISNUMBER($F37)),$F37&lt;=0),"QUANTITE &gt; 0; ","")&amp;IF($J37="","EMPL. DESTINATION; ",""),IF($S37="BLOQUE","Envoi parent en anomalie ("&amp;$R37&amp;") : corriger l'onglet SOUS_TRAITANCE.",IF(AND($E37&lt;&gt;"",ISNA(MATCH($E37,LOT_KEY,0))),"Creer la fiche du lot resultat dans l'onglet LOTS.",""))))</f>
        <v/>
      </c>
      <c r="V37" s="31" t="str">
        <f aca="false">IF($B37="","",IF($C37&lt;&gt;"",$C37,IFERROR(INDEX(ST_DATERET,MATCH($B37,ST_ID,0)),"")))</f>
        <v/>
      </c>
      <c r="W37" s="26" t="str">
        <f aca="false">IF($P37=0,"",IF($L37=R_LOT,IF($N37&lt;&gt;R_LOT,$N37,""),IF($N37=R_LOT,$L37,"")))</f>
        <v/>
      </c>
      <c r="X37" s="26" t="str">
        <f aca="false">IF($W37="","",IF(COUNTIF($W$4:$W36,$W37)&gt;0,"",COUNT($X$4:$X36)+1))</f>
        <v/>
      </c>
      <c r="Y37" s="26" t="n">
        <f aca="false">IF($P37=0,0,IF(OR($L37=R_LOT,$N37=R_LOT),1,0))</f>
        <v>0</v>
      </c>
      <c r="Z37" s="26" t="str">
        <f aca="false">IF($Y37=0,"",COUNTIF($Y$5:$Y37,1))</f>
        <v/>
      </c>
    </row>
    <row r="38" customFormat="false" ht="15" hidden="false" customHeight="false" outlineLevel="0" collapsed="false">
      <c r="A38" s="26" t="str">
        <f aca="false">IF($B38="","","RES-"&amp;TEXT(ROW()-4,"000"))</f>
        <v/>
      </c>
      <c r="B38" s="24"/>
      <c r="C38" s="25"/>
      <c r="D38" s="24"/>
      <c r="E38" s="24"/>
      <c r="F38" s="29"/>
      <c r="G38" s="24"/>
      <c r="H38" s="24"/>
      <c r="I38" s="24"/>
      <c r="J38" s="24"/>
      <c r="K38" s="24"/>
      <c r="L38" s="26" t="str">
        <f aca="false">IF($B38="","",IFERROR(INDEX(ST_LOT,MATCH($B38,ST_ID,0)),""))</f>
        <v/>
      </c>
      <c r="M38" s="26" t="str">
        <f aca="false">IF($B38="","",IFERROR(INDEX(ST_STRAIT,MATCH($B38,ST_ID,0)),""))</f>
        <v/>
      </c>
      <c r="N38" s="26" t="str">
        <f aca="false">IF($B38="","",IF($E38="",$L38,$E38))</f>
        <v/>
      </c>
      <c r="O38" s="26" t="str">
        <f aca="false">IF($J38="","",IFERROR(INDEX(EMPL_CLASSE,MATCH($J38,EMPL_KEY,0)),"?"))</f>
        <v/>
      </c>
      <c r="P38" s="28" t="n">
        <f aca="false">IF($B38="",0,IF(OR(ISNA(MATCH($B38,ST_ID,0)),NOT(ISNUMBER($F38)),$F38&lt;=0,$J38="",$N38=""),0,1))</f>
        <v>0</v>
      </c>
      <c r="Q38" s="27" t="n">
        <f aca="false">IF($P38=0,0,$F38)</f>
        <v>0</v>
      </c>
      <c r="R38" s="26" t="str">
        <f aca="false">IF($B38="","",IFERROR(INDEX(ST_STATUT,MATCH($B38,ST_ID,0)),""))</f>
        <v/>
      </c>
      <c r="S38" s="26" t="str">
        <f aca="false">IF($B38="","",IF($P38=0,"DONNEES MANQUANTES",IF(OR($R38="DONNEES MANQUANTES",$R38="STOCK INSUFFISANT",$R38="EMPLACEMENT INCOHERENT",$R38="BLOQUE"),"BLOQUE","OK")))</f>
        <v/>
      </c>
      <c r="T38" s="28" t="n">
        <f aca="false">IF($S38="OK",1,0)</f>
        <v>0</v>
      </c>
      <c r="U38" s="26" t="str">
        <f aca="false">IF($B38="","",IF($P38=0,"A COMPLETER : "&amp;IF(ISNA(MATCH($B38,ST_ID,0)),"ID ST valide; ","")&amp;IF(OR(NOT(ISNUMBER($F38)),$F38&lt;=0),"QUANTITE &gt; 0; ","")&amp;IF($J38="","EMPL. DESTINATION; ",""),IF($S38="BLOQUE","Envoi parent en anomalie ("&amp;$R38&amp;") : corriger l'onglet SOUS_TRAITANCE.",IF(AND($E38&lt;&gt;"",ISNA(MATCH($E38,LOT_KEY,0))),"Creer la fiche du lot resultat dans l'onglet LOTS.",""))))</f>
        <v/>
      </c>
      <c r="V38" s="31" t="str">
        <f aca="false">IF($B38="","",IF($C38&lt;&gt;"",$C38,IFERROR(INDEX(ST_DATERET,MATCH($B38,ST_ID,0)),"")))</f>
        <v/>
      </c>
      <c r="W38" s="26" t="str">
        <f aca="false">IF($P38=0,"",IF($L38=R_LOT,IF($N38&lt;&gt;R_LOT,$N38,""),IF($N38=R_LOT,$L38,"")))</f>
        <v/>
      </c>
      <c r="X38" s="26" t="str">
        <f aca="false">IF($W38="","",IF(COUNTIF($W$4:$W37,$W38)&gt;0,"",COUNT($X$4:$X37)+1))</f>
        <v/>
      </c>
      <c r="Y38" s="26" t="n">
        <f aca="false">IF($P38=0,0,IF(OR($L38=R_LOT,$N38=R_LOT),1,0))</f>
        <v>0</v>
      </c>
      <c r="Z38" s="26" t="str">
        <f aca="false">IF($Y38=0,"",COUNTIF($Y$5:$Y38,1))</f>
        <v/>
      </c>
    </row>
    <row r="39" customFormat="false" ht="15" hidden="false" customHeight="false" outlineLevel="0" collapsed="false">
      <c r="A39" s="26" t="str">
        <f aca="false">IF($B39="","","RES-"&amp;TEXT(ROW()-4,"000"))</f>
        <v/>
      </c>
      <c r="B39" s="24"/>
      <c r="C39" s="25"/>
      <c r="D39" s="24"/>
      <c r="E39" s="24"/>
      <c r="F39" s="29"/>
      <c r="G39" s="24"/>
      <c r="H39" s="24"/>
      <c r="I39" s="24"/>
      <c r="J39" s="24"/>
      <c r="K39" s="24"/>
      <c r="L39" s="26" t="str">
        <f aca="false">IF($B39="","",IFERROR(INDEX(ST_LOT,MATCH($B39,ST_ID,0)),""))</f>
        <v/>
      </c>
      <c r="M39" s="26" t="str">
        <f aca="false">IF($B39="","",IFERROR(INDEX(ST_STRAIT,MATCH($B39,ST_ID,0)),""))</f>
        <v/>
      </c>
      <c r="N39" s="26" t="str">
        <f aca="false">IF($B39="","",IF($E39="",$L39,$E39))</f>
        <v/>
      </c>
      <c r="O39" s="26" t="str">
        <f aca="false">IF($J39="","",IFERROR(INDEX(EMPL_CLASSE,MATCH($J39,EMPL_KEY,0)),"?"))</f>
        <v/>
      </c>
      <c r="P39" s="28" t="n">
        <f aca="false">IF($B39="",0,IF(OR(ISNA(MATCH($B39,ST_ID,0)),NOT(ISNUMBER($F39)),$F39&lt;=0,$J39="",$N39=""),0,1))</f>
        <v>0</v>
      </c>
      <c r="Q39" s="27" t="n">
        <f aca="false">IF($P39=0,0,$F39)</f>
        <v>0</v>
      </c>
      <c r="R39" s="26" t="str">
        <f aca="false">IF($B39="","",IFERROR(INDEX(ST_STATUT,MATCH($B39,ST_ID,0)),""))</f>
        <v/>
      </c>
      <c r="S39" s="26" t="str">
        <f aca="false">IF($B39="","",IF($P39=0,"DONNEES MANQUANTES",IF(OR($R39="DONNEES MANQUANTES",$R39="STOCK INSUFFISANT",$R39="EMPLACEMENT INCOHERENT",$R39="BLOQUE"),"BLOQUE","OK")))</f>
        <v/>
      </c>
      <c r="T39" s="28" t="n">
        <f aca="false">IF($S39="OK",1,0)</f>
        <v>0</v>
      </c>
      <c r="U39" s="26" t="str">
        <f aca="false">IF($B39="","",IF($P39=0,"A COMPLETER : "&amp;IF(ISNA(MATCH($B39,ST_ID,0)),"ID ST valide; ","")&amp;IF(OR(NOT(ISNUMBER($F39)),$F39&lt;=0),"QUANTITE &gt; 0; ","")&amp;IF($J39="","EMPL. DESTINATION; ",""),IF($S39="BLOQUE","Envoi parent en anomalie ("&amp;$R39&amp;") : corriger l'onglet SOUS_TRAITANCE.",IF(AND($E39&lt;&gt;"",ISNA(MATCH($E39,LOT_KEY,0))),"Creer la fiche du lot resultat dans l'onglet LOTS.",""))))</f>
        <v/>
      </c>
      <c r="V39" s="31" t="str">
        <f aca="false">IF($B39="","",IF($C39&lt;&gt;"",$C39,IFERROR(INDEX(ST_DATERET,MATCH($B39,ST_ID,0)),"")))</f>
        <v/>
      </c>
      <c r="W39" s="26" t="str">
        <f aca="false">IF($P39=0,"",IF($L39=R_LOT,IF($N39&lt;&gt;R_LOT,$N39,""),IF($N39=R_LOT,$L39,"")))</f>
        <v/>
      </c>
      <c r="X39" s="26" t="str">
        <f aca="false">IF($W39="","",IF(COUNTIF($W$4:$W38,$W39)&gt;0,"",COUNT($X$4:$X38)+1))</f>
        <v/>
      </c>
      <c r="Y39" s="26" t="n">
        <f aca="false">IF($P39=0,0,IF(OR($L39=R_LOT,$N39=R_LOT),1,0))</f>
        <v>0</v>
      </c>
      <c r="Z39" s="26" t="str">
        <f aca="false">IF($Y39=0,"",COUNTIF($Y$5:$Y39,1))</f>
        <v/>
      </c>
    </row>
    <row r="40" customFormat="false" ht="15" hidden="false" customHeight="false" outlineLevel="0" collapsed="false">
      <c r="A40" s="26" t="str">
        <f aca="false">IF($B40="","","RES-"&amp;TEXT(ROW()-4,"000"))</f>
        <v/>
      </c>
      <c r="B40" s="24"/>
      <c r="C40" s="25"/>
      <c r="D40" s="24"/>
      <c r="E40" s="24"/>
      <c r="F40" s="29"/>
      <c r="G40" s="24"/>
      <c r="H40" s="24"/>
      <c r="I40" s="24"/>
      <c r="J40" s="24"/>
      <c r="K40" s="24"/>
      <c r="L40" s="26" t="str">
        <f aca="false">IF($B40="","",IFERROR(INDEX(ST_LOT,MATCH($B40,ST_ID,0)),""))</f>
        <v/>
      </c>
      <c r="M40" s="26" t="str">
        <f aca="false">IF($B40="","",IFERROR(INDEX(ST_STRAIT,MATCH($B40,ST_ID,0)),""))</f>
        <v/>
      </c>
      <c r="N40" s="26" t="str">
        <f aca="false">IF($B40="","",IF($E40="",$L40,$E40))</f>
        <v/>
      </c>
      <c r="O40" s="26" t="str">
        <f aca="false">IF($J40="","",IFERROR(INDEX(EMPL_CLASSE,MATCH($J40,EMPL_KEY,0)),"?"))</f>
        <v/>
      </c>
      <c r="P40" s="28" t="n">
        <f aca="false">IF($B40="",0,IF(OR(ISNA(MATCH($B40,ST_ID,0)),NOT(ISNUMBER($F40)),$F40&lt;=0,$J40="",$N40=""),0,1))</f>
        <v>0</v>
      </c>
      <c r="Q40" s="27" t="n">
        <f aca="false">IF($P40=0,0,$F40)</f>
        <v>0</v>
      </c>
      <c r="R40" s="26" t="str">
        <f aca="false">IF($B40="","",IFERROR(INDEX(ST_STATUT,MATCH($B40,ST_ID,0)),""))</f>
        <v/>
      </c>
      <c r="S40" s="26" t="str">
        <f aca="false">IF($B40="","",IF($P40=0,"DONNEES MANQUANTES",IF(OR($R40="DONNEES MANQUANTES",$R40="STOCK INSUFFISANT",$R40="EMPLACEMENT INCOHERENT",$R40="BLOQUE"),"BLOQUE","OK")))</f>
        <v/>
      </c>
      <c r="T40" s="28" t="n">
        <f aca="false">IF($S40="OK",1,0)</f>
        <v>0</v>
      </c>
      <c r="U40" s="26" t="str">
        <f aca="false">IF($B40="","",IF($P40=0,"A COMPLETER : "&amp;IF(ISNA(MATCH($B40,ST_ID,0)),"ID ST valide; ","")&amp;IF(OR(NOT(ISNUMBER($F40)),$F40&lt;=0),"QUANTITE &gt; 0; ","")&amp;IF($J40="","EMPL. DESTINATION; ",""),IF($S40="BLOQUE","Envoi parent en anomalie ("&amp;$R40&amp;") : corriger l'onglet SOUS_TRAITANCE.",IF(AND($E40&lt;&gt;"",ISNA(MATCH($E40,LOT_KEY,0))),"Creer la fiche du lot resultat dans l'onglet LOTS.",""))))</f>
        <v/>
      </c>
      <c r="V40" s="31" t="str">
        <f aca="false">IF($B40="","",IF($C40&lt;&gt;"",$C40,IFERROR(INDEX(ST_DATERET,MATCH($B40,ST_ID,0)),"")))</f>
        <v/>
      </c>
      <c r="W40" s="26" t="str">
        <f aca="false">IF($P40=0,"",IF($L40=R_LOT,IF($N40&lt;&gt;R_LOT,$N40,""),IF($N40=R_LOT,$L40,"")))</f>
        <v/>
      </c>
      <c r="X40" s="26" t="str">
        <f aca="false">IF($W40="","",IF(COUNTIF($W$4:$W39,$W40)&gt;0,"",COUNT($X$4:$X39)+1))</f>
        <v/>
      </c>
      <c r="Y40" s="26" t="n">
        <f aca="false">IF($P40=0,0,IF(OR($L40=R_LOT,$N40=R_LOT),1,0))</f>
        <v>0</v>
      </c>
      <c r="Z40" s="26" t="str">
        <f aca="false">IF($Y40=0,"",COUNTIF($Y$5:$Y40,1))</f>
        <v/>
      </c>
    </row>
    <row r="41" customFormat="false" ht="15" hidden="false" customHeight="false" outlineLevel="0" collapsed="false">
      <c r="A41" s="26" t="str">
        <f aca="false">IF($B41="","","RES-"&amp;TEXT(ROW()-4,"000"))</f>
        <v/>
      </c>
      <c r="B41" s="24"/>
      <c r="C41" s="25"/>
      <c r="D41" s="24"/>
      <c r="E41" s="24"/>
      <c r="F41" s="29"/>
      <c r="G41" s="24"/>
      <c r="H41" s="24"/>
      <c r="I41" s="24"/>
      <c r="J41" s="24"/>
      <c r="K41" s="24"/>
      <c r="L41" s="26" t="str">
        <f aca="false">IF($B41="","",IFERROR(INDEX(ST_LOT,MATCH($B41,ST_ID,0)),""))</f>
        <v/>
      </c>
      <c r="M41" s="26" t="str">
        <f aca="false">IF($B41="","",IFERROR(INDEX(ST_STRAIT,MATCH($B41,ST_ID,0)),""))</f>
        <v/>
      </c>
      <c r="N41" s="26" t="str">
        <f aca="false">IF($B41="","",IF($E41="",$L41,$E41))</f>
        <v/>
      </c>
      <c r="O41" s="26" t="str">
        <f aca="false">IF($J41="","",IFERROR(INDEX(EMPL_CLASSE,MATCH($J41,EMPL_KEY,0)),"?"))</f>
        <v/>
      </c>
      <c r="P41" s="28" t="n">
        <f aca="false">IF($B41="",0,IF(OR(ISNA(MATCH($B41,ST_ID,0)),NOT(ISNUMBER($F41)),$F41&lt;=0,$J41="",$N41=""),0,1))</f>
        <v>0</v>
      </c>
      <c r="Q41" s="27" t="n">
        <f aca="false">IF($P41=0,0,$F41)</f>
        <v>0</v>
      </c>
      <c r="R41" s="26" t="str">
        <f aca="false">IF($B41="","",IFERROR(INDEX(ST_STATUT,MATCH($B41,ST_ID,0)),""))</f>
        <v/>
      </c>
      <c r="S41" s="26" t="str">
        <f aca="false">IF($B41="","",IF($P41=0,"DONNEES MANQUANTES",IF(OR($R41="DONNEES MANQUANTES",$R41="STOCK INSUFFISANT",$R41="EMPLACEMENT INCOHERENT",$R41="BLOQUE"),"BLOQUE","OK")))</f>
        <v/>
      </c>
      <c r="T41" s="28" t="n">
        <f aca="false">IF($S41="OK",1,0)</f>
        <v>0</v>
      </c>
      <c r="U41" s="26" t="str">
        <f aca="false">IF($B41="","",IF($P41=0,"A COMPLETER : "&amp;IF(ISNA(MATCH($B41,ST_ID,0)),"ID ST valide; ","")&amp;IF(OR(NOT(ISNUMBER($F41)),$F41&lt;=0),"QUANTITE &gt; 0; ","")&amp;IF($J41="","EMPL. DESTINATION; ",""),IF($S41="BLOQUE","Envoi parent en anomalie ("&amp;$R41&amp;") : corriger l'onglet SOUS_TRAITANCE.",IF(AND($E41&lt;&gt;"",ISNA(MATCH($E41,LOT_KEY,0))),"Creer la fiche du lot resultat dans l'onglet LOTS.",""))))</f>
        <v/>
      </c>
      <c r="V41" s="31" t="str">
        <f aca="false">IF($B41="","",IF($C41&lt;&gt;"",$C41,IFERROR(INDEX(ST_DATERET,MATCH($B41,ST_ID,0)),"")))</f>
        <v/>
      </c>
      <c r="W41" s="26" t="str">
        <f aca="false">IF($P41=0,"",IF($L41=R_LOT,IF($N41&lt;&gt;R_LOT,$N41,""),IF($N41=R_LOT,$L41,"")))</f>
        <v/>
      </c>
      <c r="X41" s="26" t="str">
        <f aca="false">IF($W41="","",IF(COUNTIF($W$4:$W40,$W41)&gt;0,"",COUNT($X$4:$X40)+1))</f>
        <v/>
      </c>
      <c r="Y41" s="26" t="n">
        <f aca="false">IF($P41=0,0,IF(OR($L41=R_LOT,$N41=R_LOT),1,0))</f>
        <v>0</v>
      </c>
      <c r="Z41" s="26" t="str">
        <f aca="false">IF($Y41=0,"",COUNTIF($Y$5:$Y41,1))</f>
        <v/>
      </c>
    </row>
    <row r="42" customFormat="false" ht="15" hidden="false" customHeight="false" outlineLevel="0" collapsed="false">
      <c r="A42" s="26" t="str">
        <f aca="false">IF($B42="","","RES-"&amp;TEXT(ROW()-4,"000"))</f>
        <v/>
      </c>
      <c r="B42" s="24"/>
      <c r="C42" s="25"/>
      <c r="D42" s="24"/>
      <c r="E42" s="24"/>
      <c r="F42" s="29"/>
      <c r="G42" s="24"/>
      <c r="H42" s="24"/>
      <c r="I42" s="24"/>
      <c r="J42" s="24"/>
      <c r="K42" s="24"/>
      <c r="L42" s="26" t="str">
        <f aca="false">IF($B42="","",IFERROR(INDEX(ST_LOT,MATCH($B42,ST_ID,0)),""))</f>
        <v/>
      </c>
      <c r="M42" s="26" t="str">
        <f aca="false">IF($B42="","",IFERROR(INDEX(ST_STRAIT,MATCH($B42,ST_ID,0)),""))</f>
        <v/>
      </c>
      <c r="N42" s="26" t="str">
        <f aca="false">IF($B42="","",IF($E42="",$L42,$E42))</f>
        <v/>
      </c>
      <c r="O42" s="26" t="str">
        <f aca="false">IF($J42="","",IFERROR(INDEX(EMPL_CLASSE,MATCH($J42,EMPL_KEY,0)),"?"))</f>
        <v/>
      </c>
      <c r="P42" s="28" t="n">
        <f aca="false">IF($B42="",0,IF(OR(ISNA(MATCH($B42,ST_ID,0)),NOT(ISNUMBER($F42)),$F42&lt;=0,$J42="",$N42=""),0,1))</f>
        <v>0</v>
      </c>
      <c r="Q42" s="27" t="n">
        <f aca="false">IF($P42=0,0,$F42)</f>
        <v>0</v>
      </c>
      <c r="R42" s="26" t="str">
        <f aca="false">IF($B42="","",IFERROR(INDEX(ST_STATUT,MATCH($B42,ST_ID,0)),""))</f>
        <v/>
      </c>
      <c r="S42" s="26" t="str">
        <f aca="false">IF($B42="","",IF($P42=0,"DONNEES MANQUANTES",IF(OR($R42="DONNEES MANQUANTES",$R42="STOCK INSUFFISANT",$R42="EMPLACEMENT INCOHERENT",$R42="BLOQUE"),"BLOQUE","OK")))</f>
        <v/>
      </c>
      <c r="T42" s="28" t="n">
        <f aca="false">IF($S42="OK",1,0)</f>
        <v>0</v>
      </c>
      <c r="U42" s="26" t="str">
        <f aca="false">IF($B42="","",IF($P42=0,"A COMPLETER : "&amp;IF(ISNA(MATCH($B42,ST_ID,0)),"ID ST valide; ","")&amp;IF(OR(NOT(ISNUMBER($F42)),$F42&lt;=0),"QUANTITE &gt; 0; ","")&amp;IF($J42="","EMPL. DESTINATION; ",""),IF($S42="BLOQUE","Envoi parent en anomalie ("&amp;$R42&amp;") : corriger l'onglet SOUS_TRAITANCE.",IF(AND($E42&lt;&gt;"",ISNA(MATCH($E42,LOT_KEY,0))),"Creer la fiche du lot resultat dans l'onglet LOTS.",""))))</f>
        <v/>
      </c>
      <c r="V42" s="31" t="str">
        <f aca="false">IF($B42="","",IF($C42&lt;&gt;"",$C42,IFERROR(INDEX(ST_DATERET,MATCH($B42,ST_ID,0)),"")))</f>
        <v/>
      </c>
      <c r="W42" s="26" t="str">
        <f aca="false">IF($P42=0,"",IF($L42=R_LOT,IF($N42&lt;&gt;R_LOT,$N42,""),IF($N42=R_LOT,$L42,"")))</f>
        <v/>
      </c>
      <c r="X42" s="26" t="str">
        <f aca="false">IF($W42="","",IF(COUNTIF($W$4:$W41,$W42)&gt;0,"",COUNT($X$4:$X41)+1))</f>
        <v/>
      </c>
      <c r="Y42" s="26" t="n">
        <f aca="false">IF($P42=0,0,IF(OR($L42=R_LOT,$N42=R_LOT),1,0))</f>
        <v>0</v>
      </c>
      <c r="Z42" s="26" t="str">
        <f aca="false">IF($Y42=0,"",COUNTIF($Y$5:$Y42,1))</f>
        <v/>
      </c>
    </row>
    <row r="43" customFormat="false" ht="15" hidden="false" customHeight="false" outlineLevel="0" collapsed="false">
      <c r="A43" s="26" t="str">
        <f aca="false">IF($B43="","","RES-"&amp;TEXT(ROW()-4,"000"))</f>
        <v/>
      </c>
      <c r="B43" s="24"/>
      <c r="C43" s="25"/>
      <c r="D43" s="24"/>
      <c r="E43" s="24"/>
      <c r="F43" s="29"/>
      <c r="G43" s="24"/>
      <c r="H43" s="24"/>
      <c r="I43" s="24"/>
      <c r="J43" s="24"/>
      <c r="K43" s="24"/>
      <c r="L43" s="26" t="str">
        <f aca="false">IF($B43="","",IFERROR(INDEX(ST_LOT,MATCH($B43,ST_ID,0)),""))</f>
        <v/>
      </c>
      <c r="M43" s="26" t="str">
        <f aca="false">IF($B43="","",IFERROR(INDEX(ST_STRAIT,MATCH($B43,ST_ID,0)),""))</f>
        <v/>
      </c>
      <c r="N43" s="26" t="str">
        <f aca="false">IF($B43="","",IF($E43="",$L43,$E43))</f>
        <v/>
      </c>
      <c r="O43" s="26" t="str">
        <f aca="false">IF($J43="","",IFERROR(INDEX(EMPL_CLASSE,MATCH($J43,EMPL_KEY,0)),"?"))</f>
        <v/>
      </c>
      <c r="P43" s="28" t="n">
        <f aca="false">IF($B43="",0,IF(OR(ISNA(MATCH($B43,ST_ID,0)),NOT(ISNUMBER($F43)),$F43&lt;=0,$J43="",$N43=""),0,1))</f>
        <v>0</v>
      </c>
      <c r="Q43" s="27" t="n">
        <f aca="false">IF($P43=0,0,$F43)</f>
        <v>0</v>
      </c>
      <c r="R43" s="26" t="str">
        <f aca="false">IF($B43="","",IFERROR(INDEX(ST_STATUT,MATCH($B43,ST_ID,0)),""))</f>
        <v/>
      </c>
      <c r="S43" s="26" t="str">
        <f aca="false">IF($B43="","",IF($P43=0,"DONNEES MANQUANTES",IF(OR($R43="DONNEES MANQUANTES",$R43="STOCK INSUFFISANT",$R43="EMPLACEMENT INCOHERENT",$R43="BLOQUE"),"BLOQUE","OK")))</f>
        <v/>
      </c>
      <c r="T43" s="28" t="n">
        <f aca="false">IF($S43="OK",1,0)</f>
        <v>0</v>
      </c>
      <c r="U43" s="26" t="str">
        <f aca="false">IF($B43="","",IF($P43=0,"A COMPLETER : "&amp;IF(ISNA(MATCH($B43,ST_ID,0)),"ID ST valide; ","")&amp;IF(OR(NOT(ISNUMBER($F43)),$F43&lt;=0),"QUANTITE &gt; 0; ","")&amp;IF($J43="","EMPL. DESTINATION; ",""),IF($S43="BLOQUE","Envoi parent en anomalie ("&amp;$R43&amp;") : corriger l'onglet SOUS_TRAITANCE.",IF(AND($E43&lt;&gt;"",ISNA(MATCH($E43,LOT_KEY,0))),"Creer la fiche du lot resultat dans l'onglet LOTS.",""))))</f>
        <v/>
      </c>
      <c r="V43" s="31" t="str">
        <f aca="false">IF($B43="","",IF($C43&lt;&gt;"",$C43,IFERROR(INDEX(ST_DATERET,MATCH($B43,ST_ID,0)),"")))</f>
        <v/>
      </c>
      <c r="W43" s="26" t="str">
        <f aca="false">IF($P43=0,"",IF($L43=R_LOT,IF($N43&lt;&gt;R_LOT,$N43,""),IF($N43=R_LOT,$L43,"")))</f>
        <v/>
      </c>
      <c r="X43" s="26" t="str">
        <f aca="false">IF($W43="","",IF(COUNTIF($W$4:$W42,$W43)&gt;0,"",COUNT($X$4:$X42)+1))</f>
        <v/>
      </c>
      <c r="Y43" s="26" t="n">
        <f aca="false">IF($P43=0,0,IF(OR($L43=R_LOT,$N43=R_LOT),1,0))</f>
        <v>0</v>
      </c>
      <c r="Z43" s="26" t="str">
        <f aca="false">IF($Y43=0,"",COUNTIF($Y$5:$Y43,1))</f>
        <v/>
      </c>
    </row>
    <row r="44" customFormat="false" ht="15" hidden="false" customHeight="false" outlineLevel="0" collapsed="false">
      <c r="A44" s="26" t="str">
        <f aca="false">IF($B44="","","RES-"&amp;TEXT(ROW()-4,"000"))</f>
        <v/>
      </c>
      <c r="B44" s="24"/>
      <c r="C44" s="25"/>
      <c r="D44" s="24"/>
      <c r="E44" s="24"/>
      <c r="F44" s="29"/>
      <c r="G44" s="24"/>
      <c r="H44" s="24"/>
      <c r="I44" s="24"/>
      <c r="J44" s="24"/>
      <c r="K44" s="24"/>
      <c r="L44" s="26" t="str">
        <f aca="false">IF($B44="","",IFERROR(INDEX(ST_LOT,MATCH($B44,ST_ID,0)),""))</f>
        <v/>
      </c>
      <c r="M44" s="26" t="str">
        <f aca="false">IF($B44="","",IFERROR(INDEX(ST_STRAIT,MATCH($B44,ST_ID,0)),""))</f>
        <v/>
      </c>
      <c r="N44" s="26" t="str">
        <f aca="false">IF($B44="","",IF($E44="",$L44,$E44))</f>
        <v/>
      </c>
      <c r="O44" s="26" t="str">
        <f aca="false">IF($J44="","",IFERROR(INDEX(EMPL_CLASSE,MATCH($J44,EMPL_KEY,0)),"?"))</f>
        <v/>
      </c>
      <c r="P44" s="28" t="n">
        <f aca="false">IF($B44="",0,IF(OR(ISNA(MATCH($B44,ST_ID,0)),NOT(ISNUMBER($F44)),$F44&lt;=0,$J44="",$N44=""),0,1))</f>
        <v>0</v>
      </c>
      <c r="Q44" s="27" t="n">
        <f aca="false">IF($P44=0,0,$F44)</f>
        <v>0</v>
      </c>
      <c r="R44" s="26" t="str">
        <f aca="false">IF($B44="","",IFERROR(INDEX(ST_STATUT,MATCH($B44,ST_ID,0)),""))</f>
        <v/>
      </c>
      <c r="S44" s="26" t="str">
        <f aca="false">IF($B44="","",IF($P44=0,"DONNEES MANQUANTES",IF(OR($R44="DONNEES MANQUANTES",$R44="STOCK INSUFFISANT",$R44="EMPLACEMENT INCOHERENT",$R44="BLOQUE"),"BLOQUE","OK")))</f>
        <v/>
      </c>
      <c r="T44" s="28" t="n">
        <f aca="false">IF($S44="OK",1,0)</f>
        <v>0</v>
      </c>
      <c r="U44" s="26" t="str">
        <f aca="false">IF($B44="","",IF($P44=0,"A COMPLETER : "&amp;IF(ISNA(MATCH($B44,ST_ID,0)),"ID ST valide; ","")&amp;IF(OR(NOT(ISNUMBER($F44)),$F44&lt;=0),"QUANTITE &gt; 0; ","")&amp;IF($J44="","EMPL. DESTINATION; ",""),IF($S44="BLOQUE","Envoi parent en anomalie ("&amp;$R44&amp;") : corriger l'onglet SOUS_TRAITANCE.",IF(AND($E44&lt;&gt;"",ISNA(MATCH($E44,LOT_KEY,0))),"Creer la fiche du lot resultat dans l'onglet LOTS.",""))))</f>
        <v/>
      </c>
      <c r="V44" s="31" t="str">
        <f aca="false">IF($B44="","",IF($C44&lt;&gt;"",$C44,IFERROR(INDEX(ST_DATERET,MATCH($B44,ST_ID,0)),"")))</f>
        <v/>
      </c>
      <c r="W44" s="26" t="str">
        <f aca="false">IF($P44=0,"",IF($L44=R_LOT,IF($N44&lt;&gt;R_LOT,$N44,""),IF($N44=R_LOT,$L44,"")))</f>
        <v/>
      </c>
      <c r="X44" s="26" t="str">
        <f aca="false">IF($W44="","",IF(COUNTIF($W$4:$W43,$W44)&gt;0,"",COUNT($X$4:$X43)+1))</f>
        <v/>
      </c>
      <c r="Y44" s="26" t="n">
        <f aca="false">IF($P44=0,0,IF(OR($L44=R_LOT,$N44=R_LOT),1,0))</f>
        <v>0</v>
      </c>
      <c r="Z44" s="26" t="str">
        <f aca="false">IF($Y44=0,"",COUNTIF($Y$5:$Y44,1))</f>
        <v/>
      </c>
    </row>
    <row r="45" customFormat="false" ht="15" hidden="false" customHeight="false" outlineLevel="0" collapsed="false">
      <c r="A45" s="26" t="str">
        <f aca="false">IF($B45="","","RES-"&amp;TEXT(ROW()-4,"000"))</f>
        <v/>
      </c>
      <c r="B45" s="24"/>
      <c r="C45" s="25"/>
      <c r="D45" s="24"/>
      <c r="E45" s="24"/>
      <c r="F45" s="29"/>
      <c r="G45" s="24"/>
      <c r="H45" s="24"/>
      <c r="I45" s="24"/>
      <c r="J45" s="24"/>
      <c r="K45" s="24"/>
      <c r="L45" s="26" t="str">
        <f aca="false">IF($B45="","",IFERROR(INDEX(ST_LOT,MATCH($B45,ST_ID,0)),""))</f>
        <v/>
      </c>
      <c r="M45" s="26" t="str">
        <f aca="false">IF($B45="","",IFERROR(INDEX(ST_STRAIT,MATCH($B45,ST_ID,0)),""))</f>
        <v/>
      </c>
      <c r="N45" s="26" t="str">
        <f aca="false">IF($B45="","",IF($E45="",$L45,$E45))</f>
        <v/>
      </c>
      <c r="O45" s="26" t="str">
        <f aca="false">IF($J45="","",IFERROR(INDEX(EMPL_CLASSE,MATCH($J45,EMPL_KEY,0)),"?"))</f>
        <v/>
      </c>
      <c r="P45" s="28" t="n">
        <f aca="false">IF($B45="",0,IF(OR(ISNA(MATCH($B45,ST_ID,0)),NOT(ISNUMBER($F45)),$F45&lt;=0,$J45="",$N45=""),0,1))</f>
        <v>0</v>
      </c>
      <c r="Q45" s="27" t="n">
        <f aca="false">IF($P45=0,0,$F45)</f>
        <v>0</v>
      </c>
      <c r="R45" s="26" t="str">
        <f aca="false">IF($B45="","",IFERROR(INDEX(ST_STATUT,MATCH($B45,ST_ID,0)),""))</f>
        <v/>
      </c>
      <c r="S45" s="26" t="str">
        <f aca="false">IF($B45="","",IF($P45=0,"DONNEES MANQUANTES",IF(OR($R45="DONNEES MANQUANTES",$R45="STOCK INSUFFISANT",$R45="EMPLACEMENT INCOHERENT",$R45="BLOQUE"),"BLOQUE","OK")))</f>
        <v/>
      </c>
      <c r="T45" s="28" t="n">
        <f aca="false">IF($S45="OK",1,0)</f>
        <v>0</v>
      </c>
      <c r="U45" s="26" t="str">
        <f aca="false">IF($B45="","",IF($P45=0,"A COMPLETER : "&amp;IF(ISNA(MATCH($B45,ST_ID,0)),"ID ST valide; ","")&amp;IF(OR(NOT(ISNUMBER($F45)),$F45&lt;=0),"QUANTITE &gt; 0; ","")&amp;IF($J45="","EMPL. DESTINATION; ",""),IF($S45="BLOQUE","Envoi parent en anomalie ("&amp;$R45&amp;") : corriger l'onglet SOUS_TRAITANCE.",IF(AND($E45&lt;&gt;"",ISNA(MATCH($E45,LOT_KEY,0))),"Creer la fiche du lot resultat dans l'onglet LOTS.",""))))</f>
        <v/>
      </c>
      <c r="V45" s="31" t="str">
        <f aca="false">IF($B45="","",IF($C45&lt;&gt;"",$C45,IFERROR(INDEX(ST_DATERET,MATCH($B45,ST_ID,0)),"")))</f>
        <v/>
      </c>
      <c r="W45" s="26" t="str">
        <f aca="false">IF($P45=0,"",IF($L45=R_LOT,IF($N45&lt;&gt;R_LOT,$N45,""),IF($N45=R_LOT,$L45,"")))</f>
        <v/>
      </c>
      <c r="X45" s="26" t="str">
        <f aca="false">IF($W45="","",IF(COUNTIF($W$4:$W44,$W45)&gt;0,"",COUNT($X$4:$X44)+1))</f>
        <v/>
      </c>
      <c r="Y45" s="26" t="n">
        <f aca="false">IF($P45=0,0,IF(OR($L45=R_LOT,$N45=R_LOT),1,0))</f>
        <v>0</v>
      </c>
      <c r="Z45" s="26" t="str">
        <f aca="false">IF($Y45=0,"",COUNTIF($Y$5:$Y45,1))</f>
        <v/>
      </c>
    </row>
    <row r="46" customFormat="false" ht="15" hidden="false" customHeight="false" outlineLevel="0" collapsed="false">
      <c r="A46" s="26" t="str">
        <f aca="false">IF($B46="","","RES-"&amp;TEXT(ROW()-4,"000"))</f>
        <v/>
      </c>
      <c r="B46" s="24"/>
      <c r="C46" s="25"/>
      <c r="D46" s="24"/>
      <c r="E46" s="24"/>
      <c r="F46" s="29"/>
      <c r="G46" s="24"/>
      <c r="H46" s="24"/>
      <c r="I46" s="24"/>
      <c r="J46" s="24"/>
      <c r="K46" s="24"/>
      <c r="L46" s="26" t="str">
        <f aca="false">IF($B46="","",IFERROR(INDEX(ST_LOT,MATCH($B46,ST_ID,0)),""))</f>
        <v/>
      </c>
      <c r="M46" s="26" t="str">
        <f aca="false">IF($B46="","",IFERROR(INDEX(ST_STRAIT,MATCH($B46,ST_ID,0)),""))</f>
        <v/>
      </c>
      <c r="N46" s="26" t="str">
        <f aca="false">IF($B46="","",IF($E46="",$L46,$E46))</f>
        <v/>
      </c>
      <c r="O46" s="26" t="str">
        <f aca="false">IF($J46="","",IFERROR(INDEX(EMPL_CLASSE,MATCH($J46,EMPL_KEY,0)),"?"))</f>
        <v/>
      </c>
      <c r="P46" s="28" t="n">
        <f aca="false">IF($B46="",0,IF(OR(ISNA(MATCH($B46,ST_ID,0)),NOT(ISNUMBER($F46)),$F46&lt;=0,$J46="",$N46=""),0,1))</f>
        <v>0</v>
      </c>
      <c r="Q46" s="27" t="n">
        <f aca="false">IF($P46=0,0,$F46)</f>
        <v>0</v>
      </c>
      <c r="R46" s="26" t="str">
        <f aca="false">IF($B46="","",IFERROR(INDEX(ST_STATUT,MATCH($B46,ST_ID,0)),""))</f>
        <v/>
      </c>
      <c r="S46" s="26" t="str">
        <f aca="false">IF($B46="","",IF($P46=0,"DONNEES MANQUANTES",IF(OR($R46="DONNEES MANQUANTES",$R46="STOCK INSUFFISANT",$R46="EMPLACEMENT INCOHERENT",$R46="BLOQUE"),"BLOQUE","OK")))</f>
        <v/>
      </c>
      <c r="T46" s="28" t="n">
        <f aca="false">IF($S46="OK",1,0)</f>
        <v>0</v>
      </c>
      <c r="U46" s="26" t="str">
        <f aca="false">IF($B46="","",IF($P46=0,"A COMPLETER : "&amp;IF(ISNA(MATCH($B46,ST_ID,0)),"ID ST valide; ","")&amp;IF(OR(NOT(ISNUMBER($F46)),$F46&lt;=0),"QUANTITE &gt; 0; ","")&amp;IF($J46="","EMPL. DESTINATION; ",""),IF($S46="BLOQUE","Envoi parent en anomalie ("&amp;$R46&amp;") : corriger l'onglet SOUS_TRAITANCE.",IF(AND($E46&lt;&gt;"",ISNA(MATCH($E46,LOT_KEY,0))),"Creer la fiche du lot resultat dans l'onglet LOTS.",""))))</f>
        <v/>
      </c>
      <c r="V46" s="31" t="str">
        <f aca="false">IF($B46="","",IF($C46&lt;&gt;"",$C46,IFERROR(INDEX(ST_DATERET,MATCH($B46,ST_ID,0)),"")))</f>
        <v/>
      </c>
      <c r="W46" s="26" t="str">
        <f aca="false">IF($P46=0,"",IF($L46=R_LOT,IF($N46&lt;&gt;R_LOT,$N46,""),IF($N46=R_LOT,$L46,"")))</f>
        <v/>
      </c>
      <c r="X46" s="26" t="str">
        <f aca="false">IF($W46="","",IF(COUNTIF($W$4:$W45,$W46)&gt;0,"",COUNT($X$4:$X45)+1))</f>
        <v/>
      </c>
      <c r="Y46" s="26" t="n">
        <f aca="false">IF($P46=0,0,IF(OR($L46=R_LOT,$N46=R_LOT),1,0))</f>
        <v>0</v>
      </c>
      <c r="Z46" s="26" t="str">
        <f aca="false">IF($Y46=0,"",COUNTIF($Y$5:$Y46,1))</f>
        <v/>
      </c>
    </row>
    <row r="47" customFormat="false" ht="15" hidden="false" customHeight="false" outlineLevel="0" collapsed="false">
      <c r="A47" s="26" t="str">
        <f aca="false">IF($B47="","","RES-"&amp;TEXT(ROW()-4,"000"))</f>
        <v/>
      </c>
      <c r="B47" s="24"/>
      <c r="C47" s="25"/>
      <c r="D47" s="24"/>
      <c r="E47" s="24"/>
      <c r="F47" s="29"/>
      <c r="G47" s="24"/>
      <c r="H47" s="24"/>
      <c r="I47" s="24"/>
      <c r="J47" s="24"/>
      <c r="K47" s="24"/>
      <c r="L47" s="26" t="str">
        <f aca="false">IF($B47="","",IFERROR(INDEX(ST_LOT,MATCH($B47,ST_ID,0)),""))</f>
        <v/>
      </c>
      <c r="M47" s="26" t="str">
        <f aca="false">IF($B47="","",IFERROR(INDEX(ST_STRAIT,MATCH($B47,ST_ID,0)),""))</f>
        <v/>
      </c>
      <c r="N47" s="26" t="str">
        <f aca="false">IF($B47="","",IF($E47="",$L47,$E47))</f>
        <v/>
      </c>
      <c r="O47" s="26" t="str">
        <f aca="false">IF($J47="","",IFERROR(INDEX(EMPL_CLASSE,MATCH($J47,EMPL_KEY,0)),"?"))</f>
        <v/>
      </c>
      <c r="P47" s="28" t="n">
        <f aca="false">IF($B47="",0,IF(OR(ISNA(MATCH($B47,ST_ID,0)),NOT(ISNUMBER($F47)),$F47&lt;=0,$J47="",$N47=""),0,1))</f>
        <v>0</v>
      </c>
      <c r="Q47" s="27" t="n">
        <f aca="false">IF($P47=0,0,$F47)</f>
        <v>0</v>
      </c>
      <c r="R47" s="26" t="str">
        <f aca="false">IF($B47="","",IFERROR(INDEX(ST_STATUT,MATCH($B47,ST_ID,0)),""))</f>
        <v/>
      </c>
      <c r="S47" s="26" t="str">
        <f aca="false">IF($B47="","",IF($P47=0,"DONNEES MANQUANTES",IF(OR($R47="DONNEES MANQUANTES",$R47="STOCK INSUFFISANT",$R47="EMPLACEMENT INCOHERENT",$R47="BLOQUE"),"BLOQUE","OK")))</f>
        <v/>
      </c>
      <c r="T47" s="28" t="n">
        <f aca="false">IF($S47="OK",1,0)</f>
        <v>0</v>
      </c>
      <c r="U47" s="26" t="str">
        <f aca="false">IF($B47="","",IF($P47=0,"A COMPLETER : "&amp;IF(ISNA(MATCH($B47,ST_ID,0)),"ID ST valide; ","")&amp;IF(OR(NOT(ISNUMBER($F47)),$F47&lt;=0),"QUANTITE &gt; 0; ","")&amp;IF($J47="","EMPL. DESTINATION; ",""),IF($S47="BLOQUE","Envoi parent en anomalie ("&amp;$R47&amp;") : corriger l'onglet SOUS_TRAITANCE.",IF(AND($E47&lt;&gt;"",ISNA(MATCH($E47,LOT_KEY,0))),"Creer la fiche du lot resultat dans l'onglet LOTS.",""))))</f>
        <v/>
      </c>
      <c r="V47" s="31" t="str">
        <f aca="false">IF($B47="","",IF($C47&lt;&gt;"",$C47,IFERROR(INDEX(ST_DATERET,MATCH($B47,ST_ID,0)),"")))</f>
        <v/>
      </c>
      <c r="W47" s="26" t="str">
        <f aca="false">IF($P47=0,"",IF($L47=R_LOT,IF($N47&lt;&gt;R_LOT,$N47,""),IF($N47=R_LOT,$L47,"")))</f>
        <v/>
      </c>
      <c r="X47" s="26" t="str">
        <f aca="false">IF($W47="","",IF(COUNTIF($W$4:$W46,$W47)&gt;0,"",COUNT($X$4:$X46)+1))</f>
        <v/>
      </c>
      <c r="Y47" s="26" t="n">
        <f aca="false">IF($P47=0,0,IF(OR($L47=R_LOT,$N47=R_LOT),1,0))</f>
        <v>0</v>
      </c>
      <c r="Z47" s="26" t="str">
        <f aca="false">IF($Y47=0,"",COUNTIF($Y$5:$Y47,1))</f>
        <v/>
      </c>
    </row>
    <row r="48" customFormat="false" ht="15" hidden="false" customHeight="false" outlineLevel="0" collapsed="false">
      <c r="A48" s="26" t="str">
        <f aca="false">IF($B48="","","RES-"&amp;TEXT(ROW()-4,"000"))</f>
        <v/>
      </c>
      <c r="B48" s="24"/>
      <c r="C48" s="25"/>
      <c r="D48" s="24"/>
      <c r="E48" s="24"/>
      <c r="F48" s="29"/>
      <c r="G48" s="24"/>
      <c r="H48" s="24"/>
      <c r="I48" s="24"/>
      <c r="J48" s="24"/>
      <c r="K48" s="24"/>
      <c r="L48" s="26" t="str">
        <f aca="false">IF($B48="","",IFERROR(INDEX(ST_LOT,MATCH($B48,ST_ID,0)),""))</f>
        <v/>
      </c>
      <c r="M48" s="26" t="str">
        <f aca="false">IF($B48="","",IFERROR(INDEX(ST_STRAIT,MATCH($B48,ST_ID,0)),""))</f>
        <v/>
      </c>
      <c r="N48" s="26" t="str">
        <f aca="false">IF($B48="","",IF($E48="",$L48,$E48))</f>
        <v/>
      </c>
      <c r="O48" s="26" t="str">
        <f aca="false">IF($J48="","",IFERROR(INDEX(EMPL_CLASSE,MATCH($J48,EMPL_KEY,0)),"?"))</f>
        <v/>
      </c>
      <c r="P48" s="28" t="n">
        <f aca="false">IF($B48="",0,IF(OR(ISNA(MATCH($B48,ST_ID,0)),NOT(ISNUMBER($F48)),$F48&lt;=0,$J48="",$N48=""),0,1))</f>
        <v>0</v>
      </c>
      <c r="Q48" s="27" t="n">
        <f aca="false">IF($P48=0,0,$F48)</f>
        <v>0</v>
      </c>
      <c r="R48" s="26" t="str">
        <f aca="false">IF($B48="","",IFERROR(INDEX(ST_STATUT,MATCH($B48,ST_ID,0)),""))</f>
        <v/>
      </c>
      <c r="S48" s="26" t="str">
        <f aca="false">IF($B48="","",IF($P48=0,"DONNEES MANQUANTES",IF(OR($R48="DONNEES MANQUANTES",$R48="STOCK INSUFFISANT",$R48="EMPLACEMENT INCOHERENT",$R48="BLOQUE"),"BLOQUE","OK")))</f>
        <v/>
      </c>
      <c r="T48" s="28" t="n">
        <f aca="false">IF($S48="OK",1,0)</f>
        <v>0</v>
      </c>
      <c r="U48" s="26" t="str">
        <f aca="false">IF($B48="","",IF($P48=0,"A COMPLETER : "&amp;IF(ISNA(MATCH($B48,ST_ID,0)),"ID ST valide; ","")&amp;IF(OR(NOT(ISNUMBER($F48)),$F48&lt;=0),"QUANTITE &gt; 0; ","")&amp;IF($J48="","EMPL. DESTINATION; ",""),IF($S48="BLOQUE","Envoi parent en anomalie ("&amp;$R48&amp;") : corriger l'onglet SOUS_TRAITANCE.",IF(AND($E48&lt;&gt;"",ISNA(MATCH($E48,LOT_KEY,0))),"Creer la fiche du lot resultat dans l'onglet LOTS.",""))))</f>
        <v/>
      </c>
      <c r="V48" s="31" t="str">
        <f aca="false">IF($B48="","",IF($C48&lt;&gt;"",$C48,IFERROR(INDEX(ST_DATERET,MATCH($B48,ST_ID,0)),"")))</f>
        <v/>
      </c>
      <c r="W48" s="26" t="str">
        <f aca="false">IF($P48=0,"",IF($L48=R_LOT,IF($N48&lt;&gt;R_LOT,$N48,""),IF($N48=R_LOT,$L48,"")))</f>
        <v/>
      </c>
      <c r="X48" s="26" t="str">
        <f aca="false">IF($W48="","",IF(COUNTIF($W$4:$W47,$W48)&gt;0,"",COUNT($X$4:$X47)+1))</f>
        <v/>
      </c>
      <c r="Y48" s="26" t="n">
        <f aca="false">IF($P48=0,0,IF(OR($L48=R_LOT,$N48=R_LOT),1,0))</f>
        <v>0</v>
      </c>
      <c r="Z48" s="26" t="str">
        <f aca="false">IF($Y48=0,"",COUNTIF($Y$5:$Y48,1))</f>
        <v/>
      </c>
    </row>
    <row r="49" customFormat="false" ht="15" hidden="false" customHeight="false" outlineLevel="0" collapsed="false">
      <c r="A49" s="26" t="str">
        <f aca="false">IF($B49="","","RES-"&amp;TEXT(ROW()-4,"000"))</f>
        <v/>
      </c>
      <c r="B49" s="24"/>
      <c r="C49" s="25"/>
      <c r="D49" s="24"/>
      <c r="E49" s="24"/>
      <c r="F49" s="29"/>
      <c r="G49" s="24"/>
      <c r="H49" s="24"/>
      <c r="I49" s="24"/>
      <c r="J49" s="24"/>
      <c r="K49" s="24"/>
      <c r="L49" s="26" t="str">
        <f aca="false">IF($B49="","",IFERROR(INDEX(ST_LOT,MATCH($B49,ST_ID,0)),""))</f>
        <v/>
      </c>
      <c r="M49" s="26" t="str">
        <f aca="false">IF($B49="","",IFERROR(INDEX(ST_STRAIT,MATCH($B49,ST_ID,0)),""))</f>
        <v/>
      </c>
      <c r="N49" s="26" t="str">
        <f aca="false">IF($B49="","",IF($E49="",$L49,$E49))</f>
        <v/>
      </c>
      <c r="O49" s="26" t="str">
        <f aca="false">IF($J49="","",IFERROR(INDEX(EMPL_CLASSE,MATCH($J49,EMPL_KEY,0)),"?"))</f>
        <v/>
      </c>
      <c r="P49" s="28" t="n">
        <f aca="false">IF($B49="",0,IF(OR(ISNA(MATCH($B49,ST_ID,0)),NOT(ISNUMBER($F49)),$F49&lt;=0,$J49="",$N49=""),0,1))</f>
        <v>0</v>
      </c>
      <c r="Q49" s="27" t="n">
        <f aca="false">IF($P49=0,0,$F49)</f>
        <v>0</v>
      </c>
      <c r="R49" s="26" t="str">
        <f aca="false">IF($B49="","",IFERROR(INDEX(ST_STATUT,MATCH($B49,ST_ID,0)),""))</f>
        <v/>
      </c>
      <c r="S49" s="26" t="str">
        <f aca="false">IF($B49="","",IF($P49=0,"DONNEES MANQUANTES",IF(OR($R49="DONNEES MANQUANTES",$R49="STOCK INSUFFISANT",$R49="EMPLACEMENT INCOHERENT",$R49="BLOQUE"),"BLOQUE","OK")))</f>
        <v/>
      </c>
      <c r="T49" s="28" t="n">
        <f aca="false">IF($S49="OK",1,0)</f>
        <v>0</v>
      </c>
      <c r="U49" s="26" t="str">
        <f aca="false">IF($B49="","",IF($P49=0,"A COMPLETER : "&amp;IF(ISNA(MATCH($B49,ST_ID,0)),"ID ST valide; ","")&amp;IF(OR(NOT(ISNUMBER($F49)),$F49&lt;=0),"QUANTITE &gt; 0; ","")&amp;IF($J49="","EMPL. DESTINATION; ",""),IF($S49="BLOQUE","Envoi parent en anomalie ("&amp;$R49&amp;") : corriger l'onglet SOUS_TRAITANCE.",IF(AND($E49&lt;&gt;"",ISNA(MATCH($E49,LOT_KEY,0))),"Creer la fiche du lot resultat dans l'onglet LOTS.",""))))</f>
        <v/>
      </c>
      <c r="V49" s="31" t="str">
        <f aca="false">IF($B49="","",IF($C49&lt;&gt;"",$C49,IFERROR(INDEX(ST_DATERET,MATCH($B49,ST_ID,0)),"")))</f>
        <v/>
      </c>
      <c r="W49" s="26" t="str">
        <f aca="false">IF($P49=0,"",IF($L49=R_LOT,IF($N49&lt;&gt;R_LOT,$N49,""),IF($N49=R_LOT,$L49,"")))</f>
        <v/>
      </c>
      <c r="X49" s="26" t="str">
        <f aca="false">IF($W49="","",IF(COUNTIF($W$4:$W48,$W49)&gt;0,"",COUNT($X$4:$X48)+1))</f>
        <v/>
      </c>
      <c r="Y49" s="26" t="n">
        <f aca="false">IF($P49=0,0,IF(OR($L49=R_LOT,$N49=R_LOT),1,0))</f>
        <v>0</v>
      </c>
      <c r="Z49" s="26" t="str">
        <f aca="false">IF($Y49=0,"",COUNTIF($Y$5:$Y49,1))</f>
        <v/>
      </c>
    </row>
    <row r="50" customFormat="false" ht="15" hidden="false" customHeight="false" outlineLevel="0" collapsed="false">
      <c r="A50" s="26" t="str">
        <f aca="false">IF($B50="","","RES-"&amp;TEXT(ROW()-4,"000"))</f>
        <v/>
      </c>
      <c r="B50" s="24"/>
      <c r="C50" s="25"/>
      <c r="D50" s="24"/>
      <c r="E50" s="24"/>
      <c r="F50" s="29"/>
      <c r="G50" s="24"/>
      <c r="H50" s="24"/>
      <c r="I50" s="24"/>
      <c r="J50" s="24"/>
      <c r="K50" s="24"/>
      <c r="L50" s="26" t="str">
        <f aca="false">IF($B50="","",IFERROR(INDEX(ST_LOT,MATCH($B50,ST_ID,0)),""))</f>
        <v/>
      </c>
      <c r="M50" s="26" t="str">
        <f aca="false">IF($B50="","",IFERROR(INDEX(ST_STRAIT,MATCH($B50,ST_ID,0)),""))</f>
        <v/>
      </c>
      <c r="N50" s="26" t="str">
        <f aca="false">IF($B50="","",IF($E50="",$L50,$E50))</f>
        <v/>
      </c>
      <c r="O50" s="26" t="str">
        <f aca="false">IF($J50="","",IFERROR(INDEX(EMPL_CLASSE,MATCH($J50,EMPL_KEY,0)),"?"))</f>
        <v/>
      </c>
      <c r="P50" s="28" t="n">
        <f aca="false">IF($B50="",0,IF(OR(ISNA(MATCH($B50,ST_ID,0)),NOT(ISNUMBER($F50)),$F50&lt;=0,$J50="",$N50=""),0,1))</f>
        <v>0</v>
      </c>
      <c r="Q50" s="27" t="n">
        <f aca="false">IF($P50=0,0,$F50)</f>
        <v>0</v>
      </c>
      <c r="R50" s="26" t="str">
        <f aca="false">IF($B50="","",IFERROR(INDEX(ST_STATUT,MATCH($B50,ST_ID,0)),""))</f>
        <v/>
      </c>
      <c r="S50" s="26" t="str">
        <f aca="false">IF($B50="","",IF($P50=0,"DONNEES MANQUANTES",IF(OR($R50="DONNEES MANQUANTES",$R50="STOCK INSUFFISANT",$R50="EMPLACEMENT INCOHERENT",$R50="BLOQUE"),"BLOQUE","OK")))</f>
        <v/>
      </c>
      <c r="T50" s="28" t="n">
        <f aca="false">IF($S50="OK",1,0)</f>
        <v>0</v>
      </c>
      <c r="U50" s="26" t="str">
        <f aca="false">IF($B50="","",IF($P50=0,"A COMPLETER : "&amp;IF(ISNA(MATCH($B50,ST_ID,0)),"ID ST valide; ","")&amp;IF(OR(NOT(ISNUMBER($F50)),$F50&lt;=0),"QUANTITE &gt; 0; ","")&amp;IF($J50="","EMPL. DESTINATION; ",""),IF($S50="BLOQUE","Envoi parent en anomalie ("&amp;$R50&amp;") : corriger l'onglet SOUS_TRAITANCE.",IF(AND($E50&lt;&gt;"",ISNA(MATCH($E50,LOT_KEY,0))),"Creer la fiche du lot resultat dans l'onglet LOTS.",""))))</f>
        <v/>
      </c>
      <c r="V50" s="31" t="str">
        <f aca="false">IF($B50="","",IF($C50&lt;&gt;"",$C50,IFERROR(INDEX(ST_DATERET,MATCH($B50,ST_ID,0)),"")))</f>
        <v/>
      </c>
      <c r="W50" s="26" t="str">
        <f aca="false">IF($P50=0,"",IF($L50=R_LOT,IF($N50&lt;&gt;R_LOT,$N50,""),IF($N50=R_LOT,$L50,"")))</f>
        <v/>
      </c>
      <c r="X50" s="26" t="str">
        <f aca="false">IF($W50="","",IF(COUNTIF($W$4:$W49,$W50)&gt;0,"",COUNT($X$4:$X49)+1))</f>
        <v/>
      </c>
      <c r="Y50" s="26" t="n">
        <f aca="false">IF($P50=0,0,IF(OR($L50=R_LOT,$N50=R_LOT),1,0))</f>
        <v>0</v>
      </c>
      <c r="Z50" s="26" t="str">
        <f aca="false">IF($Y50=0,"",COUNTIF($Y$5:$Y50,1))</f>
        <v/>
      </c>
    </row>
    <row r="51" customFormat="false" ht="15" hidden="false" customHeight="false" outlineLevel="0" collapsed="false">
      <c r="A51" s="26" t="str">
        <f aca="false">IF($B51="","","RES-"&amp;TEXT(ROW()-4,"000"))</f>
        <v/>
      </c>
      <c r="B51" s="24"/>
      <c r="C51" s="25"/>
      <c r="D51" s="24"/>
      <c r="E51" s="24"/>
      <c r="F51" s="29"/>
      <c r="G51" s="24"/>
      <c r="H51" s="24"/>
      <c r="I51" s="24"/>
      <c r="J51" s="24"/>
      <c r="K51" s="24"/>
      <c r="L51" s="26" t="str">
        <f aca="false">IF($B51="","",IFERROR(INDEX(ST_LOT,MATCH($B51,ST_ID,0)),""))</f>
        <v/>
      </c>
      <c r="M51" s="26" t="str">
        <f aca="false">IF($B51="","",IFERROR(INDEX(ST_STRAIT,MATCH($B51,ST_ID,0)),""))</f>
        <v/>
      </c>
      <c r="N51" s="26" t="str">
        <f aca="false">IF($B51="","",IF($E51="",$L51,$E51))</f>
        <v/>
      </c>
      <c r="O51" s="26" t="str">
        <f aca="false">IF($J51="","",IFERROR(INDEX(EMPL_CLASSE,MATCH($J51,EMPL_KEY,0)),"?"))</f>
        <v/>
      </c>
      <c r="P51" s="28" t="n">
        <f aca="false">IF($B51="",0,IF(OR(ISNA(MATCH($B51,ST_ID,0)),NOT(ISNUMBER($F51)),$F51&lt;=0,$J51="",$N51=""),0,1))</f>
        <v>0</v>
      </c>
      <c r="Q51" s="27" t="n">
        <f aca="false">IF($P51=0,0,$F51)</f>
        <v>0</v>
      </c>
      <c r="R51" s="26" t="str">
        <f aca="false">IF($B51="","",IFERROR(INDEX(ST_STATUT,MATCH($B51,ST_ID,0)),""))</f>
        <v/>
      </c>
      <c r="S51" s="26" t="str">
        <f aca="false">IF($B51="","",IF($P51=0,"DONNEES MANQUANTES",IF(OR($R51="DONNEES MANQUANTES",$R51="STOCK INSUFFISANT",$R51="EMPLACEMENT INCOHERENT",$R51="BLOQUE"),"BLOQUE","OK")))</f>
        <v/>
      </c>
      <c r="T51" s="28" t="n">
        <f aca="false">IF($S51="OK",1,0)</f>
        <v>0</v>
      </c>
      <c r="U51" s="26" t="str">
        <f aca="false">IF($B51="","",IF($P51=0,"A COMPLETER : "&amp;IF(ISNA(MATCH($B51,ST_ID,0)),"ID ST valide; ","")&amp;IF(OR(NOT(ISNUMBER($F51)),$F51&lt;=0),"QUANTITE &gt; 0; ","")&amp;IF($J51="","EMPL. DESTINATION; ",""),IF($S51="BLOQUE","Envoi parent en anomalie ("&amp;$R51&amp;") : corriger l'onglet SOUS_TRAITANCE.",IF(AND($E51&lt;&gt;"",ISNA(MATCH($E51,LOT_KEY,0))),"Creer la fiche du lot resultat dans l'onglet LOTS.",""))))</f>
        <v/>
      </c>
      <c r="V51" s="31" t="str">
        <f aca="false">IF($B51="","",IF($C51&lt;&gt;"",$C51,IFERROR(INDEX(ST_DATERET,MATCH($B51,ST_ID,0)),"")))</f>
        <v/>
      </c>
      <c r="W51" s="26" t="str">
        <f aca="false">IF($P51=0,"",IF($L51=R_LOT,IF($N51&lt;&gt;R_LOT,$N51,""),IF($N51=R_LOT,$L51,"")))</f>
        <v/>
      </c>
      <c r="X51" s="26" t="str">
        <f aca="false">IF($W51="","",IF(COUNTIF($W$4:$W50,$W51)&gt;0,"",COUNT($X$4:$X50)+1))</f>
        <v/>
      </c>
      <c r="Y51" s="26" t="n">
        <f aca="false">IF($P51=0,0,IF(OR($L51=R_LOT,$N51=R_LOT),1,0))</f>
        <v>0</v>
      </c>
      <c r="Z51" s="26" t="str">
        <f aca="false">IF($Y51=0,"",COUNTIF($Y$5:$Y51,1))</f>
        <v/>
      </c>
    </row>
    <row r="52" customFormat="false" ht="15" hidden="false" customHeight="false" outlineLevel="0" collapsed="false">
      <c r="A52" s="26" t="str">
        <f aca="false">IF($B52="","","RES-"&amp;TEXT(ROW()-4,"000"))</f>
        <v/>
      </c>
      <c r="B52" s="24"/>
      <c r="C52" s="25"/>
      <c r="D52" s="24"/>
      <c r="E52" s="24"/>
      <c r="F52" s="29"/>
      <c r="G52" s="24"/>
      <c r="H52" s="24"/>
      <c r="I52" s="24"/>
      <c r="J52" s="24"/>
      <c r="K52" s="24"/>
      <c r="L52" s="26" t="str">
        <f aca="false">IF($B52="","",IFERROR(INDEX(ST_LOT,MATCH($B52,ST_ID,0)),""))</f>
        <v/>
      </c>
      <c r="M52" s="26" t="str">
        <f aca="false">IF($B52="","",IFERROR(INDEX(ST_STRAIT,MATCH($B52,ST_ID,0)),""))</f>
        <v/>
      </c>
      <c r="N52" s="26" t="str">
        <f aca="false">IF($B52="","",IF($E52="",$L52,$E52))</f>
        <v/>
      </c>
      <c r="O52" s="26" t="str">
        <f aca="false">IF($J52="","",IFERROR(INDEX(EMPL_CLASSE,MATCH($J52,EMPL_KEY,0)),"?"))</f>
        <v/>
      </c>
      <c r="P52" s="28" t="n">
        <f aca="false">IF($B52="",0,IF(OR(ISNA(MATCH($B52,ST_ID,0)),NOT(ISNUMBER($F52)),$F52&lt;=0,$J52="",$N52=""),0,1))</f>
        <v>0</v>
      </c>
      <c r="Q52" s="27" t="n">
        <f aca="false">IF($P52=0,0,$F52)</f>
        <v>0</v>
      </c>
      <c r="R52" s="26" t="str">
        <f aca="false">IF($B52="","",IFERROR(INDEX(ST_STATUT,MATCH($B52,ST_ID,0)),""))</f>
        <v/>
      </c>
      <c r="S52" s="26" t="str">
        <f aca="false">IF($B52="","",IF($P52=0,"DONNEES MANQUANTES",IF(OR($R52="DONNEES MANQUANTES",$R52="STOCK INSUFFISANT",$R52="EMPLACEMENT INCOHERENT",$R52="BLOQUE"),"BLOQUE","OK")))</f>
        <v/>
      </c>
      <c r="T52" s="28" t="n">
        <f aca="false">IF($S52="OK",1,0)</f>
        <v>0</v>
      </c>
      <c r="U52" s="26" t="str">
        <f aca="false">IF($B52="","",IF($P52=0,"A COMPLETER : "&amp;IF(ISNA(MATCH($B52,ST_ID,0)),"ID ST valide; ","")&amp;IF(OR(NOT(ISNUMBER($F52)),$F52&lt;=0),"QUANTITE &gt; 0; ","")&amp;IF($J52="","EMPL. DESTINATION; ",""),IF($S52="BLOQUE","Envoi parent en anomalie ("&amp;$R52&amp;") : corriger l'onglet SOUS_TRAITANCE.",IF(AND($E52&lt;&gt;"",ISNA(MATCH($E52,LOT_KEY,0))),"Creer la fiche du lot resultat dans l'onglet LOTS.",""))))</f>
        <v/>
      </c>
      <c r="V52" s="31" t="str">
        <f aca="false">IF($B52="","",IF($C52&lt;&gt;"",$C52,IFERROR(INDEX(ST_DATERET,MATCH($B52,ST_ID,0)),"")))</f>
        <v/>
      </c>
      <c r="W52" s="26" t="str">
        <f aca="false">IF($P52=0,"",IF($L52=R_LOT,IF($N52&lt;&gt;R_LOT,$N52,""),IF($N52=R_LOT,$L52,"")))</f>
        <v/>
      </c>
      <c r="X52" s="26" t="str">
        <f aca="false">IF($W52="","",IF(COUNTIF($W$4:$W51,$W52)&gt;0,"",COUNT($X$4:$X51)+1))</f>
        <v/>
      </c>
      <c r="Y52" s="26" t="n">
        <f aca="false">IF($P52=0,0,IF(OR($L52=R_LOT,$N52=R_LOT),1,0))</f>
        <v>0</v>
      </c>
      <c r="Z52" s="26" t="str">
        <f aca="false">IF($Y52=0,"",COUNTIF($Y$5:$Y52,1))</f>
        <v/>
      </c>
    </row>
    <row r="53" customFormat="false" ht="15" hidden="false" customHeight="false" outlineLevel="0" collapsed="false">
      <c r="A53" s="26" t="str">
        <f aca="false">IF($B53="","","RES-"&amp;TEXT(ROW()-4,"000"))</f>
        <v/>
      </c>
      <c r="B53" s="24"/>
      <c r="C53" s="25"/>
      <c r="D53" s="24"/>
      <c r="E53" s="24"/>
      <c r="F53" s="29"/>
      <c r="G53" s="24"/>
      <c r="H53" s="24"/>
      <c r="I53" s="24"/>
      <c r="J53" s="24"/>
      <c r="K53" s="24"/>
      <c r="L53" s="26" t="str">
        <f aca="false">IF($B53="","",IFERROR(INDEX(ST_LOT,MATCH($B53,ST_ID,0)),""))</f>
        <v/>
      </c>
      <c r="M53" s="26" t="str">
        <f aca="false">IF($B53="","",IFERROR(INDEX(ST_STRAIT,MATCH($B53,ST_ID,0)),""))</f>
        <v/>
      </c>
      <c r="N53" s="26" t="str">
        <f aca="false">IF($B53="","",IF($E53="",$L53,$E53))</f>
        <v/>
      </c>
      <c r="O53" s="26" t="str">
        <f aca="false">IF($J53="","",IFERROR(INDEX(EMPL_CLASSE,MATCH($J53,EMPL_KEY,0)),"?"))</f>
        <v/>
      </c>
      <c r="P53" s="28" t="n">
        <f aca="false">IF($B53="",0,IF(OR(ISNA(MATCH($B53,ST_ID,0)),NOT(ISNUMBER($F53)),$F53&lt;=0,$J53="",$N53=""),0,1))</f>
        <v>0</v>
      </c>
      <c r="Q53" s="27" t="n">
        <f aca="false">IF($P53=0,0,$F53)</f>
        <v>0</v>
      </c>
      <c r="R53" s="26" t="str">
        <f aca="false">IF($B53="","",IFERROR(INDEX(ST_STATUT,MATCH($B53,ST_ID,0)),""))</f>
        <v/>
      </c>
      <c r="S53" s="26" t="str">
        <f aca="false">IF($B53="","",IF($P53=0,"DONNEES MANQUANTES",IF(OR($R53="DONNEES MANQUANTES",$R53="STOCK INSUFFISANT",$R53="EMPLACEMENT INCOHERENT",$R53="BLOQUE"),"BLOQUE","OK")))</f>
        <v/>
      </c>
      <c r="T53" s="28" t="n">
        <f aca="false">IF($S53="OK",1,0)</f>
        <v>0</v>
      </c>
      <c r="U53" s="26" t="str">
        <f aca="false">IF($B53="","",IF($P53=0,"A COMPLETER : "&amp;IF(ISNA(MATCH($B53,ST_ID,0)),"ID ST valide; ","")&amp;IF(OR(NOT(ISNUMBER($F53)),$F53&lt;=0),"QUANTITE &gt; 0; ","")&amp;IF($J53="","EMPL. DESTINATION; ",""),IF($S53="BLOQUE","Envoi parent en anomalie ("&amp;$R53&amp;") : corriger l'onglet SOUS_TRAITANCE.",IF(AND($E53&lt;&gt;"",ISNA(MATCH($E53,LOT_KEY,0))),"Creer la fiche du lot resultat dans l'onglet LOTS.",""))))</f>
        <v/>
      </c>
      <c r="V53" s="31" t="str">
        <f aca="false">IF($B53="","",IF($C53&lt;&gt;"",$C53,IFERROR(INDEX(ST_DATERET,MATCH($B53,ST_ID,0)),"")))</f>
        <v/>
      </c>
      <c r="W53" s="26" t="str">
        <f aca="false">IF($P53=0,"",IF($L53=R_LOT,IF($N53&lt;&gt;R_LOT,$N53,""),IF($N53=R_LOT,$L53,"")))</f>
        <v/>
      </c>
      <c r="X53" s="26" t="str">
        <f aca="false">IF($W53="","",IF(COUNTIF($W$4:$W52,$W53)&gt;0,"",COUNT($X$4:$X52)+1))</f>
        <v/>
      </c>
      <c r="Y53" s="26" t="n">
        <f aca="false">IF($P53=0,0,IF(OR($L53=R_LOT,$N53=R_LOT),1,0))</f>
        <v>0</v>
      </c>
      <c r="Z53" s="26" t="str">
        <f aca="false">IF($Y53=0,"",COUNTIF($Y$5:$Y53,1))</f>
        <v/>
      </c>
    </row>
    <row r="54" customFormat="false" ht="15" hidden="false" customHeight="false" outlineLevel="0" collapsed="false">
      <c r="A54" s="26" t="str">
        <f aca="false">IF($B54="","","RES-"&amp;TEXT(ROW()-4,"000"))</f>
        <v/>
      </c>
      <c r="B54" s="24"/>
      <c r="C54" s="25"/>
      <c r="D54" s="24"/>
      <c r="E54" s="24"/>
      <c r="F54" s="29"/>
      <c r="G54" s="24"/>
      <c r="H54" s="24"/>
      <c r="I54" s="24"/>
      <c r="J54" s="24"/>
      <c r="K54" s="24"/>
      <c r="L54" s="26" t="str">
        <f aca="false">IF($B54="","",IFERROR(INDEX(ST_LOT,MATCH($B54,ST_ID,0)),""))</f>
        <v/>
      </c>
      <c r="M54" s="26" t="str">
        <f aca="false">IF($B54="","",IFERROR(INDEX(ST_STRAIT,MATCH($B54,ST_ID,0)),""))</f>
        <v/>
      </c>
      <c r="N54" s="26" t="str">
        <f aca="false">IF($B54="","",IF($E54="",$L54,$E54))</f>
        <v/>
      </c>
      <c r="O54" s="26" t="str">
        <f aca="false">IF($J54="","",IFERROR(INDEX(EMPL_CLASSE,MATCH($J54,EMPL_KEY,0)),"?"))</f>
        <v/>
      </c>
      <c r="P54" s="28" t="n">
        <f aca="false">IF($B54="",0,IF(OR(ISNA(MATCH($B54,ST_ID,0)),NOT(ISNUMBER($F54)),$F54&lt;=0,$J54="",$N54=""),0,1))</f>
        <v>0</v>
      </c>
      <c r="Q54" s="27" t="n">
        <f aca="false">IF($P54=0,0,$F54)</f>
        <v>0</v>
      </c>
      <c r="R54" s="26" t="str">
        <f aca="false">IF($B54="","",IFERROR(INDEX(ST_STATUT,MATCH($B54,ST_ID,0)),""))</f>
        <v/>
      </c>
      <c r="S54" s="26" t="str">
        <f aca="false">IF($B54="","",IF($P54=0,"DONNEES MANQUANTES",IF(OR($R54="DONNEES MANQUANTES",$R54="STOCK INSUFFISANT",$R54="EMPLACEMENT INCOHERENT",$R54="BLOQUE"),"BLOQUE","OK")))</f>
        <v/>
      </c>
      <c r="T54" s="28" t="n">
        <f aca="false">IF($S54="OK",1,0)</f>
        <v>0</v>
      </c>
      <c r="U54" s="26" t="str">
        <f aca="false">IF($B54="","",IF($P54=0,"A COMPLETER : "&amp;IF(ISNA(MATCH($B54,ST_ID,0)),"ID ST valide; ","")&amp;IF(OR(NOT(ISNUMBER($F54)),$F54&lt;=0),"QUANTITE &gt; 0; ","")&amp;IF($J54="","EMPL. DESTINATION; ",""),IF($S54="BLOQUE","Envoi parent en anomalie ("&amp;$R54&amp;") : corriger l'onglet SOUS_TRAITANCE.",IF(AND($E54&lt;&gt;"",ISNA(MATCH($E54,LOT_KEY,0))),"Creer la fiche du lot resultat dans l'onglet LOTS.",""))))</f>
        <v/>
      </c>
      <c r="V54" s="31" t="str">
        <f aca="false">IF($B54="","",IF($C54&lt;&gt;"",$C54,IFERROR(INDEX(ST_DATERET,MATCH($B54,ST_ID,0)),"")))</f>
        <v/>
      </c>
      <c r="W54" s="26" t="str">
        <f aca="false">IF($P54=0,"",IF($L54=R_LOT,IF($N54&lt;&gt;R_LOT,$N54,""),IF($N54=R_LOT,$L54,"")))</f>
        <v/>
      </c>
      <c r="X54" s="26" t="str">
        <f aca="false">IF($W54="","",IF(COUNTIF($W$4:$W53,$W54)&gt;0,"",COUNT($X$4:$X53)+1))</f>
        <v/>
      </c>
      <c r="Y54" s="26" t="n">
        <f aca="false">IF($P54=0,0,IF(OR($L54=R_LOT,$N54=R_LOT),1,0))</f>
        <v>0</v>
      </c>
      <c r="Z54" s="26" t="str">
        <f aca="false">IF($Y54=0,"",COUNTIF($Y$5:$Y54,1))</f>
        <v/>
      </c>
    </row>
    <row r="55" customFormat="false" ht="15" hidden="false" customHeight="false" outlineLevel="0" collapsed="false">
      <c r="A55" s="26" t="str">
        <f aca="false">IF($B55="","","RES-"&amp;TEXT(ROW()-4,"000"))</f>
        <v/>
      </c>
      <c r="B55" s="24"/>
      <c r="C55" s="25"/>
      <c r="D55" s="24"/>
      <c r="E55" s="24"/>
      <c r="F55" s="29"/>
      <c r="G55" s="24"/>
      <c r="H55" s="24"/>
      <c r="I55" s="24"/>
      <c r="J55" s="24"/>
      <c r="K55" s="24"/>
      <c r="L55" s="26" t="str">
        <f aca="false">IF($B55="","",IFERROR(INDEX(ST_LOT,MATCH($B55,ST_ID,0)),""))</f>
        <v/>
      </c>
      <c r="M55" s="26" t="str">
        <f aca="false">IF($B55="","",IFERROR(INDEX(ST_STRAIT,MATCH($B55,ST_ID,0)),""))</f>
        <v/>
      </c>
      <c r="N55" s="26" t="str">
        <f aca="false">IF($B55="","",IF($E55="",$L55,$E55))</f>
        <v/>
      </c>
      <c r="O55" s="26" t="str">
        <f aca="false">IF($J55="","",IFERROR(INDEX(EMPL_CLASSE,MATCH($J55,EMPL_KEY,0)),"?"))</f>
        <v/>
      </c>
      <c r="P55" s="28" t="n">
        <f aca="false">IF($B55="",0,IF(OR(ISNA(MATCH($B55,ST_ID,0)),NOT(ISNUMBER($F55)),$F55&lt;=0,$J55="",$N55=""),0,1))</f>
        <v>0</v>
      </c>
      <c r="Q55" s="27" t="n">
        <f aca="false">IF($P55=0,0,$F55)</f>
        <v>0</v>
      </c>
      <c r="R55" s="26" t="str">
        <f aca="false">IF($B55="","",IFERROR(INDEX(ST_STATUT,MATCH($B55,ST_ID,0)),""))</f>
        <v/>
      </c>
      <c r="S55" s="26" t="str">
        <f aca="false">IF($B55="","",IF($P55=0,"DONNEES MANQUANTES",IF(OR($R55="DONNEES MANQUANTES",$R55="STOCK INSUFFISANT",$R55="EMPLACEMENT INCOHERENT",$R55="BLOQUE"),"BLOQUE","OK")))</f>
        <v/>
      </c>
      <c r="T55" s="28" t="n">
        <f aca="false">IF($S55="OK",1,0)</f>
        <v>0</v>
      </c>
      <c r="U55" s="26" t="str">
        <f aca="false">IF($B55="","",IF($P55=0,"A COMPLETER : "&amp;IF(ISNA(MATCH($B55,ST_ID,0)),"ID ST valide; ","")&amp;IF(OR(NOT(ISNUMBER($F55)),$F55&lt;=0),"QUANTITE &gt; 0; ","")&amp;IF($J55="","EMPL. DESTINATION; ",""),IF($S55="BLOQUE","Envoi parent en anomalie ("&amp;$R55&amp;") : corriger l'onglet SOUS_TRAITANCE.",IF(AND($E55&lt;&gt;"",ISNA(MATCH($E55,LOT_KEY,0))),"Creer la fiche du lot resultat dans l'onglet LOTS.",""))))</f>
        <v/>
      </c>
      <c r="V55" s="31" t="str">
        <f aca="false">IF($B55="","",IF($C55&lt;&gt;"",$C55,IFERROR(INDEX(ST_DATERET,MATCH($B55,ST_ID,0)),"")))</f>
        <v/>
      </c>
      <c r="W55" s="26" t="str">
        <f aca="false">IF($P55=0,"",IF($L55=R_LOT,IF($N55&lt;&gt;R_LOT,$N55,""),IF($N55=R_LOT,$L55,"")))</f>
        <v/>
      </c>
      <c r="X55" s="26" t="str">
        <f aca="false">IF($W55="","",IF(COUNTIF($W$4:$W54,$W55)&gt;0,"",COUNT($X$4:$X54)+1))</f>
        <v/>
      </c>
      <c r="Y55" s="26" t="n">
        <f aca="false">IF($P55=0,0,IF(OR($L55=R_LOT,$N55=R_LOT),1,0))</f>
        <v>0</v>
      </c>
      <c r="Z55" s="26" t="str">
        <f aca="false">IF($Y55=0,"",COUNTIF($Y$5:$Y55,1))</f>
        <v/>
      </c>
    </row>
    <row r="56" customFormat="false" ht="15" hidden="false" customHeight="false" outlineLevel="0" collapsed="false">
      <c r="A56" s="26" t="str">
        <f aca="false">IF($B56="","","RES-"&amp;TEXT(ROW()-4,"000"))</f>
        <v/>
      </c>
      <c r="B56" s="24"/>
      <c r="C56" s="25"/>
      <c r="D56" s="24"/>
      <c r="E56" s="24"/>
      <c r="F56" s="29"/>
      <c r="G56" s="24"/>
      <c r="H56" s="24"/>
      <c r="I56" s="24"/>
      <c r="J56" s="24"/>
      <c r="K56" s="24"/>
      <c r="L56" s="26" t="str">
        <f aca="false">IF($B56="","",IFERROR(INDEX(ST_LOT,MATCH($B56,ST_ID,0)),""))</f>
        <v/>
      </c>
      <c r="M56" s="26" t="str">
        <f aca="false">IF($B56="","",IFERROR(INDEX(ST_STRAIT,MATCH($B56,ST_ID,0)),""))</f>
        <v/>
      </c>
      <c r="N56" s="26" t="str">
        <f aca="false">IF($B56="","",IF($E56="",$L56,$E56))</f>
        <v/>
      </c>
      <c r="O56" s="26" t="str">
        <f aca="false">IF($J56="","",IFERROR(INDEX(EMPL_CLASSE,MATCH($J56,EMPL_KEY,0)),"?"))</f>
        <v/>
      </c>
      <c r="P56" s="28" t="n">
        <f aca="false">IF($B56="",0,IF(OR(ISNA(MATCH($B56,ST_ID,0)),NOT(ISNUMBER($F56)),$F56&lt;=0,$J56="",$N56=""),0,1))</f>
        <v>0</v>
      </c>
      <c r="Q56" s="27" t="n">
        <f aca="false">IF($P56=0,0,$F56)</f>
        <v>0</v>
      </c>
      <c r="R56" s="26" t="str">
        <f aca="false">IF($B56="","",IFERROR(INDEX(ST_STATUT,MATCH($B56,ST_ID,0)),""))</f>
        <v/>
      </c>
      <c r="S56" s="26" t="str">
        <f aca="false">IF($B56="","",IF($P56=0,"DONNEES MANQUANTES",IF(OR($R56="DONNEES MANQUANTES",$R56="STOCK INSUFFISANT",$R56="EMPLACEMENT INCOHERENT",$R56="BLOQUE"),"BLOQUE","OK")))</f>
        <v/>
      </c>
      <c r="T56" s="28" t="n">
        <f aca="false">IF($S56="OK",1,0)</f>
        <v>0</v>
      </c>
      <c r="U56" s="26" t="str">
        <f aca="false">IF($B56="","",IF($P56=0,"A COMPLETER : "&amp;IF(ISNA(MATCH($B56,ST_ID,0)),"ID ST valide; ","")&amp;IF(OR(NOT(ISNUMBER($F56)),$F56&lt;=0),"QUANTITE &gt; 0; ","")&amp;IF($J56="","EMPL. DESTINATION; ",""),IF($S56="BLOQUE","Envoi parent en anomalie ("&amp;$R56&amp;") : corriger l'onglet SOUS_TRAITANCE.",IF(AND($E56&lt;&gt;"",ISNA(MATCH($E56,LOT_KEY,0))),"Creer la fiche du lot resultat dans l'onglet LOTS.",""))))</f>
        <v/>
      </c>
      <c r="V56" s="31" t="str">
        <f aca="false">IF($B56="","",IF($C56&lt;&gt;"",$C56,IFERROR(INDEX(ST_DATERET,MATCH($B56,ST_ID,0)),"")))</f>
        <v/>
      </c>
      <c r="W56" s="26" t="str">
        <f aca="false">IF($P56=0,"",IF($L56=R_LOT,IF($N56&lt;&gt;R_LOT,$N56,""),IF($N56=R_LOT,$L56,"")))</f>
        <v/>
      </c>
      <c r="X56" s="26" t="str">
        <f aca="false">IF($W56="","",IF(COUNTIF($W$4:$W55,$W56)&gt;0,"",COUNT($X$4:$X55)+1))</f>
        <v/>
      </c>
      <c r="Y56" s="26" t="n">
        <f aca="false">IF($P56=0,0,IF(OR($L56=R_LOT,$N56=R_LOT),1,0))</f>
        <v>0</v>
      </c>
      <c r="Z56" s="26" t="str">
        <f aca="false">IF($Y56=0,"",COUNTIF($Y$5:$Y56,1))</f>
        <v/>
      </c>
    </row>
    <row r="57" customFormat="false" ht="15" hidden="false" customHeight="false" outlineLevel="0" collapsed="false">
      <c r="A57" s="26" t="str">
        <f aca="false">IF($B57="","","RES-"&amp;TEXT(ROW()-4,"000"))</f>
        <v/>
      </c>
      <c r="B57" s="24"/>
      <c r="C57" s="25"/>
      <c r="D57" s="24"/>
      <c r="E57" s="24"/>
      <c r="F57" s="29"/>
      <c r="G57" s="24"/>
      <c r="H57" s="24"/>
      <c r="I57" s="24"/>
      <c r="J57" s="24"/>
      <c r="K57" s="24"/>
      <c r="L57" s="26" t="str">
        <f aca="false">IF($B57="","",IFERROR(INDEX(ST_LOT,MATCH($B57,ST_ID,0)),""))</f>
        <v/>
      </c>
      <c r="M57" s="26" t="str">
        <f aca="false">IF($B57="","",IFERROR(INDEX(ST_STRAIT,MATCH($B57,ST_ID,0)),""))</f>
        <v/>
      </c>
      <c r="N57" s="26" t="str">
        <f aca="false">IF($B57="","",IF($E57="",$L57,$E57))</f>
        <v/>
      </c>
      <c r="O57" s="26" t="str">
        <f aca="false">IF($J57="","",IFERROR(INDEX(EMPL_CLASSE,MATCH($J57,EMPL_KEY,0)),"?"))</f>
        <v/>
      </c>
      <c r="P57" s="28" t="n">
        <f aca="false">IF($B57="",0,IF(OR(ISNA(MATCH($B57,ST_ID,0)),NOT(ISNUMBER($F57)),$F57&lt;=0,$J57="",$N57=""),0,1))</f>
        <v>0</v>
      </c>
      <c r="Q57" s="27" t="n">
        <f aca="false">IF($P57=0,0,$F57)</f>
        <v>0</v>
      </c>
      <c r="R57" s="26" t="str">
        <f aca="false">IF($B57="","",IFERROR(INDEX(ST_STATUT,MATCH($B57,ST_ID,0)),""))</f>
        <v/>
      </c>
      <c r="S57" s="26" t="str">
        <f aca="false">IF($B57="","",IF($P57=0,"DONNEES MANQUANTES",IF(OR($R57="DONNEES MANQUANTES",$R57="STOCK INSUFFISANT",$R57="EMPLACEMENT INCOHERENT",$R57="BLOQUE"),"BLOQUE","OK")))</f>
        <v/>
      </c>
      <c r="T57" s="28" t="n">
        <f aca="false">IF($S57="OK",1,0)</f>
        <v>0</v>
      </c>
      <c r="U57" s="26" t="str">
        <f aca="false">IF($B57="","",IF($P57=0,"A COMPLETER : "&amp;IF(ISNA(MATCH($B57,ST_ID,0)),"ID ST valide; ","")&amp;IF(OR(NOT(ISNUMBER($F57)),$F57&lt;=0),"QUANTITE &gt; 0; ","")&amp;IF($J57="","EMPL. DESTINATION; ",""),IF($S57="BLOQUE","Envoi parent en anomalie ("&amp;$R57&amp;") : corriger l'onglet SOUS_TRAITANCE.",IF(AND($E57&lt;&gt;"",ISNA(MATCH($E57,LOT_KEY,0))),"Creer la fiche du lot resultat dans l'onglet LOTS.",""))))</f>
        <v/>
      </c>
      <c r="V57" s="31" t="str">
        <f aca="false">IF($B57="","",IF($C57&lt;&gt;"",$C57,IFERROR(INDEX(ST_DATERET,MATCH($B57,ST_ID,0)),"")))</f>
        <v/>
      </c>
      <c r="W57" s="26" t="str">
        <f aca="false">IF($P57=0,"",IF($L57=R_LOT,IF($N57&lt;&gt;R_LOT,$N57,""),IF($N57=R_LOT,$L57,"")))</f>
        <v/>
      </c>
      <c r="X57" s="26" t="str">
        <f aca="false">IF($W57="","",IF(COUNTIF($W$4:$W56,$W57)&gt;0,"",COUNT($X$4:$X56)+1))</f>
        <v/>
      </c>
      <c r="Y57" s="26" t="n">
        <f aca="false">IF($P57=0,0,IF(OR($L57=R_LOT,$N57=R_LOT),1,0))</f>
        <v>0</v>
      </c>
      <c r="Z57" s="26" t="str">
        <f aca="false">IF($Y57=0,"",COUNTIF($Y$5:$Y57,1))</f>
        <v/>
      </c>
    </row>
    <row r="58" customFormat="false" ht="15" hidden="false" customHeight="false" outlineLevel="0" collapsed="false">
      <c r="A58" s="26" t="str">
        <f aca="false">IF($B58="","","RES-"&amp;TEXT(ROW()-4,"000"))</f>
        <v/>
      </c>
      <c r="B58" s="24"/>
      <c r="C58" s="25"/>
      <c r="D58" s="24"/>
      <c r="E58" s="24"/>
      <c r="F58" s="29"/>
      <c r="G58" s="24"/>
      <c r="H58" s="24"/>
      <c r="I58" s="24"/>
      <c r="J58" s="24"/>
      <c r="K58" s="24"/>
      <c r="L58" s="26" t="str">
        <f aca="false">IF($B58="","",IFERROR(INDEX(ST_LOT,MATCH($B58,ST_ID,0)),""))</f>
        <v/>
      </c>
      <c r="M58" s="26" t="str">
        <f aca="false">IF($B58="","",IFERROR(INDEX(ST_STRAIT,MATCH($B58,ST_ID,0)),""))</f>
        <v/>
      </c>
      <c r="N58" s="26" t="str">
        <f aca="false">IF($B58="","",IF($E58="",$L58,$E58))</f>
        <v/>
      </c>
      <c r="O58" s="26" t="str">
        <f aca="false">IF($J58="","",IFERROR(INDEX(EMPL_CLASSE,MATCH($J58,EMPL_KEY,0)),"?"))</f>
        <v/>
      </c>
      <c r="P58" s="28" t="n">
        <f aca="false">IF($B58="",0,IF(OR(ISNA(MATCH($B58,ST_ID,0)),NOT(ISNUMBER($F58)),$F58&lt;=0,$J58="",$N58=""),0,1))</f>
        <v>0</v>
      </c>
      <c r="Q58" s="27" t="n">
        <f aca="false">IF($P58=0,0,$F58)</f>
        <v>0</v>
      </c>
      <c r="R58" s="26" t="str">
        <f aca="false">IF($B58="","",IFERROR(INDEX(ST_STATUT,MATCH($B58,ST_ID,0)),""))</f>
        <v/>
      </c>
      <c r="S58" s="26" t="str">
        <f aca="false">IF($B58="","",IF($P58=0,"DONNEES MANQUANTES",IF(OR($R58="DONNEES MANQUANTES",$R58="STOCK INSUFFISANT",$R58="EMPLACEMENT INCOHERENT",$R58="BLOQUE"),"BLOQUE","OK")))</f>
        <v/>
      </c>
      <c r="T58" s="28" t="n">
        <f aca="false">IF($S58="OK",1,0)</f>
        <v>0</v>
      </c>
      <c r="U58" s="26" t="str">
        <f aca="false">IF($B58="","",IF($P58=0,"A COMPLETER : "&amp;IF(ISNA(MATCH($B58,ST_ID,0)),"ID ST valide; ","")&amp;IF(OR(NOT(ISNUMBER($F58)),$F58&lt;=0),"QUANTITE &gt; 0; ","")&amp;IF($J58="","EMPL. DESTINATION; ",""),IF($S58="BLOQUE","Envoi parent en anomalie ("&amp;$R58&amp;") : corriger l'onglet SOUS_TRAITANCE.",IF(AND($E58&lt;&gt;"",ISNA(MATCH($E58,LOT_KEY,0))),"Creer la fiche du lot resultat dans l'onglet LOTS.",""))))</f>
        <v/>
      </c>
      <c r="V58" s="31" t="str">
        <f aca="false">IF($B58="","",IF($C58&lt;&gt;"",$C58,IFERROR(INDEX(ST_DATERET,MATCH($B58,ST_ID,0)),"")))</f>
        <v/>
      </c>
      <c r="W58" s="26" t="str">
        <f aca="false">IF($P58=0,"",IF($L58=R_LOT,IF($N58&lt;&gt;R_LOT,$N58,""),IF($N58=R_LOT,$L58,"")))</f>
        <v/>
      </c>
      <c r="X58" s="26" t="str">
        <f aca="false">IF($W58="","",IF(COUNTIF($W$4:$W57,$W58)&gt;0,"",COUNT($X$4:$X57)+1))</f>
        <v/>
      </c>
      <c r="Y58" s="26" t="n">
        <f aca="false">IF($P58=0,0,IF(OR($L58=R_LOT,$N58=R_LOT),1,0))</f>
        <v>0</v>
      </c>
      <c r="Z58" s="26" t="str">
        <f aca="false">IF($Y58=0,"",COUNTIF($Y$5:$Y58,1))</f>
        <v/>
      </c>
    </row>
    <row r="59" customFormat="false" ht="15" hidden="false" customHeight="false" outlineLevel="0" collapsed="false">
      <c r="A59" s="26" t="str">
        <f aca="false">IF($B59="","","RES-"&amp;TEXT(ROW()-4,"000"))</f>
        <v/>
      </c>
      <c r="B59" s="24"/>
      <c r="C59" s="25"/>
      <c r="D59" s="24"/>
      <c r="E59" s="24"/>
      <c r="F59" s="29"/>
      <c r="G59" s="24"/>
      <c r="H59" s="24"/>
      <c r="I59" s="24"/>
      <c r="J59" s="24"/>
      <c r="K59" s="24"/>
      <c r="L59" s="26" t="str">
        <f aca="false">IF($B59="","",IFERROR(INDEX(ST_LOT,MATCH($B59,ST_ID,0)),""))</f>
        <v/>
      </c>
      <c r="M59" s="26" t="str">
        <f aca="false">IF($B59="","",IFERROR(INDEX(ST_STRAIT,MATCH($B59,ST_ID,0)),""))</f>
        <v/>
      </c>
      <c r="N59" s="26" t="str">
        <f aca="false">IF($B59="","",IF($E59="",$L59,$E59))</f>
        <v/>
      </c>
      <c r="O59" s="26" t="str">
        <f aca="false">IF($J59="","",IFERROR(INDEX(EMPL_CLASSE,MATCH($J59,EMPL_KEY,0)),"?"))</f>
        <v/>
      </c>
      <c r="P59" s="28" t="n">
        <f aca="false">IF($B59="",0,IF(OR(ISNA(MATCH($B59,ST_ID,0)),NOT(ISNUMBER($F59)),$F59&lt;=0,$J59="",$N59=""),0,1))</f>
        <v>0</v>
      </c>
      <c r="Q59" s="27" t="n">
        <f aca="false">IF($P59=0,0,$F59)</f>
        <v>0</v>
      </c>
      <c r="R59" s="26" t="str">
        <f aca="false">IF($B59="","",IFERROR(INDEX(ST_STATUT,MATCH($B59,ST_ID,0)),""))</f>
        <v/>
      </c>
      <c r="S59" s="26" t="str">
        <f aca="false">IF($B59="","",IF($P59=0,"DONNEES MANQUANTES",IF(OR($R59="DONNEES MANQUANTES",$R59="STOCK INSUFFISANT",$R59="EMPLACEMENT INCOHERENT",$R59="BLOQUE"),"BLOQUE","OK")))</f>
        <v/>
      </c>
      <c r="T59" s="28" t="n">
        <f aca="false">IF($S59="OK",1,0)</f>
        <v>0</v>
      </c>
      <c r="U59" s="26" t="str">
        <f aca="false">IF($B59="","",IF($P59=0,"A COMPLETER : "&amp;IF(ISNA(MATCH($B59,ST_ID,0)),"ID ST valide; ","")&amp;IF(OR(NOT(ISNUMBER($F59)),$F59&lt;=0),"QUANTITE &gt; 0; ","")&amp;IF($J59="","EMPL. DESTINATION; ",""),IF($S59="BLOQUE","Envoi parent en anomalie ("&amp;$R59&amp;") : corriger l'onglet SOUS_TRAITANCE.",IF(AND($E59&lt;&gt;"",ISNA(MATCH($E59,LOT_KEY,0))),"Creer la fiche du lot resultat dans l'onglet LOTS.",""))))</f>
        <v/>
      </c>
      <c r="V59" s="31" t="str">
        <f aca="false">IF($B59="","",IF($C59&lt;&gt;"",$C59,IFERROR(INDEX(ST_DATERET,MATCH($B59,ST_ID,0)),"")))</f>
        <v/>
      </c>
      <c r="W59" s="26" t="str">
        <f aca="false">IF($P59=0,"",IF($L59=R_LOT,IF($N59&lt;&gt;R_LOT,$N59,""),IF($N59=R_LOT,$L59,"")))</f>
        <v/>
      </c>
      <c r="X59" s="26" t="str">
        <f aca="false">IF($W59="","",IF(COUNTIF($W$4:$W58,$W59)&gt;0,"",COUNT($X$4:$X58)+1))</f>
        <v/>
      </c>
      <c r="Y59" s="26" t="n">
        <f aca="false">IF($P59=0,0,IF(OR($L59=R_LOT,$N59=R_LOT),1,0))</f>
        <v>0</v>
      </c>
      <c r="Z59" s="26" t="str">
        <f aca="false">IF($Y59=0,"",COUNTIF($Y$5:$Y59,1))</f>
        <v/>
      </c>
    </row>
    <row r="60" customFormat="false" ht="15" hidden="false" customHeight="false" outlineLevel="0" collapsed="false">
      <c r="A60" s="26" t="str">
        <f aca="false">IF($B60="","","RES-"&amp;TEXT(ROW()-4,"000"))</f>
        <v/>
      </c>
      <c r="B60" s="24"/>
      <c r="C60" s="25"/>
      <c r="D60" s="24"/>
      <c r="E60" s="24"/>
      <c r="F60" s="29"/>
      <c r="G60" s="24"/>
      <c r="H60" s="24"/>
      <c r="I60" s="24"/>
      <c r="J60" s="24"/>
      <c r="K60" s="24"/>
      <c r="L60" s="26" t="str">
        <f aca="false">IF($B60="","",IFERROR(INDEX(ST_LOT,MATCH($B60,ST_ID,0)),""))</f>
        <v/>
      </c>
      <c r="M60" s="26" t="str">
        <f aca="false">IF($B60="","",IFERROR(INDEX(ST_STRAIT,MATCH($B60,ST_ID,0)),""))</f>
        <v/>
      </c>
      <c r="N60" s="26" t="str">
        <f aca="false">IF($B60="","",IF($E60="",$L60,$E60))</f>
        <v/>
      </c>
      <c r="O60" s="26" t="str">
        <f aca="false">IF($J60="","",IFERROR(INDEX(EMPL_CLASSE,MATCH($J60,EMPL_KEY,0)),"?"))</f>
        <v/>
      </c>
      <c r="P60" s="28" t="n">
        <f aca="false">IF($B60="",0,IF(OR(ISNA(MATCH($B60,ST_ID,0)),NOT(ISNUMBER($F60)),$F60&lt;=0,$J60="",$N60=""),0,1))</f>
        <v>0</v>
      </c>
      <c r="Q60" s="27" t="n">
        <f aca="false">IF($P60=0,0,$F60)</f>
        <v>0</v>
      </c>
      <c r="R60" s="26" t="str">
        <f aca="false">IF($B60="","",IFERROR(INDEX(ST_STATUT,MATCH($B60,ST_ID,0)),""))</f>
        <v/>
      </c>
      <c r="S60" s="26" t="str">
        <f aca="false">IF($B60="","",IF($P60=0,"DONNEES MANQUANTES",IF(OR($R60="DONNEES MANQUANTES",$R60="STOCK INSUFFISANT",$R60="EMPLACEMENT INCOHERENT",$R60="BLOQUE"),"BLOQUE","OK")))</f>
        <v/>
      </c>
      <c r="T60" s="28" t="n">
        <f aca="false">IF($S60="OK",1,0)</f>
        <v>0</v>
      </c>
      <c r="U60" s="26" t="str">
        <f aca="false">IF($B60="","",IF($P60=0,"A COMPLETER : "&amp;IF(ISNA(MATCH($B60,ST_ID,0)),"ID ST valide; ","")&amp;IF(OR(NOT(ISNUMBER($F60)),$F60&lt;=0),"QUANTITE &gt; 0; ","")&amp;IF($J60="","EMPL. DESTINATION; ",""),IF($S60="BLOQUE","Envoi parent en anomalie ("&amp;$R60&amp;") : corriger l'onglet SOUS_TRAITANCE.",IF(AND($E60&lt;&gt;"",ISNA(MATCH($E60,LOT_KEY,0))),"Creer la fiche du lot resultat dans l'onglet LOTS.",""))))</f>
        <v/>
      </c>
      <c r="V60" s="31" t="str">
        <f aca="false">IF($B60="","",IF($C60&lt;&gt;"",$C60,IFERROR(INDEX(ST_DATERET,MATCH($B60,ST_ID,0)),"")))</f>
        <v/>
      </c>
      <c r="W60" s="26" t="str">
        <f aca="false">IF($P60=0,"",IF($L60=R_LOT,IF($N60&lt;&gt;R_LOT,$N60,""),IF($N60=R_LOT,$L60,"")))</f>
        <v/>
      </c>
      <c r="X60" s="26" t="str">
        <f aca="false">IF($W60="","",IF(COUNTIF($W$4:$W59,$W60)&gt;0,"",COUNT($X$4:$X59)+1))</f>
        <v/>
      </c>
      <c r="Y60" s="26" t="n">
        <f aca="false">IF($P60=0,0,IF(OR($L60=R_LOT,$N60=R_LOT),1,0))</f>
        <v>0</v>
      </c>
      <c r="Z60" s="26" t="str">
        <f aca="false">IF($Y60=0,"",COUNTIF($Y$5:$Y60,1))</f>
        <v/>
      </c>
    </row>
    <row r="61" customFormat="false" ht="15" hidden="false" customHeight="false" outlineLevel="0" collapsed="false">
      <c r="A61" s="26" t="str">
        <f aca="false">IF($B61="","","RES-"&amp;TEXT(ROW()-4,"000"))</f>
        <v/>
      </c>
      <c r="B61" s="24"/>
      <c r="C61" s="25"/>
      <c r="D61" s="24"/>
      <c r="E61" s="24"/>
      <c r="F61" s="29"/>
      <c r="G61" s="24"/>
      <c r="H61" s="24"/>
      <c r="I61" s="24"/>
      <c r="J61" s="24"/>
      <c r="K61" s="24"/>
      <c r="L61" s="26" t="str">
        <f aca="false">IF($B61="","",IFERROR(INDEX(ST_LOT,MATCH($B61,ST_ID,0)),""))</f>
        <v/>
      </c>
      <c r="M61" s="26" t="str">
        <f aca="false">IF($B61="","",IFERROR(INDEX(ST_STRAIT,MATCH($B61,ST_ID,0)),""))</f>
        <v/>
      </c>
      <c r="N61" s="26" t="str">
        <f aca="false">IF($B61="","",IF($E61="",$L61,$E61))</f>
        <v/>
      </c>
      <c r="O61" s="26" t="str">
        <f aca="false">IF($J61="","",IFERROR(INDEX(EMPL_CLASSE,MATCH($J61,EMPL_KEY,0)),"?"))</f>
        <v/>
      </c>
      <c r="P61" s="28" t="n">
        <f aca="false">IF($B61="",0,IF(OR(ISNA(MATCH($B61,ST_ID,0)),NOT(ISNUMBER($F61)),$F61&lt;=0,$J61="",$N61=""),0,1))</f>
        <v>0</v>
      </c>
      <c r="Q61" s="27" t="n">
        <f aca="false">IF($P61=0,0,$F61)</f>
        <v>0</v>
      </c>
      <c r="R61" s="26" t="str">
        <f aca="false">IF($B61="","",IFERROR(INDEX(ST_STATUT,MATCH($B61,ST_ID,0)),""))</f>
        <v/>
      </c>
      <c r="S61" s="26" t="str">
        <f aca="false">IF($B61="","",IF($P61=0,"DONNEES MANQUANTES",IF(OR($R61="DONNEES MANQUANTES",$R61="STOCK INSUFFISANT",$R61="EMPLACEMENT INCOHERENT",$R61="BLOQUE"),"BLOQUE","OK")))</f>
        <v/>
      </c>
      <c r="T61" s="28" t="n">
        <f aca="false">IF($S61="OK",1,0)</f>
        <v>0</v>
      </c>
      <c r="U61" s="26" t="str">
        <f aca="false">IF($B61="","",IF($P61=0,"A COMPLETER : "&amp;IF(ISNA(MATCH($B61,ST_ID,0)),"ID ST valide; ","")&amp;IF(OR(NOT(ISNUMBER($F61)),$F61&lt;=0),"QUANTITE &gt; 0; ","")&amp;IF($J61="","EMPL. DESTINATION; ",""),IF($S61="BLOQUE","Envoi parent en anomalie ("&amp;$R61&amp;") : corriger l'onglet SOUS_TRAITANCE.",IF(AND($E61&lt;&gt;"",ISNA(MATCH($E61,LOT_KEY,0))),"Creer la fiche du lot resultat dans l'onglet LOTS.",""))))</f>
        <v/>
      </c>
      <c r="V61" s="31" t="str">
        <f aca="false">IF($B61="","",IF($C61&lt;&gt;"",$C61,IFERROR(INDEX(ST_DATERET,MATCH($B61,ST_ID,0)),"")))</f>
        <v/>
      </c>
      <c r="W61" s="26" t="str">
        <f aca="false">IF($P61=0,"",IF($L61=R_LOT,IF($N61&lt;&gt;R_LOT,$N61,""),IF($N61=R_LOT,$L61,"")))</f>
        <v/>
      </c>
      <c r="X61" s="26" t="str">
        <f aca="false">IF($W61="","",IF(COUNTIF($W$4:$W60,$W61)&gt;0,"",COUNT($X$4:$X60)+1))</f>
        <v/>
      </c>
      <c r="Y61" s="26" t="n">
        <f aca="false">IF($P61=0,0,IF(OR($L61=R_LOT,$N61=R_LOT),1,0))</f>
        <v>0</v>
      </c>
      <c r="Z61" s="26" t="str">
        <f aca="false">IF($Y61=0,"",COUNTIF($Y$5:$Y61,1))</f>
        <v/>
      </c>
    </row>
    <row r="62" customFormat="false" ht="15" hidden="false" customHeight="false" outlineLevel="0" collapsed="false">
      <c r="A62" s="26" t="str">
        <f aca="false">IF($B62="","","RES-"&amp;TEXT(ROW()-4,"000"))</f>
        <v/>
      </c>
      <c r="B62" s="24"/>
      <c r="C62" s="25"/>
      <c r="D62" s="24"/>
      <c r="E62" s="24"/>
      <c r="F62" s="29"/>
      <c r="G62" s="24"/>
      <c r="H62" s="24"/>
      <c r="I62" s="24"/>
      <c r="J62" s="24"/>
      <c r="K62" s="24"/>
      <c r="L62" s="26" t="str">
        <f aca="false">IF($B62="","",IFERROR(INDEX(ST_LOT,MATCH($B62,ST_ID,0)),""))</f>
        <v/>
      </c>
      <c r="M62" s="26" t="str">
        <f aca="false">IF($B62="","",IFERROR(INDEX(ST_STRAIT,MATCH($B62,ST_ID,0)),""))</f>
        <v/>
      </c>
      <c r="N62" s="26" t="str">
        <f aca="false">IF($B62="","",IF($E62="",$L62,$E62))</f>
        <v/>
      </c>
      <c r="O62" s="26" t="str">
        <f aca="false">IF($J62="","",IFERROR(INDEX(EMPL_CLASSE,MATCH($J62,EMPL_KEY,0)),"?"))</f>
        <v/>
      </c>
      <c r="P62" s="28" t="n">
        <f aca="false">IF($B62="",0,IF(OR(ISNA(MATCH($B62,ST_ID,0)),NOT(ISNUMBER($F62)),$F62&lt;=0,$J62="",$N62=""),0,1))</f>
        <v>0</v>
      </c>
      <c r="Q62" s="27" t="n">
        <f aca="false">IF($P62=0,0,$F62)</f>
        <v>0</v>
      </c>
      <c r="R62" s="26" t="str">
        <f aca="false">IF($B62="","",IFERROR(INDEX(ST_STATUT,MATCH($B62,ST_ID,0)),""))</f>
        <v/>
      </c>
      <c r="S62" s="26" t="str">
        <f aca="false">IF($B62="","",IF($P62=0,"DONNEES MANQUANTES",IF(OR($R62="DONNEES MANQUANTES",$R62="STOCK INSUFFISANT",$R62="EMPLACEMENT INCOHERENT",$R62="BLOQUE"),"BLOQUE","OK")))</f>
        <v/>
      </c>
      <c r="T62" s="28" t="n">
        <f aca="false">IF($S62="OK",1,0)</f>
        <v>0</v>
      </c>
      <c r="U62" s="26" t="str">
        <f aca="false">IF($B62="","",IF($P62=0,"A COMPLETER : "&amp;IF(ISNA(MATCH($B62,ST_ID,0)),"ID ST valide; ","")&amp;IF(OR(NOT(ISNUMBER($F62)),$F62&lt;=0),"QUANTITE &gt; 0; ","")&amp;IF($J62="","EMPL. DESTINATION; ",""),IF($S62="BLOQUE","Envoi parent en anomalie ("&amp;$R62&amp;") : corriger l'onglet SOUS_TRAITANCE.",IF(AND($E62&lt;&gt;"",ISNA(MATCH($E62,LOT_KEY,0))),"Creer la fiche du lot resultat dans l'onglet LOTS.",""))))</f>
        <v/>
      </c>
      <c r="V62" s="31" t="str">
        <f aca="false">IF($B62="","",IF($C62&lt;&gt;"",$C62,IFERROR(INDEX(ST_DATERET,MATCH($B62,ST_ID,0)),"")))</f>
        <v/>
      </c>
      <c r="W62" s="26" t="str">
        <f aca="false">IF($P62=0,"",IF($L62=R_LOT,IF($N62&lt;&gt;R_LOT,$N62,""),IF($N62=R_LOT,$L62,"")))</f>
        <v/>
      </c>
      <c r="X62" s="26" t="str">
        <f aca="false">IF($W62="","",IF(COUNTIF($W$4:$W61,$W62)&gt;0,"",COUNT($X$4:$X61)+1))</f>
        <v/>
      </c>
      <c r="Y62" s="26" t="n">
        <f aca="false">IF($P62=0,0,IF(OR($L62=R_LOT,$N62=R_LOT),1,0))</f>
        <v>0</v>
      </c>
      <c r="Z62" s="26" t="str">
        <f aca="false">IF($Y62=0,"",COUNTIF($Y$5:$Y62,1))</f>
        <v/>
      </c>
    </row>
    <row r="63" customFormat="false" ht="15" hidden="false" customHeight="false" outlineLevel="0" collapsed="false">
      <c r="A63" s="26" t="str">
        <f aca="false">IF($B63="","","RES-"&amp;TEXT(ROW()-4,"000"))</f>
        <v/>
      </c>
      <c r="B63" s="24"/>
      <c r="C63" s="25"/>
      <c r="D63" s="24"/>
      <c r="E63" s="24"/>
      <c r="F63" s="29"/>
      <c r="G63" s="24"/>
      <c r="H63" s="24"/>
      <c r="I63" s="24"/>
      <c r="J63" s="24"/>
      <c r="K63" s="24"/>
      <c r="L63" s="26" t="str">
        <f aca="false">IF($B63="","",IFERROR(INDEX(ST_LOT,MATCH($B63,ST_ID,0)),""))</f>
        <v/>
      </c>
      <c r="M63" s="26" t="str">
        <f aca="false">IF($B63="","",IFERROR(INDEX(ST_STRAIT,MATCH($B63,ST_ID,0)),""))</f>
        <v/>
      </c>
      <c r="N63" s="26" t="str">
        <f aca="false">IF($B63="","",IF($E63="",$L63,$E63))</f>
        <v/>
      </c>
      <c r="O63" s="26" t="str">
        <f aca="false">IF($J63="","",IFERROR(INDEX(EMPL_CLASSE,MATCH($J63,EMPL_KEY,0)),"?"))</f>
        <v/>
      </c>
      <c r="P63" s="28" t="n">
        <f aca="false">IF($B63="",0,IF(OR(ISNA(MATCH($B63,ST_ID,0)),NOT(ISNUMBER($F63)),$F63&lt;=0,$J63="",$N63=""),0,1))</f>
        <v>0</v>
      </c>
      <c r="Q63" s="27" t="n">
        <f aca="false">IF($P63=0,0,$F63)</f>
        <v>0</v>
      </c>
      <c r="R63" s="26" t="str">
        <f aca="false">IF($B63="","",IFERROR(INDEX(ST_STATUT,MATCH($B63,ST_ID,0)),""))</f>
        <v/>
      </c>
      <c r="S63" s="26" t="str">
        <f aca="false">IF($B63="","",IF($P63=0,"DONNEES MANQUANTES",IF(OR($R63="DONNEES MANQUANTES",$R63="STOCK INSUFFISANT",$R63="EMPLACEMENT INCOHERENT",$R63="BLOQUE"),"BLOQUE","OK")))</f>
        <v/>
      </c>
      <c r="T63" s="28" t="n">
        <f aca="false">IF($S63="OK",1,0)</f>
        <v>0</v>
      </c>
      <c r="U63" s="26" t="str">
        <f aca="false">IF($B63="","",IF($P63=0,"A COMPLETER : "&amp;IF(ISNA(MATCH($B63,ST_ID,0)),"ID ST valide; ","")&amp;IF(OR(NOT(ISNUMBER($F63)),$F63&lt;=0),"QUANTITE &gt; 0; ","")&amp;IF($J63="","EMPL. DESTINATION; ",""),IF($S63="BLOQUE","Envoi parent en anomalie ("&amp;$R63&amp;") : corriger l'onglet SOUS_TRAITANCE.",IF(AND($E63&lt;&gt;"",ISNA(MATCH($E63,LOT_KEY,0))),"Creer la fiche du lot resultat dans l'onglet LOTS.",""))))</f>
        <v/>
      </c>
      <c r="V63" s="31" t="str">
        <f aca="false">IF($B63="","",IF($C63&lt;&gt;"",$C63,IFERROR(INDEX(ST_DATERET,MATCH($B63,ST_ID,0)),"")))</f>
        <v/>
      </c>
      <c r="W63" s="26" t="str">
        <f aca="false">IF($P63=0,"",IF($L63=R_LOT,IF($N63&lt;&gt;R_LOT,$N63,""),IF($N63=R_LOT,$L63,"")))</f>
        <v/>
      </c>
      <c r="X63" s="26" t="str">
        <f aca="false">IF($W63="","",IF(COUNTIF($W$4:$W62,$W63)&gt;0,"",COUNT($X$4:$X62)+1))</f>
        <v/>
      </c>
      <c r="Y63" s="26" t="n">
        <f aca="false">IF($P63=0,0,IF(OR($L63=R_LOT,$N63=R_LOT),1,0))</f>
        <v>0</v>
      </c>
      <c r="Z63" s="26" t="str">
        <f aca="false">IF($Y63=0,"",COUNTIF($Y$5:$Y63,1))</f>
        <v/>
      </c>
    </row>
    <row r="64" customFormat="false" ht="15" hidden="false" customHeight="false" outlineLevel="0" collapsed="false">
      <c r="A64" s="26" t="str">
        <f aca="false">IF($B64="","","RES-"&amp;TEXT(ROW()-4,"000"))</f>
        <v/>
      </c>
      <c r="B64" s="24"/>
      <c r="C64" s="25"/>
      <c r="D64" s="24"/>
      <c r="E64" s="24"/>
      <c r="F64" s="29"/>
      <c r="G64" s="24"/>
      <c r="H64" s="24"/>
      <c r="I64" s="24"/>
      <c r="J64" s="24"/>
      <c r="K64" s="24"/>
      <c r="L64" s="26" t="str">
        <f aca="false">IF($B64="","",IFERROR(INDEX(ST_LOT,MATCH($B64,ST_ID,0)),""))</f>
        <v/>
      </c>
      <c r="M64" s="26" t="str">
        <f aca="false">IF($B64="","",IFERROR(INDEX(ST_STRAIT,MATCH($B64,ST_ID,0)),""))</f>
        <v/>
      </c>
      <c r="N64" s="26" t="str">
        <f aca="false">IF($B64="","",IF($E64="",$L64,$E64))</f>
        <v/>
      </c>
      <c r="O64" s="26" t="str">
        <f aca="false">IF($J64="","",IFERROR(INDEX(EMPL_CLASSE,MATCH($J64,EMPL_KEY,0)),"?"))</f>
        <v/>
      </c>
      <c r="P64" s="28" t="n">
        <f aca="false">IF($B64="",0,IF(OR(ISNA(MATCH($B64,ST_ID,0)),NOT(ISNUMBER($F64)),$F64&lt;=0,$J64="",$N64=""),0,1))</f>
        <v>0</v>
      </c>
      <c r="Q64" s="27" t="n">
        <f aca="false">IF($P64=0,0,$F64)</f>
        <v>0</v>
      </c>
      <c r="R64" s="26" t="str">
        <f aca="false">IF($B64="","",IFERROR(INDEX(ST_STATUT,MATCH($B64,ST_ID,0)),""))</f>
        <v/>
      </c>
      <c r="S64" s="26" t="str">
        <f aca="false">IF($B64="","",IF($P64=0,"DONNEES MANQUANTES",IF(OR($R64="DONNEES MANQUANTES",$R64="STOCK INSUFFISANT",$R64="EMPLACEMENT INCOHERENT",$R64="BLOQUE"),"BLOQUE","OK")))</f>
        <v/>
      </c>
      <c r="T64" s="28" t="n">
        <f aca="false">IF($S64="OK",1,0)</f>
        <v>0</v>
      </c>
      <c r="U64" s="26" t="str">
        <f aca="false">IF($B64="","",IF($P64=0,"A COMPLETER : "&amp;IF(ISNA(MATCH($B64,ST_ID,0)),"ID ST valide; ","")&amp;IF(OR(NOT(ISNUMBER($F64)),$F64&lt;=0),"QUANTITE &gt; 0; ","")&amp;IF($J64="","EMPL. DESTINATION; ",""),IF($S64="BLOQUE","Envoi parent en anomalie ("&amp;$R64&amp;") : corriger l'onglet SOUS_TRAITANCE.",IF(AND($E64&lt;&gt;"",ISNA(MATCH($E64,LOT_KEY,0))),"Creer la fiche du lot resultat dans l'onglet LOTS.",""))))</f>
        <v/>
      </c>
      <c r="V64" s="31" t="str">
        <f aca="false">IF($B64="","",IF($C64&lt;&gt;"",$C64,IFERROR(INDEX(ST_DATERET,MATCH($B64,ST_ID,0)),"")))</f>
        <v/>
      </c>
      <c r="W64" s="26" t="str">
        <f aca="false">IF($P64=0,"",IF($L64=R_LOT,IF($N64&lt;&gt;R_LOT,$N64,""),IF($N64=R_LOT,$L64,"")))</f>
        <v/>
      </c>
      <c r="X64" s="26" t="str">
        <f aca="false">IF($W64="","",IF(COUNTIF($W$4:$W63,$W64)&gt;0,"",COUNT($X$4:$X63)+1))</f>
        <v/>
      </c>
      <c r="Y64" s="26" t="n">
        <f aca="false">IF($P64=0,0,IF(OR($L64=R_LOT,$N64=R_LOT),1,0))</f>
        <v>0</v>
      </c>
      <c r="Z64" s="26" t="str">
        <f aca="false">IF($Y64=0,"",COUNTIF($Y$5:$Y64,1))</f>
        <v/>
      </c>
    </row>
    <row r="65" customFormat="false" ht="15" hidden="false" customHeight="false" outlineLevel="0" collapsed="false">
      <c r="A65" s="26" t="str">
        <f aca="false">IF($B65="","","RES-"&amp;TEXT(ROW()-4,"000"))</f>
        <v/>
      </c>
      <c r="B65" s="24"/>
      <c r="C65" s="25"/>
      <c r="D65" s="24"/>
      <c r="E65" s="24"/>
      <c r="F65" s="29"/>
      <c r="G65" s="24"/>
      <c r="H65" s="24"/>
      <c r="I65" s="24"/>
      <c r="J65" s="24"/>
      <c r="K65" s="24"/>
      <c r="L65" s="26" t="str">
        <f aca="false">IF($B65="","",IFERROR(INDEX(ST_LOT,MATCH($B65,ST_ID,0)),""))</f>
        <v/>
      </c>
      <c r="M65" s="26" t="str">
        <f aca="false">IF($B65="","",IFERROR(INDEX(ST_STRAIT,MATCH($B65,ST_ID,0)),""))</f>
        <v/>
      </c>
      <c r="N65" s="26" t="str">
        <f aca="false">IF($B65="","",IF($E65="",$L65,$E65))</f>
        <v/>
      </c>
      <c r="O65" s="26" t="str">
        <f aca="false">IF($J65="","",IFERROR(INDEX(EMPL_CLASSE,MATCH($J65,EMPL_KEY,0)),"?"))</f>
        <v/>
      </c>
      <c r="P65" s="28" t="n">
        <f aca="false">IF($B65="",0,IF(OR(ISNA(MATCH($B65,ST_ID,0)),NOT(ISNUMBER($F65)),$F65&lt;=0,$J65="",$N65=""),0,1))</f>
        <v>0</v>
      </c>
      <c r="Q65" s="27" t="n">
        <f aca="false">IF($P65=0,0,$F65)</f>
        <v>0</v>
      </c>
      <c r="R65" s="26" t="str">
        <f aca="false">IF($B65="","",IFERROR(INDEX(ST_STATUT,MATCH($B65,ST_ID,0)),""))</f>
        <v/>
      </c>
      <c r="S65" s="26" t="str">
        <f aca="false">IF($B65="","",IF($P65=0,"DONNEES MANQUANTES",IF(OR($R65="DONNEES MANQUANTES",$R65="STOCK INSUFFISANT",$R65="EMPLACEMENT INCOHERENT",$R65="BLOQUE"),"BLOQUE","OK")))</f>
        <v/>
      </c>
      <c r="T65" s="28" t="n">
        <f aca="false">IF($S65="OK",1,0)</f>
        <v>0</v>
      </c>
      <c r="U65" s="26" t="str">
        <f aca="false">IF($B65="","",IF($P65=0,"A COMPLETER : "&amp;IF(ISNA(MATCH($B65,ST_ID,0)),"ID ST valide; ","")&amp;IF(OR(NOT(ISNUMBER($F65)),$F65&lt;=0),"QUANTITE &gt; 0; ","")&amp;IF($J65="","EMPL. DESTINATION; ",""),IF($S65="BLOQUE","Envoi parent en anomalie ("&amp;$R65&amp;") : corriger l'onglet SOUS_TRAITANCE.",IF(AND($E65&lt;&gt;"",ISNA(MATCH($E65,LOT_KEY,0))),"Creer la fiche du lot resultat dans l'onglet LOTS.",""))))</f>
        <v/>
      </c>
      <c r="V65" s="31" t="str">
        <f aca="false">IF($B65="","",IF($C65&lt;&gt;"",$C65,IFERROR(INDEX(ST_DATERET,MATCH($B65,ST_ID,0)),"")))</f>
        <v/>
      </c>
      <c r="W65" s="26" t="str">
        <f aca="false">IF($P65=0,"",IF($L65=R_LOT,IF($N65&lt;&gt;R_LOT,$N65,""),IF($N65=R_LOT,$L65,"")))</f>
        <v/>
      </c>
      <c r="X65" s="26" t="str">
        <f aca="false">IF($W65="","",IF(COUNTIF($W$4:$W64,$W65)&gt;0,"",COUNT($X$4:$X64)+1))</f>
        <v/>
      </c>
      <c r="Y65" s="26" t="n">
        <f aca="false">IF($P65=0,0,IF(OR($L65=R_LOT,$N65=R_LOT),1,0))</f>
        <v>0</v>
      </c>
      <c r="Z65" s="26" t="str">
        <f aca="false">IF($Y65=0,"",COUNTIF($Y$5:$Y65,1))</f>
        <v/>
      </c>
    </row>
    <row r="66" customFormat="false" ht="15" hidden="false" customHeight="false" outlineLevel="0" collapsed="false">
      <c r="A66" s="26" t="str">
        <f aca="false">IF($B66="","","RES-"&amp;TEXT(ROW()-4,"000"))</f>
        <v/>
      </c>
      <c r="B66" s="24"/>
      <c r="C66" s="25"/>
      <c r="D66" s="24"/>
      <c r="E66" s="24"/>
      <c r="F66" s="29"/>
      <c r="G66" s="24"/>
      <c r="H66" s="24"/>
      <c r="I66" s="24"/>
      <c r="J66" s="24"/>
      <c r="K66" s="24"/>
      <c r="L66" s="26" t="str">
        <f aca="false">IF($B66="","",IFERROR(INDEX(ST_LOT,MATCH($B66,ST_ID,0)),""))</f>
        <v/>
      </c>
      <c r="M66" s="26" t="str">
        <f aca="false">IF($B66="","",IFERROR(INDEX(ST_STRAIT,MATCH($B66,ST_ID,0)),""))</f>
        <v/>
      </c>
      <c r="N66" s="26" t="str">
        <f aca="false">IF($B66="","",IF($E66="",$L66,$E66))</f>
        <v/>
      </c>
      <c r="O66" s="26" t="str">
        <f aca="false">IF($J66="","",IFERROR(INDEX(EMPL_CLASSE,MATCH($J66,EMPL_KEY,0)),"?"))</f>
        <v/>
      </c>
      <c r="P66" s="28" t="n">
        <f aca="false">IF($B66="",0,IF(OR(ISNA(MATCH($B66,ST_ID,0)),NOT(ISNUMBER($F66)),$F66&lt;=0,$J66="",$N66=""),0,1))</f>
        <v>0</v>
      </c>
      <c r="Q66" s="27" t="n">
        <f aca="false">IF($P66=0,0,$F66)</f>
        <v>0</v>
      </c>
      <c r="R66" s="26" t="str">
        <f aca="false">IF($B66="","",IFERROR(INDEX(ST_STATUT,MATCH($B66,ST_ID,0)),""))</f>
        <v/>
      </c>
      <c r="S66" s="26" t="str">
        <f aca="false">IF($B66="","",IF($P66=0,"DONNEES MANQUANTES",IF(OR($R66="DONNEES MANQUANTES",$R66="STOCK INSUFFISANT",$R66="EMPLACEMENT INCOHERENT",$R66="BLOQUE"),"BLOQUE","OK")))</f>
        <v/>
      </c>
      <c r="T66" s="28" t="n">
        <f aca="false">IF($S66="OK",1,0)</f>
        <v>0</v>
      </c>
      <c r="U66" s="26" t="str">
        <f aca="false">IF($B66="","",IF($P66=0,"A COMPLETER : "&amp;IF(ISNA(MATCH($B66,ST_ID,0)),"ID ST valide; ","")&amp;IF(OR(NOT(ISNUMBER($F66)),$F66&lt;=0),"QUANTITE &gt; 0; ","")&amp;IF($J66="","EMPL. DESTINATION; ",""),IF($S66="BLOQUE","Envoi parent en anomalie ("&amp;$R66&amp;") : corriger l'onglet SOUS_TRAITANCE.",IF(AND($E66&lt;&gt;"",ISNA(MATCH($E66,LOT_KEY,0))),"Creer la fiche du lot resultat dans l'onglet LOTS.",""))))</f>
        <v/>
      </c>
      <c r="V66" s="31" t="str">
        <f aca="false">IF($B66="","",IF($C66&lt;&gt;"",$C66,IFERROR(INDEX(ST_DATERET,MATCH($B66,ST_ID,0)),"")))</f>
        <v/>
      </c>
      <c r="W66" s="26" t="str">
        <f aca="false">IF($P66=0,"",IF($L66=R_LOT,IF($N66&lt;&gt;R_LOT,$N66,""),IF($N66=R_LOT,$L66,"")))</f>
        <v/>
      </c>
      <c r="X66" s="26" t="str">
        <f aca="false">IF($W66="","",IF(COUNTIF($W$4:$W65,$W66)&gt;0,"",COUNT($X$4:$X65)+1))</f>
        <v/>
      </c>
      <c r="Y66" s="26" t="n">
        <f aca="false">IF($P66=0,0,IF(OR($L66=R_LOT,$N66=R_LOT),1,0))</f>
        <v>0</v>
      </c>
      <c r="Z66" s="26" t="str">
        <f aca="false">IF($Y66=0,"",COUNTIF($Y$5:$Y66,1))</f>
        <v/>
      </c>
    </row>
    <row r="67" customFormat="false" ht="15" hidden="false" customHeight="false" outlineLevel="0" collapsed="false">
      <c r="A67" s="26" t="str">
        <f aca="false">IF($B67="","","RES-"&amp;TEXT(ROW()-4,"000"))</f>
        <v/>
      </c>
      <c r="B67" s="24"/>
      <c r="C67" s="25"/>
      <c r="D67" s="24"/>
      <c r="E67" s="24"/>
      <c r="F67" s="29"/>
      <c r="G67" s="24"/>
      <c r="H67" s="24"/>
      <c r="I67" s="24"/>
      <c r="J67" s="24"/>
      <c r="K67" s="24"/>
      <c r="L67" s="26" t="str">
        <f aca="false">IF($B67="","",IFERROR(INDEX(ST_LOT,MATCH($B67,ST_ID,0)),""))</f>
        <v/>
      </c>
      <c r="M67" s="26" t="str">
        <f aca="false">IF($B67="","",IFERROR(INDEX(ST_STRAIT,MATCH($B67,ST_ID,0)),""))</f>
        <v/>
      </c>
      <c r="N67" s="26" t="str">
        <f aca="false">IF($B67="","",IF($E67="",$L67,$E67))</f>
        <v/>
      </c>
      <c r="O67" s="26" t="str">
        <f aca="false">IF($J67="","",IFERROR(INDEX(EMPL_CLASSE,MATCH($J67,EMPL_KEY,0)),"?"))</f>
        <v/>
      </c>
      <c r="P67" s="28" t="n">
        <f aca="false">IF($B67="",0,IF(OR(ISNA(MATCH($B67,ST_ID,0)),NOT(ISNUMBER($F67)),$F67&lt;=0,$J67="",$N67=""),0,1))</f>
        <v>0</v>
      </c>
      <c r="Q67" s="27" t="n">
        <f aca="false">IF($P67=0,0,$F67)</f>
        <v>0</v>
      </c>
      <c r="R67" s="26" t="str">
        <f aca="false">IF($B67="","",IFERROR(INDEX(ST_STATUT,MATCH($B67,ST_ID,0)),""))</f>
        <v/>
      </c>
      <c r="S67" s="26" t="str">
        <f aca="false">IF($B67="","",IF($P67=0,"DONNEES MANQUANTES",IF(OR($R67="DONNEES MANQUANTES",$R67="STOCK INSUFFISANT",$R67="EMPLACEMENT INCOHERENT",$R67="BLOQUE"),"BLOQUE","OK")))</f>
        <v/>
      </c>
      <c r="T67" s="28" t="n">
        <f aca="false">IF($S67="OK",1,0)</f>
        <v>0</v>
      </c>
      <c r="U67" s="26" t="str">
        <f aca="false">IF($B67="","",IF($P67=0,"A COMPLETER : "&amp;IF(ISNA(MATCH($B67,ST_ID,0)),"ID ST valide; ","")&amp;IF(OR(NOT(ISNUMBER($F67)),$F67&lt;=0),"QUANTITE &gt; 0; ","")&amp;IF($J67="","EMPL. DESTINATION; ",""),IF($S67="BLOQUE","Envoi parent en anomalie ("&amp;$R67&amp;") : corriger l'onglet SOUS_TRAITANCE.",IF(AND($E67&lt;&gt;"",ISNA(MATCH($E67,LOT_KEY,0))),"Creer la fiche du lot resultat dans l'onglet LOTS.",""))))</f>
        <v/>
      </c>
      <c r="V67" s="31" t="str">
        <f aca="false">IF($B67="","",IF($C67&lt;&gt;"",$C67,IFERROR(INDEX(ST_DATERET,MATCH($B67,ST_ID,0)),"")))</f>
        <v/>
      </c>
      <c r="W67" s="26" t="str">
        <f aca="false">IF($P67=0,"",IF($L67=R_LOT,IF($N67&lt;&gt;R_LOT,$N67,""),IF($N67=R_LOT,$L67,"")))</f>
        <v/>
      </c>
      <c r="X67" s="26" t="str">
        <f aca="false">IF($W67="","",IF(COUNTIF($W$4:$W66,$W67)&gt;0,"",COUNT($X$4:$X66)+1))</f>
        <v/>
      </c>
      <c r="Y67" s="26" t="n">
        <f aca="false">IF($P67=0,0,IF(OR($L67=R_LOT,$N67=R_LOT),1,0))</f>
        <v>0</v>
      </c>
      <c r="Z67" s="26" t="str">
        <f aca="false">IF($Y67=0,"",COUNTIF($Y$5:$Y67,1))</f>
        <v/>
      </c>
    </row>
    <row r="68" customFormat="false" ht="15" hidden="false" customHeight="false" outlineLevel="0" collapsed="false">
      <c r="A68" s="26" t="str">
        <f aca="false">IF($B68="","","RES-"&amp;TEXT(ROW()-4,"000"))</f>
        <v/>
      </c>
      <c r="B68" s="24"/>
      <c r="C68" s="25"/>
      <c r="D68" s="24"/>
      <c r="E68" s="24"/>
      <c r="F68" s="29"/>
      <c r="G68" s="24"/>
      <c r="H68" s="24"/>
      <c r="I68" s="24"/>
      <c r="J68" s="24"/>
      <c r="K68" s="24"/>
      <c r="L68" s="26" t="str">
        <f aca="false">IF($B68="","",IFERROR(INDEX(ST_LOT,MATCH($B68,ST_ID,0)),""))</f>
        <v/>
      </c>
      <c r="M68" s="26" t="str">
        <f aca="false">IF($B68="","",IFERROR(INDEX(ST_STRAIT,MATCH($B68,ST_ID,0)),""))</f>
        <v/>
      </c>
      <c r="N68" s="26" t="str">
        <f aca="false">IF($B68="","",IF($E68="",$L68,$E68))</f>
        <v/>
      </c>
      <c r="O68" s="26" t="str">
        <f aca="false">IF($J68="","",IFERROR(INDEX(EMPL_CLASSE,MATCH($J68,EMPL_KEY,0)),"?"))</f>
        <v/>
      </c>
      <c r="P68" s="28" t="n">
        <f aca="false">IF($B68="",0,IF(OR(ISNA(MATCH($B68,ST_ID,0)),NOT(ISNUMBER($F68)),$F68&lt;=0,$J68="",$N68=""),0,1))</f>
        <v>0</v>
      </c>
      <c r="Q68" s="27" t="n">
        <f aca="false">IF($P68=0,0,$F68)</f>
        <v>0</v>
      </c>
      <c r="R68" s="26" t="str">
        <f aca="false">IF($B68="","",IFERROR(INDEX(ST_STATUT,MATCH($B68,ST_ID,0)),""))</f>
        <v/>
      </c>
      <c r="S68" s="26" t="str">
        <f aca="false">IF($B68="","",IF($P68=0,"DONNEES MANQUANTES",IF(OR($R68="DONNEES MANQUANTES",$R68="STOCK INSUFFISANT",$R68="EMPLACEMENT INCOHERENT",$R68="BLOQUE"),"BLOQUE","OK")))</f>
        <v/>
      </c>
      <c r="T68" s="28" t="n">
        <f aca="false">IF($S68="OK",1,0)</f>
        <v>0</v>
      </c>
      <c r="U68" s="26" t="str">
        <f aca="false">IF($B68="","",IF($P68=0,"A COMPLETER : "&amp;IF(ISNA(MATCH($B68,ST_ID,0)),"ID ST valide; ","")&amp;IF(OR(NOT(ISNUMBER($F68)),$F68&lt;=0),"QUANTITE &gt; 0; ","")&amp;IF($J68="","EMPL. DESTINATION; ",""),IF($S68="BLOQUE","Envoi parent en anomalie ("&amp;$R68&amp;") : corriger l'onglet SOUS_TRAITANCE.",IF(AND($E68&lt;&gt;"",ISNA(MATCH($E68,LOT_KEY,0))),"Creer la fiche du lot resultat dans l'onglet LOTS.",""))))</f>
        <v/>
      </c>
      <c r="V68" s="31" t="str">
        <f aca="false">IF($B68="","",IF($C68&lt;&gt;"",$C68,IFERROR(INDEX(ST_DATERET,MATCH($B68,ST_ID,0)),"")))</f>
        <v/>
      </c>
      <c r="W68" s="26" t="str">
        <f aca="false">IF($P68=0,"",IF($L68=R_LOT,IF($N68&lt;&gt;R_LOT,$N68,""),IF($N68=R_LOT,$L68,"")))</f>
        <v/>
      </c>
      <c r="X68" s="26" t="str">
        <f aca="false">IF($W68="","",IF(COUNTIF($W$4:$W67,$W68)&gt;0,"",COUNT($X$4:$X67)+1))</f>
        <v/>
      </c>
      <c r="Y68" s="26" t="n">
        <f aca="false">IF($P68=0,0,IF(OR($L68=R_LOT,$N68=R_LOT),1,0))</f>
        <v>0</v>
      </c>
      <c r="Z68" s="26" t="str">
        <f aca="false">IF($Y68=0,"",COUNTIF($Y$5:$Y68,1))</f>
        <v/>
      </c>
    </row>
    <row r="69" customFormat="false" ht="15" hidden="false" customHeight="false" outlineLevel="0" collapsed="false">
      <c r="A69" s="26" t="str">
        <f aca="false">IF($B69="","","RES-"&amp;TEXT(ROW()-4,"000"))</f>
        <v/>
      </c>
      <c r="B69" s="24"/>
      <c r="C69" s="25"/>
      <c r="D69" s="24"/>
      <c r="E69" s="24"/>
      <c r="F69" s="29"/>
      <c r="G69" s="24"/>
      <c r="H69" s="24"/>
      <c r="I69" s="24"/>
      <c r="J69" s="24"/>
      <c r="K69" s="24"/>
      <c r="L69" s="26" t="str">
        <f aca="false">IF($B69="","",IFERROR(INDEX(ST_LOT,MATCH($B69,ST_ID,0)),""))</f>
        <v/>
      </c>
      <c r="M69" s="26" t="str">
        <f aca="false">IF($B69="","",IFERROR(INDEX(ST_STRAIT,MATCH($B69,ST_ID,0)),""))</f>
        <v/>
      </c>
      <c r="N69" s="26" t="str">
        <f aca="false">IF($B69="","",IF($E69="",$L69,$E69))</f>
        <v/>
      </c>
      <c r="O69" s="26" t="str">
        <f aca="false">IF($J69="","",IFERROR(INDEX(EMPL_CLASSE,MATCH($J69,EMPL_KEY,0)),"?"))</f>
        <v/>
      </c>
      <c r="P69" s="28" t="n">
        <f aca="false">IF($B69="",0,IF(OR(ISNA(MATCH($B69,ST_ID,0)),NOT(ISNUMBER($F69)),$F69&lt;=0,$J69="",$N69=""),0,1))</f>
        <v>0</v>
      </c>
      <c r="Q69" s="27" t="n">
        <f aca="false">IF($P69=0,0,$F69)</f>
        <v>0</v>
      </c>
      <c r="R69" s="26" t="str">
        <f aca="false">IF($B69="","",IFERROR(INDEX(ST_STATUT,MATCH($B69,ST_ID,0)),""))</f>
        <v/>
      </c>
      <c r="S69" s="26" t="str">
        <f aca="false">IF($B69="","",IF($P69=0,"DONNEES MANQUANTES",IF(OR($R69="DONNEES MANQUANTES",$R69="STOCK INSUFFISANT",$R69="EMPLACEMENT INCOHERENT",$R69="BLOQUE"),"BLOQUE","OK")))</f>
        <v/>
      </c>
      <c r="T69" s="28" t="n">
        <f aca="false">IF($S69="OK",1,0)</f>
        <v>0</v>
      </c>
      <c r="U69" s="26" t="str">
        <f aca="false">IF($B69="","",IF($P69=0,"A COMPLETER : "&amp;IF(ISNA(MATCH($B69,ST_ID,0)),"ID ST valide; ","")&amp;IF(OR(NOT(ISNUMBER($F69)),$F69&lt;=0),"QUANTITE &gt; 0; ","")&amp;IF($J69="","EMPL. DESTINATION; ",""),IF($S69="BLOQUE","Envoi parent en anomalie ("&amp;$R69&amp;") : corriger l'onglet SOUS_TRAITANCE.",IF(AND($E69&lt;&gt;"",ISNA(MATCH($E69,LOT_KEY,0))),"Creer la fiche du lot resultat dans l'onglet LOTS.",""))))</f>
        <v/>
      </c>
      <c r="V69" s="31" t="str">
        <f aca="false">IF($B69="","",IF($C69&lt;&gt;"",$C69,IFERROR(INDEX(ST_DATERET,MATCH($B69,ST_ID,0)),"")))</f>
        <v/>
      </c>
      <c r="W69" s="26" t="str">
        <f aca="false">IF($P69=0,"",IF($L69=R_LOT,IF($N69&lt;&gt;R_LOT,$N69,""),IF($N69=R_LOT,$L69,"")))</f>
        <v/>
      </c>
      <c r="X69" s="26" t="str">
        <f aca="false">IF($W69="","",IF(COUNTIF($W$4:$W68,$W69)&gt;0,"",COUNT($X$4:$X68)+1))</f>
        <v/>
      </c>
      <c r="Y69" s="26" t="n">
        <f aca="false">IF($P69=0,0,IF(OR($L69=R_LOT,$N69=R_LOT),1,0))</f>
        <v>0</v>
      </c>
      <c r="Z69" s="26" t="str">
        <f aca="false">IF($Y69=0,"",COUNTIF($Y$5:$Y69,1))</f>
        <v/>
      </c>
    </row>
    <row r="70" customFormat="false" ht="15" hidden="false" customHeight="false" outlineLevel="0" collapsed="false">
      <c r="A70" s="26" t="str">
        <f aca="false">IF($B70="","","RES-"&amp;TEXT(ROW()-4,"000"))</f>
        <v/>
      </c>
      <c r="B70" s="24"/>
      <c r="C70" s="25"/>
      <c r="D70" s="24"/>
      <c r="E70" s="24"/>
      <c r="F70" s="29"/>
      <c r="G70" s="24"/>
      <c r="H70" s="24"/>
      <c r="I70" s="24"/>
      <c r="J70" s="24"/>
      <c r="K70" s="24"/>
      <c r="L70" s="26" t="str">
        <f aca="false">IF($B70="","",IFERROR(INDEX(ST_LOT,MATCH($B70,ST_ID,0)),""))</f>
        <v/>
      </c>
      <c r="M70" s="26" t="str">
        <f aca="false">IF($B70="","",IFERROR(INDEX(ST_STRAIT,MATCH($B70,ST_ID,0)),""))</f>
        <v/>
      </c>
      <c r="N70" s="26" t="str">
        <f aca="false">IF($B70="","",IF($E70="",$L70,$E70))</f>
        <v/>
      </c>
      <c r="O70" s="26" t="str">
        <f aca="false">IF($J70="","",IFERROR(INDEX(EMPL_CLASSE,MATCH($J70,EMPL_KEY,0)),"?"))</f>
        <v/>
      </c>
      <c r="P70" s="28" t="n">
        <f aca="false">IF($B70="",0,IF(OR(ISNA(MATCH($B70,ST_ID,0)),NOT(ISNUMBER($F70)),$F70&lt;=0,$J70="",$N70=""),0,1))</f>
        <v>0</v>
      </c>
      <c r="Q70" s="27" t="n">
        <f aca="false">IF($P70=0,0,$F70)</f>
        <v>0</v>
      </c>
      <c r="R70" s="26" t="str">
        <f aca="false">IF($B70="","",IFERROR(INDEX(ST_STATUT,MATCH($B70,ST_ID,0)),""))</f>
        <v/>
      </c>
      <c r="S70" s="26" t="str">
        <f aca="false">IF($B70="","",IF($P70=0,"DONNEES MANQUANTES",IF(OR($R70="DONNEES MANQUANTES",$R70="STOCK INSUFFISANT",$R70="EMPLACEMENT INCOHERENT",$R70="BLOQUE"),"BLOQUE","OK")))</f>
        <v/>
      </c>
      <c r="T70" s="28" t="n">
        <f aca="false">IF($S70="OK",1,0)</f>
        <v>0</v>
      </c>
      <c r="U70" s="26" t="str">
        <f aca="false">IF($B70="","",IF($P70=0,"A COMPLETER : "&amp;IF(ISNA(MATCH($B70,ST_ID,0)),"ID ST valide; ","")&amp;IF(OR(NOT(ISNUMBER($F70)),$F70&lt;=0),"QUANTITE &gt; 0; ","")&amp;IF($J70="","EMPL. DESTINATION; ",""),IF($S70="BLOQUE","Envoi parent en anomalie ("&amp;$R70&amp;") : corriger l'onglet SOUS_TRAITANCE.",IF(AND($E70&lt;&gt;"",ISNA(MATCH($E70,LOT_KEY,0))),"Creer la fiche du lot resultat dans l'onglet LOTS.",""))))</f>
        <v/>
      </c>
      <c r="V70" s="31" t="str">
        <f aca="false">IF($B70="","",IF($C70&lt;&gt;"",$C70,IFERROR(INDEX(ST_DATERET,MATCH($B70,ST_ID,0)),"")))</f>
        <v/>
      </c>
      <c r="W70" s="26" t="str">
        <f aca="false">IF($P70=0,"",IF($L70=R_LOT,IF($N70&lt;&gt;R_LOT,$N70,""),IF($N70=R_LOT,$L70,"")))</f>
        <v/>
      </c>
      <c r="X70" s="26" t="str">
        <f aca="false">IF($W70="","",IF(COUNTIF($W$4:$W69,$W70)&gt;0,"",COUNT($X$4:$X69)+1))</f>
        <v/>
      </c>
      <c r="Y70" s="26" t="n">
        <f aca="false">IF($P70=0,0,IF(OR($L70=R_LOT,$N70=R_LOT),1,0))</f>
        <v>0</v>
      </c>
      <c r="Z70" s="26" t="str">
        <f aca="false">IF($Y70=0,"",COUNTIF($Y$5:$Y70,1))</f>
        <v/>
      </c>
    </row>
    <row r="71" customFormat="false" ht="15" hidden="false" customHeight="false" outlineLevel="0" collapsed="false">
      <c r="A71" s="26" t="str">
        <f aca="false">IF($B71="","","RES-"&amp;TEXT(ROW()-4,"000"))</f>
        <v/>
      </c>
      <c r="B71" s="24"/>
      <c r="C71" s="25"/>
      <c r="D71" s="24"/>
      <c r="E71" s="24"/>
      <c r="F71" s="29"/>
      <c r="G71" s="24"/>
      <c r="H71" s="24"/>
      <c r="I71" s="24"/>
      <c r="J71" s="24"/>
      <c r="K71" s="24"/>
      <c r="L71" s="26" t="str">
        <f aca="false">IF($B71="","",IFERROR(INDEX(ST_LOT,MATCH($B71,ST_ID,0)),""))</f>
        <v/>
      </c>
      <c r="M71" s="26" t="str">
        <f aca="false">IF($B71="","",IFERROR(INDEX(ST_STRAIT,MATCH($B71,ST_ID,0)),""))</f>
        <v/>
      </c>
      <c r="N71" s="26" t="str">
        <f aca="false">IF($B71="","",IF($E71="",$L71,$E71))</f>
        <v/>
      </c>
      <c r="O71" s="26" t="str">
        <f aca="false">IF($J71="","",IFERROR(INDEX(EMPL_CLASSE,MATCH($J71,EMPL_KEY,0)),"?"))</f>
        <v/>
      </c>
      <c r="P71" s="28" t="n">
        <f aca="false">IF($B71="",0,IF(OR(ISNA(MATCH($B71,ST_ID,0)),NOT(ISNUMBER($F71)),$F71&lt;=0,$J71="",$N71=""),0,1))</f>
        <v>0</v>
      </c>
      <c r="Q71" s="27" t="n">
        <f aca="false">IF($P71=0,0,$F71)</f>
        <v>0</v>
      </c>
      <c r="R71" s="26" t="str">
        <f aca="false">IF($B71="","",IFERROR(INDEX(ST_STATUT,MATCH($B71,ST_ID,0)),""))</f>
        <v/>
      </c>
      <c r="S71" s="26" t="str">
        <f aca="false">IF($B71="","",IF($P71=0,"DONNEES MANQUANTES",IF(OR($R71="DONNEES MANQUANTES",$R71="STOCK INSUFFISANT",$R71="EMPLACEMENT INCOHERENT",$R71="BLOQUE"),"BLOQUE","OK")))</f>
        <v/>
      </c>
      <c r="T71" s="28" t="n">
        <f aca="false">IF($S71="OK",1,0)</f>
        <v>0</v>
      </c>
      <c r="U71" s="26" t="str">
        <f aca="false">IF($B71="","",IF($P71=0,"A COMPLETER : "&amp;IF(ISNA(MATCH($B71,ST_ID,0)),"ID ST valide; ","")&amp;IF(OR(NOT(ISNUMBER($F71)),$F71&lt;=0),"QUANTITE &gt; 0; ","")&amp;IF($J71="","EMPL. DESTINATION; ",""),IF($S71="BLOQUE","Envoi parent en anomalie ("&amp;$R71&amp;") : corriger l'onglet SOUS_TRAITANCE.",IF(AND($E71&lt;&gt;"",ISNA(MATCH($E71,LOT_KEY,0))),"Creer la fiche du lot resultat dans l'onglet LOTS.",""))))</f>
        <v/>
      </c>
      <c r="V71" s="31" t="str">
        <f aca="false">IF($B71="","",IF($C71&lt;&gt;"",$C71,IFERROR(INDEX(ST_DATERET,MATCH($B71,ST_ID,0)),"")))</f>
        <v/>
      </c>
      <c r="W71" s="26" t="str">
        <f aca="false">IF($P71=0,"",IF($L71=R_LOT,IF($N71&lt;&gt;R_LOT,$N71,""),IF($N71=R_LOT,$L71,"")))</f>
        <v/>
      </c>
      <c r="X71" s="26" t="str">
        <f aca="false">IF($W71="","",IF(COUNTIF($W$4:$W70,$W71)&gt;0,"",COUNT($X$4:$X70)+1))</f>
        <v/>
      </c>
      <c r="Y71" s="26" t="n">
        <f aca="false">IF($P71=0,0,IF(OR($L71=R_LOT,$N71=R_LOT),1,0))</f>
        <v>0</v>
      </c>
      <c r="Z71" s="26" t="str">
        <f aca="false">IF($Y71=0,"",COUNTIF($Y$5:$Y71,1))</f>
        <v/>
      </c>
    </row>
    <row r="72" customFormat="false" ht="15" hidden="false" customHeight="false" outlineLevel="0" collapsed="false">
      <c r="A72" s="26" t="str">
        <f aca="false">IF($B72="","","RES-"&amp;TEXT(ROW()-4,"000"))</f>
        <v/>
      </c>
      <c r="B72" s="24"/>
      <c r="C72" s="25"/>
      <c r="D72" s="24"/>
      <c r="E72" s="24"/>
      <c r="F72" s="29"/>
      <c r="G72" s="24"/>
      <c r="H72" s="24"/>
      <c r="I72" s="24"/>
      <c r="J72" s="24"/>
      <c r="K72" s="24"/>
      <c r="L72" s="26" t="str">
        <f aca="false">IF($B72="","",IFERROR(INDEX(ST_LOT,MATCH($B72,ST_ID,0)),""))</f>
        <v/>
      </c>
      <c r="M72" s="26" t="str">
        <f aca="false">IF($B72="","",IFERROR(INDEX(ST_STRAIT,MATCH($B72,ST_ID,0)),""))</f>
        <v/>
      </c>
      <c r="N72" s="26" t="str">
        <f aca="false">IF($B72="","",IF($E72="",$L72,$E72))</f>
        <v/>
      </c>
      <c r="O72" s="26" t="str">
        <f aca="false">IF($J72="","",IFERROR(INDEX(EMPL_CLASSE,MATCH($J72,EMPL_KEY,0)),"?"))</f>
        <v/>
      </c>
      <c r="P72" s="28" t="n">
        <f aca="false">IF($B72="",0,IF(OR(ISNA(MATCH($B72,ST_ID,0)),NOT(ISNUMBER($F72)),$F72&lt;=0,$J72="",$N72=""),0,1))</f>
        <v>0</v>
      </c>
      <c r="Q72" s="27" t="n">
        <f aca="false">IF($P72=0,0,$F72)</f>
        <v>0</v>
      </c>
      <c r="R72" s="26" t="str">
        <f aca="false">IF($B72="","",IFERROR(INDEX(ST_STATUT,MATCH($B72,ST_ID,0)),""))</f>
        <v/>
      </c>
      <c r="S72" s="26" t="str">
        <f aca="false">IF($B72="","",IF($P72=0,"DONNEES MANQUANTES",IF(OR($R72="DONNEES MANQUANTES",$R72="STOCK INSUFFISANT",$R72="EMPLACEMENT INCOHERENT",$R72="BLOQUE"),"BLOQUE","OK")))</f>
        <v/>
      </c>
      <c r="T72" s="28" t="n">
        <f aca="false">IF($S72="OK",1,0)</f>
        <v>0</v>
      </c>
      <c r="U72" s="26" t="str">
        <f aca="false">IF($B72="","",IF($P72=0,"A COMPLETER : "&amp;IF(ISNA(MATCH($B72,ST_ID,0)),"ID ST valide; ","")&amp;IF(OR(NOT(ISNUMBER($F72)),$F72&lt;=0),"QUANTITE &gt; 0; ","")&amp;IF($J72="","EMPL. DESTINATION; ",""),IF($S72="BLOQUE","Envoi parent en anomalie ("&amp;$R72&amp;") : corriger l'onglet SOUS_TRAITANCE.",IF(AND($E72&lt;&gt;"",ISNA(MATCH($E72,LOT_KEY,0))),"Creer la fiche du lot resultat dans l'onglet LOTS.",""))))</f>
        <v/>
      </c>
      <c r="V72" s="31" t="str">
        <f aca="false">IF($B72="","",IF($C72&lt;&gt;"",$C72,IFERROR(INDEX(ST_DATERET,MATCH($B72,ST_ID,0)),"")))</f>
        <v/>
      </c>
      <c r="W72" s="26" t="str">
        <f aca="false">IF($P72=0,"",IF($L72=R_LOT,IF($N72&lt;&gt;R_LOT,$N72,""),IF($N72=R_LOT,$L72,"")))</f>
        <v/>
      </c>
      <c r="X72" s="26" t="str">
        <f aca="false">IF($W72="","",IF(COUNTIF($W$4:$W71,$W72)&gt;0,"",COUNT($X$4:$X71)+1))</f>
        <v/>
      </c>
      <c r="Y72" s="26" t="n">
        <f aca="false">IF($P72=0,0,IF(OR($L72=R_LOT,$N72=R_LOT),1,0))</f>
        <v>0</v>
      </c>
      <c r="Z72" s="26" t="str">
        <f aca="false">IF($Y72=0,"",COUNTIF($Y$5:$Y72,1))</f>
        <v/>
      </c>
    </row>
    <row r="73" customFormat="false" ht="15" hidden="false" customHeight="false" outlineLevel="0" collapsed="false">
      <c r="A73" s="26" t="str">
        <f aca="false">IF($B73="","","RES-"&amp;TEXT(ROW()-4,"000"))</f>
        <v/>
      </c>
      <c r="B73" s="24"/>
      <c r="C73" s="25"/>
      <c r="D73" s="24"/>
      <c r="E73" s="24"/>
      <c r="F73" s="29"/>
      <c r="G73" s="24"/>
      <c r="H73" s="24"/>
      <c r="I73" s="24"/>
      <c r="J73" s="24"/>
      <c r="K73" s="24"/>
      <c r="L73" s="26" t="str">
        <f aca="false">IF($B73="","",IFERROR(INDEX(ST_LOT,MATCH($B73,ST_ID,0)),""))</f>
        <v/>
      </c>
      <c r="M73" s="26" t="str">
        <f aca="false">IF($B73="","",IFERROR(INDEX(ST_STRAIT,MATCH($B73,ST_ID,0)),""))</f>
        <v/>
      </c>
      <c r="N73" s="26" t="str">
        <f aca="false">IF($B73="","",IF($E73="",$L73,$E73))</f>
        <v/>
      </c>
      <c r="O73" s="26" t="str">
        <f aca="false">IF($J73="","",IFERROR(INDEX(EMPL_CLASSE,MATCH($J73,EMPL_KEY,0)),"?"))</f>
        <v/>
      </c>
      <c r="P73" s="28" t="n">
        <f aca="false">IF($B73="",0,IF(OR(ISNA(MATCH($B73,ST_ID,0)),NOT(ISNUMBER($F73)),$F73&lt;=0,$J73="",$N73=""),0,1))</f>
        <v>0</v>
      </c>
      <c r="Q73" s="27" t="n">
        <f aca="false">IF($P73=0,0,$F73)</f>
        <v>0</v>
      </c>
      <c r="R73" s="26" t="str">
        <f aca="false">IF($B73="","",IFERROR(INDEX(ST_STATUT,MATCH($B73,ST_ID,0)),""))</f>
        <v/>
      </c>
      <c r="S73" s="26" t="str">
        <f aca="false">IF($B73="","",IF($P73=0,"DONNEES MANQUANTES",IF(OR($R73="DONNEES MANQUANTES",$R73="STOCK INSUFFISANT",$R73="EMPLACEMENT INCOHERENT",$R73="BLOQUE"),"BLOQUE","OK")))</f>
        <v/>
      </c>
      <c r="T73" s="28" t="n">
        <f aca="false">IF($S73="OK",1,0)</f>
        <v>0</v>
      </c>
      <c r="U73" s="26" t="str">
        <f aca="false">IF($B73="","",IF($P73=0,"A COMPLETER : "&amp;IF(ISNA(MATCH($B73,ST_ID,0)),"ID ST valide; ","")&amp;IF(OR(NOT(ISNUMBER($F73)),$F73&lt;=0),"QUANTITE &gt; 0; ","")&amp;IF($J73="","EMPL. DESTINATION; ",""),IF($S73="BLOQUE","Envoi parent en anomalie ("&amp;$R73&amp;") : corriger l'onglet SOUS_TRAITANCE.",IF(AND($E73&lt;&gt;"",ISNA(MATCH($E73,LOT_KEY,0))),"Creer la fiche du lot resultat dans l'onglet LOTS.",""))))</f>
        <v/>
      </c>
      <c r="V73" s="31" t="str">
        <f aca="false">IF($B73="","",IF($C73&lt;&gt;"",$C73,IFERROR(INDEX(ST_DATERET,MATCH($B73,ST_ID,0)),"")))</f>
        <v/>
      </c>
      <c r="W73" s="26" t="str">
        <f aca="false">IF($P73=0,"",IF($L73=R_LOT,IF($N73&lt;&gt;R_LOT,$N73,""),IF($N73=R_LOT,$L73,"")))</f>
        <v/>
      </c>
      <c r="X73" s="26" t="str">
        <f aca="false">IF($W73="","",IF(COUNTIF($W$4:$W72,$W73)&gt;0,"",COUNT($X$4:$X72)+1))</f>
        <v/>
      </c>
      <c r="Y73" s="26" t="n">
        <f aca="false">IF($P73=0,0,IF(OR($L73=R_LOT,$N73=R_LOT),1,0))</f>
        <v>0</v>
      </c>
      <c r="Z73" s="26" t="str">
        <f aca="false">IF($Y73=0,"",COUNTIF($Y$5:$Y73,1))</f>
        <v/>
      </c>
    </row>
    <row r="74" customFormat="false" ht="15" hidden="false" customHeight="false" outlineLevel="0" collapsed="false">
      <c r="A74" s="26" t="str">
        <f aca="false">IF($B74="","","RES-"&amp;TEXT(ROW()-4,"000"))</f>
        <v/>
      </c>
      <c r="B74" s="24"/>
      <c r="C74" s="25"/>
      <c r="D74" s="24"/>
      <c r="E74" s="24"/>
      <c r="F74" s="29"/>
      <c r="G74" s="24"/>
      <c r="H74" s="24"/>
      <c r="I74" s="24"/>
      <c r="J74" s="24"/>
      <c r="K74" s="24"/>
      <c r="L74" s="26" t="str">
        <f aca="false">IF($B74="","",IFERROR(INDEX(ST_LOT,MATCH($B74,ST_ID,0)),""))</f>
        <v/>
      </c>
      <c r="M74" s="26" t="str">
        <f aca="false">IF($B74="","",IFERROR(INDEX(ST_STRAIT,MATCH($B74,ST_ID,0)),""))</f>
        <v/>
      </c>
      <c r="N74" s="26" t="str">
        <f aca="false">IF($B74="","",IF($E74="",$L74,$E74))</f>
        <v/>
      </c>
      <c r="O74" s="26" t="str">
        <f aca="false">IF($J74="","",IFERROR(INDEX(EMPL_CLASSE,MATCH($J74,EMPL_KEY,0)),"?"))</f>
        <v/>
      </c>
      <c r="P74" s="28" t="n">
        <f aca="false">IF($B74="",0,IF(OR(ISNA(MATCH($B74,ST_ID,0)),NOT(ISNUMBER($F74)),$F74&lt;=0,$J74="",$N74=""),0,1))</f>
        <v>0</v>
      </c>
      <c r="Q74" s="27" t="n">
        <f aca="false">IF($P74=0,0,$F74)</f>
        <v>0</v>
      </c>
      <c r="R74" s="26" t="str">
        <f aca="false">IF($B74="","",IFERROR(INDEX(ST_STATUT,MATCH($B74,ST_ID,0)),""))</f>
        <v/>
      </c>
      <c r="S74" s="26" t="str">
        <f aca="false">IF($B74="","",IF($P74=0,"DONNEES MANQUANTES",IF(OR($R74="DONNEES MANQUANTES",$R74="STOCK INSUFFISANT",$R74="EMPLACEMENT INCOHERENT",$R74="BLOQUE"),"BLOQUE","OK")))</f>
        <v/>
      </c>
      <c r="T74" s="28" t="n">
        <f aca="false">IF($S74="OK",1,0)</f>
        <v>0</v>
      </c>
      <c r="U74" s="26" t="str">
        <f aca="false">IF($B74="","",IF($P74=0,"A COMPLETER : "&amp;IF(ISNA(MATCH($B74,ST_ID,0)),"ID ST valide; ","")&amp;IF(OR(NOT(ISNUMBER($F74)),$F74&lt;=0),"QUANTITE &gt; 0; ","")&amp;IF($J74="","EMPL. DESTINATION; ",""),IF($S74="BLOQUE","Envoi parent en anomalie ("&amp;$R74&amp;") : corriger l'onglet SOUS_TRAITANCE.",IF(AND($E74&lt;&gt;"",ISNA(MATCH($E74,LOT_KEY,0))),"Creer la fiche du lot resultat dans l'onglet LOTS.",""))))</f>
        <v/>
      </c>
      <c r="V74" s="31" t="str">
        <f aca="false">IF($B74="","",IF($C74&lt;&gt;"",$C74,IFERROR(INDEX(ST_DATERET,MATCH($B74,ST_ID,0)),"")))</f>
        <v/>
      </c>
      <c r="W74" s="26" t="str">
        <f aca="false">IF($P74=0,"",IF($L74=R_LOT,IF($N74&lt;&gt;R_LOT,$N74,""),IF($N74=R_LOT,$L74,"")))</f>
        <v/>
      </c>
      <c r="X74" s="26" t="str">
        <f aca="false">IF($W74="","",IF(COUNTIF($W$4:$W73,$W74)&gt;0,"",COUNT($X$4:$X73)+1))</f>
        <v/>
      </c>
      <c r="Y74" s="26" t="n">
        <f aca="false">IF($P74=0,0,IF(OR($L74=R_LOT,$N74=R_LOT),1,0))</f>
        <v>0</v>
      </c>
      <c r="Z74" s="26" t="str">
        <f aca="false">IF($Y74=0,"",COUNTIF($Y$5:$Y74,1))</f>
        <v/>
      </c>
    </row>
    <row r="75" customFormat="false" ht="15" hidden="false" customHeight="false" outlineLevel="0" collapsed="false">
      <c r="A75" s="26" t="str">
        <f aca="false">IF($B75="","","RES-"&amp;TEXT(ROW()-4,"000"))</f>
        <v/>
      </c>
      <c r="B75" s="24"/>
      <c r="C75" s="25"/>
      <c r="D75" s="24"/>
      <c r="E75" s="24"/>
      <c r="F75" s="29"/>
      <c r="G75" s="24"/>
      <c r="H75" s="24"/>
      <c r="I75" s="24"/>
      <c r="J75" s="24"/>
      <c r="K75" s="24"/>
      <c r="L75" s="26" t="str">
        <f aca="false">IF($B75="","",IFERROR(INDEX(ST_LOT,MATCH($B75,ST_ID,0)),""))</f>
        <v/>
      </c>
      <c r="M75" s="26" t="str">
        <f aca="false">IF($B75="","",IFERROR(INDEX(ST_STRAIT,MATCH($B75,ST_ID,0)),""))</f>
        <v/>
      </c>
      <c r="N75" s="26" t="str">
        <f aca="false">IF($B75="","",IF($E75="",$L75,$E75))</f>
        <v/>
      </c>
      <c r="O75" s="26" t="str">
        <f aca="false">IF($J75="","",IFERROR(INDEX(EMPL_CLASSE,MATCH($J75,EMPL_KEY,0)),"?"))</f>
        <v/>
      </c>
      <c r="P75" s="28" t="n">
        <f aca="false">IF($B75="",0,IF(OR(ISNA(MATCH($B75,ST_ID,0)),NOT(ISNUMBER($F75)),$F75&lt;=0,$J75="",$N75=""),0,1))</f>
        <v>0</v>
      </c>
      <c r="Q75" s="27" t="n">
        <f aca="false">IF($P75=0,0,$F75)</f>
        <v>0</v>
      </c>
      <c r="R75" s="26" t="str">
        <f aca="false">IF($B75="","",IFERROR(INDEX(ST_STATUT,MATCH($B75,ST_ID,0)),""))</f>
        <v/>
      </c>
      <c r="S75" s="26" t="str">
        <f aca="false">IF($B75="","",IF($P75=0,"DONNEES MANQUANTES",IF(OR($R75="DONNEES MANQUANTES",$R75="STOCK INSUFFISANT",$R75="EMPLACEMENT INCOHERENT",$R75="BLOQUE"),"BLOQUE","OK")))</f>
        <v/>
      </c>
      <c r="T75" s="28" t="n">
        <f aca="false">IF($S75="OK",1,0)</f>
        <v>0</v>
      </c>
      <c r="U75" s="26" t="str">
        <f aca="false">IF($B75="","",IF($P75=0,"A COMPLETER : "&amp;IF(ISNA(MATCH($B75,ST_ID,0)),"ID ST valide; ","")&amp;IF(OR(NOT(ISNUMBER($F75)),$F75&lt;=0),"QUANTITE &gt; 0; ","")&amp;IF($J75="","EMPL. DESTINATION; ",""),IF($S75="BLOQUE","Envoi parent en anomalie ("&amp;$R75&amp;") : corriger l'onglet SOUS_TRAITANCE.",IF(AND($E75&lt;&gt;"",ISNA(MATCH($E75,LOT_KEY,0))),"Creer la fiche du lot resultat dans l'onglet LOTS.",""))))</f>
        <v/>
      </c>
      <c r="V75" s="31" t="str">
        <f aca="false">IF($B75="","",IF($C75&lt;&gt;"",$C75,IFERROR(INDEX(ST_DATERET,MATCH($B75,ST_ID,0)),"")))</f>
        <v/>
      </c>
      <c r="W75" s="26" t="str">
        <f aca="false">IF($P75=0,"",IF($L75=R_LOT,IF($N75&lt;&gt;R_LOT,$N75,""),IF($N75=R_LOT,$L75,"")))</f>
        <v/>
      </c>
      <c r="X75" s="26" t="str">
        <f aca="false">IF($W75="","",IF(COUNTIF($W$4:$W74,$W75)&gt;0,"",COUNT($X$4:$X74)+1))</f>
        <v/>
      </c>
      <c r="Y75" s="26" t="n">
        <f aca="false">IF($P75=0,0,IF(OR($L75=R_LOT,$N75=R_LOT),1,0))</f>
        <v>0</v>
      </c>
      <c r="Z75" s="26" t="str">
        <f aca="false">IF($Y75=0,"",COUNTIF($Y$5:$Y75,1))</f>
        <v/>
      </c>
    </row>
    <row r="76" customFormat="false" ht="15" hidden="false" customHeight="false" outlineLevel="0" collapsed="false">
      <c r="A76" s="26" t="str">
        <f aca="false">IF($B76="","","RES-"&amp;TEXT(ROW()-4,"000"))</f>
        <v/>
      </c>
      <c r="B76" s="24"/>
      <c r="C76" s="25"/>
      <c r="D76" s="24"/>
      <c r="E76" s="24"/>
      <c r="F76" s="29"/>
      <c r="G76" s="24"/>
      <c r="H76" s="24"/>
      <c r="I76" s="24"/>
      <c r="J76" s="24"/>
      <c r="K76" s="24"/>
      <c r="L76" s="26" t="str">
        <f aca="false">IF($B76="","",IFERROR(INDEX(ST_LOT,MATCH($B76,ST_ID,0)),""))</f>
        <v/>
      </c>
      <c r="M76" s="26" t="str">
        <f aca="false">IF($B76="","",IFERROR(INDEX(ST_STRAIT,MATCH($B76,ST_ID,0)),""))</f>
        <v/>
      </c>
      <c r="N76" s="26" t="str">
        <f aca="false">IF($B76="","",IF($E76="",$L76,$E76))</f>
        <v/>
      </c>
      <c r="O76" s="26" t="str">
        <f aca="false">IF($J76="","",IFERROR(INDEX(EMPL_CLASSE,MATCH($J76,EMPL_KEY,0)),"?"))</f>
        <v/>
      </c>
      <c r="P76" s="28" t="n">
        <f aca="false">IF($B76="",0,IF(OR(ISNA(MATCH($B76,ST_ID,0)),NOT(ISNUMBER($F76)),$F76&lt;=0,$J76="",$N76=""),0,1))</f>
        <v>0</v>
      </c>
      <c r="Q76" s="27" t="n">
        <f aca="false">IF($P76=0,0,$F76)</f>
        <v>0</v>
      </c>
      <c r="R76" s="26" t="str">
        <f aca="false">IF($B76="","",IFERROR(INDEX(ST_STATUT,MATCH($B76,ST_ID,0)),""))</f>
        <v/>
      </c>
      <c r="S76" s="26" t="str">
        <f aca="false">IF($B76="","",IF($P76=0,"DONNEES MANQUANTES",IF(OR($R76="DONNEES MANQUANTES",$R76="STOCK INSUFFISANT",$R76="EMPLACEMENT INCOHERENT",$R76="BLOQUE"),"BLOQUE","OK")))</f>
        <v/>
      </c>
      <c r="T76" s="28" t="n">
        <f aca="false">IF($S76="OK",1,0)</f>
        <v>0</v>
      </c>
      <c r="U76" s="26" t="str">
        <f aca="false">IF($B76="","",IF($P76=0,"A COMPLETER : "&amp;IF(ISNA(MATCH($B76,ST_ID,0)),"ID ST valide; ","")&amp;IF(OR(NOT(ISNUMBER($F76)),$F76&lt;=0),"QUANTITE &gt; 0; ","")&amp;IF($J76="","EMPL. DESTINATION; ",""),IF($S76="BLOQUE","Envoi parent en anomalie ("&amp;$R76&amp;") : corriger l'onglet SOUS_TRAITANCE.",IF(AND($E76&lt;&gt;"",ISNA(MATCH($E76,LOT_KEY,0))),"Creer la fiche du lot resultat dans l'onglet LOTS.",""))))</f>
        <v/>
      </c>
      <c r="V76" s="31" t="str">
        <f aca="false">IF($B76="","",IF($C76&lt;&gt;"",$C76,IFERROR(INDEX(ST_DATERET,MATCH($B76,ST_ID,0)),"")))</f>
        <v/>
      </c>
      <c r="W76" s="26" t="str">
        <f aca="false">IF($P76=0,"",IF($L76=R_LOT,IF($N76&lt;&gt;R_LOT,$N76,""),IF($N76=R_LOT,$L76,"")))</f>
        <v/>
      </c>
      <c r="X76" s="26" t="str">
        <f aca="false">IF($W76="","",IF(COUNTIF($W$4:$W75,$W76)&gt;0,"",COUNT($X$4:$X75)+1))</f>
        <v/>
      </c>
      <c r="Y76" s="26" t="n">
        <f aca="false">IF($P76=0,0,IF(OR($L76=R_LOT,$N76=R_LOT),1,0))</f>
        <v>0</v>
      </c>
      <c r="Z76" s="26" t="str">
        <f aca="false">IF($Y76=0,"",COUNTIF($Y$5:$Y76,1))</f>
        <v/>
      </c>
    </row>
    <row r="77" customFormat="false" ht="15" hidden="false" customHeight="false" outlineLevel="0" collapsed="false">
      <c r="A77" s="26" t="str">
        <f aca="false">IF($B77="","","RES-"&amp;TEXT(ROW()-4,"000"))</f>
        <v/>
      </c>
      <c r="B77" s="24"/>
      <c r="C77" s="25"/>
      <c r="D77" s="24"/>
      <c r="E77" s="24"/>
      <c r="F77" s="29"/>
      <c r="G77" s="24"/>
      <c r="H77" s="24"/>
      <c r="I77" s="24"/>
      <c r="J77" s="24"/>
      <c r="K77" s="24"/>
      <c r="L77" s="26" t="str">
        <f aca="false">IF($B77="","",IFERROR(INDEX(ST_LOT,MATCH($B77,ST_ID,0)),""))</f>
        <v/>
      </c>
      <c r="M77" s="26" t="str">
        <f aca="false">IF($B77="","",IFERROR(INDEX(ST_STRAIT,MATCH($B77,ST_ID,0)),""))</f>
        <v/>
      </c>
      <c r="N77" s="26" t="str">
        <f aca="false">IF($B77="","",IF($E77="",$L77,$E77))</f>
        <v/>
      </c>
      <c r="O77" s="26" t="str">
        <f aca="false">IF($J77="","",IFERROR(INDEX(EMPL_CLASSE,MATCH($J77,EMPL_KEY,0)),"?"))</f>
        <v/>
      </c>
      <c r="P77" s="28" t="n">
        <f aca="false">IF($B77="",0,IF(OR(ISNA(MATCH($B77,ST_ID,0)),NOT(ISNUMBER($F77)),$F77&lt;=0,$J77="",$N77=""),0,1))</f>
        <v>0</v>
      </c>
      <c r="Q77" s="27" t="n">
        <f aca="false">IF($P77=0,0,$F77)</f>
        <v>0</v>
      </c>
      <c r="R77" s="26" t="str">
        <f aca="false">IF($B77="","",IFERROR(INDEX(ST_STATUT,MATCH($B77,ST_ID,0)),""))</f>
        <v/>
      </c>
      <c r="S77" s="26" t="str">
        <f aca="false">IF($B77="","",IF($P77=0,"DONNEES MANQUANTES",IF(OR($R77="DONNEES MANQUANTES",$R77="STOCK INSUFFISANT",$R77="EMPLACEMENT INCOHERENT",$R77="BLOQUE"),"BLOQUE","OK")))</f>
        <v/>
      </c>
      <c r="T77" s="28" t="n">
        <f aca="false">IF($S77="OK",1,0)</f>
        <v>0</v>
      </c>
      <c r="U77" s="26" t="str">
        <f aca="false">IF($B77="","",IF($P77=0,"A COMPLETER : "&amp;IF(ISNA(MATCH($B77,ST_ID,0)),"ID ST valide; ","")&amp;IF(OR(NOT(ISNUMBER($F77)),$F77&lt;=0),"QUANTITE &gt; 0; ","")&amp;IF($J77="","EMPL. DESTINATION; ",""),IF($S77="BLOQUE","Envoi parent en anomalie ("&amp;$R77&amp;") : corriger l'onglet SOUS_TRAITANCE.",IF(AND($E77&lt;&gt;"",ISNA(MATCH($E77,LOT_KEY,0))),"Creer la fiche du lot resultat dans l'onglet LOTS.",""))))</f>
        <v/>
      </c>
      <c r="V77" s="31" t="str">
        <f aca="false">IF($B77="","",IF($C77&lt;&gt;"",$C77,IFERROR(INDEX(ST_DATERET,MATCH($B77,ST_ID,0)),"")))</f>
        <v/>
      </c>
      <c r="W77" s="26" t="str">
        <f aca="false">IF($P77=0,"",IF($L77=R_LOT,IF($N77&lt;&gt;R_LOT,$N77,""),IF($N77=R_LOT,$L77,"")))</f>
        <v/>
      </c>
      <c r="X77" s="26" t="str">
        <f aca="false">IF($W77="","",IF(COUNTIF($W$4:$W76,$W77)&gt;0,"",COUNT($X$4:$X76)+1))</f>
        <v/>
      </c>
      <c r="Y77" s="26" t="n">
        <f aca="false">IF($P77=0,0,IF(OR($L77=R_LOT,$N77=R_LOT),1,0))</f>
        <v>0</v>
      </c>
      <c r="Z77" s="26" t="str">
        <f aca="false">IF($Y77=0,"",COUNTIF($Y$5:$Y77,1))</f>
        <v/>
      </c>
    </row>
    <row r="78" customFormat="false" ht="15" hidden="false" customHeight="false" outlineLevel="0" collapsed="false">
      <c r="A78" s="26" t="str">
        <f aca="false">IF($B78="","","RES-"&amp;TEXT(ROW()-4,"000"))</f>
        <v/>
      </c>
      <c r="B78" s="24"/>
      <c r="C78" s="25"/>
      <c r="D78" s="24"/>
      <c r="E78" s="24"/>
      <c r="F78" s="29"/>
      <c r="G78" s="24"/>
      <c r="H78" s="24"/>
      <c r="I78" s="24"/>
      <c r="J78" s="24"/>
      <c r="K78" s="24"/>
      <c r="L78" s="26" t="str">
        <f aca="false">IF($B78="","",IFERROR(INDEX(ST_LOT,MATCH($B78,ST_ID,0)),""))</f>
        <v/>
      </c>
      <c r="M78" s="26" t="str">
        <f aca="false">IF($B78="","",IFERROR(INDEX(ST_STRAIT,MATCH($B78,ST_ID,0)),""))</f>
        <v/>
      </c>
      <c r="N78" s="26" t="str">
        <f aca="false">IF($B78="","",IF($E78="",$L78,$E78))</f>
        <v/>
      </c>
      <c r="O78" s="26" t="str">
        <f aca="false">IF($J78="","",IFERROR(INDEX(EMPL_CLASSE,MATCH($J78,EMPL_KEY,0)),"?"))</f>
        <v/>
      </c>
      <c r="P78" s="28" t="n">
        <f aca="false">IF($B78="",0,IF(OR(ISNA(MATCH($B78,ST_ID,0)),NOT(ISNUMBER($F78)),$F78&lt;=0,$J78="",$N78=""),0,1))</f>
        <v>0</v>
      </c>
      <c r="Q78" s="27" t="n">
        <f aca="false">IF($P78=0,0,$F78)</f>
        <v>0</v>
      </c>
      <c r="R78" s="26" t="str">
        <f aca="false">IF($B78="","",IFERROR(INDEX(ST_STATUT,MATCH($B78,ST_ID,0)),""))</f>
        <v/>
      </c>
      <c r="S78" s="26" t="str">
        <f aca="false">IF($B78="","",IF($P78=0,"DONNEES MANQUANTES",IF(OR($R78="DONNEES MANQUANTES",$R78="STOCK INSUFFISANT",$R78="EMPLACEMENT INCOHERENT",$R78="BLOQUE"),"BLOQUE","OK")))</f>
        <v/>
      </c>
      <c r="T78" s="28" t="n">
        <f aca="false">IF($S78="OK",1,0)</f>
        <v>0</v>
      </c>
      <c r="U78" s="26" t="str">
        <f aca="false">IF($B78="","",IF($P78=0,"A COMPLETER : "&amp;IF(ISNA(MATCH($B78,ST_ID,0)),"ID ST valide; ","")&amp;IF(OR(NOT(ISNUMBER($F78)),$F78&lt;=0),"QUANTITE &gt; 0; ","")&amp;IF($J78="","EMPL. DESTINATION; ",""),IF($S78="BLOQUE","Envoi parent en anomalie ("&amp;$R78&amp;") : corriger l'onglet SOUS_TRAITANCE.",IF(AND($E78&lt;&gt;"",ISNA(MATCH($E78,LOT_KEY,0))),"Creer la fiche du lot resultat dans l'onglet LOTS.",""))))</f>
        <v/>
      </c>
      <c r="V78" s="31" t="str">
        <f aca="false">IF($B78="","",IF($C78&lt;&gt;"",$C78,IFERROR(INDEX(ST_DATERET,MATCH($B78,ST_ID,0)),"")))</f>
        <v/>
      </c>
      <c r="W78" s="26" t="str">
        <f aca="false">IF($P78=0,"",IF($L78=R_LOT,IF($N78&lt;&gt;R_LOT,$N78,""),IF($N78=R_LOT,$L78,"")))</f>
        <v/>
      </c>
      <c r="X78" s="26" t="str">
        <f aca="false">IF($W78="","",IF(COUNTIF($W$4:$W77,$W78)&gt;0,"",COUNT($X$4:$X77)+1))</f>
        <v/>
      </c>
      <c r="Y78" s="26" t="n">
        <f aca="false">IF($P78=0,0,IF(OR($L78=R_LOT,$N78=R_LOT),1,0))</f>
        <v>0</v>
      </c>
      <c r="Z78" s="26" t="str">
        <f aca="false">IF($Y78=0,"",COUNTIF($Y$5:$Y78,1))</f>
        <v/>
      </c>
    </row>
    <row r="79" customFormat="false" ht="15" hidden="false" customHeight="false" outlineLevel="0" collapsed="false">
      <c r="A79" s="26" t="str">
        <f aca="false">IF($B79="","","RES-"&amp;TEXT(ROW()-4,"000"))</f>
        <v/>
      </c>
      <c r="B79" s="24"/>
      <c r="C79" s="25"/>
      <c r="D79" s="24"/>
      <c r="E79" s="24"/>
      <c r="F79" s="29"/>
      <c r="G79" s="24"/>
      <c r="H79" s="24"/>
      <c r="I79" s="24"/>
      <c r="J79" s="24"/>
      <c r="K79" s="24"/>
      <c r="L79" s="26" t="str">
        <f aca="false">IF($B79="","",IFERROR(INDEX(ST_LOT,MATCH($B79,ST_ID,0)),""))</f>
        <v/>
      </c>
      <c r="M79" s="26" t="str">
        <f aca="false">IF($B79="","",IFERROR(INDEX(ST_STRAIT,MATCH($B79,ST_ID,0)),""))</f>
        <v/>
      </c>
      <c r="N79" s="26" t="str">
        <f aca="false">IF($B79="","",IF($E79="",$L79,$E79))</f>
        <v/>
      </c>
      <c r="O79" s="26" t="str">
        <f aca="false">IF($J79="","",IFERROR(INDEX(EMPL_CLASSE,MATCH($J79,EMPL_KEY,0)),"?"))</f>
        <v/>
      </c>
      <c r="P79" s="28" t="n">
        <f aca="false">IF($B79="",0,IF(OR(ISNA(MATCH($B79,ST_ID,0)),NOT(ISNUMBER($F79)),$F79&lt;=0,$J79="",$N79=""),0,1))</f>
        <v>0</v>
      </c>
      <c r="Q79" s="27" t="n">
        <f aca="false">IF($P79=0,0,$F79)</f>
        <v>0</v>
      </c>
      <c r="R79" s="26" t="str">
        <f aca="false">IF($B79="","",IFERROR(INDEX(ST_STATUT,MATCH($B79,ST_ID,0)),""))</f>
        <v/>
      </c>
      <c r="S79" s="26" t="str">
        <f aca="false">IF($B79="","",IF($P79=0,"DONNEES MANQUANTES",IF(OR($R79="DONNEES MANQUANTES",$R79="STOCK INSUFFISANT",$R79="EMPLACEMENT INCOHERENT",$R79="BLOQUE"),"BLOQUE","OK")))</f>
        <v/>
      </c>
      <c r="T79" s="28" t="n">
        <f aca="false">IF($S79="OK",1,0)</f>
        <v>0</v>
      </c>
      <c r="U79" s="26" t="str">
        <f aca="false">IF($B79="","",IF($P79=0,"A COMPLETER : "&amp;IF(ISNA(MATCH($B79,ST_ID,0)),"ID ST valide; ","")&amp;IF(OR(NOT(ISNUMBER($F79)),$F79&lt;=0),"QUANTITE &gt; 0; ","")&amp;IF($J79="","EMPL. DESTINATION; ",""),IF($S79="BLOQUE","Envoi parent en anomalie ("&amp;$R79&amp;") : corriger l'onglet SOUS_TRAITANCE.",IF(AND($E79&lt;&gt;"",ISNA(MATCH($E79,LOT_KEY,0))),"Creer la fiche du lot resultat dans l'onglet LOTS.",""))))</f>
        <v/>
      </c>
      <c r="V79" s="31" t="str">
        <f aca="false">IF($B79="","",IF($C79&lt;&gt;"",$C79,IFERROR(INDEX(ST_DATERET,MATCH($B79,ST_ID,0)),"")))</f>
        <v/>
      </c>
      <c r="W79" s="26" t="str">
        <f aca="false">IF($P79=0,"",IF($L79=R_LOT,IF($N79&lt;&gt;R_LOT,$N79,""),IF($N79=R_LOT,$L79,"")))</f>
        <v/>
      </c>
      <c r="X79" s="26" t="str">
        <f aca="false">IF($W79="","",IF(COUNTIF($W$4:$W78,$W79)&gt;0,"",COUNT($X$4:$X78)+1))</f>
        <v/>
      </c>
      <c r="Y79" s="26" t="n">
        <f aca="false">IF($P79=0,0,IF(OR($L79=R_LOT,$N79=R_LOT),1,0))</f>
        <v>0</v>
      </c>
      <c r="Z79" s="26" t="str">
        <f aca="false">IF($Y79=0,"",COUNTIF($Y$5:$Y79,1))</f>
        <v/>
      </c>
    </row>
    <row r="80" customFormat="false" ht="15" hidden="false" customHeight="false" outlineLevel="0" collapsed="false">
      <c r="A80" s="26" t="str">
        <f aca="false">IF($B80="","","RES-"&amp;TEXT(ROW()-4,"000"))</f>
        <v/>
      </c>
      <c r="B80" s="24"/>
      <c r="C80" s="25"/>
      <c r="D80" s="24"/>
      <c r="E80" s="24"/>
      <c r="F80" s="29"/>
      <c r="G80" s="24"/>
      <c r="H80" s="24"/>
      <c r="I80" s="24"/>
      <c r="J80" s="24"/>
      <c r="K80" s="24"/>
      <c r="L80" s="26" t="str">
        <f aca="false">IF($B80="","",IFERROR(INDEX(ST_LOT,MATCH($B80,ST_ID,0)),""))</f>
        <v/>
      </c>
      <c r="M80" s="26" t="str">
        <f aca="false">IF($B80="","",IFERROR(INDEX(ST_STRAIT,MATCH($B80,ST_ID,0)),""))</f>
        <v/>
      </c>
      <c r="N80" s="26" t="str">
        <f aca="false">IF($B80="","",IF($E80="",$L80,$E80))</f>
        <v/>
      </c>
      <c r="O80" s="26" t="str">
        <f aca="false">IF($J80="","",IFERROR(INDEX(EMPL_CLASSE,MATCH($J80,EMPL_KEY,0)),"?"))</f>
        <v/>
      </c>
      <c r="P80" s="28" t="n">
        <f aca="false">IF($B80="",0,IF(OR(ISNA(MATCH($B80,ST_ID,0)),NOT(ISNUMBER($F80)),$F80&lt;=0,$J80="",$N80=""),0,1))</f>
        <v>0</v>
      </c>
      <c r="Q80" s="27" t="n">
        <f aca="false">IF($P80=0,0,$F80)</f>
        <v>0</v>
      </c>
      <c r="R80" s="26" t="str">
        <f aca="false">IF($B80="","",IFERROR(INDEX(ST_STATUT,MATCH($B80,ST_ID,0)),""))</f>
        <v/>
      </c>
      <c r="S80" s="26" t="str">
        <f aca="false">IF($B80="","",IF($P80=0,"DONNEES MANQUANTES",IF(OR($R80="DONNEES MANQUANTES",$R80="STOCK INSUFFISANT",$R80="EMPLACEMENT INCOHERENT",$R80="BLOQUE"),"BLOQUE","OK")))</f>
        <v/>
      </c>
      <c r="T80" s="28" t="n">
        <f aca="false">IF($S80="OK",1,0)</f>
        <v>0</v>
      </c>
      <c r="U80" s="26" t="str">
        <f aca="false">IF($B80="","",IF($P80=0,"A COMPLETER : "&amp;IF(ISNA(MATCH($B80,ST_ID,0)),"ID ST valide; ","")&amp;IF(OR(NOT(ISNUMBER($F80)),$F80&lt;=0),"QUANTITE &gt; 0; ","")&amp;IF($J80="","EMPL. DESTINATION; ",""),IF($S80="BLOQUE","Envoi parent en anomalie ("&amp;$R80&amp;") : corriger l'onglet SOUS_TRAITANCE.",IF(AND($E80&lt;&gt;"",ISNA(MATCH($E80,LOT_KEY,0))),"Creer la fiche du lot resultat dans l'onglet LOTS.",""))))</f>
        <v/>
      </c>
      <c r="V80" s="31" t="str">
        <f aca="false">IF($B80="","",IF($C80&lt;&gt;"",$C80,IFERROR(INDEX(ST_DATERET,MATCH($B80,ST_ID,0)),"")))</f>
        <v/>
      </c>
      <c r="W80" s="26" t="str">
        <f aca="false">IF($P80=0,"",IF($L80=R_LOT,IF($N80&lt;&gt;R_LOT,$N80,""),IF($N80=R_LOT,$L80,"")))</f>
        <v/>
      </c>
      <c r="X80" s="26" t="str">
        <f aca="false">IF($W80="","",IF(COUNTIF($W$4:$W79,$W80)&gt;0,"",COUNT($X$4:$X79)+1))</f>
        <v/>
      </c>
      <c r="Y80" s="26" t="n">
        <f aca="false">IF($P80=0,0,IF(OR($L80=R_LOT,$N80=R_LOT),1,0))</f>
        <v>0</v>
      </c>
      <c r="Z80" s="26" t="str">
        <f aca="false">IF($Y80=0,"",COUNTIF($Y$5:$Y80,1))</f>
        <v/>
      </c>
    </row>
    <row r="81" customFormat="false" ht="15" hidden="false" customHeight="false" outlineLevel="0" collapsed="false">
      <c r="A81" s="26" t="str">
        <f aca="false">IF($B81="","","RES-"&amp;TEXT(ROW()-4,"000"))</f>
        <v/>
      </c>
      <c r="B81" s="24"/>
      <c r="C81" s="25"/>
      <c r="D81" s="24"/>
      <c r="E81" s="24"/>
      <c r="F81" s="29"/>
      <c r="G81" s="24"/>
      <c r="H81" s="24"/>
      <c r="I81" s="24"/>
      <c r="J81" s="24"/>
      <c r="K81" s="24"/>
      <c r="L81" s="26" t="str">
        <f aca="false">IF($B81="","",IFERROR(INDEX(ST_LOT,MATCH($B81,ST_ID,0)),""))</f>
        <v/>
      </c>
      <c r="M81" s="26" t="str">
        <f aca="false">IF($B81="","",IFERROR(INDEX(ST_STRAIT,MATCH($B81,ST_ID,0)),""))</f>
        <v/>
      </c>
      <c r="N81" s="26" t="str">
        <f aca="false">IF($B81="","",IF($E81="",$L81,$E81))</f>
        <v/>
      </c>
      <c r="O81" s="26" t="str">
        <f aca="false">IF($J81="","",IFERROR(INDEX(EMPL_CLASSE,MATCH($J81,EMPL_KEY,0)),"?"))</f>
        <v/>
      </c>
      <c r="P81" s="28" t="n">
        <f aca="false">IF($B81="",0,IF(OR(ISNA(MATCH($B81,ST_ID,0)),NOT(ISNUMBER($F81)),$F81&lt;=0,$J81="",$N81=""),0,1))</f>
        <v>0</v>
      </c>
      <c r="Q81" s="27" t="n">
        <f aca="false">IF($P81=0,0,$F81)</f>
        <v>0</v>
      </c>
      <c r="R81" s="26" t="str">
        <f aca="false">IF($B81="","",IFERROR(INDEX(ST_STATUT,MATCH($B81,ST_ID,0)),""))</f>
        <v/>
      </c>
      <c r="S81" s="26" t="str">
        <f aca="false">IF($B81="","",IF($P81=0,"DONNEES MANQUANTES",IF(OR($R81="DONNEES MANQUANTES",$R81="STOCK INSUFFISANT",$R81="EMPLACEMENT INCOHERENT",$R81="BLOQUE"),"BLOQUE","OK")))</f>
        <v/>
      </c>
      <c r="T81" s="28" t="n">
        <f aca="false">IF($S81="OK",1,0)</f>
        <v>0</v>
      </c>
      <c r="U81" s="26" t="str">
        <f aca="false">IF($B81="","",IF($P81=0,"A COMPLETER : "&amp;IF(ISNA(MATCH($B81,ST_ID,0)),"ID ST valide; ","")&amp;IF(OR(NOT(ISNUMBER($F81)),$F81&lt;=0),"QUANTITE &gt; 0; ","")&amp;IF($J81="","EMPL. DESTINATION; ",""),IF($S81="BLOQUE","Envoi parent en anomalie ("&amp;$R81&amp;") : corriger l'onglet SOUS_TRAITANCE.",IF(AND($E81&lt;&gt;"",ISNA(MATCH($E81,LOT_KEY,0))),"Creer la fiche du lot resultat dans l'onglet LOTS.",""))))</f>
        <v/>
      </c>
      <c r="V81" s="31" t="str">
        <f aca="false">IF($B81="","",IF($C81&lt;&gt;"",$C81,IFERROR(INDEX(ST_DATERET,MATCH($B81,ST_ID,0)),"")))</f>
        <v/>
      </c>
      <c r="W81" s="26" t="str">
        <f aca="false">IF($P81=0,"",IF($L81=R_LOT,IF($N81&lt;&gt;R_LOT,$N81,""),IF($N81=R_LOT,$L81,"")))</f>
        <v/>
      </c>
      <c r="X81" s="26" t="str">
        <f aca="false">IF($W81="","",IF(COUNTIF($W$4:$W80,$W81)&gt;0,"",COUNT($X$4:$X80)+1))</f>
        <v/>
      </c>
      <c r="Y81" s="26" t="n">
        <f aca="false">IF($P81=0,0,IF(OR($L81=R_LOT,$N81=R_LOT),1,0))</f>
        <v>0</v>
      </c>
      <c r="Z81" s="26" t="str">
        <f aca="false">IF($Y81=0,"",COUNTIF($Y$5:$Y81,1))</f>
        <v/>
      </c>
    </row>
    <row r="82" customFormat="false" ht="15" hidden="false" customHeight="false" outlineLevel="0" collapsed="false">
      <c r="A82" s="26" t="str">
        <f aca="false">IF($B82="","","RES-"&amp;TEXT(ROW()-4,"000"))</f>
        <v/>
      </c>
      <c r="B82" s="24"/>
      <c r="C82" s="25"/>
      <c r="D82" s="24"/>
      <c r="E82" s="24"/>
      <c r="F82" s="29"/>
      <c r="G82" s="24"/>
      <c r="H82" s="24"/>
      <c r="I82" s="24"/>
      <c r="J82" s="24"/>
      <c r="K82" s="24"/>
      <c r="L82" s="26" t="str">
        <f aca="false">IF($B82="","",IFERROR(INDEX(ST_LOT,MATCH($B82,ST_ID,0)),""))</f>
        <v/>
      </c>
      <c r="M82" s="26" t="str">
        <f aca="false">IF($B82="","",IFERROR(INDEX(ST_STRAIT,MATCH($B82,ST_ID,0)),""))</f>
        <v/>
      </c>
      <c r="N82" s="26" t="str">
        <f aca="false">IF($B82="","",IF($E82="",$L82,$E82))</f>
        <v/>
      </c>
      <c r="O82" s="26" t="str">
        <f aca="false">IF($J82="","",IFERROR(INDEX(EMPL_CLASSE,MATCH($J82,EMPL_KEY,0)),"?"))</f>
        <v/>
      </c>
      <c r="P82" s="28" t="n">
        <f aca="false">IF($B82="",0,IF(OR(ISNA(MATCH($B82,ST_ID,0)),NOT(ISNUMBER($F82)),$F82&lt;=0,$J82="",$N82=""),0,1))</f>
        <v>0</v>
      </c>
      <c r="Q82" s="27" t="n">
        <f aca="false">IF($P82=0,0,$F82)</f>
        <v>0</v>
      </c>
      <c r="R82" s="26" t="str">
        <f aca="false">IF($B82="","",IFERROR(INDEX(ST_STATUT,MATCH($B82,ST_ID,0)),""))</f>
        <v/>
      </c>
      <c r="S82" s="26" t="str">
        <f aca="false">IF($B82="","",IF($P82=0,"DONNEES MANQUANTES",IF(OR($R82="DONNEES MANQUANTES",$R82="STOCK INSUFFISANT",$R82="EMPLACEMENT INCOHERENT",$R82="BLOQUE"),"BLOQUE","OK")))</f>
        <v/>
      </c>
      <c r="T82" s="28" t="n">
        <f aca="false">IF($S82="OK",1,0)</f>
        <v>0</v>
      </c>
      <c r="U82" s="26" t="str">
        <f aca="false">IF($B82="","",IF($P82=0,"A COMPLETER : "&amp;IF(ISNA(MATCH($B82,ST_ID,0)),"ID ST valide; ","")&amp;IF(OR(NOT(ISNUMBER($F82)),$F82&lt;=0),"QUANTITE &gt; 0; ","")&amp;IF($J82="","EMPL. DESTINATION; ",""),IF($S82="BLOQUE","Envoi parent en anomalie ("&amp;$R82&amp;") : corriger l'onglet SOUS_TRAITANCE.",IF(AND($E82&lt;&gt;"",ISNA(MATCH($E82,LOT_KEY,0))),"Creer la fiche du lot resultat dans l'onglet LOTS.",""))))</f>
        <v/>
      </c>
      <c r="V82" s="31" t="str">
        <f aca="false">IF($B82="","",IF($C82&lt;&gt;"",$C82,IFERROR(INDEX(ST_DATERET,MATCH($B82,ST_ID,0)),"")))</f>
        <v/>
      </c>
      <c r="W82" s="26" t="str">
        <f aca="false">IF($P82=0,"",IF($L82=R_LOT,IF($N82&lt;&gt;R_LOT,$N82,""),IF($N82=R_LOT,$L82,"")))</f>
        <v/>
      </c>
      <c r="X82" s="26" t="str">
        <f aca="false">IF($W82="","",IF(COUNTIF($W$4:$W81,$W82)&gt;0,"",COUNT($X$4:$X81)+1))</f>
        <v/>
      </c>
      <c r="Y82" s="26" t="n">
        <f aca="false">IF($P82=0,0,IF(OR($L82=R_LOT,$N82=R_LOT),1,0))</f>
        <v>0</v>
      </c>
      <c r="Z82" s="26" t="str">
        <f aca="false">IF($Y82=0,"",COUNTIF($Y$5:$Y82,1))</f>
        <v/>
      </c>
    </row>
    <row r="83" customFormat="false" ht="15" hidden="false" customHeight="false" outlineLevel="0" collapsed="false">
      <c r="A83" s="26" t="str">
        <f aca="false">IF($B83="","","RES-"&amp;TEXT(ROW()-4,"000"))</f>
        <v/>
      </c>
      <c r="B83" s="24"/>
      <c r="C83" s="25"/>
      <c r="D83" s="24"/>
      <c r="E83" s="24"/>
      <c r="F83" s="29"/>
      <c r="G83" s="24"/>
      <c r="H83" s="24"/>
      <c r="I83" s="24"/>
      <c r="J83" s="24"/>
      <c r="K83" s="24"/>
      <c r="L83" s="26" t="str">
        <f aca="false">IF($B83="","",IFERROR(INDEX(ST_LOT,MATCH($B83,ST_ID,0)),""))</f>
        <v/>
      </c>
      <c r="M83" s="26" t="str">
        <f aca="false">IF($B83="","",IFERROR(INDEX(ST_STRAIT,MATCH($B83,ST_ID,0)),""))</f>
        <v/>
      </c>
      <c r="N83" s="26" t="str">
        <f aca="false">IF($B83="","",IF($E83="",$L83,$E83))</f>
        <v/>
      </c>
      <c r="O83" s="26" t="str">
        <f aca="false">IF($J83="","",IFERROR(INDEX(EMPL_CLASSE,MATCH($J83,EMPL_KEY,0)),"?"))</f>
        <v/>
      </c>
      <c r="P83" s="28" t="n">
        <f aca="false">IF($B83="",0,IF(OR(ISNA(MATCH($B83,ST_ID,0)),NOT(ISNUMBER($F83)),$F83&lt;=0,$J83="",$N83=""),0,1))</f>
        <v>0</v>
      </c>
      <c r="Q83" s="27" t="n">
        <f aca="false">IF($P83=0,0,$F83)</f>
        <v>0</v>
      </c>
      <c r="R83" s="26" t="str">
        <f aca="false">IF($B83="","",IFERROR(INDEX(ST_STATUT,MATCH($B83,ST_ID,0)),""))</f>
        <v/>
      </c>
      <c r="S83" s="26" t="str">
        <f aca="false">IF($B83="","",IF($P83=0,"DONNEES MANQUANTES",IF(OR($R83="DONNEES MANQUANTES",$R83="STOCK INSUFFISANT",$R83="EMPLACEMENT INCOHERENT",$R83="BLOQUE"),"BLOQUE","OK")))</f>
        <v/>
      </c>
      <c r="T83" s="28" t="n">
        <f aca="false">IF($S83="OK",1,0)</f>
        <v>0</v>
      </c>
      <c r="U83" s="26" t="str">
        <f aca="false">IF($B83="","",IF($P83=0,"A COMPLETER : "&amp;IF(ISNA(MATCH($B83,ST_ID,0)),"ID ST valide; ","")&amp;IF(OR(NOT(ISNUMBER($F83)),$F83&lt;=0),"QUANTITE &gt; 0; ","")&amp;IF($J83="","EMPL. DESTINATION; ",""),IF($S83="BLOQUE","Envoi parent en anomalie ("&amp;$R83&amp;") : corriger l'onglet SOUS_TRAITANCE.",IF(AND($E83&lt;&gt;"",ISNA(MATCH($E83,LOT_KEY,0))),"Creer la fiche du lot resultat dans l'onglet LOTS.",""))))</f>
        <v/>
      </c>
      <c r="V83" s="31" t="str">
        <f aca="false">IF($B83="","",IF($C83&lt;&gt;"",$C83,IFERROR(INDEX(ST_DATERET,MATCH($B83,ST_ID,0)),"")))</f>
        <v/>
      </c>
      <c r="W83" s="26" t="str">
        <f aca="false">IF($P83=0,"",IF($L83=R_LOT,IF($N83&lt;&gt;R_LOT,$N83,""),IF($N83=R_LOT,$L83,"")))</f>
        <v/>
      </c>
      <c r="X83" s="26" t="str">
        <f aca="false">IF($W83="","",IF(COUNTIF($W$4:$W82,$W83)&gt;0,"",COUNT($X$4:$X82)+1))</f>
        <v/>
      </c>
      <c r="Y83" s="26" t="n">
        <f aca="false">IF($P83=0,0,IF(OR($L83=R_LOT,$N83=R_LOT),1,0))</f>
        <v>0</v>
      </c>
      <c r="Z83" s="26" t="str">
        <f aca="false">IF($Y83=0,"",COUNTIF($Y$5:$Y83,1))</f>
        <v/>
      </c>
    </row>
    <row r="84" customFormat="false" ht="15" hidden="false" customHeight="false" outlineLevel="0" collapsed="false">
      <c r="A84" s="26" t="str">
        <f aca="false">IF($B84="","","RES-"&amp;TEXT(ROW()-4,"000"))</f>
        <v/>
      </c>
      <c r="B84" s="24"/>
      <c r="C84" s="25"/>
      <c r="D84" s="24"/>
      <c r="E84" s="24"/>
      <c r="F84" s="29"/>
      <c r="G84" s="24"/>
      <c r="H84" s="24"/>
      <c r="I84" s="24"/>
      <c r="J84" s="24"/>
      <c r="K84" s="24"/>
      <c r="L84" s="26" t="str">
        <f aca="false">IF($B84="","",IFERROR(INDEX(ST_LOT,MATCH($B84,ST_ID,0)),""))</f>
        <v/>
      </c>
      <c r="M84" s="26" t="str">
        <f aca="false">IF($B84="","",IFERROR(INDEX(ST_STRAIT,MATCH($B84,ST_ID,0)),""))</f>
        <v/>
      </c>
      <c r="N84" s="26" t="str">
        <f aca="false">IF($B84="","",IF($E84="",$L84,$E84))</f>
        <v/>
      </c>
      <c r="O84" s="26" t="str">
        <f aca="false">IF($J84="","",IFERROR(INDEX(EMPL_CLASSE,MATCH($J84,EMPL_KEY,0)),"?"))</f>
        <v/>
      </c>
      <c r="P84" s="28" t="n">
        <f aca="false">IF($B84="",0,IF(OR(ISNA(MATCH($B84,ST_ID,0)),NOT(ISNUMBER($F84)),$F84&lt;=0,$J84="",$N84=""),0,1))</f>
        <v>0</v>
      </c>
      <c r="Q84" s="27" t="n">
        <f aca="false">IF($P84=0,0,$F84)</f>
        <v>0</v>
      </c>
      <c r="R84" s="26" t="str">
        <f aca="false">IF($B84="","",IFERROR(INDEX(ST_STATUT,MATCH($B84,ST_ID,0)),""))</f>
        <v/>
      </c>
      <c r="S84" s="26" t="str">
        <f aca="false">IF($B84="","",IF($P84=0,"DONNEES MANQUANTES",IF(OR($R84="DONNEES MANQUANTES",$R84="STOCK INSUFFISANT",$R84="EMPLACEMENT INCOHERENT",$R84="BLOQUE"),"BLOQUE","OK")))</f>
        <v/>
      </c>
      <c r="T84" s="28" t="n">
        <f aca="false">IF($S84="OK",1,0)</f>
        <v>0</v>
      </c>
      <c r="U84" s="26" t="str">
        <f aca="false">IF($B84="","",IF($P84=0,"A COMPLETER : "&amp;IF(ISNA(MATCH($B84,ST_ID,0)),"ID ST valide; ","")&amp;IF(OR(NOT(ISNUMBER($F84)),$F84&lt;=0),"QUANTITE &gt; 0; ","")&amp;IF($J84="","EMPL. DESTINATION; ",""),IF($S84="BLOQUE","Envoi parent en anomalie ("&amp;$R84&amp;") : corriger l'onglet SOUS_TRAITANCE.",IF(AND($E84&lt;&gt;"",ISNA(MATCH($E84,LOT_KEY,0))),"Creer la fiche du lot resultat dans l'onglet LOTS.",""))))</f>
        <v/>
      </c>
      <c r="V84" s="31" t="str">
        <f aca="false">IF($B84="","",IF($C84&lt;&gt;"",$C84,IFERROR(INDEX(ST_DATERET,MATCH($B84,ST_ID,0)),"")))</f>
        <v/>
      </c>
      <c r="W84" s="26" t="str">
        <f aca="false">IF($P84=0,"",IF($L84=R_LOT,IF($N84&lt;&gt;R_LOT,$N84,""),IF($N84=R_LOT,$L84,"")))</f>
        <v/>
      </c>
      <c r="X84" s="26" t="str">
        <f aca="false">IF($W84="","",IF(COUNTIF($W$4:$W83,$W84)&gt;0,"",COUNT($X$4:$X83)+1))</f>
        <v/>
      </c>
      <c r="Y84" s="26" t="n">
        <f aca="false">IF($P84=0,0,IF(OR($L84=R_LOT,$N84=R_LOT),1,0))</f>
        <v>0</v>
      </c>
      <c r="Z84" s="26" t="str">
        <f aca="false">IF($Y84=0,"",COUNTIF($Y$5:$Y84,1))</f>
        <v/>
      </c>
    </row>
    <row r="85" customFormat="false" ht="15" hidden="false" customHeight="false" outlineLevel="0" collapsed="false">
      <c r="A85" s="26" t="str">
        <f aca="false">IF($B85="","","RES-"&amp;TEXT(ROW()-4,"000"))</f>
        <v/>
      </c>
      <c r="B85" s="24"/>
      <c r="C85" s="25"/>
      <c r="D85" s="24"/>
      <c r="E85" s="24"/>
      <c r="F85" s="29"/>
      <c r="G85" s="24"/>
      <c r="H85" s="24"/>
      <c r="I85" s="24"/>
      <c r="J85" s="24"/>
      <c r="K85" s="24"/>
      <c r="L85" s="26" t="str">
        <f aca="false">IF($B85="","",IFERROR(INDEX(ST_LOT,MATCH($B85,ST_ID,0)),""))</f>
        <v/>
      </c>
      <c r="M85" s="26" t="str">
        <f aca="false">IF($B85="","",IFERROR(INDEX(ST_STRAIT,MATCH($B85,ST_ID,0)),""))</f>
        <v/>
      </c>
      <c r="N85" s="26" t="str">
        <f aca="false">IF($B85="","",IF($E85="",$L85,$E85))</f>
        <v/>
      </c>
      <c r="O85" s="26" t="str">
        <f aca="false">IF($J85="","",IFERROR(INDEX(EMPL_CLASSE,MATCH($J85,EMPL_KEY,0)),"?"))</f>
        <v/>
      </c>
      <c r="P85" s="28" t="n">
        <f aca="false">IF($B85="",0,IF(OR(ISNA(MATCH($B85,ST_ID,0)),NOT(ISNUMBER($F85)),$F85&lt;=0,$J85="",$N85=""),0,1))</f>
        <v>0</v>
      </c>
      <c r="Q85" s="27" t="n">
        <f aca="false">IF($P85=0,0,$F85)</f>
        <v>0</v>
      </c>
      <c r="R85" s="26" t="str">
        <f aca="false">IF($B85="","",IFERROR(INDEX(ST_STATUT,MATCH($B85,ST_ID,0)),""))</f>
        <v/>
      </c>
      <c r="S85" s="26" t="str">
        <f aca="false">IF($B85="","",IF($P85=0,"DONNEES MANQUANTES",IF(OR($R85="DONNEES MANQUANTES",$R85="STOCK INSUFFISANT",$R85="EMPLACEMENT INCOHERENT",$R85="BLOQUE"),"BLOQUE","OK")))</f>
        <v/>
      </c>
      <c r="T85" s="28" t="n">
        <f aca="false">IF($S85="OK",1,0)</f>
        <v>0</v>
      </c>
      <c r="U85" s="26" t="str">
        <f aca="false">IF($B85="","",IF($P85=0,"A COMPLETER : "&amp;IF(ISNA(MATCH($B85,ST_ID,0)),"ID ST valide; ","")&amp;IF(OR(NOT(ISNUMBER($F85)),$F85&lt;=0),"QUANTITE &gt; 0; ","")&amp;IF($J85="","EMPL. DESTINATION; ",""),IF($S85="BLOQUE","Envoi parent en anomalie ("&amp;$R85&amp;") : corriger l'onglet SOUS_TRAITANCE.",IF(AND($E85&lt;&gt;"",ISNA(MATCH($E85,LOT_KEY,0))),"Creer la fiche du lot resultat dans l'onglet LOTS.",""))))</f>
        <v/>
      </c>
      <c r="V85" s="31" t="str">
        <f aca="false">IF($B85="","",IF($C85&lt;&gt;"",$C85,IFERROR(INDEX(ST_DATERET,MATCH($B85,ST_ID,0)),"")))</f>
        <v/>
      </c>
      <c r="W85" s="26" t="str">
        <f aca="false">IF($P85=0,"",IF($L85=R_LOT,IF($N85&lt;&gt;R_LOT,$N85,""),IF($N85=R_LOT,$L85,"")))</f>
        <v/>
      </c>
      <c r="X85" s="26" t="str">
        <f aca="false">IF($W85="","",IF(COUNTIF($W$4:$W84,$W85)&gt;0,"",COUNT($X$4:$X84)+1))</f>
        <v/>
      </c>
      <c r="Y85" s="26" t="n">
        <f aca="false">IF($P85=0,0,IF(OR($L85=R_LOT,$N85=R_LOT),1,0))</f>
        <v>0</v>
      </c>
      <c r="Z85" s="26" t="str">
        <f aca="false">IF($Y85=0,"",COUNTIF($Y$5:$Y85,1))</f>
        <v/>
      </c>
    </row>
    <row r="86" customFormat="false" ht="15" hidden="false" customHeight="false" outlineLevel="0" collapsed="false">
      <c r="A86" s="26" t="str">
        <f aca="false">IF($B86="","","RES-"&amp;TEXT(ROW()-4,"000"))</f>
        <v/>
      </c>
      <c r="B86" s="24"/>
      <c r="C86" s="25"/>
      <c r="D86" s="24"/>
      <c r="E86" s="24"/>
      <c r="F86" s="29"/>
      <c r="G86" s="24"/>
      <c r="H86" s="24"/>
      <c r="I86" s="24"/>
      <c r="J86" s="24"/>
      <c r="K86" s="24"/>
      <c r="L86" s="26" t="str">
        <f aca="false">IF($B86="","",IFERROR(INDEX(ST_LOT,MATCH($B86,ST_ID,0)),""))</f>
        <v/>
      </c>
      <c r="M86" s="26" t="str">
        <f aca="false">IF($B86="","",IFERROR(INDEX(ST_STRAIT,MATCH($B86,ST_ID,0)),""))</f>
        <v/>
      </c>
      <c r="N86" s="26" t="str">
        <f aca="false">IF($B86="","",IF($E86="",$L86,$E86))</f>
        <v/>
      </c>
      <c r="O86" s="26" t="str">
        <f aca="false">IF($J86="","",IFERROR(INDEX(EMPL_CLASSE,MATCH($J86,EMPL_KEY,0)),"?"))</f>
        <v/>
      </c>
      <c r="P86" s="28" t="n">
        <f aca="false">IF($B86="",0,IF(OR(ISNA(MATCH($B86,ST_ID,0)),NOT(ISNUMBER($F86)),$F86&lt;=0,$J86="",$N86=""),0,1))</f>
        <v>0</v>
      </c>
      <c r="Q86" s="27" t="n">
        <f aca="false">IF($P86=0,0,$F86)</f>
        <v>0</v>
      </c>
      <c r="R86" s="26" t="str">
        <f aca="false">IF($B86="","",IFERROR(INDEX(ST_STATUT,MATCH($B86,ST_ID,0)),""))</f>
        <v/>
      </c>
      <c r="S86" s="26" t="str">
        <f aca="false">IF($B86="","",IF($P86=0,"DONNEES MANQUANTES",IF(OR($R86="DONNEES MANQUANTES",$R86="STOCK INSUFFISANT",$R86="EMPLACEMENT INCOHERENT",$R86="BLOQUE"),"BLOQUE","OK")))</f>
        <v/>
      </c>
      <c r="T86" s="28" t="n">
        <f aca="false">IF($S86="OK",1,0)</f>
        <v>0</v>
      </c>
      <c r="U86" s="26" t="str">
        <f aca="false">IF($B86="","",IF($P86=0,"A COMPLETER : "&amp;IF(ISNA(MATCH($B86,ST_ID,0)),"ID ST valide; ","")&amp;IF(OR(NOT(ISNUMBER($F86)),$F86&lt;=0),"QUANTITE &gt; 0; ","")&amp;IF($J86="","EMPL. DESTINATION; ",""),IF($S86="BLOQUE","Envoi parent en anomalie ("&amp;$R86&amp;") : corriger l'onglet SOUS_TRAITANCE.",IF(AND($E86&lt;&gt;"",ISNA(MATCH($E86,LOT_KEY,0))),"Creer la fiche du lot resultat dans l'onglet LOTS.",""))))</f>
        <v/>
      </c>
      <c r="V86" s="31" t="str">
        <f aca="false">IF($B86="","",IF($C86&lt;&gt;"",$C86,IFERROR(INDEX(ST_DATERET,MATCH($B86,ST_ID,0)),"")))</f>
        <v/>
      </c>
      <c r="W86" s="26" t="str">
        <f aca="false">IF($P86=0,"",IF($L86=R_LOT,IF($N86&lt;&gt;R_LOT,$N86,""),IF($N86=R_LOT,$L86,"")))</f>
        <v/>
      </c>
      <c r="X86" s="26" t="str">
        <f aca="false">IF($W86="","",IF(COUNTIF($W$4:$W85,$W86)&gt;0,"",COUNT($X$4:$X85)+1))</f>
        <v/>
      </c>
      <c r="Y86" s="26" t="n">
        <f aca="false">IF($P86=0,0,IF(OR($L86=R_LOT,$N86=R_LOT),1,0))</f>
        <v>0</v>
      </c>
      <c r="Z86" s="26" t="str">
        <f aca="false">IF($Y86=0,"",COUNTIF($Y$5:$Y86,1))</f>
        <v/>
      </c>
    </row>
    <row r="87" customFormat="false" ht="15" hidden="false" customHeight="false" outlineLevel="0" collapsed="false">
      <c r="A87" s="26" t="str">
        <f aca="false">IF($B87="","","RES-"&amp;TEXT(ROW()-4,"000"))</f>
        <v/>
      </c>
      <c r="B87" s="24"/>
      <c r="C87" s="25"/>
      <c r="D87" s="24"/>
      <c r="E87" s="24"/>
      <c r="F87" s="29"/>
      <c r="G87" s="24"/>
      <c r="H87" s="24"/>
      <c r="I87" s="24"/>
      <c r="J87" s="24"/>
      <c r="K87" s="24"/>
      <c r="L87" s="26" t="str">
        <f aca="false">IF($B87="","",IFERROR(INDEX(ST_LOT,MATCH($B87,ST_ID,0)),""))</f>
        <v/>
      </c>
      <c r="M87" s="26" t="str">
        <f aca="false">IF($B87="","",IFERROR(INDEX(ST_STRAIT,MATCH($B87,ST_ID,0)),""))</f>
        <v/>
      </c>
      <c r="N87" s="26" t="str">
        <f aca="false">IF($B87="","",IF($E87="",$L87,$E87))</f>
        <v/>
      </c>
      <c r="O87" s="26" t="str">
        <f aca="false">IF($J87="","",IFERROR(INDEX(EMPL_CLASSE,MATCH($J87,EMPL_KEY,0)),"?"))</f>
        <v/>
      </c>
      <c r="P87" s="28" t="n">
        <f aca="false">IF($B87="",0,IF(OR(ISNA(MATCH($B87,ST_ID,0)),NOT(ISNUMBER($F87)),$F87&lt;=0,$J87="",$N87=""),0,1))</f>
        <v>0</v>
      </c>
      <c r="Q87" s="27" t="n">
        <f aca="false">IF($P87=0,0,$F87)</f>
        <v>0</v>
      </c>
      <c r="R87" s="26" t="str">
        <f aca="false">IF($B87="","",IFERROR(INDEX(ST_STATUT,MATCH($B87,ST_ID,0)),""))</f>
        <v/>
      </c>
      <c r="S87" s="26" t="str">
        <f aca="false">IF($B87="","",IF($P87=0,"DONNEES MANQUANTES",IF(OR($R87="DONNEES MANQUANTES",$R87="STOCK INSUFFISANT",$R87="EMPLACEMENT INCOHERENT",$R87="BLOQUE"),"BLOQUE","OK")))</f>
        <v/>
      </c>
      <c r="T87" s="28" t="n">
        <f aca="false">IF($S87="OK",1,0)</f>
        <v>0</v>
      </c>
      <c r="U87" s="26" t="str">
        <f aca="false">IF($B87="","",IF($P87=0,"A COMPLETER : "&amp;IF(ISNA(MATCH($B87,ST_ID,0)),"ID ST valide; ","")&amp;IF(OR(NOT(ISNUMBER($F87)),$F87&lt;=0),"QUANTITE &gt; 0; ","")&amp;IF($J87="","EMPL. DESTINATION; ",""),IF($S87="BLOQUE","Envoi parent en anomalie ("&amp;$R87&amp;") : corriger l'onglet SOUS_TRAITANCE.",IF(AND($E87&lt;&gt;"",ISNA(MATCH($E87,LOT_KEY,0))),"Creer la fiche du lot resultat dans l'onglet LOTS.",""))))</f>
        <v/>
      </c>
      <c r="V87" s="31" t="str">
        <f aca="false">IF($B87="","",IF($C87&lt;&gt;"",$C87,IFERROR(INDEX(ST_DATERET,MATCH($B87,ST_ID,0)),"")))</f>
        <v/>
      </c>
      <c r="W87" s="26" t="str">
        <f aca="false">IF($P87=0,"",IF($L87=R_LOT,IF($N87&lt;&gt;R_LOT,$N87,""),IF($N87=R_LOT,$L87,"")))</f>
        <v/>
      </c>
      <c r="X87" s="26" t="str">
        <f aca="false">IF($W87="","",IF(COUNTIF($W$4:$W86,$W87)&gt;0,"",COUNT($X$4:$X86)+1))</f>
        <v/>
      </c>
      <c r="Y87" s="26" t="n">
        <f aca="false">IF($P87=0,0,IF(OR($L87=R_LOT,$N87=R_LOT),1,0))</f>
        <v>0</v>
      </c>
      <c r="Z87" s="26" t="str">
        <f aca="false">IF($Y87=0,"",COUNTIF($Y$5:$Y87,1))</f>
        <v/>
      </c>
    </row>
    <row r="88" customFormat="false" ht="15" hidden="false" customHeight="false" outlineLevel="0" collapsed="false">
      <c r="A88" s="26" t="str">
        <f aca="false">IF($B88="","","RES-"&amp;TEXT(ROW()-4,"000"))</f>
        <v/>
      </c>
      <c r="B88" s="24"/>
      <c r="C88" s="25"/>
      <c r="D88" s="24"/>
      <c r="E88" s="24"/>
      <c r="F88" s="29"/>
      <c r="G88" s="24"/>
      <c r="H88" s="24"/>
      <c r="I88" s="24"/>
      <c r="J88" s="24"/>
      <c r="K88" s="24"/>
      <c r="L88" s="26" t="str">
        <f aca="false">IF($B88="","",IFERROR(INDEX(ST_LOT,MATCH($B88,ST_ID,0)),""))</f>
        <v/>
      </c>
      <c r="M88" s="26" t="str">
        <f aca="false">IF($B88="","",IFERROR(INDEX(ST_STRAIT,MATCH($B88,ST_ID,0)),""))</f>
        <v/>
      </c>
      <c r="N88" s="26" t="str">
        <f aca="false">IF($B88="","",IF($E88="",$L88,$E88))</f>
        <v/>
      </c>
      <c r="O88" s="26" t="str">
        <f aca="false">IF($J88="","",IFERROR(INDEX(EMPL_CLASSE,MATCH($J88,EMPL_KEY,0)),"?"))</f>
        <v/>
      </c>
      <c r="P88" s="28" t="n">
        <f aca="false">IF($B88="",0,IF(OR(ISNA(MATCH($B88,ST_ID,0)),NOT(ISNUMBER($F88)),$F88&lt;=0,$J88="",$N88=""),0,1))</f>
        <v>0</v>
      </c>
      <c r="Q88" s="27" t="n">
        <f aca="false">IF($P88=0,0,$F88)</f>
        <v>0</v>
      </c>
      <c r="R88" s="26" t="str">
        <f aca="false">IF($B88="","",IFERROR(INDEX(ST_STATUT,MATCH($B88,ST_ID,0)),""))</f>
        <v/>
      </c>
      <c r="S88" s="26" t="str">
        <f aca="false">IF($B88="","",IF($P88=0,"DONNEES MANQUANTES",IF(OR($R88="DONNEES MANQUANTES",$R88="STOCK INSUFFISANT",$R88="EMPLACEMENT INCOHERENT",$R88="BLOQUE"),"BLOQUE","OK")))</f>
        <v/>
      </c>
      <c r="T88" s="28" t="n">
        <f aca="false">IF($S88="OK",1,0)</f>
        <v>0</v>
      </c>
      <c r="U88" s="26" t="str">
        <f aca="false">IF($B88="","",IF($P88=0,"A COMPLETER : "&amp;IF(ISNA(MATCH($B88,ST_ID,0)),"ID ST valide; ","")&amp;IF(OR(NOT(ISNUMBER($F88)),$F88&lt;=0),"QUANTITE &gt; 0; ","")&amp;IF($J88="","EMPL. DESTINATION; ",""),IF($S88="BLOQUE","Envoi parent en anomalie ("&amp;$R88&amp;") : corriger l'onglet SOUS_TRAITANCE.",IF(AND($E88&lt;&gt;"",ISNA(MATCH($E88,LOT_KEY,0))),"Creer la fiche du lot resultat dans l'onglet LOTS.",""))))</f>
        <v/>
      </c>
      <c r="V88" s="31" t="str">
        <f aca="false">IF($B88="","",IF($C88&lt;&gt;"",$C88,IFERROR(INDEX(ST_DATERET,MATCH($B88,ST_ID,0)),"")))</f>
        <v/>
      </c>
      <c r="W88" s="26" t="str">
        <f aca="false">IF($P88=0,"",IF($L88=R_LOT,IF($N88&lt;&gt;R_LOT,$N88,""),IF($N88=R_LOT,$L88,"")))</f>
        <v/>
      </c>
      <c r="X88" s="26" t="str">
        <f aca="false">IF($W88="","",IF(COUNTIF($W$4:$W87,$W88)&gt;0,"",COUNT($X$4:$X87)+1))</f>
        <v/>
      </c>
      <c r="Y88" s="26" t="n">
        <f aca="false">IF($P88=0,0,IF(OR($L88=R_LOT,$N88=R_LOT),1,0))</f>
        <v>0</v>
      </c>
      <c r="Z88" s="26" t="str">
        <f aca="false">IF($Y88=0,"",COUNTIF($Y$5:$Y88,1))</f>
        <v/>
      </c>
    </row>
    <row r="89" customFormat="false" ht="15" hidden="false" customHeight="false" outlineLevel="0" collapsed="false">
      <c r="A89" s="26" t="str">
        <f aca="false">IF($B89="","","RES-"&amp;TEXT(ROW()-4,"000"))</f>
        <v/>
      </c>
      <c r="B89" s="24"/>
      <c r="C89" s="25"/>
      <c r="D89" s="24"/>
      <c r="E89" s="24"/>
      <c r="F89" s="29"/>
      <c r="G89" s="24"/>
      <c r="H89" s="24"/>
      <c r="I89" s="24"/>
      <c r="J89" s="24"/>
      <c r="K89" s="24"/>
      <c r="L89" s="26" t="str">
        <f aca="false">IF($B89="","",IFERROR(INDEX(ST_LOT,MATCH($B89,ST_ID,0)),""))</f>
        <v/>
      </c>
      <c r="M89" s="26" t="str">
        <f aca="false">IF($B89="","",IFERROR(INDEX(ST_STRAIT,MATCH($B89,ST_ID,0)),""))</f>
        <v/>
      </c>
      <c r="N89" s="26" t="str">
        <f aca="false">IF($B89="","",IF($E89="",$L89,$E89))</f>
        <v/>
      </c>
      <c r="O89" s="26" t="str">
        <f aca="false">IF($J89="","",IFERROR(INDEX(EMPL_CLASSE,MATCH($J89,EMPL_KEY,0)),"?"))</f>
        <v/>
      </c>
      <c r="P89" s="28" t="n">
        <f aca="false">IF($B89="",0,IF(OR(ISNA(MATCH($B89,ST_ID,0)),NOT(ISNUMBER($F89)),$F89&lt;=0,$J89="",$N89=""),0,1))</f>
        <v>0</v>
      </c>
      <c r="Q89" s="27" t="n">
        <f aca="false">IF($P89=0,0,$F89)</f>
        <v>0</v>
      </c>
      <c r="R89" s="26" t="str">
        <f aca="false">IF($B89="","",IFERROR(INDEX(ST_STATUT,MATCH($B89,ST_ID,0)),""))</f>
        <v/>
      </c>
      <c r="S89" s="26" t="str">
        <f aca="false">IF($B89="","",IF($P89=0,"DONNEES MANQUANTES",IF(OR($R89="DONNEES MANQUANTES",$R89="STOCK INSUFFISANT",$R89="EMPLACEMENT INCOHERENT",$R89="BLOQUE"),"BLOQUE","OK")))</f>
        <v/>
      </c>
      <c r="T89" s="28" t="n">
        <f aca="false">IF($S89="OK",1,0)</f>
        <v>0</v>
      </c>
      <c r="U89" s="26" t="str">
        <f aca="false">IF($B89="","",IF($P89=0,"A COMPLETER : "&amp;IF(ISNA(MATCH($B89,ST_ID,0)),"ID ST valide; ","")&amp;IF(OR(NOT(ISNUMBER($F89)),$F89&lt;=0),"QUANTITE &gt; 0; ","")&amp;IF($J89="","EMPL. DESTINATION; ",""),IF($S89="BLOQUE","Envoi parent en anomalie ("&amp;$R89&amp;") : corriger l'onglet SOUS_TRAITANCE.",IF(AND($E89&lt;&gt;"",ISNA(MATCH($E89,LOT_KEY,0))),"Creer la fiche du lot resultat dans l'onglet LOTS.",""))))</f>
        <v/>
      </c>
      <c r="V89" s="31" t="str">
        <f aca="false">IF($B89="","",IF($C89&lt;&gt;"",$C89,IFERROR(INDEX(ST_DATERET,MATCH($B89,ST_ID,0)),"")))</f>
        <v/>
      </c>
      <c r="W89" s="26" t="str">
        <f aca="false">IF($P89=0,"",IF($L89=R_LOT,IF($N89&lt;&gt;R_LOT,$N89,""),IF($N89=R_LOT,$L89,"")))</f>
        <v/>
      </c>
      <c r="X89" s="26" t="str">
        <f aca="false">IF($W89="","",IF(COUNTIF($W$4:$W88,$W89)&gt;0,"",COUNT($X$4:$X88)+1))</f>
        <v/>
      </c>
      <c r="Y89" s="26" t="n">
        <f aca="false">IF($P89=0,0,IF(OR($L89=R_LOT,$N89=R_LOT),1,0))</f>
        <v>0</v>
      </c>
      <c r="Z89" s="26" t="str">
        <f aca="false">IF($Y89=0,"",COUNTIF($Y$5:$Y89,1))</f>
        <v/>
      </c>
    </row>
    <row r="90" customFormat="false" ht="15" hidden="false" customHeight="false" outlineLevel="0" collapsed="false">
      <c r="A90" s="26" t="str">
        <f aca="false">IF($B90="","","RES-"&amp;TEXT(ROW()-4,"000"))</f>
        <v/>
      </c>
      <c r="B90" s="24"/>
      <c r="C90" s="25"/>
      <c r="D90" s="24"/>
      <c r="E90" s="24"/>
      <c r="F90" s="29"/>
      <c r="G90" s="24"/>
      <c r="H90" s="24"/>
      <c r="I90" s="24"/>
      <c r="J90" s="24"/>
      <c r="K90" s="24"/>
      <c r="L90" s="26" t="str">
        <f aca="false">IF($B90="","",IFERROR(INDEX(ST_LOT,MATCH($B90,ST_ID,0)),""))</f>
        <v/>
      </c>
      <c r="M90" s="26" t="str">
        <f aca="false">IF($B90="","",IFERROR(INDEX(ST_STRAIT,MATCH($B90,ST_ID,0)),""))</f>
        <v/>
      </c>
      <c r="N90" s="26" t="str">
        <f aca="false">IF($B90="","",IF($E90="",$L90,$E90))</f>
        <v/>
      </c>
      <c r="O90" s="26" t="str">
        <f aca="false">IF($J90="","",IFERROR(INDEX(EMPL_CLASSE,MATCH($J90,EMPL_KEY,0)),"?"))</f>
        <v/>
      </c>
      <c r="P90" s="28" t="n">
        <f aca="false">IF($B90="",0,IF(OR(ISNA(MATCH($B90,ST_ID,0)),NOT(ISNUMBER($F90)),$F90&lt;=0,$J90="",$N90=""),0,1))</f>
        <v>0</v>
      </c>
      <c r="Q90" s="27" t="n">
        <f aca="false">IF($P90=0,0,$F90)</f>
        <v>0</v>
      </c>
      <c r="R90" s="26" t="str">
        <f aca="false">IF($B90="","",IFERROR(INDEX(ST_STATUT,MATCH($B90,ST_ID,0)),""))</f>
        <v/>
      </c>
      <c r="S90" s="26" t="str">
        <f aca="false">IF($B90="","",IF($P90=0,"DONNEES MANQUANTES",IF(OR($R90="DONNEES MANQUANTES",$R90="STOCK INSUFFISANT",$R90="EMPLACEMENT INCOHERENT",$R90="BLOQUE"),"BLOQUE","OK")))</f>
        <v/>
      </c>
      <c r="T90" s="28" t="n">
        <f aca="false">IF($S90="OK",1,0)</f>
        <v>0</v>
      </c>
      <c r="U90" s="26" t="str">
        <f aca="false">IF($B90="","",IF($P90=0,"A COMPLETER : "&amp;IF(ISNA(MATCH($B90,ST_ID,0)),"ID ST valide; ","")&amp;IF(OR(NOT(ISNUMBER($F90)),$F90&lt;=0),"QUANTITE &gt; 0; ","")&amp;IF($J90="","EMPL. DESTINATION; ",""),IF($S90="BLOQUE","Envoi parent en anomalie ("&amp;$R90&amp;") : corriger l'onglet SOUS_TRAITANCE.",IF(AND($E90&lt;&gt;"",ISNA(MATCH($E90,LOT_KEY,0))),"Creer la fiche du lot resultat dans l'onglet LOTS.",""))))</f>
        <v/>
      </c>
      <c r="V90" s="31" t="str">
        <f aca="false">IF($B90="","",IF($C90&lt;&gt;"",$C90,IFERROR(INDEX(ST_DATERET,MATCH($B90,ST_ID,0)),"")))</f>
        <v/>
      </c>
      <c r="W90" s="26" t="str">
        <f aca="false">IF($P90=0,"",IF($L90=R_LOT,IF($N90&lt;&gt;R_LOT,$N90,""),IF($N90=R_LOT,$L90,"")))</f>
        <v/>
      </c>
      <c r="X90" s="26" t="str">
        <f aca="false">IF($W90="","",IF(COUNTIF($W$4:$W89,$W90)&gt;0,"",COUNT($X$4:$X89)+1))</f>
        <v/>
      </c>
      <c r="Y90" s="26" t="n">
        <f aca="false">IF($P90=0,0,IF(OR($L90=R_LOT,$N90=R_LOT),1,0))</f>
        <v>0</v>
      </c>
      <c r="Z90" s="26" t="str">
        <f aca="false">IF($Y90=0,"",COUNTIF($Y$5:$Y90,1))</f>
        <v/>
      </c>
    </row>
    <row r="91" customFormat="false" ht="15" hidden="false" customHeight="false" outlineLevel="0" collapsed="false">
      <c r="A91" s="26" t="str">
        <f aca="false">IF($B91="","","RES-"&amp;TEXT(ROW()-4,"000"))</f>
        <v/>
      </c>
      <c r="B91" s="24"/>
      <c r="C91" s="25"/>
      <c r="D91" s="24"/>
      <c r="E91" s="24"/>
      <c r="F91" s="29"/>
      <c r="G91" s="24"/>
      <c r="H91" s="24"/>
      <c r="I91" s="24"/>
      <c r="J91" s="24"/>
      <c r="K91" s="24"/>
      <c r="L91" s="26" t="str">
        <f aca="false">IF($B91="","",IFERROR(INDEX(ST_LOT,MATCH($B91,ST_ID,0)),""))</f>
        <v/>
      </c>
      <c r="M91" s="26" t="str">
        <f aca="false">IF($B91="","",IFERROR(INDEX(ST_STRAIT,MATCH($B91,ST_ID,0)),""))</f>
        <v/>
      </c>
      <c r="N91" s="26" t="str">
        <f aca="false">IF($B91="","",IF($E91="",$L91,$E91))</f>
        <v/>
      </c>
      <c r="O91" s="26" t="str">
        <f aca="false">IF($J91="","",IFERROR(INDEX(EMPL_CLASSE,MATCH($J91,EMPL_KEY,0)),"?"))</f>
        <v/>
      </c>
      <c r="P91" s="28" t="n">
        <f aca="false">IF($B91="",0,IF(OR(ISNA(MATCH($B91,ST_ID,0)),NOT(ISNUMBER($F91)),$F91&lt;=0,$J91="",$N91=""),0,1))</f>
        <v>0</v>
      </c>
      <c r="Q91" s="27" t="n">
        <f aca="false">IF($P91=0,0,$F91)</f>
        <v>0</v>
      </c>
      <c r="R91" s="26" t="str">
        <f aca="false">IF($B91="","",IFERROR(INDEX(ST_STATUT,MATCH($B91,ST_ID,0)),""))</f>
        <v/>
      </c>
      <c r="S91" s="26" t="str">
        <f aca="false">IF($B91="","",IF($P91=0,"DONNEES MANQUANTES",IF(OR($R91="DONNEES MANQUANTES",$R91="STOCK INSUFFISANT",$R91="EMPLACEMENT INCOHERENT",$R91="BLOQUE"),"BLOQUE","OK")))</f>
        <v/>
      </c>
      <c r="T91" s="28" t="n">
        <f aca="false">IF($S91="OK",1,0)</f>
        <v>0</v>
      </c>
      <c r="U91" s="26" t="str">
        <f aca="false">IF($B91="","",IF($P91=0,"A COMPLETER : "&amp;IF(ISNA(MATCH($B91,ST_ID,0)),"ID ST valide; ","")&amp;IF(OR(NOT(ISNUMBER($F91)),$F91&lt;=0),"QUANTITE &gt; 0; ","")&amp;IF($J91="","EMPL. DESTINATION; ",""),IF($S91="BLOQUE","Envoi parent en anomalie ("&amp;$R91&amp;") : corriger l'onglet SOUS_TRAITANCE.",IF(AND($E91&lt;&gt;"",ISNA(MATCH($E91,LOT_KEY,0))),"Creer la fiche du lot resultat dans l'onglet LOTS.",""))))</f>
        <v/>
      </c>
      <c r="V91" s="31" t="str">
        <f aca="false">IF($B91="","",IF($C91&lt;&gt;"",$C91,IFERROR(INDEX(ST_DATERET,MATCH($B91,ST_ID,0)),"")))</f>
        <v/>
      </c>
      <c r="W91" s="26" t="str">
        <f aca="false">IF($P91=0,"",IF($L91=R_LOT,IF($N91&lt;&gt;R_LOT,$N91,""),IF($N91=R_LOT,$L91,"")))</f>
        <v/>
      </c>
      <c r="X91" s="26" t="str">
        <f aca="false">IF($W91="","",IF(COUNTIF($W$4:$W90,$W91)&gt;0,"",COUNT($X$4:$X90)+1))</f>
        <v/>
      </c>
      <c r="Y91" s="26" t="n">
        <f aca="false">IF($P91=0,0,IF(OR($L91=R_LOT,$N91=R_LOT),1,0))</f>
        <v>0</v>
      </c>
      <c r="Z91" s="26" t="str">
        <f aca="false">IF($Y91=0,"",COUNTIF($Y$5:$Y91,1))</f>
        <v/>
      </c>
    </row>
    <row r="92" customFormat="false" ht="15" hidden="false" customHeight="false" outlineLevel="0" collapsed="false">
      <c r="A92" s="26" t="str">
        <f aca="false">IF($B92="","","RES-"&amp;TEXT(ROW()-4,"000"))</f>
        <v/>
      </c>
      <c r="B92" s="24"/>
      <c r="C92" s="25"/>
      <c r="D92" s="24"/>
      <c r="E92" s="24"/>
      <c r="F92" s="29"/>
      <c r="G92" s="24"/>
      <c r="H92" s="24"/>
      <c r="I92" s="24"/>
      <c r="J92" s="24"/>
      <c r="K92" s="24"/>
      <c r="L92" s="26" t="str">
        <f aca="false">IF($B92="","",IFERROR(INDEX(ST_LOT,MATCH($B92,ST_ID,0)),""))</f>
        <v/>
      </c>
      <c r="M92" s="26" t="str">
        <f aca="false">IF($B92="","",IFERROR(INDEX(ST_STRAIT,MATCH($B92,ST_ID,0)),""))</f>
        <v/>
      </c>
      <c r="N92" s="26" t="str">
        <f aca="false">IF($B92="","",IF($E92="",$L92,$E92))</f>
        <v/>
      </c>
      <c r="O92" s="26" t="str">
        <f aca="false">IF($J92="","",IFERROR(INDEX(EMPL_CLASSE,MATCH($J92,EMPL_KEY,0)),"?"))</f>
        <v/>
      </c>
      <c r="P92" s="28" t="n">
        <f aca="false">IF($B92="",0,IF(OR(ISNA(MATCH($B92,ST_ID,0)),NOT(ISNUMBER($F92)),$F92&lt;=0,$J92="",$N92=""),0,1))</f>
        <v>0</v>
      </c>
      <c r="Q92" s="27" t="n">
        <f aca="false">IF($P92=0,0,$F92)</f>
        <v>0</v>
      </c>
      <c r="R92" s="26" t="str">
        <f aca="false">IF($B92="","",IFERROR(INDEX(ST_STATUT,MATCH($B92,ST_ID,0)),""))</f>
        <v/>
      </c>
      <c r="S92" s="26" t="str">
        <f aca="false">IF($B92="","",IF($P92=0,"DONNEES MANQUANTES",IF(OR($R92="DONNEES MANQUANTES",$R92="STOCK INSUFFISANT",$R92="EMPLACEMENT INCOHERENT",$R92="BLOQUE"),"BLOQUE","OK")))</f>
        <v/>
      </c>
      <c r="T92" s="28" t="n">
        <f aca="false">IF($S92="OK",1,0)</f>
        <v>0</v>
      </c>
      <c r="U92" s="26" t="str">
        <f aca="false">IF($B92="","",IF($P92=0,"A COMPLETER : "&amp;IF(ISNA(MATCH($B92,ST_ID,0)),"ID ST valide; ","")&amp;IF(OR(NOT(ISNUMBER($F92)),$F92&lt;=0),"QUANTITE &gt; 0; ","")&amp;IF($J92="","EMPL. DESTINATION; ",""),IF($S92="BLOQUE","Envoi parent en anomalie ("&amp;$R92&amp;") : corriger l'onglet SOUS_TRAITANCE.",IF(AND($E92&lt;&gt;"",ISNA(MATCH($E92,LOT_KEY,0))),"Creer la fiche du lot resultat dans l'onglet LOTS.",""))))</f>
        <v/>
      </c>
      <c r="V92" s="31" t="str">
        <f aca="false">IF($B92="","",IF($C92&lt;&gt;"",$C92,IFERROR(INDEX(ST_DATERET,MATCH($B92,ST_ID,0)),"")))</f>
        <v/>
      </c>
      <c r="W92" s="26" t="str">
        <f aca="false">IF($P92=0,"",IF($L92=R_LOT,IF($N92&lt;&gt;R_LOT,$N92,""),IF($N92=R_LOT,$L92,"")))</f>
        <v/>
      </c>
      <c r="X92" s="26" t="str">
        <f aca="false">IF($W92="","",IF(COUNTIF($W$4:$W91,$W92)&gt;0,"",COUNT($X$4:$X91)+1))</f>
        <v/>
      </c>
      <c r="Y92" s="26" t="n">
        <f aca="false">IF($P92=0,0,IF(OR($L92=R_LOT,$N92=R_LOT),1,0))</f>
        <v>0</v>
      </c>
      <c r="Z92" s="26" t="str">
        <f aca="false">IF($Y92=0,"",COUNTIF($Y$5:$Y92,1))</f>
        <v/>
      </c>
    </row>
    <row r="93" customFormat="false" ht="15" hidden="false" customHeight="false" outlineLevel="0" collapsed="false">
      <c r="A93" s="26" t="str">
        <f aca="false">IF($B93="","","RES-"&amp;TEXT(ROW()-4,"000"))</f>
        <v/>
      </c>
      <c r="B93" s="24"/>
      <c r="C93" s="25"/>
      <c r="D93" s="24"/>
      <c r="E93" s="24"/>
      <c r="F93" s="29"/>
      <c r="G93" s="24"/>
      <c r="H93" s="24"/>
      <c r="I93" s="24"/>
      <c r="J93" s="24"/>
      <c r="K93" s="24"/>
      <c r="L93" s="26" t="str">
        <f aca="false">IF($B93="","",IFERROR(INDEX(ST_LOT,MATCH($B93,ST_ID,0)),""))</f>
        <v/>
      </c>
      <c r="M93" s="26" t="str">
        <f aca="false">IF($B93="","",IFERROR(INDEX(ST_STRAIT,MATCH($B93,ST_ID,0)),""))</f>
        <v/>
      </c>
      <c r="N93" s="26" t="str">
        <f aca="false">IF($B93="","",IF($E93="",$L93,$E93))</f>
        <v/>
      </c>
      <c r="O93" s="26" t="str">
        <f aca="false">IF($J93="","",IFERROR(INDEX(EMPL_CLASSE,MATCH($J93,EMPL_KEY,0)),"?"))</f>
        <v/>
      </c>
      <c r="P93" s="28" t="n">
        <f aca="false">IF($B93="",0,IF(OR(ISNA(MATCH($B93,ST_ID,0)),NOT(ISNUMBER($F93)),$F93&lt;=0,$J93="",$N93=""),0,1))</f>
        <v>0</v>
      </c>
      <c r="Q93" s="27" t="n">
        <f aca="false">IF($P93=0,0,$F93)</f>
        <v>0</v>
      </c>
      <c r="R93" s="26" t="str">
        <f aca="false">IF($B93="","",IFERROR(INDEX(ST_STATUT,MATCH($B93,ST_ID,0)),""))</f>
        <v/>
      </c>
      <c r="S93" s="26" t="str">
        <f aca="false">IF($B93="","",IF($P93=0,"DONNEES MANQUANTES",IF(OR($R93="DONNEES MANQUANTES",$R93="STOCK INSUFFISANT",$R93="EMPLACEMENT INCOHERENT",$R93="BLOQUE"),"BLOQUE","OK")))</f>
        <v/>
      </c>
      <c r="T93" s="28" t="n">
        <f aca="false">IF($S93="OK",1,0)</f>
        <v>0</v>
      </c>
      <c r="U93" s="26" t="str">
        <f aca="false">IF($B93="","",IF($P93=0,"A COMPLETER : "&amp;IF(ISNA(MATCH($B93,ST_ID,0)),"ID ST valide; ","")&amp;IF(OR(NOT(ISNUMBER($F93)),$F93&lt;=0),"QUANTITE &gt; 0; ","")&amp;IF($J93="","EMPL. DESTINATION; ",""),IF($S93="BLOQUE","Envoi parent en anomalie ("&amp;$R93&amp;") : corriger l'onglet SOUS_TRAITANCE.",IF(AND($E93&lt;&gt;"",ISNA(MATCH($E93,LOT_KEY,0))),"Creer la fiche du lot resultat dans l'onglet LOTS.",""))))</f>
        <v/>
      </c>
      <c r="V93" s="31" t="str">
        <f aca="false">IF($B93="","",IF($C93&lt;&gt;"",$C93,IFERROR(INDEX(ST_DATERET,MATCH($B93,ST_ID,0)),"")))</f>
        <v/>
      </c>
      <c r="W93" s="26" t="str">
        <f aca="false">IF($P93=0,"",IF($L93=R_LOT,IF($N93&lt;&gt;R_LOT,$N93,""),IF($N93=R_LOT,$L93,"")))</f>
        <v/>
      </c>
      <c r="X93" s="26" t="str">
        <f aca="false">IF($W93="","",IF(COUNTIF($W$4:$W92,$W93)&gt;0,"",COUNT($X$4:$X92)+1))</f>
        <v/>
      </c>
      <c r="Y93" s="26" t="n">
        <f aca="false">IF($P93=0,0,IF(OR($L93=R_LOT,$N93=R_LOT),1,0))</f>
        <v>0</v>
      </c>
      <c r="Z93" s="26" t="str">
        <f aca="false">IF($Y93=0,"",COUNTIF($Y$5:$Y93,1))</f>
        <v/>
      </c>
    </row>
    <row r="94" customFormat="false" ht="15" hidden="false" customHeight="false" outlineLevel="0" collapsed="false">
      <c r="A94" s="26" t="str">
        <f aca="false">IF($B94="","","RES-"&amp;TEXT(ROW()-4,"000"))</f>
        <v/>
      </c>
      <c r="B94" s="24"/>
      <c r="C94" s="25"/>
      <c r="D94" s="24"/>
      <c r="E94" s="24"/>
      <c r="F94" s="29"/>
      <c r="G94" s="24"/>
      <c r="H94" s="24"/>
      <c r="I94" s="24"/>
      <c r="J94" s="24"/>
      <c r="K94" s="24"/>
      <c r="L94" s="26" t="str">
        <f aca="false">IF($B94="","",IFERROR(INDEX(ST_LOT,MATCH($B94,ST_ID,0)),""))</f>
        <v/>
      </c>
      <c r="M94" s="26" t="str">
        <f aca="false">IF($B94="","",IFERROR(INDEX(ST_STRAIT,MATCH($B94,ST_ID,0)),""))</f>
        <v/>
      </c>
      <c r="N94" s="26" t="str">
        <f aca="false">IF($B94="","",IF($E94="",$L94,$E94))</f>
        <v/>
      </c>
      <c r="O94" s="26" t="str">
        <f aca="false">IF($J94="","",IFERROR(INDEX(EMPL_CLASSE,MATCH($J94,EMPL_KEY,0)),"?"))</f>
        <v/>
      </c>
      <c r="P94" s="28" t="n">
        <f aca="false">IF($B94="",0,IF(OR(ISNA(MATCH($B94,ST_ID,0)),NOT(ISNUMBER($F94)),$F94&lt;=0,$J94="",$N94=""),0,1))</f>
        <v>0</v>
      </c>
      <c r="Q94" s="27" t="n">
        <f aca="false">IF($P94=0,0,$F94)</f>
        <v>0</v>
      </c>
      <c r="R94" s="26" t="str">
        <f aca="false">IF($B94="","",IFERROR(INDEX(ST_STATUT,MATCH($B94,ST_ID,0)),""))</f>
        <v/>
      </c>
      <c r="S94" s="26" t="str">
        <f aca="false">IF($B94="","",IF($P94=0,"DONNEES MANQUANTES",IF(OR($R94="DONNEES MANQUANTES",$R94="STOCK INSUFFISANT",$R94="EMPLACEMENT INCOHERENT",$R94="BLOQUE"),"BLOQUE","OK")))</f>
        <v/>
      </c>
      <c r="T94" s="28" t="n">
        <f aca="false">IF($S94="OK",1,0)</f>
        <v>0</v>
      </c>
      <c r="U94" s="26" t="str">
        <f aca="false">IF($B94="","",IF($P94=0,"A COMPLETER : "&amp;IF(ISNA(MATCH($B94,ST_ID,0)),"ID ST valide; ","")&amp;IF(OR(NOT(ISNUMBER($F94)),$F94&lt;=0),"QUANTITE &gt; 0; ","")&amp;IF($J94="","EMPL. DESTINATION; ",""),IF($S94="BLOQUE","Envoi parent en anomalie ("&amp;$R94&amp;") : corriger l'onglet SOUS_TRAITANCE.",IF(AND($E94&lt;&gt;"",ISNA(MATCH($E94,LOT_KEY,0))),"Creer la fiche du lot resultat dans l'onglet LOTS.",""))))</f>
        <v/>
      </c>
      <c r="V94" s="31" t="str">
        <f aca="false">IF($B94="","",IF($C94&lt;&gt;"",$C94,IFERROR(INDEX(ST_DATERET,MATCH($B94,ST_ID,0)),"")))</f>
        <v/>
      </c>
      <c r="W94" s="26" t="str">
        <f aca="false">IF($P94=0,"",IF($L94=R_LOT,IF($N94&lt;&gt;R_LOT,$N94,""),IF($N94=R_LOT,$L94,"")))</f>
        <v/>
      </c>
      <c r="X94" s="26" t="str">
        <f aca="false">IF($W94="","",IF(COUNTIF($W$4:$W93,$W94)&gt;0,"",COUNT($X$4:$X93)+1))</f>
        <v/>
      </c>
      <c r="Y94" s="26" t="n">
        <f aca="false">IF($P94=0,0,IF(OR($L94=R_LOT,$N94=R_LOT),1,0))</f>
        <v>0</v>
      </c>
      <c r="Z94" s="26" t="str">
        <f aca="false">IF($Y94=0,"",COUNTIF($Y$5:$Y94,1))</f>
        <v/>
      </c>
    </row>
    <row r="95" customFormat="false" ht="15" hidden="false" customHeight="false" outlineLevel="0" collapsed="false">
      <c r="A95" s="26" t="str">
        <f aca="false">IF($B95="","","RES-"&amp;TEXT(ROW()-4,"000"))</f>
        <v/>
      </c>
      <c r="B95" s="24"/>
      <c r="C95" s="25"/>
      <c r="D95" s="24"/>
      <c r="E95" s="24"/>
      <c r="F95" s="29"/>
      <c r="G95" s="24"/>
      <c r="H95" s="24"/>
      <c r="I95" s="24"/>
      <c r="J95" s="24"/>
      <c r="K95" s="24"/>
      <c r="L95" s="26" t="str">
        <f aca="false">IF($B95="","",IFERROR(INDEX(ST_LOT,MATCH($B95,ST_ID,0)),""))</f>
        <v/>
      </c>
      <c r="M95" s="26" t="str">
        <f aca="false">IF($B95="","",IFERROR(INDEX(ST_STRAIT,MATCH($B95,ST_ID,0)),""))</f>
        <v/>
      </c>
      <c r="N95" s="26" t="str">
        <f aca="false">IF($B95="","",IF($E95="",$L95,$E95))</f>
        <v/>
      </c>
      <c r="O95" s="26" t="str">
        <f aca="false">IF($J95="","",IFERROR(INDEX(EMPL_CLASSE,MATCH($J95,EMPL_KEY,0)),"?"))</f>
        <v/>
      </c>
      <c r="P95" s="28" t="n">
        <f aca="false">IF($B95="",0,IF(OR(ISNA(MATCH($B95,ST_ID,0)),NOT(ISNUMBER($F95)),$F95&lt;=0,$J95="",$N95=""),0,1))</f>
        <v>0</v>
      </c>
      <c r="Q95" s="27" t="n">
        <f aca="false">IF($P95=0,0,$F95)</f>
        <v>0</v>
      </c>
      <c r="R95" s="26" t="str">
        <f aca="false">IF($B95="","",IFERROR(INDEX(ST_STATUT,MATCH($B95,ST_ID,0)),""))</f>
        <v/>
      </c>
      <c r="S95" s="26" t="str">
        <f aca="false">IF($B95="","",IF($P95=0,"DONNEES MANQUANTES",IF(OR($R95="DONNEES MANQUANTES",$R95="STOCK INSUFFISANT",$R95="EMPLACEMENT INCOHERENT",$R95="BLOQUE"),"BLOQUE","OK")))</f>
        <v/>
      </c>
      <c r="T95" s="28" t="n">
        <f aca="false">IF($S95="OK",1,0)</f>
        <v>0</v>
      </c>
      <c r="U95" s="26" t="str">
        <f aca="false">IF($B95="","",IF($P95=0,"A COMPLETER : "&amp;IF(ISNA(MATCH($B95,ST_ID,0)),"ID ST valide; ","")&amp;IF(OR(NOT(ISNUMBER($F95)),$F95&lt;=0),"QUANTITE &gt; 0; ","")&amp;IF($J95="","EMPL. DESTINATION; ",""),IF($S95="BLOQUE","Envoi parent en anomalie ("&amp;$R95&amp;") : corriger l'onglet SOUS_TRAITANCE.",IF(AND($E95&lt;&gt;"",ISNA(MATCH($E95,LOT_KEY,0))),"Creer la fiche du lot resultat dans l'onglet LOTS.",""))))</f>
        <v/>
      </c>
      <c r="V95" s="31" t="str">
        <f aca="false">IF($B95="","",IF($C95&lt;&gt;"",$C95,IFERROR(INDEX(ST_DATERET,MATCH($B95,ST_ID,0)),"")))</f>
        <v/>
      </c>
      <c r="W95" s="26" t="str">
        <f aca="false">IF($P95=0,"",IF($L95=R_LOT,IF($N95&lt;&gt;R_LOT,$N95,""),IF($N95=R_LOT,$L95,"")))</f>
        <v/>
      </c>
      <c r="X95" s="26" t="str">
        <f aca="false">IF($W95="","",IF(COUNTIF($W$4:$W94,$W95)&gt;0,"",COUNT($X$4:$X94)+1))</f>
        <v/>
      </c>
      <c r="Y95" s="26" t="n">
        <f aca="false">IF($P95=0,0,IF(OR($L95=R_LOT,$N95=R_LOT),1,0))</f>
        <v>0</v>
      </c>
      <c r="Z95" s="26" t="str">
        <f aca="false">IF($Y95=0,"",COUNTIF($Y$5:$Y95,1))</f>
        <v/>
      </c>
    </row>
    <row r="96" customFormat="false" ht="15" hidden="false" customHeight="false" outlineLevel="0" collapsed="false">
      <c r="A96" s="26" t="str">
        <f aca="false">IF($B96="","","RES-"&amp;TEXT(ROW()-4,"000"))</f>
        <v/>
      </c>
      <c r="B96" s="24"/>
      <c r="C96" s="25"/>
      <c r="D96" s="24"/>
      <c r="E96" s="24"/>
      <c r="F96" s="29"/>
      <c r="G96" s="24"/>
      <c r="H96" s="24"/>
      <c r="I96" s="24"/>
      <c r="J96" s="24"/>
      <c r="K96" s="24"/>
      <c r="L96" s="26" t="str">
        <f aca="false">IF($B96="","",IFERROR(INDEX(ST_LOT,MATCH($B96,ST_ID,0)),""))</f>
        <v/>
      </c>
      <c r="M96" s="26" t="str">
        <f aca="false">IF($B96="","",IFERROR(INDEX(ST_STRAIT,MATCH($B96,ST_ID,0)),""))</f>
        <v/>
      </c>
      <c r="N96" s="26" t="str">
        <f aca="false">IF($B96="","",IF($E96="",$L96,$E96))</f>
        <v/>
      </c>
      <c r="O96" s="26" t="str">
        <f aca="false">IF($J96="","",IFERROR(INDEX(EMPL_CLASSE,MATCH($J96,EMPL_KEY,0)),"?"))</f>
        <v/>
      </c>
      <c r="P96" s="28" t="n">
        <f aca="false">IF($B96="",0,IF(OR(ISNA(MATCH($B96,ST_ID,0)),NOT(ISNUMBER($F96)),$F96&lt;=0,$J96="",$N96=""),0,1))</f>
        <v>0</v>
      </c>
      <c r="Q96" s="27" t="n">
        <f aca="false">IF($P96=0,0,$F96)</f>
        <v>0</v>
      </c>
      <c r="R96" s="26" t="str">
        <f aca="false">IF($B96="","",IFERROR(INDEX(ST_STATUT,MATCH($B96,ST_ID,0)),""))</f>
        <v/>
      </c>
      <c r="S96" s="26" t="str">
        <f aca="false">IF($B96="","",IF($P96=0,"DONNEES MANQUANTES",IF(OR($R96="DONNEES MANQUANTES",$R96="STOCK INSUFFISANT",$R96="EMPLACEMENT INCOHERENT",$R96="BLOQUE"),"BLOQUE","OK")))</f>
        <v/>
      </c>
      <c r="T96" s="28" t="n">
        <f aca="false">IF($S96="OK",1,0)</f>
        <v>0</v>
      </c>
      <c r="U96" s="26" t="str">
        <f aca="false">IF($B96="","",IF($P96=0,"A COMPLETER : "&amp;IF(ISNA(MATCH($B96,ST_ID,0)),"ID ST valide; ","")&amp;IF(OR(NOT(ISNUMBER($F96)),$F96&lt;=0),"QUANTITE &gt; 0; ","")&amp;IF($J96="","EMPL. DESTINATION; ",""),IF($S96="BLOQUE","Envoi parent en anomalie ("&amp;$R96&amp;") : corriger l'onglet SOUS_TRAITANCE.",IF(AND($E96&lt;&gt;"",ISNA(MATCH($E96,LOT_KEY,0))),"Creer la fiche du lot resultat dans l'onglet LOTS.",""))))</f>
        <v/>
      </c>
      <c r="V96" s="31" t="str">
        <f aca="false">IF($B96="","",IF($C96&lt;&gt;"",$C96,IFERROR(INDEX(ST_DATERET,MATCH($B96,ST_ID,0)),"")))</f>
        <v/>
      </c>
      <c r="W96" s="26" t="str">
        <f aca="false">IF($P96=0,"",IF($L96=R_LOT,IF($N96&lt;&gt;R_LOT,$N96,""),IF($N96=R_LOT,$L96,"")))</f>
        <v/>
      </c>
      <c r="X96" s="26" t="str">
        <f aca="false">IF($W96="","",IF(COUNTIF($W$4:$W95,$W96)&gt;0,"",COUNT($X$4:$X95)+1))</f>
        <v/>
      </c>
      <c r="Y96" s="26" t="n">
        <f aca="false">IF($P96=0,0,IF(OR($L96=R_LOT,$N96=R_LOT),1,0))</f>
        <v>0</v>
      </c>
      <c r="Z96" s="26" t="str">
        <f aca="false">IF($Y96=0,"",COUNTIF($Y$5:$Y96,1))</f>
        <v/>
      </c>
    </row>
    <row r="97" customFormat="false" ht="15" hidden="false" customHeight="false" outlineLevel="0" collapsed="false">
      <c r="A97" s="26" t="str">
        <f aca="false">IF($B97="","","RES-"&amp;TEXT(ROW()-4,"000"))</f>
        <v/>
      </c>
      <c r="B97" s="24"/>
      <c r="C97" s="25"/>
      <c r="D97" s="24"/>
      <c r="E97" s="24"/>
      <c r="F97" s="29"/>
      <c r="G97" s="24"/>
      <c r="H97" s="24"/>
      <c r="I97" s="24"/>
      <c r="J97" s="24"/>
      <c r="K97" s="24"/>
      <c r="L97" s="26" t="str">
        <f aca="false">IF($B97="","",IFERROR(INDEX(ST_LOT,MATCH($B97,ST_ID,0)),""))</f>
        <v/>
      </c>
      <c r="M97" s="26" t="str">
        <f aca="false">IF($B97="","",IFERROR(INDEX(ST_STRAIT,MATCH($B97,ST_ID,0)),""))</f>
        <v/>
      </c>
      <c r="N97" s="26" t="str">
        <f aca="false">IF($B97="","",IF($E97="",$L97,$E97))</f>
        <v/>
      </c>
      <c r="O97" s="26" t="str">
        <f aca="false">IF($J97="","",IFERROR(INDEX(EMPL_CLASSE,MATCH($J97,EMPL_KEY,0)),"?"))</f>
        <v/>
      </c>
      <c r="P97" s="28" t="n">
        <f aca="false">IF($B97="",0,IF(OR(ISNA(MATCH($B97,ST_ID,0)),NOT(ISNUMBER($F97)),$F97&lt;=0,$J97="",$N97=""),0,1))</f>
        <v>0</v>
      </c>
      <c r="Q97" s="27" t="n">
        <f aca="false">IF($P97=0,0,$F97)</f>
        <v>0</v>
      </c>
      <c r="R97" s="26" t="str">
        <f aca="false">IF($B97="","",IFERROR(INDEX(ST_STATUT,MATCH($B97,ST_ID,0)),""))</f>
        <v/>
      </c>
      <c r="S97" s="26" t="str">
        <f aca="false">IF($B97="","",IF($P97=0,"DONNEES MANQUANTES",IF(OR($R97="DONNEES MANQUANTES",$R97="STOCK INSUFFISANT",$R97="EMPLACEMENT INCOHERENT",$R97="BLOQUE"),"BLOQUE","OK")))</f>
        <v/>
      </c>
      <c r="T97" s="28" t="n">
        <f aca="false">IF($S97="OK",1,0)</f>
        <v>0</v>
      </c>
      <c r="U97" s="26" t="str">
        <f aca="false">IF($B97="","",IF($P97=0,"A COMPLETER : "&amp;IF(ISNA(MATCH($B97,ST_ID,0)),"ID ST valide; ","")&amp;IF(OR(NOT(ISNUMBER($F97)),$F97&lt;=0),"QUANTITE &gt; 0; ","")&amp;IF($J97="","EMPL. DESTINATION; ",""),IF($S97="BLOQUE","Envoi parent en anomalie ("&amp;$R97&amp;") : corriger l'onglet SOUS_TRAITANCE.",IF(AND($E97&lt;&gt;"",ISNA(MATCH($E97,LOT_KEY,0))),"Creer la fiche du lot resultat dans l'onglet LOTS.",""))))</f>
        <v/>
      </c>
      <c r="V97" s="31" t="str">
        <f aca="false">IF($B97="","",IF($C97&lt;&gt;"",$C97,IFERROR(INDEX(ST_DATERET,MATCH($B97,ST_ID,0)),"")))</f>
        <v/>
      </c>
      <c r="W97" s="26" t="str">
        <f aca="false">IF($P97=0,"",IF($L97=R_LOT,IF($N97&lt;&gt;R_LOT,$N97,""),IF($N97=R_LOT,$L97,"")))</f>
        <v/>
      </c>
      <c r="X97" s="26" t="str">
        <f aca="false">IF($W97="","",IF(COUNTIF($W$4:$W96,$W97)&gt;0,"",COUNT($X$4:$X96)+1))</f>
        <v/>
      </c>
      <c r="Y97" s="26" t="n">
        <f aca="false">IF($P97=0,0,IF(OR($L97=R_LOT,$N97=R_LOT),1,0))</f>
        <v>0</v>
      </c>
      <c r="Z97" s="26" t="str">
        <f aca="false">IF($Y97=0,"",COUNTIF($Y$5:$Y97,1))</f>
        <v/>
      </c>
    </row>
    <row r="98" customFormat="false" ht="15" hidden="false" customHeight="false" outlineLevel="0" collapsed="false">
      <c r="A98" s="26" t="str">
        <f aca="false">IF($B98="","","RES-"&amp;TEXT(ROW()-4,"000"))</f>
        <v/>
      </c>
      <c r="B98" s="24"/>
      <c r="C98" s="25"/>
      <c r="D98" s="24"/>
      <c r="E98" s="24"/>
      <c r="F98" s="29"/>
      <c r="G98" s="24"/>
      <c r="H98" s="24"/>
      <c r="I98" s="24"/>
      <c r="J98" s="24"/>
      <c r="K98" s="24"/>
      <c r="L98" s="26" t="str">
        <f aca="false">IF($B98="","",IFERROR(INDEX(ST_LOT,MATCH($B98,ST_ID,0)),""))</f>
        <v/>
      </c>
      <c r="M98" s="26" t="str">
        <f aca="false">IF($B98="","",IFERROR(INDEX(ST_STRAIT,MATCH($B98,ST_ID,0)),""))</f>
        <v/>
      </c>
      <c r="N98" s="26" t="str">
        <f aca="false">IF($B98="","",IF($E98="",$L98,$E98))</f>
        <v/>
      </c>
      <c r="O98" s="26" t="str">
        <f aca="false">IF($J98="","",IFERROR(INDEX(EMPL_CLASSE,MATCH($J98,EMPL_KEY,0)),"?"))</f>
        <v/>
      </c>
      <c r="P98" s="28" t="n">
        <f aca="false">IF($B98="",0,IF(OR(ISNA(MATCH($B98,ST_ID,0)),NOT(ISNUMBER($F98)),$F98&lt;=0,$J98="",$N98=""),0,1))</f>
        <v>0</v>
      </c>
      <c r="Q98" s="27" t="n">
        <f aca="false">IF($P98=0,0,$F98)</f>
        <v>0</v>
      </c>
      <c r="R98" s="26" t="str">
        <f aca="false">IF($B98="","",IFERROR(INDEX(ST_STATUT,MATCH($B98,ST_ID,0)),""))</f>
        <v/>
      </c>
      <c r="S98" s="26" t="str">
        <f aca="false">IF($B98="","",IF($P98=0,"DONNEES MANQUANTES",IF(OR($R98="DONNEES MANQUANTES",$R98="STOCK INSUFFISANT",$R98="EMPLACEMENT INCOHERENT",$R98="BLOQUE"),"BLOQUE","OK")))</f>
        <v/>
      </c>
      <c r="T98" s="28" t="n">
        <f aca="false">IF($S98="OK",1,0)</f>
        <v>0</v>
      </c>
      <c r="U98" s="26" t="str">
        <f aca="false">IF($B98="","",IF($P98=0,"A COMPLETER : "&amp;IF(ISNA(MATCH($B98,ST_ID,0)),"ID ST valide; ","")&amp;IF(OR(NOT(ISNUMBER($F98)),$F98&lt;=0),"QUANTITE &gt; 0; ","")&amp;IF($J98="","EMPL. DESTINATION; ",""),IF($S98="BLOQUE","Envoi parent en anomalie ("&amp;$R98&amp;") : corriger l'onglet SOUS_TRAITANCE.",IF(AND($E98&lt;&gt;"",ISNA(MATCH($E98,LOT_KEY,0))),"Creer la fiche du lot resultat dans l'onglet LOTS.",""))))</f>
        <v/>
      </c>
      <c r="V98" s="31" t="str">
        <f aca="false">IF($B98="","",IF($C98&lt;&gt;"",$C98,IFERROR(INDEX(ST_DATERET,MATCH($B98,ST_ID,0)),"")))</f>
        <v/>
      </c>
      <c r="W98" s="26" t="str">
        <f aca="false">IF($P98=0,"",IF($L98=R_LOT,IF($N98&lt;&gt;R_LOT,$N98,""),IF($N98=R_LOT,$L98,"")))</f>
        <v/>
      </c>
      <c r="X98" s="26" t="str">
        <f aca="false">IF($W98="","",IF(COUNTIF($W$4:$W97,$W98)&gt;0,"",COUNT($X$4:$X97)+1))</f>
        <v/>
      </c>
      <c r="Y98" s="26" t="n">
        <f aca="false">IF($P98=0,0,IF(OR($L98=R_LOT,$N98=R_LOT),1,0))</f>
        <v>0</v>
      </c>
      <c r="Z98" s="26" t="str">
        <f aca="false">IF($Y98=0,"",COUNTIF($Y$5:$Y98,1))</f>
        <v/>
      </c>
    </row>
    <row r="99" customFormat="false" ht="15" hidden="false" customHeight="false" outlineLevel="0" collapsed="false">
      <c r="A99" s="26" t="str">
        <f aca="false">IF($B99="","","RES-"&amp;TEXT(ROW()-4,"000"))</f>
        <v/>
      </c>
      <c r="B99" s="24"/>
      <c r="C99" s="25"/>
      <c r="D99" s="24"/>
      <c r="E99" s="24"/>
      <c r="F99" s="29"/>
      <c r="G99" s="24"/>
      <c r="H99" s="24"/>
      <c r="I99" s="24"/>
      <c r="J99" s="24"/>
      <c r="K99" s="24"/>
      <c r="L99" s="26" t="str">
        <f aca="false">IF($B99="","",IFERROR(INDEX(ST_LOT,MATCH($B99,ST_ID,0)),""))</f>
        <v/>
      </c>
      <c r="M99" s="26" t="str">
        <f aca="false">IF($B99="","",IFERROR(INDEX(ST_STRAIT,MATCH($B99,ST_ID,0)),""))</f>
        <v/>
      </c>
      <c r="N99" s="26" t="str">
        <f aca="false">IF($B99="","",IF($E99="",$L99,$E99))</f>
        <v/>
      </c>
      <c r="O99" s="26" t="str">
        <f aca="false">IF($J99="","",IFERROR(INDEX(EMPL_CLASSE,MATCH($J99,EMPL_KEY,0)),"?"))</f>
        <v/>
      </c>
      <c r="P99" s="28" t="n">
        <f aca="false">IF($B99="",0,IF(OR(ISNA(MATCH($B99,ST_ID,0)),NOT(ISNUMBER($F99)),$F99&lt;=0,$J99="",$N99=""),0,1))</f>
        <v>0</v>
      </c>
      <c r="Q99" s="27" t="n">
        <f aca="false">IF($P99=0,0,$F99)</f>
        <v>0</v>
      </c>
      <c r="R99" s="26" t="str">
        <f aca="false">IF($B99="","",IFERROR(INDEX(ST_STATUT,MATCH($B99,ST_ID,0)),""))</f>
        <v/>
      </c>
      <c r="S99" s="26" t="str">
        <f aca="false">IF($B99="","",IF($P99=0,"DONNEES MANQUANTES",IF(OR($R99="DONNEES MANQUANTES",$R99="STOCK INSUFFISANT",$R99="EMPLACEMENT INCOHERENT",$R99="BLOQUE"),"BLOQUE","OK")))</f>
        <v/>
      </c>
      <c r="T99" s="28" t="n">
        <f aca="false">IF($S99="OK",1,0)</f>
        <v>0</v>
      </c>
      <c r="U99" s="26" t="str">
        <f aca="false">IF($B99="","",IF($P99=0,"A COMPLETER : "&amp;IF(ISNA(MATCH($B99,ST_ID,0)),"ID ST valide; ","")&amp;IF(OR(NOT(ISNUMBER($F99)),$F99&lt;=0),"QUANTITE &gt; 0; ","")&amp;IF($J99="","EMPL. DESTINATION; ",""),IF($S99="BLOQUE","Envoi parent en anomalie ("&amp;$R99&amp;") : corriger l'onglet SOUS_TRAITANCE.",IF(AND($E99&lt;&gt;"",ISNA(MATCH($E99,LOT_KEY,0))),"Creer la fiche du lot resultat dans l'onglet LOTS.",""))))</f>
        <v/>
      </c>
      <c r="V99" s="31" t="str">
        <f aca="false">IF($B99="","",IF($C99&lt;&gt;"",$C99,IFERROR(INDEX(ST_DATERET,MATCH($B99,ST_ID,0)),"")))</f>
        <v/>
      </c>
      <c r="W99" s="26" t="str">
        <f aca="false">IF($P99=0,"",IF($L99=R_LOT,IF($N99&lt;&gt;R_LOT,$N99,""),IF($N99=R_LOT,$L99,"")))</f>
        <v/>
      </c>
      <c r="X99" s="26" t="str">
        <f aca="false">IF($W99="","",IF(COUNTIF($W$4:$W98,$W99)&gt;0,"",COUNT($X$4:$X98)+1))</f>
        <v/>
      </c>
      <c r="Y99" s="26" t="n">
        <f aca="false">IF($P99=0,0,IF(OR($L99=R_LOT,$N99=R_LOT),1,0))</f>
        <v>0</v>
      </c>
      <c r="Z99" s="26" t="str">
        <f aca="false">IF($Y99=0,"",COUNTIF($Y$5:$Y99,1))</f>
        <v/>
      </c>
    </row>
    <row r="100" customFormat="false" ht="15" hidden="false" customHeight="false" outlineLevel="0" collapsed="false">
      <c r="A100" s="26" t="str">
        <f aca="false">IF($B100="","","RES-"&amp;TEXT(ROW()-4,"000"))</f>
        <v/>
      </c>
      <c r="B100" s="24"/>
      <c r="C100" s="25"/>
      <c r="D100" s="24"/>
      <c r="E100" s="24"/>
      <c r="F100" s="29"/>
      <c r="G100" s="24"/>
      <c r="H100" s="24"/>
      <c r="I100" s="24"/>
      <c r="J100" s="24"/>
      <c r="K100" s="24"/>
      <c r="L100" s="26" t="str">
        <f aca="false">IF($B100="","",IFERROR(INDEX(ST_LOT,MATCH($B100,ST_ID,0)),""))</f>
        <v/>
      </c>
      <c r="M100" s="26" t="str">
        <f aca="false">IF($B100="","",IFERROR(INDEX(ST_STRAIT,MATCH($B100,ST_ID,0)),""))</f>
        <v/>
      </c>
      <c r="N100" s="26" t="str">
        <f aca="false">IF($B100="","",IF($E100="",$L100,$E100))</f>
        <v/>
      </c>
      <c r="O100" s="26" t="str">
        <f aca="false">IF($J100="","",IFERROR(INDEX(EMPL_CLASSE,MATCH($J100,EMPL_KEY,0)),"?"))</f>
        <v/>
      </c>
      <c r="P100" s="28" t="n">
        <f aca="false">IF($B100="",0,IF(OR(ISNA(MATCH($B100,ST_ID,0)),NOT(ISNUMBER($F100)),$F100&lt;=0,$J100="",$N100=""),0,1))</f>
        <v>0</v>
      </c>
      <c r="Q100" s="27" t="n">
        <f aca="false">IF($P100=0,0,$F100)</f>
        <v>0</v>
      </c>
      <c r="R100" s="26" t="str">
        <f aca="false">IF($B100="","",IFERROR(INDEX(ST_STATUT,MATCH($B100,ST_ID,0)),""))</f>
        <v/>
      </c>
      <c r="S100" s="26" t="str">
        <f aca="false">IF($B100="","",IF($P100=0,"DONNEES MANQUANTES",IF(OR($R100="DONNEES MANQUANTES",$R100="STOCK INSUFFISANT",$R100="EMPLACEMENT INCOHERENT",$R100="BLOQUE"),"BLOQUE","OK")))</f>
        <v/>
      </c>
      <c r="T100" s="28" t="n">
        <f aca="false">IF($S100="OK",1,0)</f>
        <v>0</v>
      </c>
      <c r="U100" s="26" t="str">
        <f aca="false">IF($B100="","",IF($P100=0,"A COMPLETER : "&amp;IF(ISNA(MATCH($B100,ST_ID,0)),"ID ST valide; ","")&amp;IF(OR(NOT(ISNUMBER($F100)),$F100&lt;=0),"QUANTITE &gt; 0; ","")&amp;IF($J100="","EMPL. DESTINATION; ",""),IF($S100="BLOQUE","Envoi parent en anomalie ("&amp;$R100&amp;") : corriger l'onglet SOUS_TRAITANCE.",IF(AND($E100&lt;&gt;"",ISNA(MATCH($E100,LOT_KEY,0))),"Creer la fiche du lot resultat dans l'onglet LOTS.",""))))</f>
        <v/>
      </c>
      <c r="V100" s="31" t="str">
        <f aca="false">IF($B100="","",IF($C100&lt;&gt;"",$C100,IFERROR(INDEX(ST_DATERET,MATCH($B100,ST_ID,0)),"")))</f>
        <v/>
      </c>
      <c r="W100" s="26" t="str">
        <f aca="false">IF($P100=0,"",IF($L100=R_LOT,IF($N100&lt;&gt;R_LOT,$N100,""),IF($N100=R_LOT,$L100,"")))</f>
        <v/>
      </c>
      <c r="X100" s="26" t="str">
        <f aca="false">IF($W100="","",IF(COUNTIF($W$4:$W99,$W100)&gt;0,"",COUNT($X$4:$X99)+1))</f>
        <v/>
      </c>
      <c r="Y100" s="26" t="n">
        <f aca="false">IF($P100=0,0,IF(OR($L100=R_LOT,$N100=R_LOT),1,0))</f>
        <v>0</v>
      </c>
      <c r="Z100" s="26" t="str">
        <f aca="false">IF($Y100=0,"",COUNTIF($Y$5:$Y100,1))</f>
        <v/>
      </c>
    </row>
    <row r="101" customFormat="false" ht="15" hidden="false" customHeight="false" outlineLevel="0" collapsed="false">
      <c r="A101" s="26" t="str">
        <f aca="false">IF($B101="","","RES-"&amp;TEXT(ROW()-4,"000"))</f>
        <v/>
      </c>
      <c r="B101" s="24"/>
      <c r="C101" s="25"/>
      <c r="D101" s="24"/>
      <c r="E101" s="24"/>
      <c r="F101" s="29"/>
      <c r="G101" s="24"/>
      <c r="H101" s="24"/>
      <c r="I101" s="24"/>
      <c r="J101" s="24"/>
      <c r="K101" s="24"/>
      <c r="L101" s="26" t="str">
        <f aca="false">IF($B101="","",IFERROR(INDEX(ST_LOT,MATCH($B101,ST_ID,0)),""))</f>
        <v/>
      </c>
      <c r="M101" s="26" t="str">
        <f aca="false">IF($B101="","",IFERROR(INDEX(ST_STRAIT,MATCH($B101,ST_ID,0)),""))</f>
        <v/>
      </c>
      <c r="N101" s="26" t="str">
        <f aca="false">IF($B101="","",IF($E101="",$L101,$E101))</f>
        <v/>
      </c>
      <c r="O101" s="26" t="str">
        <f aca="false">IF($J101="","",IFERROR(INDEX(EMPL_CLASSE,MATCH($J101,EMPL_KEY,0)),"?"))</f>
        <v/>
      </c>
      <c r="P101" s="28" t="n">
        <f aca="false">IF($B101="",0,IF(OR(ISNA(MATCH($B101,ST_ID,0)),NOT(ISNUMBER($F101)),$F101&lt;=0,$J101="",$N101=""),0,1))</f>
        <v>0</v>
      </c>
      <c r="Q101" s="27" t="n">
        <f aca="false">IF($P101=0,0,$F101)</f>
        <v>0</v>
      </c>
      <c r="R101" s="26" t="str">
        <f aca="false">IF($B101="","",IFERROR(INDEX(ST_STATUT,MATCH($B101,ST_ID,0)),""))</f>
        <v/>
      </c>
      <c r="S101" s="26" t="str">
        <f aca="false">IF($B101="","",IF($P101=0,"DONNEES MANQUANTES",IF(OR($R101="DONNEES MANQUANTES",$R101="STOCK INSUFFISANT",$R101="EMPLACEMENT INCOHERENT",$R101="BLOQUE"),"BLOQUE","OK")))</f>
        <v/>
      </c>
      <c r="T101" s="28" t="n">
        <f aca="false">IF($S101="OK",1,0)</f>
        <v>0</v>
      </c>
      <c r="U101" s="26" t="str">
        <f aca="false">IF($B101="","",IF($P101=0,"A COMPLETER : "&amp;IF(ISNA(MATCH($B101,ST_ID,0)),"ID ST valide; ","")&amp;IF(OR(NOT(ISNUMBER($F101)),$F101&lt;=0),"QUANTITE &gt; 0; ","")&amp;IF($J101="","EMPL. DESTINATION; ",""),IF($S101="BLOQUE","Envoi parent en anomalie ("&amp;$R101&amp;") : corriger l'onglet SOUS_TRAITANCE.",IF(AND($E101&lt;&gt;"",ISNA(MATCH($E101,LOT_KEY,0))),"Creer la fiche du lot resultat dans l'onglet LOTS.",""))))</f>
        <v/>
      </c>
      <c r="V101" s="31" t="str">
        <f aca="false">IF($B101="","",IF($C101&lt;&gt;"",$C101,IFERROR(INDEX(ST_DATERET,MATCH($B101,ST_ID,0)),"")))</f>
        <v/>
      </c>
      <c r="W101" s="26" t="str">
        <f aca="false">IF($P101=0,"",IF($L101=R_LOT,IF($N101&lt;&gt;R_LOT,$N101,""),IF($N101=R_LOT,$L101,"")))</f>
        <v/>
      </c>
      <c r="X101" s="26" t="str">
        <f aca="false">IF($W101="","",IF(COUNTIF($W$4:$W100,$W101)&gt;0,"",COUNT($X$4:$X100)+1))</f>
        <v/>
      </c>
      <c r="Y101" s="26" t="n">
        <f aca="false">IF($P101=0,0,IF(OR($L101=R_LOT,$N101=R_LOT),1,0))</f>
        <v>0</v>
      </c>
      <c r="Z101" s="26" t="str">
        <f aca="false">IF($Y101=0,"",COUNTIF($Y$5:$Y101,1))</f>
        <v/>
      </c>
    </row>
    <row r="102" customFormat="false" ht="15" hidden="false" customHeight="false" outlineLevel="0" collapsed="false">
      <c r="A102" s="26" t="str">
        <f aca="false">IF($B102="","","RES-"&amp;TEXT(ROW()-4,"000"))</f>
        <v/>
      </c>
      <c r="B102" s="24"/>
      <c r="C102" s="25"/>
      <c r="D102" s="24"/>
      <c r="E102" s="24"/>
      <c r="F102" s="29"/>
      <c r="G102" s="24"/>
      <c r="H102" s="24"/>
      <c r="I102" s="24"/>
      <c r="J102" s="24"/>
      <c r="K102" s="24"/>
      <c r="L102" s="26" t="str">
        <f aca="false">IF($B102="","",IFERROR(INDEX(ST_LOT,MATCH($B102,ST_ID,0)),""))</f>
        <v/>
      </c>
      <c r="M102" s="26" t="str">
        <f aca="false">IF($B102="","",IFERROR(INDEX(ST_STRAIT,MATCH($B102,ST_ID,0)),""))</f>
        <v/>
      </c>
      <c r="N102" s="26" t="str">
        <f aca="false">IF($B102="","",IF($E102="",$L102,$E102))</f>
        <v/>
      </c>
      <c r="O102" s="26" t="str">
        <f aca="false">IF($J102="","",IFERROR(INDEX(EMPL_CLASSE,MATCH($J102,EMPL_KEY,0)),"?"))</f>
        <v/>
      </c>
      <c r="P102" s="28" t="n">
        <f aca="false">IF($B102="",0,IF(OR(ISNA(MATCH($B102,ST_ID,0)),NOT(ISNUMBER($F102)),$F102&lt;=0,$J102="",$N102=""),0,1))</f>
        <v>0</v>
      </c>
      <c r="Q102" s="27" t="n">
        <f aca="false">IF($P102=0,0,$F102)</f>
        <v>0</v>
      </c>
      <c r="R102" s="26" t="str">
        <f aca="false">IF($B102="","",IFERROR(INDEX(ST_STATUT,MATCH($B102,ST_ID,0)),""))</f>
        <v/>
      </c>
      <c r="S102" s="26" t="str">
        <f aca="false">IF($B102="","",IF($P102=0,"DONNEES MANQUANTES",IF(OR($R102="DONNEES MANQUANTES",$R102="STOCK INSUFFISANT",$R102="EMPLACEMENT INCOHERENT",$R102="BLOQUE"),"BLOQUE","OK")))</f>
        <v/>
      </c>
      <c r="T102" s="28" t="n">
        <f aca="false">IF($S102="OK",1,0)</f>
        <v>0</v>
      </c>
      <c r="U102" s="26" t="str">
        <f aca="false">IF($B102="","",IF($P102=0,"A COMPLETER : "&amp;IF(ISNA(MATCH($B102,ST_ID,0)),"ID ST valide; ","")&amp;IF(OR(NOT(ISNUMBER($F102)),$F102&lt;=0),"QUANTITE &gt; 0; ","")&amp;IF($J102="","EMPL. DESTINATION; ",""),IF($S102="BLOQUE","Envoi parent en anomalie ("&amp;$R102&amp;") : corriger l'onglet SOUS_TRAITANCE.",IF(AND($E102&lt;&gt;"",ISNA(MATCH($E102,LOT_KEY,0))),"Creer la fiche du lot resultat dans l'onglet LOTS.",""))))</f>
        <v/>
      </c>
      <c r="V102" s="31" t="str">
        <f aca="false">IF($B102="","",IF($C102&lt;&gt;"",$C102,IFERROR(INDEX(ST_DATERET,MATCH($B102,ST_ID,0)),"")))</f>
        <v/>
      </c>
      <c r="W102" s="26" t="str">
        <f aca="false">IF($P102=0,"",IF($L102=R_LOT,IF($N102&lt;&gt;R_LOT,$N102,""),IF($N102=R_LOT,$L102,"")))</f>
        <v/>
      </c>
      <c r="X102" s="26" t="str">
        <f aca="false">IF($W102="","",IF(COUNTIF($W$4:$W101,$W102)&gt;0,"",COUNT($X$4:$X101)+1))</f>
        <v/>
      </c>
      <c r="Y102" s="26" t="n">
        <f aca="false">IF($P102=0,0,IF(OR($L102=R_LOT,$N102=R_LOT),1,0))</f>
        <v>0</v>
      </c>
      <c r="Z102" s="26" t="str">
        <f aca="false">IF($Y102=0,"",COUNTIF($Y$5:$Y102,1))</f>
        <v/>
      </c>
    </row>
    <row r="103" customFormat="false" ht="15" hidden="false" customHeight="false" outlineLevel="0" collapsed="false">
      <c r="A103" s="26" t="str">
        <f aca="false">IF($B103="","","RES-"&amp;TEXT(ROW()-4,"000"))</f>
        <v/>
      </c>
      <c r="B103" s="24"/>
      <c r="C103" s="25"/>
      <c r="D103" s="24"/>
      <c r="E103" s="24"/>
      <c r="F103" s="29"/>
      <c r="G103" s="24"/>
      <c r="H103" s="24"/>
      <c r="I103" s="24"/>
      <c r="J103" s="24"/>
      <c r="K103" s="24"/>
      <c r="L103" s="26" t="str">
        <f aca="false">IF($B103="","",IFERROR(INDEX(ST_LOT,MATCH($B103,ST_ID,0)),""))</f>
        <v/>
      </c>
      <c r="M103" s="26" t="str">
        <f aca="false">IF($B103="","",IFERROR(INDEX(ST_STRAIT,MATCH($B103,ST_ID,0)),""))</f>
        <v/>
      </c>
      <c r="N103" s="26" t="str">
        <f aca="false">IF($B103="","",IF($E103="",$L103,$E103))</f>
        <v/>
      </c>
      <c r="O103" s="26" t="str">
        <f aca="false">IF($J103="","",IFERROR(INDEX(EMPL_CLASSE,MATCH($J103,EMPL_KEY,0)),"?"))</f>
        <v/>
      </c>
      <c r="P103" s="28" t="n">
        <f aca="false">IF($B103="",0,IF(OR(ISNA(MATCH($B103,ST_ID,0)),NOT(ISNUMBER($F103)),$F103&lt;=0,$J103="",$N103=""),0,1))</f>
        <v>0</v>
      </c>
      <c r="Q103" s="27" t="n">
        <f aca="false">IF($P103=0,0,$F103)</f>
        <v>0</v>
      </c>
      <c r="R103" s="26" t="str">
        <f aca="false">IF($B103="","",IFERROR(INDEX(ST_STATUT,MATCH($B103,ST_ID,0)),""))</f>
        <v/>
      </c>
      <c r="S103" s="26" t="str">
        <f aca="false">IF($B103="","",IF($P103=0,"DONNEES MANQUANTES",IF(OR($R103="DONNEES MANQUANTES",$R103="STOCK INSUFFISANT",$R103="EMPLACEMENT INCOHERENT",$R103="BLOQUE"),"BLOQUE","OK")))</f>
        <v/>
      </c>
      <c r="T103" s="28" t="n">
        <f aca="false">IF($S103="OK",1,0)</f>
        <v>0</v>
      </c>
      <c r="U103" s="26" t="str">
        <f aca="false">IF($B103="","",IF($P103=0,"A COMPLETER : "&amp;IF(ISNA(MATCH($B103,ST_ID,0)),"ID ST valide; ","")&amp;IF(OR(NOT(ISNUMBER($F103)),$F103&lt;=0),"QUANTITE &gt; 0; ","")&amp;IF($J103="","EMPL. DESTINATION; ",""),IF($S103="BLOQUE","Envoi parent en anomalie ("&amp;$R103&amp;") : corriger l'onglet SOUS_TRAITANCE.",IF(AND($E103&lt;&gt;"",ISNA(MATCH($E103,LOT_KEY,0))),"Creer la fiche du lot resultat dans l'onglet LOTS.",""))))</f>
        <v/>
      </c>
      <c r="V103" s="31" t="str">
        <f aca="false">IF($B103="","",IF($C103&lt;&gt;"",$C103,IFERROR(INDEX(ST_DATERET,MATCH($B103,ST_ID,0)),"")))</f>
        <v/>
      </c>
      <c r="W103" s="26" t="str">
        <f aca="false">IF($P103=0,"",IF($L103=R_LOT,IF($N103&lt;&gt;R_LOT,$N103,""),IF($N103=R_LOT,$L103,"")))</f>
        <v/>
      </c>
      <c r="X103" s="26" t="str">
        <f aca="false">IF($W103="","",IF(COUNTIF($W$4:$W102,$W103)&gt;0,"",COUNT($X$4:$X102)+1))</f>
        <v/>
      </c>
      <c r="Y103" s="26" t="n">
        <f aca="false">IF($P103=0,0,IF(OR($L103=R_LOT,$N103=R_LOT),1,0))</f>
        <v>0</v>
      </c>
      <c r="Z103" s="26" t="str">
        <f aca="false">IF($Y103=0,"",COUNTIF($Y$5:$Y103,1))</f>
        <v/>
      </c>
    </row>
    <row r="104" customFormat="false" ht="15" hidden="false" customHeight="false" outlineLevel="0" collapsed="false">
      <c r="A104" s="26" t="str">
        <f aca="false">IF($B104="","","RES-"&amp;TEXT(ROW()-4,"000"))</f>
        <v/>
      </c>
      <c r="B104" s="24"/>
      <c r="C104" s="25"/>
      <c r="D104" s="24"/>
      <c r="E104" s="24"/>
      <c r="F104" s="29"/>
      <c r="G104" s="24"/>
      <c r="H104" s="24"/>
      <c r="I104" s="24"/>
      <c r="J104" s="24"/>
      <c r="K104" s="24"/>
      <c r="L104" s="26" t="str">
        <f aca="false">IF($B104="","",IFERROR(INDEX(ST_LOT,MATCH($B104,ST_ID,0)),""))</f>
        <v/>
      </c>
      <c r="M104" s="26" t="str">
        <f aca="false">IF($B104="","",IFERROR(INDEX(ST_STRAIT,MATCH($B104,ST_ID,0)),""))</f>
        <v/>
      </c>
      <c r="N104" s="26" t="str">
        <f aca="false">IF($B104="","",IF($E104="",$L104,$E104))</f>
        <v/>
      </c>
      <c r="O104" s="26" t="str">
        <f aca="false">IF($J104="","",IFERROR(INDEX(EMPL_CLASSE,MATCH($J104,EMPL_KEY,0)),"?"))</f>
        <v/>
      </c>
      <c r="P104" s="28" t="n">
        <f aca="false">IF($B104="",0,IF(OR(ISNA(MATCH($B104,ST_ID,0)),NOT(ISNUMBER($F104)),$F104&lt;=0,$J104="",$N104=""),0,1))</f>
        <v>0</v>
      </c>
      <c r="Q104" s="27" t="n">
        <f aca="false">IF($P104=0,0,$F104)</f>
        <v>0</v>
      </c>
      <c r="R104" s="26" t="str">
        <f aca="false">IF($B104="","",IFERROR(INDEX(ST_STATUT,MATCH($B104,ST_ID,0)),""))</f>
        <v/>
      </c>
      <c r="S104" s="26" t="str">
        <f aca="false">IF($B104="","",IF($P104=0,"DONNEES MANQUANTES",IF(OR($R104="DONNEES MANQUANTES",$R104="STOCK INSUFFISANT",$R104="EMPLACEMENT INCOHERENT",$R104="BLOQUE"),"BLOQUE","OK")))</f>
        <v/>
      </c>
      <c r="T104" s="28" t="n">
        <f aca="false">IF($S104="OK",1,0)</f>
        <v>0</v>
      </c>
      <c r="U104" s="26" t="str">
        <f aca="false">IF($B104="","",IF($P104=0,"A COMPLETER : "&amp;IF(ISNA(MATCH($B104,ST_ID,0)),"ID ST valide; ","")&amp;IF(OR(NOT(ISNUMBER($F104)),$F104&lt;=0),"QUANTITE &gt; 0; ","")&amp;IF($J104="","EMPL. DESTINATION; ",""),IF($S104="BLOQUE","Envoi parent en anomalie ("&amp;$R104&amp;") : corriger l'onglet SOUS_TRAITANCE.",IF(AND($E104&lt;&gt;"",ISNA(MATCH($E104,LOT_KEY,0))),"Creer la fiche du lot resultat dans l'onglet LOTS.",""))))</f>
        <v/>
      </c>
      <c r="V104" s="31" t="str">
        <f aca="false">IF($B104="","",IF($C104&lt;&gt;"",$C104,IFERROR(INDEX(ST_DATERET,MATCH($B104,ST_ID,0)),"")))</f>
        <v/>
      </c>
      <c r="W104" s="26" t="str">
        <f aca="false">IF($P104=0,"",IF($L104=R_LOT,IF($N104&lt;&gt;R_LOT,$N104,""),IF($N104=R_LOT,$L104,"")))</f>
        <v/>
      </c>
      <c r="X104" s="26" t="str">
        <f aca="false">IF($W104="","",IF(COUNTIF($W$4:$W103,$W104)&gt;0,"",COUNT($X$4:$X103)+1))</f>
        <v/>
      </c>
      <c r="Y104" s="26" t="n">
        <f aca="false">IF($P104=0,0,IF(OR($L104=R_LOT,$N104=R_LOT),1,0))</f>
        <v>0</v>
      </c>
      <c r="Z104" s="26" t="str">
        <f aca="false">IF($Y104=0,"",COUNTIF($Y$5:$Y104,1))</f>
        <v/>
      </c>
    </row>
    <row r="105" customFormat="false" ht="15" hidden="false" customHeight="false" outlineLevel="0" collapsed="false">
      <c r="A105" s="26" t="str">
        <f aca="false">IF($B105="","","RES-"&amp;TEXT(ROW()-4,"000"))</f>
        <v/>
      </c>
      <c r="B105" s="24"/>
      <c r="C105" s="25"/>
      <c r="D105" s="24"/>
      <c r="E105" s="24"/>
      <c r="F105" s="29"/>
      <c r="G105" s="24"/>
      <c r="H105" s="24"/>
      <c r="I105" s="24"/>
      <c r="J105" s="24"/>
      <c r="K105" s="24"/>
      <c r="L105" s="26" t="str">
        <f aca="false">IF($B105="","",IFERROR(INDEX(ST_LOT,MATCH($B105,ST_ID,0)),""))</f>
        <v/>
      </c>
      <c r="M105" s="26" t="str">
        <f aca="false">IF($B105="","",IFERROR(INDEX(ST_STRAIT,MATCH($B105,ST_ID,0)),""))</f>
        <v/>
      </c>
      <c r="N105" s="26" t="str">
        <f aca="false">IF($B105="","",IF($E105="",$L105,$E105))</f>
        <v/>
      </c>
      <c r="O105" s="26" t="str">
        <f aca="false">IF($J105="","",IFERROR(INDEX(EMPL_CLASSE,MATCH($J105,EMPL_KEY,0)),"?"))</f>
        <v/>
      </c>
      <c r="P105" s="28" t="n">
        <f aca="false">IF($B105="",0,IF(OR(ISNA(MATCH($B105,ST_ID,0)),NOT(ISNUMBER($F105)),$F105&lt;=0,$J105="",$N105=""),0,1))</f>
        <v>0</v>
      </c>
      <c r="Q105" s="27" t="n">
        <f aca="false">IF($P105=0,0,$F105)</f>
        <v>0</v>
      </c>
      <c r="R105" s="26" t="str">
        <f aca="false">IF($B105="","",IFERROR(INDEX(ST_STATUT,MATCH($B105,ST_ID,0)),""))</f>
        <v/>
      </c>
      <c r="S105" s="26" t="str">
        <f aca="false">IF($B105="","",IF($P105=0,"DONNEES MANQUANTES",IF(OR($R105="DONNEES MANQUANTES",$R105="STOCK INSUFFISANT",$R105="EMPLACEMENT INCOHERENT",$R105="BLOQUE"),"BLOQUE","OK")))</f>
        <v/>
      </c>
      <c r="T105" s="28" t="n">
        <f aca="false">IF($S105="OK",1,0)</f>
        <v>0</v>
      </c>
      <c r="U105" s="26" t="str">
        <f aca="false">IF($B105="","",IF($P105=0,"A COMPLETER : "&amp;IF(ISNA(MATCH($B105,ST_ID,0)),"ID ST valide; ","")&amp;IF(OR(NOT(ISNUMBER($F105)),$F105&lt;=0),"QUANTITE &gt; 0; ","")&amp;IF($J105="","EMPL. DESTINATION; ",""),IF($S105="BLOQUE","Envoi parent en anomalie ("&amp;$R105&amp;") : corriger l'onglet SOUS_TRAITANCE.",IF(AND($E105&lt;&gt;"",ISNA(MATCH($E105,LOT_KEY,0))),"Creer la fiche du lot resultat dans l'onglet LOTS.",""))))</f>
        <v/>
      </c>
      <c r="V105" s="31" t="str">
        <f aca="false">IF($B105="","",IF($C105&lt;&gt;"",$C105,IFERROR(INDEX(ST_DATERET,MATCH($B105,ST_ID,0)),"")))</f>
        <v/>
      </c>
      <c r="W105" s="26" t="str">
        <f aca="false">IF($P105=0,"",IF($L105=R_LOT,IF($N105&lt;&gt;R_LOT,$N105,""),IF($N105=R_LOT,$L105,"")))</f>
        <v/>
      </c>
      <c r="X105" s="26" t="str">
        <f aca="false">IF($W105="","",IF(COUNTIF($W$4:$W104,$W105)&gt;0,"",COUNT($X$4:$X104)+1))</f>
        <v/>
      </c>
      <c r="Y105" s="26" t="n">
        <f aca="false">IF($P105=0,0,IF(OR($L105=R_LOT,$N105=R_LOT),1,0))</f>
        <v>0</v>
      </c>
      <c r="Z105" s="26" t="str">
        <f aca="false">IF($Y105=0,"",COUNTIF($Y$5:$Y105,1))</f>
        <v/>
      </c>
    </row>
    <row r="106" customFormat="false" ht="15" hidden="false" customHeight="false" outlineLevel="0" collapsed="false">
      <c r="A106" s="26" t="str">
        <f aca="false">IF($B106="","","RES-"&amp;TEXT(ROW()-4,"000"))</f>
        <v/>
      </c>
      <c r="B106" s="24"/>
      <c r="C106" s="25"/>
      <c r="D106" s="24"/>
      <c r="E106" s="24"/>
      <c r="F106" s="29"/>
      <c r="G106" s="24"/>
      <c r="H106" s="24"/>
      <c r="I106" s="24"/>
      <c r="J106" s="24"/>
      <c r="K106" s="24"/>
      <c r="L106" s="26" t="str">
        <f aca="false">IF($B106="","",IFERROR(INDEX(ST_LOT,MATCH($B106,ST_ID,0)),""))</f>
        <v/>
      </c>
      <c r="M106" s="26" t="str">
        <f aca="false">IF($B106="","",IFERROR(INDEX(ST_STRAIT,MATCH($B106,ST_ID,0)),""))</f>
        <v/>
      </c>
      <c r="N106" s="26" t="str">
        <f aca="false">IF($B106="","",IF($E106="",$L106,$E106))</f>
        <v/>
      </c>
      <c r="O106" s="26" t="str">
        <f aca="false">IF($J106="","",IFERROR(INDEX(EMPL_CLASSE,MATCH($J106,EMPL_KEY,0)),"?"))</f>
        <v/>
      </c>
      <c r="P106" s="28" t="n">
        <f aca="false">IF($B106="",0,IF(OR(ISNA(MATCH($B106,ST_ID,0)),NOT(ISNUMBER($F106)),$F106&lt;=0,$J106="",$N106=""),0,1))</f>
        <v>0</v>
      </c>
      <c r="Q106" s="27" t="n">
        <f aca="false">IF($P106=0,0,$F106)</f>
        <v>0</v>
      </c>
      <c r="R106" s="26" t="str">
        <f aca="false">IF($B106="","",IFERROR(INDEX(ST_STATUT,MATCH($B106,ST_ID,0)),""))</f>
        <v/>
      </c>
      <c r="S106" s="26" t="str">
        <f aca="false">IF($B106="","",IF($P106=0,"DONNEES MANQUANTES",IF(OR($R106="DONNEES MANQUANTES",$R106="STOCK INSUFFISANT",$R106="EMPLACEMENT INCOHERENT",$R106="BLOQUE"),"BLOQUE","OK")))</f>
        <v/>
      </c>
      <c r="T106" s="28" t="n">
        <f aca="false">IF($S106="OK",1,0)</f>
        <v>0</v>
      </c>
      <c r="U106" s="26" t="str">
        <f aca="false">IF($B106="","",IF($P106=0,"A COMPLETER : "&amp;IF(ISNA(MATCH($B106,ST_ID,0)),"ID ST valide; ","")&amp;IF(OR(NOT(ISNUMBER($F106)),$F106&lt;=0),"QUANTITE &gt; 0; ","")&amp;IF($J106="","EMPL. DESTINATION; ",""),IF($S106="BLOQUE","Envoi parent en anomalie ("&amp;$R106&amp;") : corriger l'onglet SOUS_TRAITANCE.",IF(AND($E106&lt;&gt;"",ISNA(MATCH($E106,LOT_KEY,0))),"Creer la fiche du lot resultat dans l'onglet LOTS.",""))))</f>
        <v/>
      </c>
      <c r="V106" s="31" t="str">
        <f aca="false">IF($B106="","",IF($C106&lt;&gt;"",$C106,IFERROR(INDEX(ST_DATERET,MATCH($B106,ST_ID,0)),"")))</f>
        <v/>
      </c>
      <c r="W106" s="26" t="str">
        <f aca="false">IF($P106=0,"",IF($L106=R_LOT,IF($N106&lt;&gt;R_LOT,$N106,""),IF($N106=R_LOT,$L106,"")))</f>
        <v/>
      </c>
      <c r="X106" s="26" t="str">
        <f aca="false">IF($W106="","",IF(COUNTIF($W$4:$W105,$W106)&gt;0,"",COUNT($X$4:$X105)+1))</f>
        <v/>
      </c>
      <c r="Y106" s="26" t="n">
        <f aca="false">IF($P106=0,0,IF(OR($L106=R_LOT,$N106=R_LOT),1,0))</f>
        <v>0</v>
      </c>
      <c r="Z106" s="26" t="str">
        <f aca="false">IF($Y106=0,"",COUNTIF($Y$5:$Y106,1))</f>
        <v/>
      </c>
    </row>
    <row r="107" customFormat="false" ht="15" hidden="false" customHeight="false" outlineLevel="0" collapsed="false">
      <c r="A107" s="26" t="str">
        <f aca="false">IF($B107="","","RES-"&amp;TEXT(ROW()-4,"000"))</f>
        <v/>
      </c>
      <c r="B107" s="24"/>
      <c r="C107" s="25"/>
      <c r="D107" s="24"/>
      <c r="E107" s="24"/>
      <c r="F107" s="29"/>
      <c r="G107" s="24"/>
      <c r="H107" s="24"/>
      <c r="I107" s="24"/>
      <c r="J107" s="24"/>
      <c r="K107" s="24"/>
      <c r="L107" s="26" t="str">
        <f aca="false">IF($B107="","",IFERROR(INDEX(ST_LOT,MATCH($B107,ST_ID,0)),""))</f>
        <v/>
      </c>
      <c r="M107" s="26" t="str">
        <f aca="false">IF($B107="","",IFERROR(INDEX(ST_STRAIT,MATCH($B107,ST_ID,0)),""))</f>
        <v/>
      </c>
      <c r="N107" s="26" t="str">
        <f aca="false">IF($B107="","",IF($E107="",$L107,$E107))</f>
        <v/>
      </c>
      <c r="O107" s="26" t="str">
        <f aca="false">IF($J107="","",IFERROR(INDEX(EMPL_CLASSE,MATCH($J107,EMPL_KEY,0)),"?"))</f>
        <v/>
      </c>
      <c r="P107" s="28" t="n">
        <f aca="false">IF($B107="",0,IF(OR(ISNA(MATCH($B107,ST_ID,0)),NOT(ISNUMBER($F107)),$F107&lt;=0,$J107="",$N107=""),0,1))</f>
        <v>0</v>
      </c>
      <c r="Q107" s="27" t="n">
        <f aca="false">IF($P107=0,0,$F107)</f>
        <v>0</v>
      </c>
      <c r="R107" s="26" t="str">
        <f aca="false">IF($B107="","",IFERROR(INDEX(ST_STATUT,MATCH($B107,ST_ID,0)),""))</f>
        <v/>
      </c>
      <c r="S107" s="26" t="str">
        <f aca="false">IF($B107="","",IF($P107=0,"DONNEES MANQUANTES",IF(OR($R107="DONNEES MANQUANTES",$R107="STOCK INSUFFISANT",$R107="EMPLACEMENT INCOHERENT",$R107="BLOQUE"),"BLOQUE","OK")))</f>
        <v/>
      </c>
      <c r="T107" s="28" t="n">
        <f aca="false">IF($S107="OK",1,0)</f>
        <v>0</v>
      </c>
      <c r="U107" s="26" t="str">
        <f aca="false">IF($B107="","",IF($P107=0,"A COMPLETER : "&amp;IF(ISNA(MATCH($B107,ST_ID,0)),"ID ST valide; ","")&amp;IF(OR(NOT(ISNUMBER($F107)),$F107&lt;=0),"QUANTITE &gt; 0; ","")&amp;IF($J107="","EMPL. DESTINATION; ",""),IF($S107="BLOQUE","Envoi parent en anomalie ("&amp;$R107&amp;") : corriger l'onglet SOUS_TRAITANCE.",IF(AND($E107&lt;&gt;"",ISNA(MATCH($E107,LOT_KEY,0))),"Creer la fiche du lot resultat dans l'onglet LOTS.",""))))</f>
        <v/>
      </c>
      <c r="V107" s="31" t="str">
        <f aca="false">IF($B107="","",IF($C107&lt;&gt;"",$C107,IFERROR(INDEX(ST_DATERET,MATCH($B107,ST_ID,0)),"")))</f>
        <v/>
      </c>
      <c r="W107" s="26" t="str">
        <f aca="false">IF($P107=0,"",IF($L107=R_LOT,IF($N107&lt;&gt;R_LOT,$N107,""),IF($N107=R_LOT,$L107,"")))</f>
        <v/>
      </c>
      <c r="X107" s="26" t="str">
        <f aca="false">IF($W107="","",IF(COUNTIF($W$4:$W106,$W107)&gt;0,"",COUNT($X$4:$X106)+1))</f>
        <v/>
      </c>
      <c r="Y107" s="26" t="n">
        <f aca="false">IF($P107=0,0,IF(OR($L107=R_LOT,$N107=R_LOT),1,0))</f>
        <v>0</v>
      </c>
      <c r="Z107" s="26" t="str">
        <f aca="false">IF($Y107=0,"",COUNTIF($Y$5:$Y107,1))</f>
        <v/>
      </c>
    </row>
    <row r="108" customFormat="false" ht="15" hidden="false" customHeight="false" outlineLevel="0" collapsed="false">
      <c r="A108" s="26" t="str">
        <f aca="false">IF($B108="","","RES-"&amp;TEXT(ROW()-4,"000"))</f>
        <v/>
      </c>
      <c r="B108" s="24"/>
      <c r="C108" s="25"/>
      <c r="D108" s="24"/>
      <c r="E108" s="24"/>
      <c r="F108" s="29"/>
      <c r="G108" s="24"/>
      <c r="H108" s="24"/>
      <c r="I108" s="24"/>
      <c r="J108" s="24"/>
      <c r="K108" s="24"/>
      <c r="L108" s="26" t="str">
        <f aca="false">IF($B108="","",IFERROR(INDEX(ST_LOT,MATCH($B108,ST_ID,0)),""))</f>
        <v/>
      </c>
      <c r="M108" s="26" t="str">
        <f aca="false">IF($B108="","",IFERROR(INDEX(ST_STRAIT,MATCH($B108,ST_ID,0)),""))</f>
        <v/>
      </c>
      <c r="N108" s="26" t="str">
        <f aca="false">IF($B108="","",IF($E108="",$L108,$E108))</f>
        <v/>
      </c>
      <c r="O108" s="26" t="str">
        <f aca="false">IF($J108="","",IFERROR(INDEX(EMPL_CLASSE,MATCH($J108,EMPL_KEY,0)),"?"))</f>
        <v/>
      </c>
      <c r="P108" s="28" t="n">
        <f aca="false">IF($B108="",0,IF(OR(ISNA(MATCH($B108,ST_ID,0)),NOT(ISNUMBER($F108)),$F108&lt;=0,$J108="",$N108=""),0,1))</f>
        <v>0</v>
      </c>
      <c r="Q108" s="27" t="n">
        <f aca="false">IF($P108=0,0,$F108)</f>
        <v>0</v>
      </c>
      <c r="R108" s="26" t="str">
        <f aca="false">IF($B108="","",IFERROR(INDEX(ST_STATUT,MATCH($B108,ST_ID,0)),""))</f>
        <v/>
      </c>
      <c r="S108" s="26" t="str">
        <f aca="false">IF($B108="","",IF($P108=0,"DONNEES MANQUANTES",IF(OR($R108="DONNEES MANQUANTES",$R108="STOCK INSUFFISANT",$R108="EMPLACEMENT INCOHERENT",$R108="BLOQUE"),"BLOQUE","OK")))</f>
        <v/>
      </c>
      <c r="T108" s="28" t="n">
        <f aca="false">IF($S108="OK",1,0)</f>
        <v>0</v>
      </c>
      <c r="U108" s="26" t="str">
        <f aca="false">IF($B108="","",IF($P108=0,"A COMPLETER : "&amp;IF(ISNA(MATCH($B108,ST_ID,0)),"ID ST valide; ","")&amp;IF(OR(NOT(ISNUMBER($F108)),$F108&lt;=0),"QUANTITE &gt; 0; ","")&amp;IF($J108="","EMPL. DESTINATION; ",""),IF($S108="BLOQUE","Envoi parent en anomalie ("&amp;$R108&amp;") : corriger l'onglet SOUS_TRAITANCE.",IF(AND($E108&lt;&gt;"",ISNA(MATCH($E108,LOT_KEY,0))),"Creer la fiche du lot resultat dans l'onglet LOTS.",""))))</f>
        <v/>
      </c>
      <c r="V108" s="31" t="str">
        <f aca="false">IF($B108="","",IF($C108&lt;&gt;"",$C108,IFERROR(INDEX(ST_DATERET,MATCH($B108,ST_ID,0)),"")))</f>
        <v/>
      </c>
      <c r="W108" s="26" t="str">
        <f aca="false">IF($P108=0,"",IF($L108=R_LOT,IF($N108&lt;&gt;R_LOT,$N108,""),IF($N108=R_LOT,$L108,"")))</f>
        <v/>
      </c>
      <c r="X108" s="26" t="str">
        <f aca="false">IF($W108="","",IF(COUNTIF($W$4:$W107,$W108)&gt;0,"",COUNT($X$4:$X107)+1))</f>
        <v/>
      </c>
      <c r="Y108" s="26" t="n">
        <f aca="false">IF($P108=0,0,IF(OR($L108=R_LOT,$N108=R_LOT),1,0))</f>
        <v>0</v>
      </c>
      <c r="Z108" s="26" t="str">
        <f aca="false">IF($Y108=0,"",COUNTIF($Y$5:$Y108,1))</f>
        <v/>
      </c>
    </row>
    <row r="109" customFormat="false" ht="15" hidden="false" customHeight="false" outlineLevel="0" collapsed="false">
      <c r="A109" s="26" t="str">
        <f aca="false">IF($B109="","","RES-"&amp;TEXT(ROW()-4,"000"))</f>
        <v/>
      </c>
      <c r="B109" s="24"/>
      <c r="C109" s="25"/>
      <c r="D109" s="24"/>
      <c r="E109" s="24"/>
      <c r="F109" s="29"/>
      <c r="G109" s="24"/>
      <c r="H109" s="24"/>
      <c r="I109" s="24"/>
      <c r="J109" s="24"/>
      <c r="K109" s="24"/>
      <c r="L109" s="26" t="str">
        <f aca="false">IF($B109="","",IFERROR(INDEX(ST_LOT,MATCH($B109,ST_ID,0)),""))</f>
        <v/>
      </c>
      <c r="M109" s="26" t="str">
        <f aca="false">IF($B109="","",IFERROR(INDEX(ST_STRAIT,MATCH($B109,ST_ID,0)),""))</f>
        <v/>
      </c>
      <c r="N109" s="26" t="str">
        <f aca="false">IF($B109="","",IF($E109="",$L109,$E109))</f>
        <v/>
      </c>
      <c r="O109" s="26" t="str">
        <f aca="false">IF($J109="","",IFERROR(INDEX(EMPL_CLASSE,MATCH($J109,EMPL_KEY,0)),"?"))</f>
        <v/>
      </c>
      <c r="P109" s="28" t="n">
        <f aca="false">IF($B109="",0,IF(OR(ISNA(MATCH($B109,ST_ID,0)),NOT(ISNUMBER($F109)),$F109&lt;=0,$J109="",$N109=""),0,1))</f>
        <v>0</v>
      </c>
      <c r="Q109" s="27" t="n">
        <f aca="false">IF($P109=0,0,$F109)</f>
        <v>0</v>
      </c>
      <c r="R109" s="26" t="str">
        <f aca="false">IF($B109="","",IFERROR(INDEX(ST_STATUT,MATCH($B109,ST_ID,0)),""))</f>
        <v/>
      </c>
      <c r="S109" s="26" t="str">
        <f aca="false">IF($B109="","",IF($P109=0,"DONNEES MANQUANTES",IF(OR($R109="DONNEES MANQUANTES",$R109="STOCK INSUFFISANT",$R109="EMPLACEMENT INCOHERENT",$R109="BLOQUE"),"BLOQUE","OK")))</f>
        <v/>
      </c>
      <c r="T109" s="28" t="n">
        <f aca="false">IF($S109="OK",1,0)</f>
        <v>0</v>
      </c>
      <c r="U109" s="26" t="str">
        <f aca="false">IF($B109="","",IF($P109=0,"A COMPLETER : "&amp;IF(ISNA(MATCH($B109,ST_ID,0)),"ID ST valide; ","")&amp;IF(OR(NOT(ISNUMBER($F109)),$F109&lt;=0),"QUANTITE &gt; 0; ","")&amp;IF($J109="","EMPL. DESTINATION; ",""),IF($S109="BLOQUE","Envoi parent en anomalie ("&amp;$R109&amp;") : corriger l'onglet SOUS_TRAITANCE.",IF(AND($E109&lt;&gt;"",ISNA(MATCH($E109,LOT_KEY,0))),"Creer la fiche du lot resultat dans l'onglet LOTS.",""))))</f>
        <v/>
      </c>
      <c r="V109" s="31" t="str">
        <f aca="false">IF($B109="","",IF($C109&lt;&gt;"",$C109,IFERROR(INDEX(ST_DATERET,MATCH($B109,ST_ID,0)),"")))</f>
        <v/>
      </c>
      <c r="W109" s="26" t="str">
        <f aca="false">IF($P109=0,"",IF($L109=R_LOT,IF($N109&lt;&gt;R_LOT,$N109,""),IF($N109=R_LOT,$L109,"")))</f>
        <v/>
      </c>
      <c r="X109" s="26" t="str">
        <f aca="false">IF($W109="","",IF(COUNTIF($W$4:$W108,$W109)&gt;0,"",COUNT($X$4:$X108)+1))</f>
        <v/>
      </c>
      <c r="Y109" s="26" t="n">
        <f aca="false">IF($P109=0,0,IF(OR($L109=R_LOT,$N109=R_LOT),1,0))</f>
        <v>0</v>
      </c>
      <c r="Z109" s="26" t="str">
        <f aca="false">IF($Y109=0,"",COUNTIF($Y$5:$Y109,1))</f>
        <v/>
      </c>
    </row>
    <row r="110" customFormat="false" ht="15" hidden="false" customHeight="false" outlineLevel="0" collapsed="false">
      <c r="A110" s="26" t="str">
        <f aca="false">IF($B110="","","RES-"&amp;TEXT(ROW()-4,"000"))</f>
        <v/>
      </c>
      <c r="B110" s="24"/>
      <c r="C110" s="25"/>
      <c r="D110" s="24"/>
      <c r="E110" s="24"/>
      <c r="F110" s="29"/>
      <c r="G110" s="24"/>
      <c r="H110" s="24"/>
      <c r="I110" s="24"/>
      <c r="J110" s="24"/>
      <c r="K110" s="24"/>
      <c r="L110" s="26" t="str">
        <f aca="false">IF($B110="","",IFERROR(INDEX(ST_LOT,MATCH($B110,ST_ID,0)),""))</f>
        <v/>
      </c>
      <c r="M110" s="26" t="str">
        <f aca="false">IF($B110="","",IFERROR(INDEX(ST_STRAIT,MATCH($B110,ST_ID,0)),""))</f>
        <v/>
      </c>
      <c r="N110" s="26" t="str">
        <f aca="false">IF($B110="","",IF($E110="",$L110,$E110))</f>
        <v/>
      </c>
      <c r="O110" s="26" t="str">
        <f aca="false">IF($J110="","",IFERROR(INDEX(EMPL_CLASSE,MATCH($J110,EMPL_KEY,0)),"?"))</f>
        <v/>
      </c>
      <c r="P110" s="28" t="n">
        <f aca="false">IF($B110="",0,IF(OR(ISNA(MATCH($B110,ST_ID,0)),NOT(ISNUMBER($F110)),$F110&lt;=0,$J110="",$N110=""),0,1))</f>
        <v>0</v>
      </c>
      <c r="Q110" s="27" t="n">
        <f aca="false">IF($P110=0,0,$F110)</f>
        <v>0</v>
      </c>
      <c r="R110" s="26" t="str">
        <f aca="false">IF($B110="","",IFERROR(INDEX(ST_STATUT,MATCH($B110,ST_ID,0)),""))</f>
        <v/>
      </c>
      <c r="S110" s="26" t="str">
        <f aca="false">IF($B110="","",IF($P110=0,"DONNEES MANQUANTES",IF(OR($R110="DONNEES MANQUANTES",$R110="STOCK INSUFFISANT",$R110="EMPLACEMENT INCOHERENT",$R110="BLOQUE"),"BLOQUE","OK")))</f>
        <v/>
      </c>
      <c r="T110" s="28" t="n">
        <f aca="false">IF($S110="OK",1,0)</f>
        <v>0</v>
      </c>
      <c r="U110" s="26" t="str">
        <f aca="false">IF($B110="","",IF($P110=0,"A COMPLETER : "&amp;IF(ISNA(MATCH($B110,ST_ID,0)),"ID ST valide; ","")&amp;IF(OR(NOT(ISNUMBER($F110)),$F110&lt;=0),"QUANTITE &gt; 0; ","")&amp;IF($J110="","EMPL. DESTINATION; ",""),IF($S110="BLOQUE","Envoi parent en anomalie ("&amp;$R110&amp;") : corriger l'onglet SOUS_TRAITANCE.",IF(AND($E110&lt;&gt;"",ISNA(MATCH($E110,LOT_KEY,0))),"Creer la fiche du lot resultat dans l'onglet LOTS.",""))))</f>
        <v/>
      </c>
      <c r="V110" s="31" t="str">
        <f aca="false">IF($B110="","",IF($C110&lt;&gt;"",$C110,IFERROR(INDEX(ST_DATERET,MATCH($B110,ST_ID,0)),"")))</f>
        <v/>
      </c>
      <c r="W110" s="26" t="str">
        <f aca="false">IF($P110=0,"",IF($L110=R_LOT,IF($N110&lt;&gt;R_LOT,$N110,""),IF($N110=R_LOT,$L110,"")))</f>
        <v/>
      </c>
      <c r="X110" s="26" t="str">
        <f aca="false">IF($W110="","",IF(COUNTIF($W$4:$W109,$W110)&gt;0,"",COUNT($X$4:$X109)+1))</f>
        <v/>
      </c>
      <c r="Y110" s="26" t="n">
        <f aca="false">IF($P110=0,0,IF(OR($L110=R_LOT,$N110=R_LOT),1,0))</f>
        <v>0</v>
      </c>
      <c r="Z110" s="26" t="str">
        <f aca="false">IF($Y110=0,"",COUNTIF($Y$5:$Y110,1))</f>
        <v/>
      </c>
    </row>
    <row r="111" customFormat="false" ht="15" hidden="false" customHeight="false" outlineLevel="0" collapsed="false">
      <c r="A111" s="26" t="str">
        <f aca="false">IF($B111="","","RES-"&amp;TEXT(ROW()-4,"000"))</f>
        <v/>
      </c>
      <c r="B111" s="24"/>
      <c r="C111" s="25"/>
      <c r="D111" s="24"/>
      <c r="E111" s="24"/>
      <c r="F111" s="29"/>
      <c r="G111" s="24"/>
      <c r="H111" s="24"/>
      <c r="I111" s="24"/>
      <c r="J111" s="24"/>
      <c r="K111" s="24"/>
      <c r="L111" s="26" t="str">
        <f aca="false">IF($B111="","",IFERROR(INDEX(ST_LOT,MATCH($B111,ST_ID,0)),""))</f>
        <v/>
      </c>
      <c r="M111" s="26" t="str">
        <f aca="false">IF($B111="","",IFERROR(INDEX(ST_STRAIT,MATCH($B111,ST_ID,0)),""))</f>
        <v/>
      </c>
      <c r="N111" s="26" t="str">
        <f aca="false">IF($B111="","",IF($E111="",$L111,$E111))</f>
        <v/>
      </c>
      <c r="O111" s="26" t="str">
        <f aca="false">IF($J111="","",IFERROR(INDEX(EMPL_CLASSE,MATCH($J111,EMPL_KEY,0)),"?"))</f>
        <v/>
      </c>
      <c r="P111" s="28" t="n">
        <f aca="false">IF($B111="",0,IF(OR(ISNA(MATCH($B111,ST_ID,0)),NOT(ISNUMBER($F111)),$F111&lt;=0,$J111="",$N111=""),0,1))</f>
        <v>0</v>
      </c>
      <c r="Q111" s="27" t="n">
        <f aca="false">IF($P111=0,0,$F111)</f>
        <v>0</v>
      </c>
      <c r="R111" s="26" t="str">
        <f aca="false">IF($B111="","",IFERROR(INDEX(ST_STATUT,MATCH($B111,ST_ID,0)),""))</f>
        <v/>
      </c>
      <c r="S111" s="26" t="str">
        <f aca="false">IF($B111="","",IF($P111=0,"DONNEES MANQUANTES",IF(OR($R111="DONNEES MANQUANTES",$R111="STOCK INSUFFISANT",$R111="EMPLACEMENT INCOHERENT",$R111="BLOQUE"),"BLOQUE","OK")))</f>
        <v/>
      </c>
      <c r="T111" s="28" t="n">
        <f aca="false">IF($S111="OK",1,0)</f>
        <v>0</v>
      </c>
      <c r="U111" s="26" t="str">
        <f aca="false">IF($B111="","",IF($P111=0,"A COMPLETER : "&amp;IF(ISNA(MATCH($B111,ST_ID,0)),"ID ST valide; ","")&amp;IF(OR(NOT(ISNUMBER($F111)),$F111&lt;=0),"QUANTITE &gt; 0; ","")&amp;IF($J111="","EMPL. DESTINATION; ",""),IF($S111="BLOQUE","Envoi parent en anomalie ("&amp;$R111&amp;") : corriger l'onglet SOUS_TRAITANCE.",IF(AND($E111&lt;&gt;"",ISNA(MATCH($E111,LOT_KEY,0))),"Creer la fiche du lot resultat dans l'onglet LOTS.",""))))</f>
        <v/>
      </c>
      <c r="V111" s="31" t="str">
        <f aca="false">IF($B111="","",IF($C111&lt;&gt;"",$C111,IFERROR(INDEX(ST_DATERET,MATCH($B111,ST_ID,0)),"")))</f>
        <v/>
      </c>
      <c r="W111" s="26" t="str">
        <f aca="false">IF($P111=0,"",IF($L111=R_LOT,IF($N111&lt;&gt;R_LOT,$N111,""),IF($N111=R_LOT,$L111,"")))</f>
        <v/>
      </c>
      <c r="X111" s="26" t="str">
        <f aca="false">IF($W111="","",IF(COUNTIF($W$4:$W110,$W111)&gt;0,"",COUNT($X$4:$X110)+1))</f>
        <v/>
      </c>
      <c r="Y111" s="26" t="n">
        <f aca="false">IF($P111=0,0,IF(OR($L111=R_LOT,$N111=R_LOT),1,0))</f>
        <v>0</v>
      </c>
      <c r="Z111" s="26" t="str">
        <f aca="false">IF($Y111=0,"",COUNTIF($Y$5:$Y111,1))</f>
        <v/>
      </c>
    </row>
    <row r="112" customFormat="false" ht="15" hidden="false" customHeight="false" outlineLevel="0" collapsed="false">
      <c r="A112" s="26" t="str">
        <f aca="false">IF($B112="","","RES-"&amp;TEXT(ROW()-4,"000"))</f>
        <v/>
      </c>
      <c r="B112" s="24"/>
      <c r="C112" s="25"/>
      <c r="D112" s="24"/>
      <c r="E112" s="24"/>
      <c r="F112" s="29"/>
      <c r="G112" s="24"/>
      <c r="H112" s="24"/>
      <c r="I112" s="24"/>
      <c r="J112" s="24"/>
      <c r="K112" s="24"/>
      <c r="L112" s="26" t="str">
        <f aca="false">IF($B112="","",IFERROR(INDEX(ST_LOT,MATCH($B112,ST_ID,0)),""))</f>
        <v/>
      </c>
      <c r="M112" s="26" t="str">
        <f aca="false">IF($B112="","",IFERROR(INDEX(ST_STRAIT,MATCH($B112,ST_ID,0)),""))</f>
        <v/>
      </c>
      <c r="N112" s="26" t="str">
        <f aca="false">IF($B112="","",IF($E112="",$L112,$E112))</f>
        <v/>
      </c>
      <c r="O112" s="26" t="str">
        <f aca="false">IF($J112="","",IFERROR(INDEX(EMPL_CLASSE,MATCH($J112,EMPL_KEY,0)),"?"))</f>
        <v/>
      </c>
      <c r="P112" s="28" t="n">
        <f aca="false">IF($B112="",0,IF(OR(ISNA(MATCH($B112,ST_ID,0)),NOT(ISNUMBER($F112)),$F112&lt;=0,$J112="",$N112=""),0,1))</f>
        <v>0</v>
      </c>
      <c r="Q112" s="27" t="n">
        <f aca="false">IF($P112=0,0,$F112)</f>
        <v>0</v>
      </c>
      <c r="R112" s="26" t="str">
        <f aca="false">IF($B112="","",IFERROR(INDEX(ST_STATUT,MATCH($B112,ST_ID,0)),""))</f>
        <v/>
      </c>
      <c r="S112" s="26" t="str">
        <f aca="false">IF($B112="","",IF($P112=0,"DONNEES MANQUANTES",IF(OR($R112="DONNEES MANQUANTES",$R112="STOCK INSUFFISANT",$R112="EMPLACEMENT INCOHERENT",$R112="BLOQUE"),"BLOQUE","OK")))</f>
        <v/>
      </c>
      <c r="T112" s="28" t="n">
        <f aca="false">IF($S112="OK",1,0)</f>
        <v>0</v>
      </c>
      <c r="U112" s="26" t="str">
        <f aca="false">IF($B112="","",IF($P112=0,"A COMPLETER : "&amp;IF(ISNA(MATCH($B112,ST_ID,0)),"ID ST valide; ","")&amp;IF(OR(NOT(ISNUMBER($F112)),$F112&lt;=0),"QUANTITE &gt; 0; ","")&amp;IF($J112="","EMPL. DESTINATION; ",""),IF($S112="BLOQUE","Envoi parent en anomalie ("&amp;$R112&amp;") : corriger l'onglet SOUS_TRAITANCE.",IF(AND($E112&lt;&gt;"",ISNA(MATCH($E112,LOT_KEY,0))),"Creer la fiche du lot resultat dans l'onglet LOTS.",""))))</f>
        <v/>
      </c>
      <c r="V112" s="31" t="str">
        <f aca="false">IF($B112="","",IF($C112&lt;&gt;"",$C112,IFERROR(INDEX(ST_DATERET,MATCH($B112,ST_ID,0)),"")))</f>
        <v/>
      </c>
      <c r="W112" s="26" t="str">
        <f aca="false">IF($P112=0,"",IF($L112=R_LOT,IF($N112&lt;&gt;R_LOT,$N112,""),IF($N112=R_LOT,$L112,"")))</f>
        <v/>
      </c>
      <c r="X112" s="26" t="str">
        <f aca="false">IF($W112="","",IF(COUNTIF($W$4:$W111,$W112)&gt;0,"",COUNT($X$4:$X111)+1))</f>
        <v/>
      </c>
      <c r="Y112" s="26" t="n">
        <f aca="false">IF($P112=0,0,IF(OR($L112=R_LOT,$N112=R_LOT),1,0))</f>
        <v>0</v>
      </c>
      <c r="Z112" s="26" t="str">
        <f aca="false">IF($Y112=0,"",COUNTIF($Y$5:$Y112,1))</f>
        <v/>
      </c>
    </row>
    <row r="113" customFormat="false" ht="15" hidden="false" customHeight="false" outlineLevel="0" collapsed="false">
      <c r="A113" s="26" t="str">
        <f aca="false">IF($B113="","","RES-"&amp;TEXT(ROW()-4,"000"))</f>
        <v/>
      </c>
      <c r="B113" s="24"/>
      <c r="C113" s="25"/>
      <c r="D113" s="24"/>
      <c r="E113" s="24"/>
      <c r="F113" s="29"/>
      <c r="G113" s="24"/>
      <c r="H113" s="24"/>
      <c r="I113" s="24"/>
      <c r="J113" s="24"/>
      <c r="K113" s="24"/>
      <c r="L113" s="26" t="str">
        <f aca="false">IF($B113="","",IFERROR(INDEX(ST_LOT,MATCH($B113,ST_ID,0)),""))</f>
        <v/>
      </c>
      <c r="M113" s="26" t="str">
        <f aca="false">IF($B113="","",IFERROR(INDEX(ST_STRAIT,MATCH($B113,ST_ID,0)),""))</f>
        <v/>
      </c>
      <c r="N113" s="26" t="str">
        <f aca="false">IF($B113="","",IF($E113="",$L113,$E113))</f>
        <v/>
      </c>
      <c r="O113" s="26" t="str">
        <f aca="false">IF($J113="","",IFERROR(INDEX(EMPL_CLASSE,MATCH($J113,EMPL_KEY,0)),"?"))</f>
        <v/>
      </c>
      <c r="P113" s="28" t="n">
        <f aca="false">IF($B113="",0,IF(OR(ISNA(MATCH($B113,ST_ID,0)),NOT(ISNUMBER($F113)),$F113&lt;=0,$J113="",$N113=""),0,1))</f>
        <v>0</v>
      </c>
      <c r="Q113" s="27" t="n">
        <f aca="false">IF($P113=0,0,$F113)</f>
        <v>0</v>
      </c>
      <c r="R113" s="26" t="str">
        <f aca="false">IF($B113="","",IFERROR(INDEX(ST_STATUT,MATCH($B113,ST_ID,0)),""))</f>
        <v/>
      </c>
      <c r="S113" s="26" t="str">
        <f aca="false">IF($B113="","",IF($P113=0,"DONNEES MANQUANTES",IF(OR($R113="DONNEES MANQUANTES",$R113="STOCK INSUFFISANT",$R113="EMPLACEMENT INCOHERENT",$R113="BLOQUE"),"BLOQUE","OK")))</f>
        <v/>
      </c>
      <c r="T113" s="28" t="n">
        <f aca="false">IF($S113="OK",1,0)</f>
        <v>0</v>
      </c>
      <c r="U113" s="26" t="str">
        <f aca="false">IF($B113="","",IF($P113=0,"A COMPLETER : "&amp;IF(ISNA(MATCH($B113,ST_ID,0)),"ID ST valide; ","")&amp;IF(OR(NOT(ISNUMBER($F113)),$F113&lt;=0),"QUANTITE &gt; 0; ","")&amp;IF($J113="","EMPL. DESTINATION; ",""),IF($S113="BLOQUE","Envoi parent en anomalie ("&amp;$R113&amp;") : corriger l'onglet SOUS_TRAITANCE.",IF(AND($E113&lt;&gt;"",ISNA(MATCH($E113,LOT_KEY,0))),"Creer la fiche du lot resultat dans l'onglet LOTS.",""))))</f>
        <v/>
      </c>
      <c r="V113" s="31" t="str">
        <f aca="false">IF($B113="","",IF($C113&lt;&gt;"",$C113,IFERROR(INDEX(ST_DATERET,MATCH($B113,ST_ID,0)),"")))</f>
        <v/>
      </c>
      <c r="W113" s="26" t="str">
        <f aca="false">IF($P113=0,"",IF($L113=R_LOT,IF($N113&lt;&gt;R_LOT,$N113,""),IF($N113=R_LOT,$L113,"")))</f>
        <v/>
      </c>
      <c r="X113" s="26" t="str">
        <f aca="false">IF($W113="","",IF(COUNTIF($W$4:$W112,$W113)&gt;0,"",COUNT($X$4:$X112)+1))</f>
        <v/>
      </c>
      <c r="Y113" s="26" t="n">
        <f aca="false">IF($P113=0,0,IF(OR($L113=R_LOT,$N113=R_LOT),1,0))</f>
        <v>0</v>
      </c>
      <c r="Z113" s="26" t="str">
        <f aca="false">IF($Y113=0,"",COUNTIF($Y$5:$Y113,1))</f>
        <v/>
      </c>
    </row>
    <row r="114" customFormat="false" ht="15" hidden="false" customHeight="false" outlineLevel="0" collapsed="false">
      <c r="A114" s="26" t="str">
        <f aca="false">IF($B114="","","RES-"&amp;TEXT(ROW()-4,"000"))</f>
        <v/>
      </c>
      <c r="B114" s="24"/>
      <c r="C114" s="25"/>
      <c r="D114" s="24"/>
      <c r="E114" s="24"/>
      <c r="F114" s="29"/>
      <c r="G114" s="24"/>
      <c r="H114" s="24"/>
      <c r="I114" s="24"/>
      <c r="J114" s="24"/>
      <c r="K114" s="24"/>
      <c r="L114" s="26" t="str">
        <f aca="false">IF($B114="","",IFERROR(INDEX(ST_LOT,MATCH($B114,ST_ID,0)),""))</f>
        <v/>
      </c>
      <c r="M114" s="26" t="str">
        <f aca="false">IF($B114="","",IFERROR(INDEX(ST_STRAIT,MATCH($B114,ST_ID,0)),""))</f>
        <v/>
      </c>
      <c r="N114" s="26" t="str">
        <f aca="false">IF($B114="","",IF($E114="",$L114,$E114))</f>
        <v/>
      </c>
      <c r="O114" s="26" t="str">
        <f aca="false">IF($J114="","",IFERROR(INDEX(EMPL_CLASSE,MATCH($J114,EMPL_KEY,0)),"?"))</f>
        <v/>
      </c>
      <c r="P114" s="28" t="n">
        <f aca="false">IF($B114="",0,IF(OR(ISNA(MATCH($B114,ST_ID,0)),NOT(ISNUMBER($F114)),$F114&lt;=0,$J114="",$N114=""),0,1))</f>
        <v>0</v>
      </c>
      <c r="Q114" s="27" t="n">
        <f aca="false">IF($P114=0,0,$F114)</f>
        <v>0</v>
      </c>
      <c r="R114" s="26" t="str">
        <f aca="false">IF($B114="","",IFERROR(INDEX(ST_STATUT,MATCH($B114,ST_ID,0)),""))</f>
        <v/>
      </c>
      <c r="S114" s="26" t="str">
        <f aca="false">IF($B114="","",IF($P114=0,"DONNEES MANQUANTES",IF(OR($R114="DONNEES MANQUANTES",$R114="STOCK INSUFFISANT",$R114="EMPLACEMENT INCOHERENT",$R114="BLOQUE"),"BLOQUE","OK")))</f>
        <v/>
      </c>
      <c r="T114" s="28" t="n">
        <f aca="false">IF($S114="OK",1,0)</f>
        <v>0</v>
      </c>
      <c r="U114" s="26" t="str">
        <f aca="false">IF($B114="","",IF($P114=0,"A COMPLETER : "&amp;IF(ISNA(MATCH($B114,ST_ID,0)),"ID ST valide; ","")&amp;IF(OR(NOT(ISNUMBER($F114)),$F114&lt;=0),"QUANTITE &gt; 0; ","")&amp;IF($J114="","EMPL. DESTINATION; ",""),IF($S114="BLOQUE","Envoi parent en anomalie ("&amp;$R114&amp;") : corriger l'onglet SOUS_TRAITANCE.",IF(AND($E114&lt;&gt;"",ISNA(MATCH($E114,LOT_KEY,0))),"Creer la fiche du lot resultat dans l'onglet LOTS.",""))))</f>
        <v/>
      </c>
      <c r="V114" s="31" t="str">
        <f aca="false">IF($B114="","",IF($C114&lt;&gt;"",$C114,IFERROR(INDEX(ST_DATERET,MATCH($B114,ST_ID,0)),"")))</f>
        <v/>
      </c>
      <c r="W114" s="26" t="str">
        <f aca="false">IF($P114=0,"",IF($L114=R_LOT,IF($N114&lt;&gt;R_LOT,$N114,""),IF($N114=R_LOT,$L114,"")))</f>
        <v/>
      </c>
      <c r="X114" s="26" t="str">
        <f aca="false">IF($W114="","",IF(COUNTIF($W$4:$W113,$W114)&gt;0,"",COUNT($X$4:$X113)+1))</f>
        <v/>
      </c>
      <c r="Y114" s="26" t="n">
        <f aca="false">IF($P114=0,0,IF(OR($L114=R_LOT,$N114=R_LOT),1,0))</f>
        <v>0</v>
      </c>
      <c r="Z114" s="26" t="str">
        <f aca="false">IF($Y114=0,"",COUNTIF($Y$5:$Y114,1))</f>
        <v/>
      </c>
    </row>
    <row r="115" customFormat="false" ht="15" hidden="false" customHeight="false" outlineLevel="0" collapsed="false">
      <c r="A115" s="26" t="str">
        <f aca="false">IF($B115="","","RES-"&amp;TEXT(ROW()-4,"000"))</f>
        <v/>
      </c>
      <c r="B115" s="24"/>
      <c r="C115" s="25"/>
      <c r="D115" s="24"/>
      <c r="E115" s="24"/>
      <c r="F115" s="29"/>
      <c r="G115" s="24"/>
      <c r="H115" s="24"/>
      <c r="I115" s="24"/>
      <c r="J115" s="24"/>
      <c r="K115" s="24"/>
      <c r="L115" s="26" t="str">
        <f aca="false">IF($B115="","",IFERROR(INDEX(ST_LOT,MATCH($B115,ST_ID,0)),""))</f>
        <v/>
      </c>
      <c r="M115" s="26" t="str">
        <f aca="false">IF($B115="","",IFERROR(INDEX(ST_STRAIT,MATCH($B115,ST_ID,0)),""))</f>
        <v/>
      </c>
      <c r="N115" s="26" t="str">
        <f aca="false">IF($B115="","",IF($E115="",$L115,$E115))</f>
        <v/>
      </c>
      <c r="O115" s="26" t="str">
        <f aca="false">IF($J115="","",IFERROR(INDEX(EMPL_CLASSE,MATCH($J115,EMPL_KEY,0)),"?"))</f>
        <v/>
      </c>
      <c r="P115" s="28" t="n">
        <f aca="false">IF($B115="",0,IF(OR(ISNA(MATCH($B115,ST_ID,0)),NOT(ISNUMBER($F115)),$F115&lt;=0,$J115="",$N115=""),0,1))</f>
        <v>0</v>
      </c>
      <c r="Q115" s="27" t="n">
        <f aca="false">IF($P115=0,0,$F115)</f>
        <v>0</v>
      </c>
      <c r="R115" s="26" t="str">
        <f aca="false">IF($B115="","",IFERROR(INDEX(ST_STATUT,MATCH($B115,ST_ID,0)),""))</f>
        <v/>
      </c>
      <c r="S115" s="26" t="str">
        <f aca="false">IF($B115="","",IF($P115=0,"DONNEES MANQUANTES",IF(OR($R115="DONNEES MANQUANTES",$R115="STOCK INSUFFISANT",$R115="EMPLACEMENT INCOHERENT",$R115="BLOQUE"),"BLOQUE","OK")))</f>
        <v/>
      </c>
      <c r="T115" s="28" t="n">
        <f aca="false">IF($S115="OK",1,0)</f>
        <v>0</v>
      </c>
      <c r="U115" s="26" t="str">
        <f aca="false">IF($B115="","",IF($P115=0,"A COMPLETER : "&amp;IF(ISNA(MATCH($B115,ST_ID,0)),"ID ST valide; ","")&amp;IF(OR(NOT(ISNUMBER($F115)),$F115&lt;=0),"QUANTITE &gt; 0; ","")&amp;IF($J115="","EMPL. DESTINATION; ",""),IF($S115="BLOQUE","Envoi parent en anomalie ("&amp;$R115&amp;") : corriger l'onglet SOUS_TRAITANCE.",IF(AND($E115&lt;&gt;"",ISNA(MATCH($E115,LOT_KEY,0))),"Creer la fiche du lot resultat dans l'onglet LOTS.",""))))</f>
        <v/>
      </c>
      <c r="V115" s="31" t="str">
        <f aca="false">IF($B115="","",IF($C115&lt;&gt;"",$C115,IFERROR(INDEX(ST_DATERET,MATCH($B115,ST_ID,0)),"")))</f>
        <v/>
      </c>
      <c r="W115" s="26" t="str">
        <f aca="false">IF($P115=0,"",IF($L115=R_LOT,IF($N115&lt;&gt;R_LOT,$N115,""),IF($N115=R_LOT,$L115,"")))</f>
        <v/>
      </c>
      <c r="X115" s="26" t="str">
        <f aca="false">IF($W115="","",IF(COUNTIF($W$4:$W114,$W115)&gt;0,"",COUNT($X$4:$X114)+1))</f>
        <v/>
      </c>
      <c r="Y115" s="26" t="n">
        <f aca="false">IF($P115=0,0,IF(OR($L115=R_LOT,$N115=R_LOT),1,0))</f>
        <v>0</v>
      </c>
      <c r="Z115" s="26" t="str">
        <f aca="false">IF($Y115=0,"",COUNTIF($Y$5:$Y115,1))</f>
        <v/>
      </c>
    </row>
    <row r="116" customFormat="false" ht="15" hidden="false" customHeight="false" outlineLevel="0" collapsed="false">
      <c r="A116" s="26" t="str">
        <f aca="false">IF($B116="","","RES-"&amp;TEXT(ROW()-4,"000"))</f>
        <v/>
      </c>
      <c r="B116" s="24"/>
      <c r="C116" s="25"/>
      <c r="D116" s="24"/>
      <c r="E116" s="24"/>
      <c r="F116" s="29"/>
      <c r="G116" s="24"/>
      <c r="H116" s="24"/>
      <c r="I116" s="24"/>
      <c r="J116" s="24"/>
      <c r="K116" s="24"/>
      <c r="L116" s="26" t="str">
        <f aca="false">IF($B116="","",IFERROR(INDEX(ST_LOT,MATCH($B116,ST_ID,0)),""))</f>
        <v/>
      </c>
      <c r="M116" s="26" t="str">
        <f aca="false">IF($B116="","",IFERROR(INDEX(ST_STRAIT,MATCH($B116,ST_ID,0)),""))</f>
        <v/>
      </c>
      <c r="N116" s="26" t="str">
        <f aca="false">IF($B116="","",IF($E116="",$L116,$E116))</f>
        <v/>
      </c>
      <c r="O116" s="26" t="str">
        <f aca="false">IF($J116="","",IFERROR(INDEX(EMPL_CLASSE,MATCH($J116,EMPL_KEY,0)),"?"))</f>
        <v/>
      </c>
      <c r="P116" s="28" t="n">
        <f aca="false">IF($B116="",0,IF(OR(ISNA(MATCH($B116,ST_ID,0)),NOT(ISNUMBER($F116)),$F116&lt;=0,$J116="",$N116=""),0,1))</f>
        <v>0</v>
      </c>
      <c r="Q116" s="27" t="n">
        <f aca="false">IF($P116=0,0,$F116)</f>
        <v>0</v>
      </c>
      <c r="R116" s="26" t="str">
        <f aca="false">IF($B116="","",IFERROR(INDEX(ST_STATUT,MATCH($B116,ST_ID,0)),""))</f>
        <v/>
      </c>
      <c r="S116" s="26" t="str">
        <f aca="false">IF($B116="","",IF($P116=0,"DONNEES MANQUANTES",IF(OR($R116="DONNEES MANQUANTES",$R116="STOCK INSUFFISANT",$R116="EMPLACEMENT INCOHERENT",$R116="BLOQUE"),"BLOQUE","OK")))</f>
        <v/>
      </c>
      <c r="T116" s="28" t="n">
        <f aca="false">IF($S116="OK",1,0)</f>
        <v>0</v>
      </c>
      <c r="U116" s="26" t="str">
        <f aca="false">IF($B116="","",IF($P116=0,"A COMPLETER : "&amp;IF(ISNA(MATCH($B116,ST_ID,0)),"ID ST valide; ","")&amp;IF(OR(NOT(ISNUMBER($F116)),$F116&lt;=0),"QUANTITE &gt; 0; ","")&amp;IF($J116="","EMPL. DESTINATION; ",""),IF($S116="BLOQUE","Envoi parent en anomalie ("&amp;$R116&amp;") : corriger l'onglet SOUS_TRAITANCE.",IF(AND($E116&lt;&gt;"",ISNA(MATCH($E116,LOT_KEY,0))),"Creer la fiche du lot resultat dans l'onglet LOTS.",""))))</f>
        <v/>
      </c>
      <c r="V116" s="31" t="str">
        <f aca="false">IF($B116="","",IF($C116&lt;&gt;"",$C116,IFERROR(INDEX(ST_DATERET,MATCH($B116,ST_ID,0)),"")))</f>
        <v/>
      </c>
      <c r="W116" s="26" t="str">
        <f aca="false">IF($P116=0,"",IF($L116=R_LOT,IF($N116&lt;&gt;R_LOT,$N116,""),IF($N116=R_LOT,$L116,"")))</f>
        <v/>
      </c>
      <c r="X116" s="26" t="str">
        <f aca="false">IF($W116="","",IF(COUNTIF($W$4:$W115,$W116)&gt;0,"",COUNT($X$4:$X115)+1))</f>
        <v/>
      </c>
      <c r="Y116" s="26" t="n">
        <f aca="false">IF($P116=0,0,IF(OR($L116=R_LOT,$N116=R_LOT),1,0))</f>
        <v>0</v>
      </c>
      <c r="Z116" s="26" t="str">
        <f aca="false">IF($Y116=0,"",COUNTIF($Y$5:$Y116,1))</f>
        <v/>
      </c>
    </row>
    <row r="117" customFormat="false" ht="15" hidden="false" customHeight="false" outlineLevel="0" collapsed="false">
      <c r="A117" s="26" t="str">
        <f aca="false">IF($B117="","","RES-"&amp;TEXT(ROW()-4,"000"))</f>
        <v/>
      </c>
      <c r="B117" s="24"/>
      <c r="C117" s="25"/>
      <c r="D117" s="24"/>
      <c r="E117" s="24"/>
      <c r="F117" s="29"/>
      <c r="G117" s="24"/>
      <c r="H117" s="24"/>
      <c r="I117" s="24"/>
      <c r="J117" s="24"/>
      <c r="K117" s="24"/>
      <c r="L117" s="26" t="str">
        <f aca="false">IF($B117="","",IFERROR(INDEX(ST_LOT,MATCH($B117,ST_ID,0)),""))</f>
        <v/>
      </c>
      <c r="M117" s="26" t="str">
        <f aca="false">IF($B117="","",IFERROR(INDEX(ST_STRAIT,MATCH($B117,ST_ID,0)),""))</f>
        <v/>
      </c>
      <c r="N117" s="26" t="str">
        <f aca="false">IF($B117="","",IF($E117="",$L117,$E117))</f>
        <v/>
      </c>
      <c r="O117" s="26" t="str">
        <f aca="false">IF($J117="","",IFERROR(INDEX(EMPL_CLASSE,MATCH($J117,EMPL_KEY,0)),"?"))</f>
        <v/>
      </c>
      <c r="P117" s="28" t="n">
        <f aca="false">IF($B117="",0,IF(OR(ISNA(MATCH($B117,ST_ID,0)),NOT(ISNUMBER($F117)),$F117&lt;=0,$J117="",$N117=""),0,1))</f>
        <v>0</v>
      </c>
      <c r="Q117" s="27" t="n">
        <f aca="false">IF($P117=0,0,$F117)</f>
        <v>0</v>
      </c>
      <c r="R117" s="26" t="str">
        <f aca="false">IF($B117="","",IFERROR(INDEX(ST_STATUT,MATCH($B117,ST_ID,0)),""))</f>
        <v/>
      </c>
      <c r="S117" s="26" t="str">
        <f aca="false">IF($B117="","",IF($P117=0,"DONNEES MANQUANTES",IF(OR($R117="DONNEES MANQUANTES",$R117="STOCK INSUFFISANT",$R117="EMPLACEMENT INCOHERENT",$R117="BLOQUE"),"BLOQUE","OK")))</f>
        <v/>
      </c>
      <c r="T117" s="28" t="n">
        <f aca="false">IF($S117="OK",1,0)</f>
        <v>0</v>
      </c>
      <c r="U117" s="26" t="str">
        <f aca="false">IF($B117="","",IF($P117=0,"A COMPLETER : "&amp;IF(ISNA(MATCH($B117,ST_ID,0)),"ID ST valide; ","")&amp;IF(OR(NOT(ISNUMBER($F117)),$F117&lt;=0),"QUANTITE &gt; 0; ","")&amp;IF($J117="","EMPL. DESTINATION; ",""),IF($S117="BLOQUE","Envoi parent en anomalie ("&amp;$R117&amp;") : corriger l'onglet SOUS_TRAITANCE.",IF(AND($E117&lt;&gt;"",ISNA(MATCH($E117,LOT_KEY,0))),"Creer la fiche du lot resultat dans l'onglet LOTS.",""))))</f>
        <v/>
      </c>
      <c r="V117" s="31" t="str">
        <f aca="false">IF($B117="","",IF($C117&lt;&gt;"",$C117,IFERROR(INDEX(ST_DATERET,MATCH($B117,ST_ID,0)),"")))</f>
        <v/>
      </c>
      <c r="W117" s="26" t="str">
        <f aca="false">IF($P117=0,"",IF($L117=R_LOT,IF($N117&lt;&gt;R_LOT,$N117,""),IF($N117=R_LOT,$L117,"")))</f>
        <v/>
      </c>
      <c r="X117" s="26" t="str">
        <f aca="false">IF($W117="","",IF(COUNTIF($W$4:$W116,$W117)&gt;0,"",COUNT($X$4:$X116)+1))</f>
        <v/>
      </c>
      <c r="Y117" s="26" t="n">
        <f aca="false">IF($P117=0,0,IF(OR($L117=R_LOT,$N117=R_LOT),1,0))</f>
        <v>0</v>
      </c>
      <c r="Z117" s="26" t="str">
        <f aca="false">IF($Y117=0,"",COUNTIF($Y$5:$Y117,1))</f>
        <v/>
      </c>
    </row>
    <row r="118" customFormat="false" ht="15" hidden="false" customHeight="false" outlineLevel="0" collapsed="false">
      <c r="A118" s="26" t="str">
        <f aca="false">IF($B118="","","RES-"&amp;TEXT(ROW()-4,"000"))</f>
        <v/>
      </c>
      <c r="B118" s="24"/>
      <c r="C118" s="25"/>
      <c r="D118" s="24"/>
      <c r="E118" s="24"/>
      <c r="F118" s="29"/>
      <c r="G118" s="24"/>
      <c r="H118" s="24"/>
      <c r="I118" s="24"/>
      <c r="J118" s="24"/>
      <c r="K118" s="24"/>
      <c r="L118" s="26" t="str">
        <f aca="false">IF($B118="","",IFERROR(INDEX(ST_LOT,MATCH($B118,ST_ID,0)),""))</f>
        <v/>
      </c>
      <c r="M118" s="26" t="str">
        <f aca="false">IF($B118="","",IFERROR(INDEX(ST_STRAIT,MATCH($B118,ST_ID,0)),""))</f>
        <v/>
      </c>
      <c r="N118" s="26" t="str">
        <f aca="false">IF($B118="","",IF($E118="",$L118,$E118))</f>
        <v/>
      </c>
      <c r="O118" s="26" t="str">
        <f aca="false">IF($J118="","",IFERROR(INDEX(EMPL_CLASSE,MATCH($J118,EMPL_KEY,0)),"?"))</f>
        <v/>
      </c>
      <c r="P118" s="28" t="n">
        <f aca="false">IF($B118="",0,IF(OR(ISNA(MATCH($B118,ST_ID,0)),NOT(ISNUMBER($F118)),$F118&lt;=0,$J118="",$N118=""),0,1))</f>
        <v>0</v>
      </c>
      <c r="Q118" s="27" t="n">
        <f aca="false">IF($P118=0,0,$F118)</f>
        <v>0</v>
      </c>
      <c r="R118" s="26" t="str">
        <f aca="false">IF($B118="","",IFERROR(INDEX(ST_STATUT,MATCH($B118,ST_ID,0)),""))</f>
        <v/>
      </c>
      <c r="S118" s="26" t="str">
        <f aca="false">IF($B118="","",IF($P118=0,"DONNEES MANQUANTES",IF(OR($R118="DONNEES MANQUANTES",$R118="STOCK INSUFFISANT",$R118="EMPLACEMENT INCOHERENT",$R118="BLOQUE"),"BLOQUE","OK")))</f>
        <v/>
      </c>
      <c r="T118" s="28" t="n">
        <f aca="false">IF($S118="OK",1,0)</f>
        <v>0</v>
      </c>
      <c r="U118" s="26" t="str">
        <f aca="false">IF($B118="","",IF($P118=0,"A COMPLETER : "&amp;IF(ISNA(MATCH($B118,ST_ID,0)),"ID ST valide; ","")&amp;IF(OR(NOT(ISNUMBER($F118)),$F118&lt;=0),"QUANTITE &gt; 0; ","")&amp;IF($J118="","EMPL. DESTINATION; ",""),IF($S118="BLOQUE","Envoi parent en anomalie ("&amp;$R118&amp;") : corriger l'onglet SOUS_TRAITANCE.",IF(AND($E118&lt;&gt;"",ISNA(MATCH($E118,LOT_KEY,0))),"Creer la fiche du lot resultat dans l'onglet LOTS.",""))))</f>
        <v/>
      </c>
      <c r="V118" s="31" t="str">
        <f aca="false">IF($B118="","",IF($C118&lt;&gt;"",$C118,IFERROR(INDEX(ST_DATERET,MATCH($B118,ST_ID,0)),"")))</f>
        <v/>
      </c>
      <c r="W118" s="26" t="str">
        <f aca="false">IF($P118=0,"",IF($L118=R_LOT,IF($N118&lt;&gt;R_LOT,$N118,""),IF($N118=R_LOT,$L118,"")))</f>
        <v/>
      </c>
      <c r="X118" s="26" t="str">
        <f aca="false">IF($W118="","",IF(COUNTIF($W$4:$W117,$W118)&gt;0,"",COUNT($X$4:$X117)+1))</f>
        <v/>
      </c>
      <c r="Y118" s="26" t="n">
        <f aca="false">IF($P118=0,0,IF(OR($L118=R_LOT,$N118=R_LOT),1,0))</f>
        <v>0</v>
      </c>
      <c r="Z118" s="26" t="str">
        <f aca="false">IF($Y118=0,"",COUNTIF($Y$5:$Y118,1))</f>
        <v/>
      </c>
    </row>
    <row r="119" customFormat="false" ht="15" hidden="false" customHeight="false" outlineLevel="0" collapsed="false">
      <c r="A119" s="26" t="str">
        <f aca="false">IF($B119="","","RES-"&amp;TEXT(ROW()-4,"000"))</f>
        <v/>
      </c>
      <c r="B119" s="24"/>
      <c r="C119" s="25"/>
      <c r="D119" s="24"/>
      <c r="E119" s="24"/>
      <c r="F119" s="29"/>
      <c r="G119" s="24"/>
      <c r="H119" s="24"/>
      <c r="I119" s="24"/>
      <c r="J119" s="24"/>
      <c r="K119" s="24"/>
      <c r="L119" s="26" t="str">
        <f aca="false">IF($B119="","",IFERROR(INDEX(ST_LOT,MATCH($B119,ST_ID,0)),""))</f>
        <v/>
      </c>
      <c r="M119" s="26" t="str">
        <f aca="false">IF($B119="","",IFERROR(INDEX(ST_STRAIT,MATCH($B119,ST_ID,0)),""))</f>
        <v/>
      </c>
      <c r="N119" s="26" t="str">
        <f aca="false">IF($B119="","",IF($E119="",$L119,$E119))</f>
        <v/>
      </c>
      <c r="O119" s="26" t="str">
        <f aca="false">IF($J119="","",IFERROR(INDEX(EMPL_CLASSE,MATCH($J119,EMPL_KEY,0)),"?"))</f>
        <v/>
      </c>
      <c r="P119" s="28" t="n">
        <f aca="false">IF($B119="",0,IF(OR(ISNA(MATCH($B119,ST_ID,0)),NOT(ISNUMBER($F119)),$F119&lt;=0,$J119="",$N119=""),0,1))</f>
        <v>0</v>
      </c>
      <c r="Q119" s="27" t="n">
        <f aca="false">IF($P119=0,0,$F119)</f>
        <v>0</v>
      </c>
      <c r="R119" s="26" t="str">
        <f aca="false">IF($B119="","",IFERROR(INDEX(ST_STATUT,MATCH($B119,ST_ID,0)),""))</f>
        <v/>
      </c>
      <c r="S119" s="26" t="str">
        <f aca="false">IF($B119="","",IF($P119=0,"DONNEES MANQUANTES",IF(OR($R119="DONNEES MANQUANTES",$R119="STOCK INSUFFISANT",$R119="EMPLACEMENT INCOHERENT",$R119="BLOQUE"),"BLOQUE","OK")))</f>
        <v/>
      </c>
      <c r="T119" s="28" t="n">
        <f aca="false">IF($S119="OK",1,0)</f>
        <v>0</v>
      </c>
      <c r="U119" s="26" t="str">
        <f aca="false">IF($B119="","",IF($P119=0,"A COMPLETER : "&amp;IF(ISNA(MATCH($B119,ST_ID,0)),"ID ST valide; ","")&amp;IF(OR(NOT(ISNUMBER($F119)),$F119&lt;=0),"QUANTITE &gt; 0; ","")&amp;IF($J119="","EMPL. DESTINATION; ",""),IF($S119="BLOQUE","Envoi parent en anomalie ("&amp;$R119&amp;") : corriger l'onglet SOUS_TRAITANCE.",IF(AND($E119&lt;&gt;"",ISNA(MATCH($E119,LOT_KEY,0))),"Creer la fiche du lot resultat dans l'onglet LOTS.",""))))</f>
        <v/>
      </c>
      <c r="V119" s="31" t="str">
        <f aca="false">IF($B119="","",IF($C119&lt;&gt;"",$C119,IFERROR(INDEX(ST_DATERET,MATCH($B119,ST_ID,0)),"")))</f>
        <v/>
      </c>
      <c r="W119" s="26" t="str">
        <f aca="false">IF($P119=0,"",IF($L119=R_LOT,IF($N119&lt;&gt;R_LOT,$N119,""),IF($N119=R_LOT,$L119,"")))</f>
        <v/>
      </c>
      <c r="X119" s="26" t="str">
        <f aca="false">IF($W119="","",IF(COUNTIF($W$4:$W118,$W119)&gt;0,"",COUNT($X$4:$X118)+1))</f>
        <v/>
      </c>
      <c r="Y119" s="26" t="n">
        <f aca="false">IF($P119=0,0,IF(OR($L119=R_LOT,$N119=R_LOT),1,0))</f>
        <v>0</v>
      </c>
      <c r="Z119" s="26" t="str">
        <f aca="false">IF($Y119=0,"",COUNTIF($Y$5:$Y119,1))</f>
        <v/>
      </c>
    </row>
    <row r="120" customFormat="false" ht="15" hidden="false" customHeight="false" outlineLevel="0" collapsed="false">
      <c r="A120" s="26" t="str">
        <f aca="false">IF($B120="","","RES-"&amp;TEXT(ROW()-4,"000"))</f>
        <v/>
      </c>
      <c r="B120" s="24"/>
      <c r="C120" s="25"/>
      <c r="D120" s="24"/>
      <c r="E120" s="24"/>
      <c r="F120" s="29"/>
      <c r="G120" s="24"/>
      <c r="H120" s="24"/>
      <c r="I120" s="24"/>
      <c r="J120" s="24"/>
      <c r="K120" s="24"/>
      <c r="L120" s="26" t="str">
        <f aca="false">IF($B120="","",IFERROR(INDEX(ST_LOT,MATCH($B120,ST_ID,0)),""))</f>
        <v/>
      </c>
      <c r="M120" s="26" t="str">
        <f aca="false">IF($B120="","",IFERROR(INDEX(ST_STRAIT,MATCH($B120,ST_ID,0)),""))</f>
        <v/>
      </c>
      <c r="N120" s="26" t="str">
        <f aca="false">IF($B120="","",IF($E120="",$L120,$E120))</f>
        <v/>
      </c>
      <c r="O120" s="26" t="str">
        <f aca="false">IF($J120="","",IFERROR(INDEX(EMPL_CLASSE,MATCH($J120,EMPL_KEY,0)),"?"))</f>
        <v/>
      </c>
      <c r="P120" s="28" t="n">
        <f aca="false">IF($B120="",0,IF(OR(ISNA(MATCH($B120,ST_ID,0)),NOT(ISNUMBER($F120)),$F120&lt;=0,$J120="",$N120=""),0,1))</f>
        <v>0</v>
      </c>
      <c r="Q120" s="27" t="n">
        <f aca="false">IF($P120=0,0,$F120)</f>
        <v>0</v>
      </c>
      <c r="R120" s="26" t="str">
        <f aca="false">IF($B120="","",IFERROR(INDEX(ST_STATUT,MATCH($B120,ST_ID,0)),""))</f>
        <v/>
      </c>
      <c r="S120" s="26" t="str">
        <f aca="false">IF($B120="","",IF($P120=0,"DONNEES MANQUANTES",IF(OR($R120="DONNEES MANQUANTES",$R120="STOCK INSUFFISANT",$R120="EMPLACEMENT INCOHERENT",$R120="BLOQUE"),"BLOQUE","OK")))</f>
        <v/>
      </c>
      <c r="T120" s="28" t="n">
        <f aca="false">IF($S120="OK",1,0)</f>
        <v>0</v>
      </c>
      <c r="U120" s="26" t="str">
        <f aca="false">IF($B120="","",IF($P120=0,"A COMPLETER : "&amp;IF(ISNA(MATCH($B120,ST_ID,0)),"ID ST valide; ","")&amp;IF(OR(NOT(ISNUMBER($F120)),$F120&lt;=0),"QUANTITE &gt; 0; ","")&amp;IF($J120="","EMPL. DESTINATION; ",""),IF($S120="BLOQUE","Envoi parent en anomalie ("&amp;$R120&amp;") : corriger l'onglet SOUS_TRAITANCE.",IF(AND($E120&lt;&gt;"",ISNA(MATCH($E120,LOT_KEY,0))),"Creer la fiche du lot resultat dans l'onglet LOTS.",""))))</f>
        <v/>
      </c>
      <c r="V120" s="31" t="str">
        <f aca="false">IF($B120="","",IF($C120&lt;&gt;"",$C120,IFERROR(INDEX(ST_DATERET,MATCH($B120,ST_ID,0)),"")))</f>
        <v/>
      </c>
      <c r="W120" s="26" t="str">
        <f aca="false">IF($P120=0,"",IF($L120=R_LOT,IF($N120&lt;&gt;R_LOT,$N120,""),IF($N120=R_LOT,$L120,"")))</f>
        <v/>
      </c>
      <c r="X120" s="26" t="str">
        <f aca="false">IF($W120="","",IF(COUNTIF($W$4:$W119,$W120)&gt;0,"",COUNT($X$4:$X119)+1))</f>
        <v/>
      </c>
      <c r="Y120" s="26" t="n">
        <f aca="false">IF($P120=0,0,IF(OR($L120=R_LOT,$N120=R_LOT),1,0))</f>
        <v>0</v>
      </c>
      <c r="Z120" s="26" t="str">
        <f aca="false">IF($Y120=0,"",COUNTIF($Y$5:$Y120,1))</f>
        <v/>
      </c>
    </row>
    <row r="121" customFormat="false" ht="15" hidden="false" customHeight="false" outlineLevel="0" collapsed="false">
      <c r="A121" s="26" t="str">
        <f aca="false">IF($B121="","","RES-"&amp;TEXT(ROW()-4,"000"))</f>
        <v/>
      </c>
      <c r="B121" s="24"/>
      <c r="C121" s="25"/>
      <c r="D121" s="24"/>
      <c r="E121" s="24"/>
      <c r="F121" s="29"/>
      <c r="G121" s="24"/>
      <c r="H121" s="24"/>
      <c r="I121" s="24"/>
      <c r="J121" s="24"/>
      <c r="K121" s="24"/>
      <c r="L121" s="26" t="str">
        <f aca="false">IF($B121="","",IFERROR(INDEX(ST_LOT,MATCH($B121,ST_ID,0)),""))</f>
        <v/>
      </c>
      <c r="M121" s="26" t="str">
        <f aca="false">IF($B121="","",IFERROR(INDEX(ST_STRAIT,MATCH($B121,ST_ID,0)),""))</f>
        <v/>
      </c>
      <c r="N121" s="26" t="str">
        <f aca="false">IF($B121="","",IF($E121="",$L121,$E121))</f>
        <v/>
      </c>
      <c r="O121" s="26" t="str">
        <f aca="false">IF($J121="","",IFERROR(INDEX(EMPL_CLASSE,MATCH($J121,EMPL_KEY,0)),"?"))</f>
        <v/>
      </c>
      <c r="P121" s="28" t="n">
        <f aca="false">IF($B121="",0,IF(OR(ISNA(MATCH($B121,ST_ID,0)),NOT(ISNUMBER($F121)),$F121&lt;=0,$J121="",$N121=""),0,1))</f>
        <v>0</v>
      </c>
      <c r="Q121" s="27" t="n">
        <f aca="false">IF($P121=0,0,$F121)</f>
        <v>0</v>
      </c>
      <c r="R121" s="26" t="str">
        <f aca="false">IF($B121="","",IFERROR(INDEX(ST_STATUT,MATCH($B121,ST_ID,0)),""))</f>
        <v/>
      </c>
      <c r="S121" s="26" t="str">
        <f aca="false">IF($B121="","",IF($P121=0,"DONNEES MANQUANTES",IF(OR($R121="DONNEES MANQUANTES",$R121="STOCK INSUFFISANT",$R121="EMPLACEMENT INCOHERENT",$R121="BLOQUE"),"BLOQUE","OK")))</f>
        <v/>
      </c>
      <c r="T121" s="28" t="n">
        <f aca="false">IF($S121="OK",1,0)</f>
        <v>0</v>
      </c>
      <c r="U121" s="26" t="str">
        <f aca="false">IF($B121="","",IF($P121=0,"A COMPLETER : "&amp;IF(ISNA(MATCH($B121,ST_ID,0)),"ID ST valide; ","")&amp;IF(OR(NOT(ISNUMBER($F121)),$F121&lt;=0),"QUANTITE &gt; 0; ","")&amp;IF($J121="","EMPL. DESTINATION; ",""),IF($S121="BLOQUE","Envoi parent en anomalie ("&amp;$R121&amp;") : corriger l'onglet SOUS_TRAITANCE.",IF(AND($E121&lt;&gt;"",ISNA(MATCH($E121,LOT_KEY,0))),"Creer la fiche du lot resultat dans l'onglet LOTS.",""))))</f>
        <v/>
      </c>
      <c r="V121" s="31" t="str">
        <f aca="false">IF($B121="","",IF($C121&lt;&gt;"",$C121,IFERROR(INDEX(ST_DATERET,MATCH($B121,ST_ID,0)),"")))</f>
        <v/>
      </c>
      <c r="W121" s="26" t="str">
        <f aca="false">IF($P121=0,"",IF($L121=R_LOT,IF($N121&lt;&gt;R_LOT,$N121,""),IF($N121=R_LOT,$L121,"")))</f>
        <v/>
      </c>
      <c r="X121" s="26" t="str">
        <f aca="false">IF($W121="","",IF(COUNTIF($W$4:$W120,$W121)&gt;0,"",COUNT($X$4:$X120)+1))</f>
        <v/>
      </c>
      <c r="Y121" s="26" t="n">
        <f aca="false">IF($P121=0,0,IF(OR($L121=R_LOT,$N121=R_LOT),1,0))</f>
        <v>0</v>
      </c>
      <c r="Z121" s="26" t="str">
        <f aca="false">IF($Y121=0,"",COUNTIF($Y$5:$Y121,1))</f>
        <v/>
      </c>
    </row>
    <row r="122" customFormat="false" ht="15" hidden="false" customHeight="false" outlineLevel="0" collapsed="false">
      <c r="A122" s="26" t="str">
        <f aca="false">IF($B122="","","RES-"&amp;TEXT(ROW()-4,"000"))</f>
        <v/>
      </c>
      <c r="B122" s="24"/>
      <c r="C122" s="25"/>
      <c r="D122" s="24"/>
      <c r="E122" s="24"/>
      <c r="F122" s="29"/>
      <c r="G122" s="24"/>
      <c r="H122" s="24"/>
      <c r="I122" s="24"/>
      <c r="J122" s="24"/>
      <c r="K122" s="24"/>
      <c r="L122" s="26" t="str">
        <f aca="false">IF($B122="","",IFERROR(INDEX(ST_LOT,MATCH($B122,ST_ID,0)),""))</f>
        <v/>
      </c>
      <c r="M122" s="26" t="str">
        <f aca="false">IF($B122="","",IFERROR(INDEX(ST_STRAIT,MATCH($B122,ST_ID,0)),""))</f>
        <v/>
      </c>
      <c r="N122" s="26" t="str">
        <f aca="false">IF($B122="","",IF($E122="",$L122,$E122))</f>
        <v/>
      </c>
      <c r="O122" s="26" t="str">
        <f aca="false">IF($J122="","",IFERROR(INDEX(EMPL_CLASSE,MATCH($J122,EMPL_KEY,0)),"?"))</f>
        <v/>
      </c>
      <c r="P122" s="28" t="n">
        <f aca="false">IF($B122="",0,IF(OR(ISNA(MATCH($B122,ST_ID,0)),NOT(ISNUMBER($F122)),$F122&lt;=0,$J122="",$N122=""),0,1))</f>
        <v>0</v>
      </c>
      <c r="Q122" s="27" t="n">
        <f aca="false">IF($P122=0,0,$F122)</f>
        <v>0</v>
      </c>
      <c r="R122" s="26" t="str">
        <f aca="false">IF($B122="","",IFERROR(INDEX(ST_STATUT,MATCH($B122,ST_ID,0)),""))</f>
        <v/>
      </c>
      <c r="S122" s="26" t="str">
        <f aca="false">IF($B122="","",IF($P122=0,"DONNEES MANQUANTES",IF(OR($R122="DONNEES MANQUANTES",$R122="STOCK INSUFFISANT",$R122="EMPLACEMENT INCOHERENT",$R122="BLOQUE"),"BLOQUE","OK")))</f>
        <v/>
      </c>
      <c r="T122" s="28" t="n">
        <f aca="false">IF($S122="OK",1,0)</f>
        <v>0</v>
      </c>
      <c r="U122" s="26" t="str">
        <f aca="false">IF($B122="","",IF($P122=0,"A COMPLETER : "&amp;IF(ISNA(MATCH($B122,ST_ID,0)),"ID ST valide; ","")&amp;IF(OR(NOT(ISNUMBER($F122)),$F122&lt;=0),"QUANTITE &gt; 0; ","")&amp;IF($J122="","EMPL. DESTINATION; ",""),IF($S122="BLOQUE","Envoi parent en anomalie ("&amp;$R122&amp;") : corriger l'onglet SOUS_TRAITANCE.",IF(AND($E122&lt;&gt;"",ISNA(MATCH($E122,LOT_KEY,0))),"Creer la fiche du lot resultat dans l'onglet LOTS.",""))))</f>
        <v/>
      </c>
      <c r="V122" s="31" t="str">
        <f aca="false">IF($B122="","",IF($C122&lt;&gt;"",$C122,IFERROR(INDEX(ST_DATERET,MATCH($B122,ST_ID,0)),"")))</f>
        <v/>
      </c>
      <c r="W122" s="26" t="str">
        <f aca="false">IF($P122=0,"",IF($L122=R_LOT,IF($N122&lt;&gt;R_LOT,$N122,""),IF($N122=R_LOT,$L122,"")))</f>
        <v/>
      </c>
      <c r="X122" s="26" t="str">
        <f aca="false">IF($W122="","",IF(COUNTIF($W$4:$W121,$W122)&gt;0,"",COUNT($X$4:$X121)+1))</f>
        <v/>
      </c>
      <c r="Y122" s="26" t="n">
        <f aca="false">IF($P122=0,0,IF(OR($L122=R_LOT,$N122=R_LOT),1,0))</f>
        <v>0</v>
      </c>
      <c r="Z122" s="26" t="str">
        <f aca="false">IF($Y122=0,"",COUNTIF($Y$5:$Y122,1))</f>
        <v/>
      </c>
    </row>
    <row r="123" customFormat="false" ht="15" hidden="false" customHeight="false" outlineLevel="0" collapsed="false">
      <c r="A123" s="26" t="str">
        <f aca="false">IF($B123="","","RES-"&amp;TEXT(ROW()-4,"000"))</f>
        <v/>
      </c>
      <c r="B123" s="24"/>
      <c r="C123" s="25"/>
      <c r="D123" s="24"/>
      <c r="E123" s="24"/>
      <c r="F123" s="29"/>
      <c r="G123" s="24"/>
      <c r="H123" s="24"/>
      <c r="I123" s="24"/>
      <c r="J123" s="24"/>
      <c r="K123" s="24"/>
      <c r="L123" s="26" t="str">
        <f aca="false">IF($B123="","",IFERROR(INDEX(ST_LOT,MATCH($B123,ST_ID,0)),""))</f>
        <v/>
      </c>
      <c r="M123" s="26" t="str">
        <f aca="false">IF($B123="","",IFERROR(INDEX(ST_STRAIT,MATCH($B123,ST_ID,0)),""))</f>
        <v/>
      </c>
      <c r="N123" s="26" t="str">
        <f aca="false">IF($B123="","",IF($E123="",$L123,$E123))</f>
        <v/>
      </c>
      <c r="O123" s="26" t="str">
        <f aca="false">IF($J123="","",IFERROR(INDEX(EMPL_CLASSE,MATCH($J123,EMPL_KEY,0)),"?"))</f>
        <v/>
      </c>
      <c r="P123" s="28" t="n">
        <f aca="false">IF($B123="",0,IF(OR(ISNA(MATCH($B123,ST_ID,0)),NOT(ISNUMBER($F123)),$F123&lt;=0,$J123="",$N123=""),0,1))</f>
        <v>0</v>
      </c>
      <c r="Q123" s="27" t="n">
        <f aca="false">IF($P123=0,0,$F123)</f>
        <v>0</v>
      </c>
      <c r="R123" s="26" t="str">
        <f aca="false">IF($B123="","",IFERROR(INDEX(ST_STATUT,MATCH($B123,ST_ID,0)),""))</f>
        <v/>
      </c>
      <c r="S123" s="26" t="str">
        <f aca="false">IF($B123="","",IF($P123=0,"DONNEES MANQUANTES",IF(OR($R123="DONNEES MANQUANTES",$R123="STOCK INSUFFISANT",$R123="EMPLACEMENT INCOHERENT",$R123="BLOQUE"),"BLOQUE","OK")))</f>
        <v/>
      </c>
      <c r="T123" s="28" t="n">
        <f aca="false">IF($S123="OK",1,0)</f>
        <v>0</v>
      </c>
      <c r="U123" s="26" t="str">
        <f aca="false">IF($B123="","",IF($P123=0,"A COMPLETER : "&amp;IF(ISNA(MATCH($B123,ST_ID,0)),"ID ST valide; ","")&amp;IF(OR(NOT(ISNUMBER($F123)),$F123&lt;=0),"QUANTITE &gt; 0; ","")&amp;IF($J123="","EMPL. DESTINATION; ",""),IF($S123="BLOQUE","Envoi parent en anomalie ("&amp;$R123&amp;") : corriger l'onglet SOUS_TRAITANCE.",IF(AND($E123&lt;&gt;"",ISNA(MATCH($E123,LOT_KEY,0))),"Creer la fiche du lot resultat dans l'onglet LOTS.",""))))</f>
        <v/>
      </c>
      <c r="V123" s="31" t="str">
        <f aca="false">IF($B123="","",IF($C123&lt;&gt;"",$C123,IFERROR(INDEX(ST_DATERET,MATCH($B123,ST_ID,0)),"")))</f>
        <v/>
      </c>
      <c r="W123" s="26" t="str">
        <f aca="false">IF($P123=0,"",IF($L123=R_LOT,IF($N123&lt;&gt;R_LOT,$N123,""),IF($N123=R_LOT,$L123,"")))</f>
        <v/>
      </c>
      <c r="X123" s="26" t="str">
        <f aca="false">IF($W123="","",IF(COUNTIF($W$4:$W122,$W123)&gt;0,"",COUNT($X$4:$X122)+1))</f>
        <v/>
      </c>
      <c r="Y123" s="26" t="n">
        <f aca="false">IF($P123=0,0,IF(OR($L123=R_LOT,$N123=R_LOT),1,0))</f>
        <v>0</v>
      </c>
      <c r="Z123" s="26" t="str">
        <f aca="false">IF($Y123=0,"",COUNTIF($Y$5:$Y123,1))</f>
        <v/>
      </c>
    </row>
    <row r="124" customFormat="false" ht="15" hidden="false" customHeight="false" outlineLevel="0" collapsed="false">
      <c r="A124" s="26" t="str">
        <f aca="false">IF($B124="","","RES-"&amp;TEXT(ROW()-4,"000"))</f>
        <v/>
      </c>
      <c r="B124" s="24"/>
      <c r="C124" s="25"/>
      <c r="D124" s="24"/>
      <c r="E124" s="24"/>
      <c r="F124" s="29"/>
      <c r="G124" s="24"/>
      <c r="H124" s="24"/>
      <c r="I124" s="24"/>
      <c r="J124" s="24"/>
      <c r="K124" s="24"/>
      <c r="L124" s="26" t="str">
        <f aca="false">IF($B124="","",IFERROR(INDEX(ST_LOT,MATCH($B124,ST_ID,0)),""))</f>
        <v/>
      </c>
      <c r="M124" s="26" t="str">
        <f aca="false">IF($B124="","",IFERROR(INDEX(ST_STRAIT,MATCH($B124,ST_ID,0)),""))</f>
        <v/>
      </c>
      <c r="N124" s="26" t="str">
        <f aca="false">IF($B124="","",IF($E124="",$L124,$E124))</f>
        <v/>
      </c>
      <c r="O124" s="26" t="str">
        <f aca="false">IF($J124="","",IFERROR(INDEX(EMPL_CLASSE,MATCH($J124,EMPL_KEY,0)),"?"))</f>
        <v/>
      </c>
      <c r="P124" s="28" t="n">
        <f aca="false">IF($B124="",0,IF(OR(ISNA(MATCH($B124,ST_ID,0)),NOT(ISNUMBER($F124)),$F124&lt;=0,$J124="",$N124=""),0,1))</f>
        <v>0</v>
      </c>
      <c r="Q124" s="27" t="n">
        <f aca="false">IF($P124=0,0,$F124)</f>
        <v>0</v>
      </c>
      <c r="R124" s="26" t="str">
        <f aca="false">IF($B124="","",IFERROR(INDEX(ST_STATUT,MATCH($B124,ST_ID,0)),""))</f>
        <v/>
      </c>
      <c r="S124" s="26" t="str">
        <f aca="false">IF($B124="","",IF($P124=0,"DONNEES MANQUANTES",IF(OR($R124="DONNEES MANQUANTES",$R124="STOCK INSUFFISANT",$R124="EMPLACEMENT INCOHERENT",$R124="BLOQUE"),"BLOQUE","OK")))</f>
        <v/>
      </c>
      <c r="T124" s="28" t="n">
        <f aca="false">IF($S124="OK",1,0)</f>
        <v>0</v>
      </c>
      <c r="U124" s="26" t="str">
        <f aca="false">IF($B124="","",IF($P124=0,"A COMPLETER : "&amp;IF(ISNA(MATCH($B124,ST_ID,0)),"ID ST valide; ","")&amp;IF(OR(NOT(ISNUMBER($F124)),$F124&lt;=0),"QUANTITE &gt; 0; ","")&amp;IF($J124="","EMPL. DESTINATION; ",""),IF($S124="BLOQUE","Envoi parent en anomalie ("&amp;$R124&amp;") : corriger l'onglet SOUS_TRAITANCE.",IF(AND($E124&lt;&gt;"",ISNA(MATCH($E124,LOT_KEY,0))),"Creer la fiche du lot resultat dans l'onglet LOTS.",""))))</f>
        <v/>
      </c>
      <c r="V124" s="31" t="str">
        <f aca="false">IF($B124="","",IF($C124&lt;&gt;"",$C124,IFERROR(INDEX(ST_DATERET,MATCH($B124,ST_ID,0)),"")))</f>
        <v/>
      </c>
      <c r="W124" s="26" t="str">
        <f aca="false">IF($P124=0,"",IF($L124=R_LOT,IF($N124&lt;&gt;R_LOT,$N124,""),IF($N124=R_LOT,$L124,"")))</f>
        <v/>
      </c>
      <c r="X124" s="26" t="str">
        <f aca="false">IF($W124="","",IF(COUNTIF($W$4:$W123,$W124)&gt;0,"",COUNT($X$4:$X123)+1))</f>
        <v/>
      </c>
      <c r="Y124" s="26" t="n">
        <f aca="false">IF($P124=0,0,IF(OR($L124=R_LOT,$N124=R_LOT),1,0))</f>
        <v>0</v>
      </c>
      <c r="Z124" s="26" t="str">
        <f aca="false">IF($Y124=0,"",COUNTIF($Y$5:$Y124,1))</f>
        <v/>
      </c>
    </row>
    <row r="125" customFormat="false" ht="15" hidden="false" customHeight="false" outlineLevel="0" collapsed="false">
      <c r="A125" s="26" t="str">
        <f aca="false">IF($B125="","","RES-"&amp;TEXT(ROW()-4,"000"))</f>
        <v/>
      </c>
      <c r="B125" s="24"/>
      <c r="C125" s="25"/>
      <c r="D125" s="24"/>
      <c r="E125" s="24"/>
      <c r="F125" s="29"/>
      <c r="G125" s="24"/>
      <c r="H125" s="24"/>
      <c r="I125" s="24"/>
      <c r="J125" s="24"/>
      <c r="K125" s="24"/>
      <c r="L125" s="26" t="str">
        <f aca="false">IF($B125="","",IFERROR(INDEX(ST_LOT,MATCH($B125,ST_ID,0)),""))</f>
        <v/>
      </c>
      <c r="M125" s="26" t="str">
        <f aca="false">IF($B125="","",IFERROR(INDEX(ST_STRAIT,MATCH($B125,ST_ID,0)),""))</f>
        <v/>
      </c>
      <c r="N125" s="26" t="str">
        <f aca="false">IF($B125="","",IF($E125="",$L125,$E125))</f>
        <v/>
      </c>
      <c r="O125" s="26" t="str">
        <f aca="false">IF($J125="","",IFERROR(INDEX(EMPL_CLASSE,MATCH($J125,EMPL_KEY,0)),"?"))</f>
        <v/>
      </c>
      <c r="P125" s="28" t="n">
        <f aca="false">IF($B125="",0,IF(OR(ISNA(MATCH($B125,ST_ID,0)),NOT(ISNUMBER($F125)),$F125&lt;=0,$J125="",$N125=""),0,1))</f>
        <v>0</v>
      </c>
      <c r="Q125" s="27" t="n">
        <f aca="false">IF($P125=0,0,$F125)</f>
        <v>0</v>
      </c>
      <c r="R125" s="26" t="str">
        <f aca="false">IF($B125="","",IFERROR(INDEX(ST_STATUT,MATCH($B125,ST_ID,0)),""))</f>
        <v/>
      </c>
      <c r="S125" s="26" t="str">
        <f aca="false">IF($B125="","",IF($P125=0,"DONNEES MANQUANTES",IF(OR($R125="DONNEES MANQUANTES",$R125="STOCK INSUFFISANT",$R125="EMPLACEMENT INCOHERENT",$R125="BLOQUE"),"BLOQUE","OK")))</f>
        <v/>
      </c>
      <c r="T125" s="28" t="n">
        <f aca="false">IF($S125="OK",1,0)</f>
        <v>0</v>
      </c>
      <c r="U125" s="26" t="str">
        <f aca="false">IF($B125="","",IF($P125=0,"A COMPLETER : "&amp;IF(ISNA(MATCH($B125,ST_ID,0)),"ID ST valide; ","")&amp;IF(OR(NOT(ISNUMBER($F125)),$F125&lt;=0),"QUANTITE &gt; 0; ","")&amp;IF($J125="","EMPL. DESTINATION; ",""),IF($S125="BLOQUE","Envoi parent en anomalie ("&amp;$R125&amp;") : corriger l'onglet SOUS_TRAITANCE.",IF(AND($E125&lt;&gt;"",ISNA(MATCH($E125,LOT_KEY,0))),"Creer la fiche du lot resultat dans l'onglet LOTS.",""))))</f>
        <v/>
      </c>
      <c r="V125" s="31" t="str">
        <f aca="false">IF($B125="","",IF($C125&lt;&gt;"",$C125,IFERROR(INDEX(ST_DATERET,MATCH($B125,ST_ID,0)),"")))</f>
        <v/>
      </c>
      <c r="W125" s="26" t="str">
        <f aca="false">IF($P125=0,"",IF($L125=R_LOT,IF($N125&lt;&gt;R_LOT,$N125,""),IF($N125=R_LOT,$L125,"")))</f>
        <v/>
      </c>
      <c r="X125" s="26" t="str">
        <f aca="false">IF($W125="","",IF(COUNTIF($W$4:$W124,$W125)&gt;0,"",COUNT($X$4:$X124)+1))</f>
        <v/>
      </c>
      <c r="Y125" s="26" t="n">
        <f aca="false">IF($P125=0,0,IF(OR($L125=R_LOT,$N125=R_LOT),1,0))</f>
        <v>0</v>
      </c>
      <c r="Z125" s="26" t="str">
        <f aca="false">IF($Y125=0,"",COUNTIF($Y$5:$Y125,1))</f>
        <v/>
      </c>
    </row>
    <row r="126" customFormat="false" ht="15" hidden="false" customHeight="false" outlineLevel="0" collapsed="false">
      <c r="A126" s="26" t="str">
        <f aca="false">IF($B126="","","RES-"&amp;TEXT(ROW()-4,"000"))</f>
        <v/>
      </c>
      <c r="B126" s="24"/>
      <c r="C126" s="25"/>
      <c r="D126" s="24"/>
      <c r="E126" s="24"/>
      <c r="F126" s="29"/>
      <c r="G126" s="24"/>
      <c r="H126" s="24"/>
      <c r="I126" s="24"/>
      <c r="J126" s="24"/>
      <c r="K126" s="24"/>
      <c r="L126" s="26" t="str">
        <f aca="false">IF($B126="","",IFERROR(INDEX(ST_LOT,MATCH($B126,ST_ID,0)),""))</f>
        <v/>
      </c>
      <c r="M126" s="26" t="str">
        <f aca="false">IF($B126="","",IFERROR(INDEX(ST_STRAIT,MATCH($B126,ST_ID,0)),""))</f>
        <v/>
      </c>
      <c r="N126" s="26" t="str">
        <f aca="false">IF($B126="","",IF($E126="",$L126,$E126))</f>
        <v/>
      </c>
      <c r="O126" s="26" t="str">
        <f aca="false">IF($J126="","",IFERROR(INDEX(EMPL_CLASSE,MATCH($J126,EMPL_KEY,0)),"?"))</f>
        <v/>
      </c>
      <c r="P126" s="28" t="n">
        <f aca="false">IF($B126="",0,IF(OR(ISNA(MATCH($B126,ST_ID,0)),NOT(ISNUMBER($F126)),$F126&lt;=0,$J126="",$N126=""),0,1))</f>
        <v>0</v>
      </c>
      <c r="Q126" s="27" t="n">
        <f aca="false">IF($P126=0,0,$F126)</f>
        <v>0</v>
      </c>
      <c r="R126" s="26" t="str">
        <f aca="false">IF($B126="","",IFERROR(INDEX(ST_STATUT,MATCH($B126,ST_ID,0)),""))</f>
        <v/>
      </c>
      <c r="S126" s="26" t="str">
        <f aca="false">IF($B126="","",IF($P126=0,"DONNEES MANQUANTES",IF(OR($R126="DONNEES MANQUANTES",$R126="STOCK INSUFFISANT",$R126="EMPLACEMENT INCOHERENT",$R126="BLOQUE"),"BLOQUE","OK")))</f>
        <v/>
      </c>
      <c r="T126" s="28" t="n">
        <f aca="false">IF($S126="OK",1,0)</f>
        <v>0</v>
      </c>
      <c r="U126" s="26" t="str">
        <f aca="false">IF($B126="","",IF($P126=0,"A COMPLETER : "&amp;IF(ISNA(MATCH($B126,ST_ID,0)),"ID ST valide; ","")&amp;IF(OR(NOT(ISNUMBER($F126)),$F126&lt;=0),"QUANTITE &gt; 0; ","")&amp;IF($J126="","EMPL. DESTINATION; ",""),IF($S126="BLOQUE","Envoi parent en anomalie ("&amp;$R126&amp;") : corriger l'onglet SOUS_TRAITANCE.",IF(AND($E126&lt;&gt;"",ISNA(MATCH($E126,LOT_KEY,0))),"Creer la fiche du lot resultat dans l'onglet LOTS.",""))))</f>
        <v/>
      </c>
      <c r="V126" s="31" t="str">
        <f aca="false">IF($B126="","",IF($C126&lt;&gt;"",$C126,IFERROR(INDEX(ST_DATERET,MATCH($B126,ST_ID,0)),"")))</f>
        <v/>
      </c>
      <c r="W126" s="26" t="str">
        <f aca="false">IF($P126=0,"",IF($L126=R_LOT,IF($N126&lt;&gt;R_LOT,$N126,""),IF($N126=R_LOT,$L126,"")))</f>
        <v/>
      </c>
      <c r="X126" s="26" t="str">
        <f aca="false">IF($W126="","",IF(COUNTIF($W$4:$W125,$W126)&gt;0,"",COUNT($X$4:$X125)+1))</f>
        <v/>
      </c>
      <c r="Y126" s="26" t="n">
        <f aca="false">IF($P126=0,0,IF(OR($L126=R_LOT,$N126=R_LOT),1,0))</f>
        <v>0</v>
      </c>
      <c r="Z126" s="26" t="str">
        <f aca="false">IF($Y126=0,"",COUNTIF($Y$5:$Y126,1))</f>
        <v/>
      </c>
    </row>
    <row r="127" customFormat="false" ht="15" hidden="false" customHeight="false" outlineLevel="0" collapsed="false">
      <c r="A127" s="26" t="str">
        <f aca="false">IF($B127="","","RES-"&amp;TEXT(ROW()-4,"000"))</f>
        <v/>
      </c>
      <c r="B127" s="24"/>
      <c r="C127" s="25"/>
      <c r="D127" s="24"/>
      <c r="E127" s="24"/>
      <c r="F127" s="29"/>
      <c r="G127" s="24"/>
      <c r="H127" s="24"/>
      <c r="I127" s="24"/>
      <c r="J127" s="24"/>
      <c r="K127" s="24"/>
      <c r="L127" s="26" t="str">
        <f aca="false">IF($B127="","",IFERROR(INDEX(ST_LOT,MATCH($B127,ST_ID,0)),""))</f>
        <v/>
      </c>
      <c r="M127" s="26" t="str">
        <f aca="false">IF($B127="","",IFERROR(INDEX(ST_STRAIT,MATCH($B127,ST_ID,0)),""))</f>
        <v/>
      </c>
      <c r="N127" s="26" t="str">
        <f aca="false">IF($B127="","",IF($E127="",$L127,$E127))</f>
        <v/>
      </c>
      <c r="O127" s="26" t="str">
        <f aca="false">IF($J127="","",IFERROR(INDEX(EMPL_CLASSE,MATCH($J127,EMPL_KEY,0)),"?"))</f>
        <v/>
      </c>
      <c r="P127" s="28" t="n">
        <f aca="false">IF($B127="",0,IF(OR(ISNA(MATCH($B127,ST_ID,0)),NOT(ISNUMBER($F127)),$F127&lt;=0,$J127="",$N127=""),0,1))</f>
        <v>0</v>
      </c>
      <c r="Q127" s="27" t="n">
        <f aca="false">IF($P127=0,0,$F127)</f>
        <v>0</v>
      </c>
      <c r="R127" s="26" t="str">
        <f aca="false">IF($B127="","",IFERROR(INDEX(ST_STATUT,MATCH($B127,ST_ID,0)),""))</f>
        <v/>
      </c>
      <c r="S127" s="26" t="str">
        <f aca="false">IF($B127="","",IF($P127=0,"DONNEES MANQUANTES",IF(OR($R127="DONNEES MANQUANTES",$R127="STOCK INSUFFISANT",$R127="EMPLACEMENT INCOHERENT",$R127="BLOQUE"),"BLOQUE","OK")))</f>
        <v/>
      </c>
      <c r="T127" s="28" t="n">
        <f aca="false">IF($S127="OK",1,0)</f>
        <v>0</v>
      </c>
      <c r="U127" s="26" t="str">
        <f aca="false">IF($B127="","",IF($P127=0,"A COMPLETER : "&amp;IF(ISNA(MATCH($B127,ST_ID,0)),"ID ST valide; ","")&amp;IF(OR(NOT(ISNUMBER($F127)),$F127&lt;=0),"QUANTITE &gt; 0; ","")&amp;IF($J127="","EMPL. DESTINATION; ",""),IF($S127="BLOQUE","Envoi parent en anomalie ("&amp;$R127&amp;") : corriger l'onglet SOUS_TRAITANCE.",IF(AND($E127&lt;&gt;"",ISNA(MATCH($E127,LOT_KEY,0))),"Creer la fiche du lot resultat dans l'onglet LOTS.",""))))</f>
        <v/>
      </c>
      <c r="V127" s="31" t="str">
        <f aca="false">IF($B127="","",IF($C127&lt;&gt;"",$C127,IFERROR(INDEX(ST_DATERET,MATCH($B127,ST_ID,0)),"")))</f>
        <v/>
      </c>
      <c r="W127" s="26" t="str">
        <f aca="false">IF($P127=0,"",IF($L127=R_LOT,IF($N127&lt;&gt;R_LOT,$N127,""),IF($N127=R_LOT,$L127,"")))</f>
        <v/>
      </c>
      <c r="X127" s="26" t="str">
        <f aca="false">IF($W127="","",IF(COUNTIF($W$4:$W126,$W127)&gt;0,"",COUNT($X$4:$X126)+1))</f>
        <v/>
      </c>
      <c r="Y127" s="26" t="n">
        <f aca="false">IF($P127=0,0,IF(OR($L127=R_LOT,$N127=R_LOT),1,0))</f>
        <v>0</v>
      </c>
      <c r="Z127" s="26" t="str">
        <f aca="false">IF($Y127=0,"",COUNTIF($Y$5:$Y127,1))</f>
        <v/>
      </c>
    </row>
    <row r="128" customFormat="false" ht="15" hidden="false" customHeight="false" outlineLevel="0" collapsed="false">
      <c r="A128" s="26" t="str">
        <f aca="false">IF($B128="","","RES-"&amp;TEXT(ROW()-4,"000"))</f>
        <v/>
      </c>
      <c r="B128" s="24"/>
      <c r="C128" s="25"/>
      <c r="D128" s="24"/>
      <c r="E128" s="24"/>
      <c r="F128" s="29"/>
      <c r="G128" s="24"/>
      <c r="H128" s="24"/>
      <c r="I128" s="24"/>
      <c r="J128" s="24"/>
      <c r="K128" s="24"/>
      <c r="L128" s="26" t="str">
        <f aca="false">IF($B128="","",IFERROR(INDEX(ST_LOT,MATCH($B128,ST_ID,0)),""))</f>
        <v/>
      </c>
      <c r="M128" s="26" t="str">
        <f aca="false">IF($B128="","",IFERROR(INDEX(ST_STRAIT,MATCH($B128,ST_ID,0)),""))</f>
        <v/>
      </c>
      <c r="N128" s="26" t="str">
        <f aca="false">IF($B128="","",IF($E128="",$L128,$E128))</f>
        <v/>
      </c>
      <c r="O128" s="26" t="str">
        <f aca="false">IF($J128="","",IFERROR(INDEX(EMPL_CLASSE,MATCH($J128,EMPL_KEY,0)),"?"))</f>
        <v/>
      </c>
      <c r="P128" s="28" t="n">
        <f aca="false">IF($B128="",0,IF(OR(ISNA(MATCH($B128,ST_ID,0)),NOT(ISNUMBER($F128)),$F128&lt;=0,$J128="",$N128=""),0,1))</f>
        <v>0</v>
      </c>
      <c r="Q128" s="27" t="n">
        <f aca="false">IF($P128=0,0,$F128)</f>
        <v>0</v>
      </c>
      <c r="R128" s="26" t="str">
        <f aca="false">IF($B128="","",IFERROR(INDEX(ST_STATUT,MATCH($B128,ST_ID,0)),""))</f>
        <v/>
      </c>
      <c r="S128" s="26" t="str">
        <f aca="false">IF($B128="","",IF($P128=0,"DONNEES MANQUANTES",IF(OR($R128="DONNEES MANQUANTES",$R128="STOCK INSUFFISANT",$R128="EMPLACEMENT INCOHERENT",$R128="BLOQUE"),"BLOQUE","OK")))</f>
        <v/>
      </c>
      <c r="T128" s="28" t="n">
        <f aca="false">IF($S128="OK",1,0)</f>
        <v>0</v>
      </c>
      <c r="U128" s="26" t="str">
        <f aca="false">IF($B128="","",IF($P128=0,"A COMPLETER : "&amp;IF(ISNA(MATCH($B128,ST_ID,0)),"ID ST valide; ","")&amp;IF(OR(NOT(ISNUMBER($F128)),$F128&lt;=0),"QUANTITE &gt; 0; ","")&amp;IF($J128="","EMPL. DESTINATION; ",""),IF($S128="BLOQUE","Envoi parent en anomalie ("&amp;$R128&amp;") : corriger l'onglet SOUS_TRAITANCE.",IF(AND($E128&lt;&gt;"",ISNA(MATCH($E128,LOT_KEY,0))),"Creer la fiche du lot resultat dans l'onglet LOTS.",""))))</f>
        <v/>
      </c>
      <c r="V128" s="31" t="str">
        <f aca="false">IF($B128="","",IF($C128&lt;&gt;"",$C128,IFERROR(INDEX(ST_DATERET,MATCH($B128,ST_ID,0)),"")))</f>
        <v/>
      </c>
      <c r="W128" s="26" t="str">
        <f aca="false">IF($P128=0,"",IF($L128=R_LOT,IF($N128&lt;&gt;R_LOT,$N128,""),IF($N128=R_LOT,$L128,"")))</f>
        <v/>
      </c>
      <c r="X128" s="26" t="str">
        <f aca="false">IF($W128="","",IF(COUNTIF($W$4:$W127,$W128)&gt;0,"",COUNT($X$4:$X127)+1))</f>
        <v/>
      </c>
      <c r="Y128" s="26" t="n">
        <f aca="false">IF($P128=0,0,IF(OR($L128=R_LOT,$N128=R_LOT),1,0))</f>
        <v>0</v>
      </c>
      <c r="Z128" s="26" t="str">
        <f aca="false">IF($Y128=0,"",COUNTIF($Y$5:$Y128,1))</f>
        <v/>
      </c>
    </row>
    <row r="129" customFormat="false" ht="15" hidden="false" customHeight="false" outlineLevel="0" collapsed="false">
      <c r="A129" s="26" t="str">
        <f aca="false">IF($B129="","","RES-"&amp;TEXT(ROW()-4,"000"))</f>
        <v/>
      </c>
      <c r="B129" s="24"/>
      <c r="C129" s="25"/>
      <c r="D129" s="24"/>
      <c r="E129" s="24"/>
      <c r="F129" s="29"/>
      <c r="G129" s="24"/>
      <c r="H129" s="24"/>
      <c r="I129" s="24"/>
      <c r="J129" s="24"/>
      <c r="K129" s="24"/>
      <c r="L129" s="26" t="str">
        <f aca="false">IF($B129="","",IFERROR(INDEX(ST_LOT,MATCH($B129,ST_ID,0)),""))</f>
        <v/>
      </c>
      <c r="M129" s="26" t="str">
        <f aca="false">IF($B129="","",IFERROR(INDEX(ST_STRAIT,MATCH($B129,ST_ID,0)),""))</f>
        <v/>
      </c>
      <c r="N129" s="26" t="str">
        <f aca="false">IF($B129="","",IF($E129="",$L129,$E129))</f>
        <v/>
      </c>
      <c r="O129" s="26" t="str">
        <f aca="false">IF($J129="","",IFERROR(INDEX(EMPL_CLASSE,MATCH($J129,EMPL_KEY,0)),"?"))</f>
        <v/>
      </c>
      <c r="P129" s="28" t="n">
        <f aca="false">IF($B129="",0,IF(OR(ISNA(MATCH($B129,ST_ID,0)),NOT(ISNUMBER($F129)),$F129&lt;=0,$J129="",$N129=""),0,1))</f>
        <v>0</v>
      </c>
      <c r="Q129" s="27" t="n">
        <f aca="false">IF($P129=0,0,$F129)</f>
        <v>0</v>
      </c>
      <c r="R129" s="26" t="str">
        <f aca="false">IF($B129="","",IFERROR(INDEX(ST_STATUT,MATCH($B129,ST_ID,0)),""))</f>
        <v/>
      </c>
      <c r="S129" s="26" t="str">
        <f aca="false">IF($B129="","",IF($P129=0,"DONNEES MANQUANTES",IF(OR($R129="DONNEES MANQUANTES",$R129="STOCK INSUFFISANT",$R129="EMPLACEMENT INCOHERENT",$R129="BLOQUE"),"BLOQUE","OK")))</f>
        <v/>
      </c>
      <c r="T129" s="28" t="n">
        <f aca="false">IF($S129="OK",1,0)</f>
        <v>0</v>
      </c>
      <c r="U129" s="26" t="str">
        <f aca="false">IF($B129="","",IF($P129=0,"A COMPLETER : "&amp;IF(ISNA(MATCH($B129,ST_ID,0)),"ID ST valide; ","")&amp;IF(OR(NOT(ISNUMBER($F129)),$F129&lt;=0),"QUANTITE &gt; 0; ","")&amp;IF($J129="","EMPL. DESTINATION; ",""),IF($S129="BLOQUE","Envoi parent en anomalie ("&amp;$R129&amp;") : corriger l'onglet SOUS_TRAITANCE.",IF(AND($E129&lt;&gt;"",ISNA(MATCH($E129,LOT_KEY,0))),"Creer la fiche du lot resultat dans l'onglet LOTS.",""))))</f>
        <v/>
      </c>
      <c r="V129" s="31" t="str">
        <f aca="false">IF($B129="","",IF($C129&lt;&gt;"",$C129,IFERROR(INDEX(ST_DATERET,MATCH($B129,ST_ID,0)),"")))</f>
        <v/>
      </c>
      <c r="W129" s="26" t="str">
        <f aca="false">IF($P129=0,"",IF($L129=R_LOT,IF($N129&lt;&gt;R_LOT,$N129,""),IF($N129=R_LOT,$L129,"")))</f>
        <v/>
      </c>
      <c r="X129" s="26" t="str">
        <f aca="false">IF($W129="","",IF(COUNTIF($W$4:$W128,$W129)&gt;0,"",COUNT($X$4:$X128)+1))</f>
        <v/>
      </c>
      <c r="Y129" s="26" t="n">
        <f aca="false">IF($P129=0,0,IF(OR($L129=R_LOT,$N129=R_LOT),1,0))</f>
        <v>0</v>
      </c>
      <c r="Z129" s="26" t="str">
        <f aca="false">IF($Y129=0,"",COUNTIF($Y$5:$Y129,1))</f>
        <v/>
      </c>
    </row>
    <row r="130" customFormat="false" ht="15" hidden="false" customHeight="false" outlineLevel="0" collapsed="false">
      <c r="A130" s="26" t="str">
        <f aca="false">IF($B130="","","RES-"&amp;TEXT(ROW()-4,"000"))</f>
        <v/>
      </c>
      <c r="B130" s="24"/>
      <c r="C130" s="25"/>
      <c r="D130" s="24"/>
      <c r="E130" s="24"/>
      <c r="F130" s="29"/>
      <c r="G130" s="24"/>
      <c r="H130" s="24"/>
      <c r="I130" s="24"/>
      <c r="J130" s="24"/>
      <c r="K130" s="24"/>
      <c r="L130" s="26" t="str">
        <f aca="false">IF($B130="","",IFERROR(INDEX(ST_LOT,MATCH($B130,ST_ID,0)),""))</f>
        <v/>
      </c>
      <c r="M130" s="26" t="str">
        <f aca="false">IF($B130="","",IFERROR(INDEX(ST_STRAIT,MATCH($B130,ST_ID,0)),""))</f>
        <v/>
      </c>
      <c r="N130" s="26" t="str">
        <f aca="false">IF($B130="","",IF($E130="",$L130,$E130))</f>
        <v/>
      </c>
      <c r="O130" s="26" t="str">
        <f aca="false">IF($J130="","",IFERROR(INDEX(EMPL_CLASSE,MATCH($J130,EMPL_KEY,0)),"?"))</f>
        <v/>
      </c>
      <c r="P130" s="28" t="n">
        <f aca="false">IF($B130="",0,IF(OR(ISNA(MATCH($B130,ST_ID,0)),NOT(ISNUMBER($F130)),$F130&lt;=0,$J130="",$N130=""),0,1))</f>
        <v>0</v>
      </c>
      <c r="Q130" s="27" t="n">
        <f aca="false">IF($P130=0,0,$F130)</f>
        <v>0</v>
      </c>
      <c r="R130" s="26" t="str">
        <f aca="false">IF($B130="","",IFERROR(INDEX(ST_STATUT,MATCH($B130,ST_ID,0)),""))</f>
        <v/>
      </c>
      <c r="S130" s="26" t="str">
        <f aca="false">IF($B130="","",IF($P130=0,"DONNEES MANQUANTES",IF(OR($R130="DONNEES MANQUANTES",$R130="STOCK INSUFFISANT",$R130="EMPLACEMENT INCOHERENT",$R130="BLOQUE"),"BLOQUE","OK")))</f>
        <v/>
      </c>
      <c r="T130" s="28" t="n">
        <f aca="false">IF($S130="OK",1,0)</f>
        <v>0</v>
      </c>
      <c r="U130" s="26" t="str">
        <f aca="false">IF($B130="","",IF($P130=0,"A COMPLETER : "&amp;IF(ISNA(MATCH($B130,ST_ID,0)),"ID ST valide; ","")&amp;IF(OR(NOT(ISNUMBER($F130)),$F130&lt;=0),"QUANTITE &gt; 0; ","")&amp;IF($J130="","EMPL. DESTINATION; ",""),IF($S130="BLOQUE","Envoi parent en anomalie ("&amp;$R130&amp;") : corriger l'onglet SOUS_TRAITANCE.",IF(AND($E130&lt;&gt;"",ISNA(MATCH($E130,LOT_KEY,0))),"Creer la fiche du lot resultat dans l'onglet LOTS.",""))))</f>
        <v/>
      </c>
      <c r="V130" s="31" t="str">
        <f aca="false">IF($B130="","",IF($C130&lt;&gt;"",$C130,IFERROR(INDEX(ST_DATERET,MATCH($B130,ST_ID,0)),"")))</f>
        <v/>
      </c>
      <c r="W130" s="26" t="str">
        <f aca="false">IF($P130=0,"",IF($L130=R_LOT,IF($N130&lt;&gt;R_LOT,$N130,""),IF($N130=R_LOT,$L130,"")))</f>
        <v/>
      </c>
      <c r="X130" s="26" t="str">
        <f aca="false">IF($W130="","",IF(COUNTIF($W$4:$W129,$W130)&gt;0,"",COUNT($X$4:$X129)+1))</f>
        <v/>
      </c>
      <c r="Y130" s="26" t="n">
        <f aca="false">IF($P130=0,0,IF(OR($L130=R_LOT,$N130=R_LOT),1,0))</f>
        <v>0</v>
      </c>
      <c r="Z130" s="26" t="str">
        <f aca="false">IF($Y130=0,"",COUNTIF($Y$5:$Y130,1))</f>
        <v/>
      </c>
    </row>
    <row r="131" customFormat="false" ht="15" hidden="false" customHeight="false" outlineLevel="0" collapsed="false">
      <c r="A131" s="26" t="str">
        <f aca="false">IF($B131="","","RES-"&amp;TEXT(ROW()-4,"000"))</f>
        <v/>
      </c>
      <c r="B131" s="24"/>
      <c r="C131" s="25"/>
      <c r="D131" s="24"/>
      <c r="E131" s="24"/>
      <c r="F131" s="29"/>
      <c r="G131" s="24"/>
      <c r="H131" s="24"/>
      <c r="I131" s="24"/>
      <c r="J131" s="24"/>
      <c r="K131" s="24"/>
      <c r="L131" s="26" t="str">
        <f aca="false">IF($B131="","",IFERROR(INDEX(ST_LOT,MATCH($B131,ST_ID,0)),""))</f>
        <v/>
      </c>
      <c r="M131" s="26" t="str">
        <f aca="false">IF($B131="","",IFERROR(INDEX(ST_STRAIT,MATCH($B131,ST_ID,0)),""))</f>
        <v/>
      </c>
      <c r="N131" s="26" t="str">
        <f aca="false">IF($B131="","",IF($E131="",$L131,$E131))</f>
        <v/>
      </c>
      <c r="O131" s="26" t="str">
        <f aca="false">IF($J131="","",IFERROR(INDEX(EMPL_CLASSE,MATCH($J131,EMPL_KEY,0)),"?"))</f>
        <v/>
      </c>
      <c r="P131" s="28" t="n">
        <f aca="false">IF($B131="",0,IF(OR(ISNA(MATCH($B131,ST_ID,0)),NOT(ISNUMBER($F131)),$F131&lt;=0,$J131="",$N131=""),0,1))</f>
        <v>0</v>
      </c>
      <c r="Q131" s="27" t="n">
        <f aca="false">IF($P131=0,0,$F131)</f>
        <v>0</v>
      </c>
      <c r="R131" s="26" t="str">
        <f aca="false">IF($B131="","",IFERROR(INDEX(ST_STATUT,MATCH($B131,ST_ID,0)),""))</f>
        <v/>
      </c>
      <c r="S131" s="26" t="str">
        <f aca="false">IF($B131="","",IF($P131=0,"DONNEES MANQUANTES",IF(OR($R131="DONNEES MANQUANTES",$R131="STOCK INSUFFISANT",$R131="EMPLACEMENT INCOHERENT",$R131="BLOQUE"),"BLOQUE","OK")))</f>
        <v/>
      </c>
      <c r="T131" s="28" t="n">
        <f aca="false">IF($S131="OK",1,0)</f>
        <v>0</v>
      </c>
      <c r="U131" s="26" t="str">
        <f aca="false">IF($B131="","",IF($P131=0,"A COMPLETER : "&amp;IF(ISNA(MATCH($B131,ST_ID,0)),"ID ST valide; ","")&amp;IF(OR(NOT(ISNUMBER($F131)),$F131&lt;=0),"QUANTITE &gt; 0; ","")&amp;IF($J131="","EMPL. DESTINATION; ",""),IF($S131="BLOQUE","Envoi parent en anomalie ("&amp;$R131&amp;") : corriger l'onglet SOUS_TRAITANCE.",IF(AND($E131&lt;&gt;"",ISNA(MATCH($E131,LOT_KEY,0))),"Creer la fiche du lot resultat dans l'onglet LOTS.",""))))</f>
        <v/>
      </c>
      <c r="V131" s="31" t="str">
        <f aca="false">IF($B131="","",IF($C131&lt;&gt;"",$C131,IFERROR(INDEX(ST_DATERET,MATCH($B131,ST_ID,0)),"")))</f>
        <v/>
      </c>
      <c r="W131" s="26" t="str">
        <f aca="false">IF($P131=0,"",IF($L131=R_LOT,IF($N131&lt;&gt;R_LOT,$N131,""),IF($N131=R_LOT,$L131,"")))</f>
        <v/>
      </c>
      <c r="X131" s="26" t="str">
        <f aca="false">IF($W131="","",IF(COUNTIF($W$4:$W130,$W131)&gt;0,"",COUNT($X$4:$X130)+1))</f>
        <v/>
      </c>
      <c r="Y131" s="26" t="n">
        <f aca="false">IF($P131=0,0,IF(OR($L131=R_LOT,$N131=R_LOT),1,0))</f>
        <v>0</v>
      </c>
      <c r="Z131" s="26" t="str">
        <f aca="false">IF($Y131=0,"",COUNTIF($Y$5:$Y131,1))</f>
        <v/>
      </c>
    </row>
    <row r="132" customFormat="false" ht="15" hidden="false" customHeight="false" outlineLevel="0" collapsed="false">
      <c r="A132" s="26" t="str">
        <f aca="false">IF($B132="","","RES-"&amp;TEXT(ROW()-4,"000"))</f>
        <v/>
      </c>
      <c r="B132" s="24"/>
      <c r="C132" s="25"/>
      <c r="D132" s="24"/>
      <c r="E132" s="24"/>
      <c r="F132" s="29"/>
      <c r="G132" s="24"/>
      <c r="H132" s="24"/>
      <c r="I132" s="24"/>
      <c r="J132" s="24"/>
      <c r="K132" s="24"/>
      <c r="L132" s="26" t="str">
        <f aca="false">IF($B132="","",IFERROR(INDEX(ST_LOT,MATCH($B132,ST_ID,0)),""))</f>
        <v/>
      </c>
      <c r="M132" s="26" t="str">
        <f aca="false">IF($B132="","",IFERROR(INDEX(ST_STRAIT,MATCH($B132,ST_ID,0)),""))</f>
        <v/>
      </c>
      <c r="N132" s="26" t="str">
        <f aca="false">IF($B132="","",IF($E132="",$L132,$E132))</f>
        <v/>
      </c>
      <c r="O132" s="26" t="str">
        <f aca="false">IF($J132="","",IFERROR(INDEX(EMPL_CLASSE,MATCH($J132,EMPL_KEY,0)),"?"))</f>
        <v/>
      </c>
      <c r="P132" s="28" t="n">
        <f aca="false">IF($B132="",0,IF(OR(ISNA(MATCH($B132,ST_ID,0)),NOT(ISNUMBER($F132)),$F132&lt;=0,$J132="",$N132=""),0,1))</f>
        <v>0</v>
      </c>
      <c r="Q132" s="27" t="n">
        <f aca="false">IF($P132=0,0,$F132)</f>
        <v>0</v>
      </c>
      <c r="R132" s="26" t="str">
        <f aca="false">IF($B132="","",IFERROR(INDEX(ST_STATUT,MATCH($B132,ST_ID,0)),""))</f>
        <v/>
      </c>
      <c r="S132" s="26" t="str">
        <f aca="false">IF($B132="","",IF($P132=0,"DONNEES MANQUANTES",IF(OR($R132="DONNEES MANQUANTES",$R132="STOCK INSUFFISANT",$R132="EMPLACEMENT INCOHERENT",$R132="BLOQUE"),"BLOQUE","OK")))</f>
        <v/>
      </c>
      <c r="T132" s="28" t="n">
        <f aca="false">IF($S132="OK",1,0)</f>
        <v>0</v>
      </c>
      <c r="U132" s="26" t="str">
        <f aca="false">IF($B132="","",IF($P132=0,"A COMPLETER : "&amp;IF(ISNA(MATCH($B132,ST_ID,0)),"ID ST valide; ","")&amp;IF(OR(NOT(ISNUMBER($F132)),$F132&lt;=0),"QUANTITE &gt; 0; ","")&amp;IF($J132="","EMPL. DESTINATION; ",""),IF($S132="BLOQUE","Envoi parent en anomalie ("&amp;$R132&amp;") : corriger l'onglet SOUS_TRAITANCE.",IF(AND($E132&lt;&gt;"",ISNA(MATCH($E132,LOT_KEY,0))),"Creer la fiche du lot resultat dans l'onglet LOTS.",""))))</f>
        <v/>
      </c>
      <c r="V132" s="31" t="str">
        <f aca="false">IF($B132="","",IF($C132&lt;&gt;"",$C132,IFERROR(INDEX(ST_DATERET,MATCH($B132,ST_ID,0)),"")))</f>
        <v/>
      </c>
      <c r="W132" s="26" t="str">
        <f aca="false">IF($P132=0,"",IF($L132=R_LOT,IF($N132&lt;&gt;R_LOT,$N132,""),IF($N132=R_LOT,$L132,"")))</f>
        <v/>
      </c>
      <c r="X132" s="26" t="str">
        <f aca="false">IF($W132="","",IF(COUNTIF($W$4:$W131,$W132)&gt;0,"",COUNT($X$4:$X131)+1))</f>
        <v/>
      </c>
      <c r="Y132" s="26" t="n">
        <f aca="false">IF($P132=0,0,IF(OR($L132=R_LOT,$N132=R_LOT),1,0))</f>
        <v>0</v>
      </c>
      <c r="Z132" s="26" t="str">
        <f aca="false">IF($Y132=0,"",COUNTIF($Y$5:$Y132,1))</f>
        <v/>
      </c>
    </row>
    <row r="133" customFormat="false" ht="15" hidden="false" customHeight="false" outlineLevel="0" collapsed="false">
      <c r="A133" s="26" t="str">
        <f aca="false">IF($B133="","","RES-"&amp;TEXT(ROW()-4,"000"))</f>
        <v/>
      </c>
      <c r="B133" s="24"/>
      <c r="C133" s="25"/>
      <c r="D133" s="24"/>
      <c r="E133" s="24"/>
      <c r="F133" s="29"/>
      <c r="G133" s="24"/>
      <c r="H133" s="24"/>
      <c r="I133" s="24"/>
      <c r="J133" s="24"/>
      <c r="K133" s="24"/>
      <c r="L133" s="26" t="str">
        <f aca="false">IF($B133="","",IFERROR(INDEX(ST_LOT,MATCH($B133,ST_ID,0)),""))</f>
        <v/>
      </c>
      <c r="M133" s="26" t="str">
        <f aca="false">IF($B133="","",IFERROR(INDEX(ST_STRAIT,MATCH($B133,ST_ID,0)),""))</f>
        <v/>
      </c>
      <c r="N133" s="26" t="str">
        <f aca="false">IF($B133="","",IF($E133="",$L133,$E133))</f>
        <v/>
      </c>
      <c r="O133" s="26" t="str">
        <f aca="false">IF($J133="","",IFERROR(INDEX(EMPL_CLASSE,MATCH($J133,EMPL_KEY,0)),"?"))</f>
        <v/>
      </c>
      <c r="P133" s="28" t="n">
        <f aca="false">IF($B133="",0,IF(OR(ISNA(MATCH($B133,ST_ID,0)),NOT(ISNUMBER($F133)),$F133&lt;=0,$J133="",$N133=""),0,1))</f>
        <v>0</v>
      </c>
      <c r="Q133" s="27" t="n">
        <f aca="false">IF($P133=0,0,$F133)</f>
        <v>0</v>
      </c>
      <c r="R133" s="26" t="str">
        <f aca="false">IF($B133="","",IFERROR(INDEX(ST_STATUT,MATCH($B133,ST_ID,0)),""))</f>
        <v/>
      </c>
      <c r="S133" s="26" t="str">
        <f aca="false">IF($B133="","",IF($P133=0,"DONNEES MANQUANTES",IF(OR($R133="DONNEES MANQUANTES",$R133="STOCK INSUFFISANT",$R133="EMPLACEMENT INCOHERENT",$R133="BLOQUE"),"BLOQUE","OK")))</f>
        <v/>
      </c>
      <c r="T133" s="28" t="n">
        <f aca="false">IF($S133="OK",1,0)</f>
        <v>0</v>
      </c>
      <c r="U133" s="26" t="str">
        <f aca="false">IF($B133="","",IF($P133=0,"A COMPLETER : "&amp;IF(ISNA(MATCH($B133,ST_ID,0)),"ID ST valide; ","")&amp;IF(OR(NOT(ISNUMBER($F133)),$F133&lt;=0),"QUANTITE &gt; 0; ","")&amp;IF($J133="","EMPL. DESTINATION; ",""),IF($S133="BLOQUE","Envoi parent en anomalie ("&amp;$R133&amp;") : corriger l'onglet SOUS_TRAITANCE.",IF(AND($E133&lt;&gt;"",ISNA(MATCH($E133,LOT_KEY,0))),"Creer la fiche du lot resultat dans l'onglet LOTS.",""))))</f>
        <v/>
      </c>
      <c r="V133" s="31" t="str">
        <f aca="false">IF($B133="","",IF($C133&lt;&gt;"",$C133,IFERROR(INDEX(ST_DATERET,MATCH($B133,ST_ID,0)),"")))</f>
        <v/>
      </c>
      <c r="W133" s="26" t="str">
        <f aca="false">IF($P133=0,"",IF($L133=R_LOT,IF($N133&lt;&gt;R_LOT,$N133,""),IF($N133=R_LOT,$L133,"")))</f>
        <v/>
      </c>
      <c r="X133" s="26" t="str">
        <f aca="false">IF($W133="","",IF(COUNTIF($W$4:$W132,$W133)&gt;0,"",COUNT($X$4:$X132)+1))</f>
        <v/>
      </c>
      <c r="Y133" s="26" t="n">
        <f aca="false">IF($P133=0,0,IF(OR($L133=R_LOT,$N133=R_LOT),1,0))</f>
        <v>0</v>
      </c>
      <c r="Z133" s="26" t="str">
        <f aca="false">IF($Y133=0,"",COUNTIF($Y$5:$Y133,1))</f>
        <v/>
      </c>
    </row>
    <row r="134" customFormat="false" ht="15" hidden="false" customHeight="false" outlineLevel="0" collapsed="false">
      <c r="A134" s="26" t="str">
        <f aca="false">IF($B134="","","RES-"&amp;TEXT(ROW()-4,"000"))</f>
        <v/>
      </c>
      <c r="B134" s="24"/>
      <c r="C134" s="25"/>
      <c r="D134" s="24"/>
      <c r="E134" s="24"/>
      <c r="F134" s="29"/>
      <c r="G134" s="24"/>
      <c r="H134" s="24"/>
      <c r="I134" s="24"/>
      <c r="J134" s="24"/>
      <c r="K134" s="24"/>
      <c r="L134" s="26" t="str">
        <f aca="false">IF($B134="","",IFERROR(INDEX(ST_LOT,MATCH($B134,ST_ID,0)),""))</f>
        <v/>
      </c>
      <c r="M134" s="26" t="str">
        <f aca="false">IF($B134="","",IFERROR(INDEX(ST_STRAIT,MATCH($B134,ST_ID,0)),""))</f>
        <v/>
      </c>
      <c r="N134" s="26" t="str">
        <f aca="false">IF($B134="","",IF($E134="",$L134,$E134))</f>
        <v/>
      </c>
      <c r="O134" s="26" t="str">
        <f aca="false">IF($J134="","",IFERROR(INDEX(EMPL_CLASSE,MATCH($J134,EMPL_KEY,0)),"?"))</f>
        <v/>
      </c>
      <c r="P134" s="28" t="n">
        <f aca="false">IF($B134="",0,IF(OR(ISNA(MATCH($B134,ST_ID,0)),NOT(ISNUMBER($F134)),$F134&lt;=0,$J134="",$N134=""),0,1))</f>
        <v>0</v>
      </c>
      <c r="Q134" s="27" t="n">
        <f aca="false">IF($P134=0,0,$F134)</f>
        <v>0</v>
      </c>
      <c r="R134" s="26" t="str">
        <f aca="false">IF($B134="","",IFERROR(INDEX(ST_STATUT,MATCH($B134,ST_ID,0)),""))</f>
        <v/>
      </c>
      <c r="S134" s="26" t="str">
        <f aca="false">IF($B134="","",IF($P134=0,"DONNEES MANQUANTES",IF(OR($R134="DONNEES MANQUANTES",$R134="STOCK INSUFFISANT",$R134="EMPLACEMENT INCOHERENT",$R134="BLOQUE"),"BLOQUE","OK")))</f>
        <v/>
      </c>
      <c r="T134" s="28" t="n">
        <f aca="false">IF($S134="OK",1,0)</f>
        <v>0</v>
      </c>
      <c r="U134" s="26" t="str">
        <f aca="false">IF($B134="","",IF($P134=0,"A COMPLETER : "&amp;IF(ISNA(MATCH($B134,ST_ID,0)),"ID ST valide; ","")&amp;IF(OR(NOT(ISNUMBER($F134)),$F134&lt;=0),"QUANTITE &gt; 0; ","")&amp;IF($J134="","EMPL. DESTINATION; ",""),IF($S134="BLOQUE","Envoi parent en anomalie ("&amp;$R134&amp;") : corriger l'onglet SOUS_TRAITANCE.",IF(AND($E134&lt;&gt;"",ISNA(MATCH($E134,LOT_KEY,0))),"Creer la fiche du lot resultat dans l'onglet LOTS.",""))))</f>
        <v/>
      </c>
      <c r="V134" s="31" t="str">
        <f aca="false">IF($B134="","",IF($C134&lt;&gt;"",$C134,IFERROR(INDEX(ST_DATERET,MATCH($B134,ST_ID,0)),"")))</f>
        <v/>
      </c>
      <c r="W134" s="26" t="str">
        <f aca="false">IF($P134=0,"",IF($L134=R_LOT,IF($N134&lt;&gt;R_LOT,$N134,""),IF($N134=R_LOT,$L134,"")))</f>
        <v/>
      </c>
      <c r="X134" s="26" t="str">
        <f aca="false">IF($W134="","",IF(COUNTIF($W$4:$W133,$W134)&gt;0,"",COUNT($X$4:$X133)+1))</f>
        <v/>
      </c>
      <c r="Y134" s="26" t="n">
        <f aca="false">IF($P134=0,0,IF(OR($L134=R_LOT,$N134=R_LOT),1,0))</f>
        <v>0</v>
      </c>
      <c r="Z134" s="26" t="str">
        <f aca="false">IF($Y134=0,"",COUNTIF($Y$5:$Y134,1))</f>
        <v/>
      </c>
    </row>
    <row r="135" customFormat="false" ht="15" hidden="false" customHeight="false" outlineLevel="0" collapsed="false">
      <c r="A135" s="26" t="str">
        <f aca="false">IF($B135="","","RES-"&amp;TEXT(ROW()-4,"000"))</f>
        <v/>
      </c>
      <c r="B135" s="24"/>
      <c r="C135" s="25"/>
      <c r="D135" s="24"/>
      <c r="E135" s="24"/>
      <c r="F135" s="29"/>
      <c r="G135" s="24"/>
      <c r="H135" s="24"/>
      <c r="I135" s="24"/>
      <c r="J135" s="24"/>
      <c r="K135" s="24"/>
      <c r="L135" s="26" t="str">
        <f aca="false">IF($B135="","",IFERROR(INDEX(ST_LOT,MATCH($B135,ST_ID,0)),""))</f>
        <v/>
      </c>
      <c r="M135" s="26" t="str">
        <f aca="false">IF($B135="","",IFERROR(INDEX(ST_STRAIT,MATCH($B135,ST_ID,0)),""))</f>
        <v/>
      </c>
      <c r="N135" s="26" t="str">
        <f aca="false">IF($B135="","",IF($E135="",$L135,$E135))</f>
        <v/>
      </c>
      <c r="O135" s="26" t="str">
        <f aca="false">IF($J135="","",IFERROR(INDEX(EMPL_CLASSE,MATCH($J135,EMPL_KEY,0)),"?"))</f>
        <v/>
      </c>
      <c r="P135" s="28" t="n">
        <f aca="false">IF($B135="",0,IF(OR(ISNA(MATCH($B135,ST_ID,0)),NOT(ISNUMBER($F135)),$F135&lt;=0,$J135="",$N135=""),0,1))</f>
        <v>0</v>
      </c>
      <c r="Q135" s="27" t="n">
        <f aca="false">IF($P135=0,0,$F135)</f>
        <v>0</v>
      </c>
      <c r="R135" s="26" t="str">
        <f aca="false">IF($B135="","",IFERROR(INDEX(ST_STATUT,MATCH($B135,ST_ID,0)),""))</f>
        <v/>
      </c>
      <c r="S135" s="26" t="str">
        <f aca="false">IF($B135="","",IF($P135=0,"DONNEES MANQUANTES",IF(OR($R135="DONNEES MANQUANTES",$R135="STOCK INSUFFISANT",$R135="EMPLACEMENT INCOHERENT",$R135="BLOQUE"),"BLOQUE","OK")))</f>
        <v/>
      </c>
      <c r="T135" s="28" t="n">
        <f aca="false">IF($S135="OK",1,0)</f>
        <v>0</v>
      </c>
      <c r="U135" s="26" t="str">
        <f aca="false">IF($B135="","",IF($P135=0,"A COMPLETER : "&amp;IF(ISNA(MATCH($B135,ST_ID,0)),"ID ST valide; ","")&amp;IF(OR(NOT(ISNUMBER($F135)),$F135&lt;=0),"QUANTITE &gt; 0; ","")&amp;IF($J135="","EMPL. DESTINATION; ",""),IF($S135="BLOQUE","Envoi parent en anomalie ("&amp;$R135&amp;") : corriger l'onglet SOUS_TRAITANCE.",IF(AND($E135&lt;&gt;"",ISNA(MATCH($E135,LOT_KEY,0))),"Creer la fiche du lot resultat dans l'onglet LOTS.",""))))</f>
        <v/>
      </c>
      <c r="V135" s="31" t="str">
        <f aca="false">IF($B135="","",IF($C135&lt;&gt;"",$C135,IFERROR(INDEX(ST_DATERET,MATCH($B135,ST_ID,0)),"")))</f>
        <v/>
      </c>
      <c r="W135" s="26" t="str">
        <f aca="false">IF($P135=0,"",IF($L135=R_LOT,IF($N135&lt;&gt;R_LOT,$N135,""),IF($N135=R_LOT,$L135,"")))</f>
        <v/>
      </c>
      <c r="X135" s="26" t="str">
        <f aca="false">IF($W135="","",IF(COUNTIF($W$4:$W134,$W135)&gt;0,"",COUNT($X$4:$X134)+1))</f>
        <v/>
      </c>
      <c r="Y135" s="26" t="n">
        <f aca="false">IF($P135=0,0,IF(OR($L135=R_LOT,$N135=R_LOT),1,0))</f>
        <v>0</v>
      </c>
      <c r="Z135" s="26" t="str">
        <f aca="false">IF($Y135=0,"",COUNTIF($Y$5:$Y135,1))</f>
        <v/>
      </c>
    </row>
    <row r="136" customFormat="false" ht="15" hidden="false" customHeight="false" outlineLevel="0" collapsed="false">
      <c r="A136" s="26" t="str">
        <f aca="false">IF($B136="","","RES-"&amp;TEXT(ROW()-4,"000"))</f>
        <v/>
      </c>
      <c r="B136" s="24"/>
      <c r="C136" s="25"/>
      <c r="D136" s="24"/>
      <c r="E136" s="24"/>
      <c r="F136" s="29"/>
      <c r="G136" s="24"/>
      <c r="H136" s="24"/>
      <c r="I136" s="24"/>
      <c r="J136" s="24"/>
      <c r="K136" s="24"/>
      <c r="L136" s="26" t="str">
        <f aca="false">IF($B136="","",IFERROR(INDEX(ST_LOT,MATCH($B136,ST_ID,0)),""))</f>
        <v/>
      </c>
      <c r="M136" s="26" t="str">
        <f aca="false">IF($B136="","",IFERROR(INDEX(ST_STRAIT,MATCH($B136,ST_ID,0)),""))</f>
        <v/>
      </c>
      <c r="N136" s="26" t="str">
        <f aca="false">IF($B136="","",IF($E136="",$L136,$E136))</f>
        <v/>
      </c>
      <c r="O136" s="26" t="str">
        <f aca="false">IF($J136="","",IFERROR(INDEX(EMPL_CLASSE,MATCH($J136,EMPL_KEY,0)),"?"))</f>
        <v/>
      </c>
      <c r="P136" s="28" t="n">
        <f aca="false">IF($B136="",0,IF(OR(ISNA(MATCH($B136,ST_ID,0)),NOT(ISNUMBER($F136)),$F136&lt;=0,$J136="",$N136=""),0,1))</f>
        <v>0</v>
      </c>
      <c r="Q136" s="27" t="n">
        <f aca="false">IF($P136=0,0,$F136)</f>
        <v>0</v>
      </c>
      <c r="R136" s="26" t="str">
        <f aca="false">IF($B136="","",IFERROR(INDEX(ST_STATUT,MATCH($B136,ST_ID,0)),""))</f>
        <v/>
      </c>
      <c r="S136" s="26" t="str">
        <f aca="false">IF($B136="","",IF($P136=0,"DONNEES MANQUANTES",IF(OR($R136="DONNEES MANQUANTES",$R136="STOCK INSUFFISANT",$R136="EMPLACEMENT INCOHERENT",$R136="BLOQUE"),"BLOQUE","OK")))</f>
        <v/>
      </c>
      <c r="T136" s="28" t="n">
        <f aca="false">IF($S136="OK",1,0)</f>
        <v>0</v>
      </c>
      <c r="U136" s="26" t="str">
        <f aca="false">IF($B136="","",IF($P136=0,"A COMPLETER : "&amp;IF(ISNA(MATCH($B136,ST_ID,0)),"ID ST valide; ","")&amp;IF(OR(NOT(ISNUMBER($F136)),$F136&lt;=0),"QUANTITE &gt; 0; ","")&amp;IF($J136="","EMPL. DESTINATION; ",""),IF($S136="BLOQUE","Envoi parent en anomalie ("&amp;$R136&amp;") : corriger l'onglet SOUS_TRAITANCE.",IF(AND($E136&lt;&gt;"",ISNA(MATCH($E136,LOT_KEY,0))),"Creer la fiche du lot resultat dans l'onglet LOTS.",""))))</f>
        <v/>
      </c>
      <c r="V136" s="31" t="str">
        <f aca="false">IF($B136="","",IF($C136&lt;&gt;"",$C136,IFERROR(INDEX(ST_DATERET,MATCH($B136,ST_ID,0)),"")))</f>
        <v/>
      </c>
      <c r="W136" s="26" t="str">
        <f aca="false">IF($P136=0,"",IF($L136=R_LOT,IF($N136&lt;&gt;R_LOT,$N136,""),IF($N136=R_LOT,$L136,"")))</f>
        <v/>
      </c>
      <c r="X136" s="26" t="str">
        <f aca="false">IF($W136="","",IF(COUNTIF($W$4:$W135,$W136)&gt;0,"",COUNT($X$4:$X135)+1))</f>
        <v/>
      </c>
      <c r="Y136" s="26" t="n">
        <f aca="false">IF($P136=0,0,IF(OR($L136=R_LOT,$N136=R_LOT),1,0))</f>
        <v>0</v>
      </c>
      <c r="Z136" s="26" t="str">
        <f aca="false">IF($Y136=0,"",COUNTIF($Y$5:$Y136,1))</f>
        <v/>
      </c>
    </row>
    <row r="137" customFormat="false" ht="15" hidden="false" customHeight="false" outlineLevel="0" collapsed="false">
      <c r="A137" s="26" t="str">
        <f aca="false">IF($B137="","","RES-"&amp;TEXT(ROW()-4,"000"))</f>
        <v/>
      </c>
      <c r="B137" s="24"/>
      <c r="C137" s="25"/>
      <c r="D137" s="24"/>
      <c r="E137" s="24"/>
      <c r="F137" s="29"/>
      <c r="G137" s="24"/>
      <c r="H137" s="24"/>
      <c r="I137" s="24"/>
      <c r="J137" s="24"/>
      <c r="K137" s="24"/>
      <c r="L137" s="26" t="str">
        <f aca="false">IF($B137="","",IFERROR(INDEX(ST_LOT,MATCH($B137,ST_ID,0)),""))</f>
        <v/>
      </c>
      <c r="M137" s="26" t="str">
        <f aca="false">IF($B137="","",IFERROR(INDEX(ST_STRAIT,MATCH($B137,ST_ID,0)),""))</f>
        <v/>
      </c>
      <c r="N137" s="26" t="str">
        <f aca="false">IF($B137="","",IF($E137="",$L137,$E137))</f>
        <v/>
      </c>
      <c r="O137" s="26" t="str">
        <f aca="false">IF($J137="","",IFERROR(INDEX(EMPL_CLASSE,MATCH($J137,EMPL_KEY,0)),"?"))</f>
        <v/>
      </c>
      <c r="P137" s="28" t="n">
        <f aca="false">IF($B137="",0,IF(OR(ISNA(MATCH($B137,ST_ID,0)),NOT(ISNUMBER($F137)),$F137&lt;=0,$J137="",$N137=""),0,1))</f>
        <v>0</v>
      </c>
      <c r="Q137" s="27" t="n">
        <f aca="false">IF($P137=0,0,$F137)</f>
        <v>0</v>
      </c>
      <c r="R137" s="26" t="str">
        <f aca="false">IF($B137="","",IFERROR(INDEX(ST_STATUT,MATCH($B137,ST_ID,0)),""))</f>
        <v/>
      </c>
      <c r="S137" s="26" t="str">
        <f aca="false">IF($B137="","",IF($P137=0,"DONNEES MANQUANTES",IF(OR($R137="DONNEES MANQUANTES",$R137="STOCK INSUFFISANT",$R137="EMPLACEMENT INCOHERENT",$R137="BLOQUE"),"BLOQUE","OK")))</f>
        <v/>
      </c>
      <c r="T137" s="28" t="n">
        <f aca="false">IF($S137="OK",1,0)</f>
        <v>0</v>
      </c>
      <c r="U137" s="26" t="str">
        <f aca="false">IF($B137="","",IF($P137=0,"A COMPLETER : "&amp;IF(ISNA(MATCH($B137,ST_ID,0)),"ID ST valide; ","")&amp;IF(OR(NOT(ISNUMBER($F137)),$F137&lt;=0),"QUANTITE &gt; 0; ","")&amp;IF($J137="","EMPL. DESTINATION; ",""),IF($S137="BLOQUE","Envoi parent en anomalie ("&amp;$R137&amp;") : corriger l'onglet SOUS_TRAITANCE.",IF(AND($E137&lt;&gt;"",ISNA(MATCH($E137,LOT_KEY,0))),"Creer la fiche du lot resultat dans l'onglet LOTS.",""))))</f>
        <v/>
      </c>
      <c r="V137" s="31" t="str">
        <f aca="false">IF($B137="","",IF($C137&lt;&gt;"",$C137,IFERROR(INDEX(ST_DATERET,MATCH($B137,ST_ID,0)),"")))</f>
        <v/>
      </c>
      <c r="W137" s="26" t="str">
        <f aca="false">IF($P137=0,"",IF($L137=R_LOT,IF($N137&lt;&gt;R_LOT,$N137,""),IF($N137=R_LOT,$L137,"")))</f>
        <v/>
      </c>
      <c r="X137" s="26" t="str">
        <f aca="false">IF($W137="","",IF(COUNTIF($W$4:$W136,$W137)&gt;0,"",COUNT($X$4:$X136)+1))</f>
        <v/>
      </c>
      <c r="Y137" s="26" t="n">
        <f aca="false">IF($P137=0,0,IF(OR($L137=R_LOT,$N137=R_LOT),1,0))</f>
        <v>0</v>
      </c>
      <c r="Z137" s="26" t="str">
        <f aca="false">IF($Y137=0,"",COUNTIF($Y$5:$Y137,1))</f>
        <v/>
      </c>
    </row>
    <row r="138" customFormat="false" ht="15" hidden="false" customHeight="false" outlineLevel="0" collapsed="false">
      <c r="A138" s="26" t="str">
        <f aca="false">IF($B138="","","RES-"&amp;TEXT(ROW()-4,"000"))</f>
        <v/>
      </c>
      <c r="B138" s="24"/>
      <c r="C138" s="25"/>
      <c r="D138" s="24"/>
      <c r="E138" s="24"/>
      <c r="F138" s="29"/>
      <c r="G138" s="24"/>
      <c r="H138" s="24"/>
      <c r="I138" s="24"/>
      <c r="J138" s="24"/>
      <c r="K138" s="24"/>
      <c r="L138" s="26" t="str">
        <f aca="false">IF($B138="","",IFERROR(INDEX(ST_LOT,MATCH($B138,ST_ID,0)),""))</f>
        <v/>
      </c>
      <c r="M138" s="26" t="str">
        <f aca="false">IF($B138="","",IFERROR(INDEX(ST_STRAIT,MATCH($B138,ST_ID,0)),""))</f>
        <v/>
      </c>
      <c r="N138" s="26" t="str">
        <f aca="false">IF($B138="","",IF($E138="",$L138,$E138))</f>
        <v/>
      </c>
      <c r="O138" s="26" t="str">
        <f aca="false">IF($J138="","",IFERROR(INDEX(EMPL_CLASSE,MATCH($J138,EMPL_KEY,0)),"?"))</f>
        <v/>
      </c>
      <c r="P138" s="28" t="n">
        <f aca="false">IF($B138="",0,IF(OR(ISNA(MATCH($B138,ST_ID,0)),NOT(ISNUMBER($F138)),$F138&lt;=0,$J138="",$N138=""),0,1))</f>
        <v>0</v>
      </c>
      <c r="Q138" s="27" t="n">
        <f aca="false">IF($P138=0,0,$F138)</f>
        <v>0</v>
      </c>
      <c r="R138" s="26" t="str">
        <f aca="false">IF($B138="","",IFERROR(INDEX(ST_STATUT,MATCH($B138,ST_ID,0)),""))</f>
        <v/>
      </c>
      <c r="S138" s="26" t="str">
        <f aca="false">IF($B138="","",IF($P138=0,"DONNEES MANQUANTES",IF(OR($R138="DONNEES MANQUANTES",$R138="STOCK INSUFFISANT",$R138="EMPLACEMENT INCOHERENT",$R138="BLOQUE"),"BLOQUE","OK")))</f>
        <v/>
      </c>
      <c r="T138" s="28" t="n">
        <f aca="false">IF($S138="OK",1,0)</f>
        <v>0</v>
      </c>
      <c r="U138" s="26" t="str">
        <f aca="false">IF($B138="","",IF($P138=0,"A COMPLETER : "&amp;IF(ISNA(MATCH($B138,ST_ID,0)),"ID ST valide; ","")&amp;IF(OR(NOT(ISNUMBER($F138)),$F138&lt;=0),"QUANTITE &gt; 0; ","")&amp;IF($J138="","EMPL. DESTINATION; ",""),IF($S138="BLOQUE","Envoi parent en anomalie ("&amp;$R138&amp;") : corriger l'onglet SOUS_TRAITANCE.",IF(AND($E138&lt;&gt;"",ISNA(MATCH($E138,LOT_KEY,0))),"Creer la fiche du lot resultat dans l'onglet LOTS.",""))))</f>
        <v/>
      </c>
      <c r="V138" s="31" t="str">
        <f aca="false">IF($B138="","",IF($C138&lt;&gt;"",$C138,IFERROR(INDEX(ST_DATERET,MATCH($B138,ST_ID,0)),"")))</f>
        <v/>
      </c>
      <c r="W138" s="26" t="str">
        <f aca="false">IF($P138=0,"",IF($L138=R_LOT,IF($N138&lt;&gt;R_LOT,$N138,""),IF($N138=R_LOT,$L138,"")))</f>
        <v/>
      </c>
      <c r="X138" s="26" t="str">
        <f aca="false">IF($W138="","",IF(COUNTIF($W$4:$W137,$W138)&gt;0,"",COUNT($X$4:$X137)+1))</f>
        <v/>
      </c>
      <c r="Y138" s="26" t="n">
        <f aca="false">IF($P138=0,0,IF(OR($L138=R_LOT,$N138=R_LOT),1,0))</f>
        <v>0</v>
      </c>
      <c r="Z138" s="26" t="str">
        <f aca="false">IF($Y138=0,"",COUNTIF($Y$5:$Y138,1))</f>
        <v/>
      </c>
    </row>
    <row r="139" customFormat="false" ht="15" hidden="false" customHeight="false" outlineLevel="0" collapsed="false">
      <c r="A139" s="26" t="str">
        <f aca="false">IF($B139="","","RES-"&amp;TEXT(ROW()-4,"000"))</f>
        <v/>
      </c>
      <c r="B139" s="24"/>
      <c r="C139" s="25"/>
      <c r="D139" s="24"/>
      <c r="E139" s="24"/>
      <c r="F139" s="29"/>
      <c r="G139" s="24"/>
      <c r="H139" s="24"/>
      <c r="I139" s="24"/>
      <c r="J139" s="24"/>
      <c r="K139" s="24"/>
      <c r="L139" s="26" t="str">
        <f aca="false">IF($B139="","",IFERROR(INDEX(ST_LOT,MATCH($B139,ST_ID,0)),""))</f>
        <v/>
      </c>
      <c r="M139" s="26" t="str">
        <f aca="false">IF($B139="","",IFERROR(INDEX(ST_STRAIT,MATCH($B139,ST_ID,0)),""))</f>
        <v/>
      </c>
      <c r="N139" s="26" t="str">
        <f aca="false">IF($B139="","",IF($E139="",$L139,$E139))</f>
        <v/>
      </c>
      <c r="O139" s="26" t="str">
        <f aca="false">IF($J139="","",IFERROR(INDEX(EMPL_CLASSE,MATCH($J139,EMPL_KEY,0)),"?"))</f>
        <v/>
      </c>
      <c r="P139" s="28" t="n">
        <f aca="false">IF($B139="",0,IF(OR(ISNA(MATCH($B139,ST_ID,0)),NOT(ISNUMBER($F139)),$F139&lt;=0,$J139="",$N139=""),0,1))</f>
        <v>0</v>
      </c>
      <c r="Q139" s="27" t="n">
        <f aca="false">IF($P139=0,0,$F139)</f>
        <v>0</v>
      </c>
      <c r="R139" s="26" t="str">
        <f aca="false">IF($B139="","",IFERROR(INDEX(ST_STATUT,MATCH($B139,ST_ID,0)),""))</f>
        <v/>
      </c>
      <c r="S139" s="26" t="str">
        <f aca="false">IF($B139="","",IF($P139=0,"DONNEES MANQUANTES",IF(OR($R139="DONNEES MANQUANTES",$R139="STOCK INSUFFISANT",$R139="EMPLACEMENT INCOHERENT",$R139="BLOQUE"),"BLOQUE","OK")))</f>
        <v/>
      </c>
      <c r="T139" s="28" t="n">
        <f aca="false">IF($S139="OK",1,0)</f>
        <v>0</v>
      </c>
      <c r="U139" s="26" t="str">
        <f aca="false">IF($B139="","",IF($P139=0,"A COMPLETER : "&amp;IF(ISNA(MATCH($B139,ST_ID,0)),"ID ST valide; ","")&amp;IF(OR(NOT(ISNUMBER($F139)),$F139&lt;=0),"QUANTITE &gt; 0; ","")&amp;IF($J139="","EMPL. DESTINATION; ",""),IF($S139="BLOQUE","Envoi parent en anomalie ("&amp;$R139&amp;") : corriger l'onglet SOUS_TRAITANCE.",IF(AND($E139&lt;&gt;"",ISNA(MATCH($E139,LOT_KEY,0))),"Creer la fiche du lot resultat dans l'onglet LOTS.",""))))</f>
        <v/>
      </c>
      <c r="V139" s="31" t="str">
        <f aca="false">IF($B139="","",IF($C139&lt;&gt;"",$C139,IFERROR(INDEX(ST_DATERET,MATCH($B139,ST_ID,0)),"")))</f>
        <v/>
      </c>
      <c r="W139" s="26" t="str">
        <f aca="false">IF($P139=0,"",IF($L139=R_LOT,IF($N139&lt;&gt;R_LOT,$N139,""),IF($N139=R_LOT,$L139,"")))</f>
        <v/>
      </c>
      <c r="X139" s="26" t="str">
        <f aca="false">IF($W139="","",IF(COUNTIF($W$4:$W138,$W139)&gt;0,"",COUNT($X$4:$X138)+1))</f>
        <v/>
      </c>
      <c r="Y139" s="26" t="n">
        <f aca="false">IF($P139=0,0,IF(OR($L139=R_LOT,$N139=R_LOT),1,0))</f>
        <v>0</v>
      </c>
      <c r="Z139" s="26" t="str">
        <f aca="false">IF($Y139=0,"",COUNTIF($Y$5:$Y139,1))</f>
        <v/>
      </c>
    </row>
    <row r="140" customFormat="false" ht="15" hidden="false" customHeight="false" outlineLevel="0" collapsed="false">
      <c r="A140" s="26" t="str">
        <f aca="false">IF($B140="","","RES-"&amp;TEXT(ROW()-4,"000"))</f>
        <v/>
      </c>
      <c r="B140" s="24"/>
      <c r="C140" s="25"/>
      <c r="D140" s="24"/>
      <c r="E140" s="24"/>
      <c r="F140" s="29"/>
      <c r="G140" s="24"/>
      <c r="H140" s="24"/>
      <c r="I140" s="24"/>
      <c r="J140" s="24"/>
      <c r="K140" s="24"/>
      <c r="L140" s="26" t="str">
        <f aca="false">IF($B140="","",IFERROR(INDEX(ST_LOT,MATCH($B140,ST_ID,0)),""))</f>
        <v/>
      </c>
      <c r="M140" s="26" t="str">
        <f aca="false">IF($B140="","",IFERROR(INDEX(ST_STRAIT,MATCH($B140,ST_ID,0)),""))</f>
        <v/>
      </c>
      <c r="N140" s="26" t="str">
        <f aca="false">IF($B140="","",IF($E140="",$L140,$E140))</f>
        <v/>
      </c>
      <c r="O140" s="26" t="str">
        <f aca="false">IF($J140="","",IFERROR(INDEX(EMPL_CLASSE,MATCH($J140,EMPL_KEY,0)),"?"))</f>
        <v/>
      </c>
      <c r="P140" s="28" t="n">
        <f aca="false">IF($B140="",0,IF(OR(ISNA(MATCH($B140,ST_ID,0)),NOT(ISNUMBER($F140)),$F140&lt;=0,$J140="",$N140=""),0,1))</f>
        <v>0</v>
      </c>
      <c r="Q140" s="27" t="n">
        <f aca="false">IF($P140=0,0,$F140)</f>
        <v>0</v>
      </c>
      <c r="R140" s="26" t="str">
        <f aca="false">IF($B140="","",IFERROR(INDEX(ST_STATUT,MATCH($B140,ST_ID,0)),""))</f>
        <v/>
      </c>
      <c r="S140" s="26" t="str">
        <f aca="false">IF($B140="","",IF($P140=0,"DONNEES MANQUANTES",IF(OR($R140="DONNEES MANQUANTES",$R140="STOCK INSUFFISANT",$R140="EMPLACEMENT INCOHERENT",$R140="BLOQUE"),"BLOQUE","OK")))</f>
        <v/>
      </c>
      <c r="T140" s="28" t="n">
        <f aca="false">IF($S140="OK",1,0)</f>
        <v>0</v>
      </c>
      <c r="U140" s="26" t="str">
        <f aca="false">IF($B140="","",IF($P140=0,"A COMPLETER : "&amp;IF(ISNA(MATCH($B140,ST_ID,0)),"ID ST valide; ","")&amp;IF(OR(NOT(ISNUMBER($F140)),$F140&lt;=0),"QUANTITE &gt; 0; ","")&amp;IF($J140="","EMPL. DESTINATION; ",""),IF($S140="BLOQUE","Envoi parent en anomalie ("&amp;$R140&amp;") : corriger l'onglet SOUS_TRAITANCE.",IF(AND($E140&lt;&gt;"",ISNA(MATCH($E140,LOT_KEY,0))),"Creer la fiche du lot resultat dans l'onglet LOTS.",""))))</f>
        <v/>
      </c>
      <c r="V140" s="31" t="str">
        <f aca="false">IF($B140="","",IF($C140&lt;&gt;"",$C140,IFERROR(INDEX(ST_DATERET,MATCH($B140,ST_ID,0)),"")))</f>
        <v/>
      </c>
      <c r="W140" s="26" t="str">
        <f aca="false">IF($P140=0,"",IF($L140=R_LOT,IF($N140&lt;&gt;R_LOT,$N140,""),IF($N140=R_LOT,$L140,"")))</f>
        <v/>
      </c>
      <c r="X140" s="26" t="str">
        <f aca="false">IF($W140="","",IF(COUNTIF($W$4:$W139,$W140)&gt;0,"",COUNT($X$4:$X139)+1))</f>
        <v/>
      </c>
      <c r="Y140" s="26" t="n">
        <f aca="false">IF($P140=0,0,IF(OR($L140=R_LOT,$N140=R_LOT),1,0))</f>
        <v>0</v>
      </c>
      <c r="Z140" s="26" t="str">
        <f aca="false">IF($Y140=0,"",COUNTIF($Y$5:$Y140,1))</f>
        <v/>
      </c>
    </row>
    <row r="141" customFormat="false" ht="15" hidden="false" customHeight="false" outlineLevel="0" collapsed="false">
      <c r="A141" s="26" t="str">
        <f aca="false">IF($B141="","","RES-"&amp;TEXT(ROW()-4,"000"))</f>
        <v/>
      </c>
      <c r="B141" s="24"/>
      <c r="C141" s="25"/>
      <c r="D141" s="24"/>
      <c r="E141" s="24"/>
      <c r="F141" s="29"/>
      <c r="G141" s="24"/>
      <c r="H141" s="24"/>
      <c r="I141" s="24"/>
      <c r="J141" s="24"/>
      <c r="K141" s="24"/>
      <c r="L141" s="26" t="str">
        <f aca="false">IF($B141="","",IFERROR(INDEX(ST_LOT,MATCH($B141,ST_ID,0)),""))</f>
        <v/>
      </c>
      <c r="M141" s="26" t="str">
        <f aca="false">IF($B141="","",IFERROR(INDEX(ST_STRAIT,MATCH($B141,ST_ID,0)),""))</f>
        <v/>
      </c>
      <c r="N141" s="26" t="str">
        <f aca="false">IF($B141="","",IF($E141="",$L141,$E141))</f>
        <v/>
      </c>
      <c r="O141" s="26" t="str">
        <f aca="false">IF($J141="","",IFERROR(INDEX(EMPL_CLASSE,MATCH($J141,EMPL_KEY,0)),"?"))</f>
        <v/>
      </c>
      <c r="P141" s="28" t="n">
        <f aca="false">IF($B141="",0,IF(OR(ISNA(MATCH($B141,ST_ID,0)),NOT(ISNUMBER($F141)),$F141&lt;=0,$J141="",$N141=""),0,1))</f>
        <v>0</v>
      </c>
      <c r="Q141" s="27" t="n">
        <f aca="false">IF($P141=0,0,$F141)</f>
        <v>0</v>
      </c>
      <c r="R141" s="26" t="str">
        <f aca="false">IF($B141="","",IFERROR(INDEX(ST_STATUT,MATCH($B141,ST_ID,0)),""))</f>
        <v/>
      </c>
      <c r="S141" s="26" t="str">
        <f aca="false">IF($B141="","",IF($P141=0,"DONNEES MANQUANTES",IF(OR($R141="DONNEES MANQUANTES",$R141="STOCK INSUFFISANT",$R141="EMPLACEMENT INCOHERENT",$R141="BLOQUE"),"BLOQUE","OK")))</f>
        <v/>
      </c>
      <c r="T141" s="28" t="n">
        <f aca="false">IF($S141="OK",1,0)</f>
        <v>0</v>
      </c>
      <c r="U141" s="26" t="str">
        <f aca="false">IF($B141="","",IF($P141=0,"A COMPLETER : "&amp;IF(ISNA(MATCH($B141,ST_ID,0)),"ID ST valide; ","")&amp;IF(OR(NOT(ISNUMBER($F141)),$F141&lt;=0),"QUANTITE &gt; 0; ","")&amp;IF($J141="","EMPL. DESTINATION; ",""),IF($S141="BLOQUE","Envoi parent en anomalie ("&amp;$R141&amp;") : corriger l'onglet SOUS_TRAITANCE.",IF(AND($E141&lt;&gt;"",ISNA(MATCH($E141,LOT_KEY,0))),"Creer la fiche du lot resultat dans l'onglet LOTS.",""))))</f>
        <v/>
      </c>
      <c r="V141" s="31" t="str">
        <f aca="false">IF($B141="","",IF($C141&lt;&gt;"",$C141,IFERROR(INDEX(ST_DATERET,MATCH($B141,ST_ID,0)),"")))</f>
        <v/>
      </c>
      <c r="W141" s="26" t="str">
        <f aca="false">IF($P141=0,"",IF($L141=R_LOT,IF($N141&lt;&gt;R_LOT,$N141,""),IF($N141=R_LOT,$L141,"")))</f>
        <v/>
      </c>
      <c r="X141" s="26" t="str">
        <f aca="false">IF($W141="","",IF(COUNTIF($W$4:$W140,$W141)&gt;0,"",COUNT($X$4:$X140)+1))</f>
        <v/>
      </c>
      <c r="Y141" s="26" t="n">
        <f aca="false">IF($P141=0,0,IF(OR($L141=R_LOT,$N141=R_LOT),1,0))</f>
        <v>0</v>
      </c>
      <c r="Z141" s="26" t="str">
        <f aca="false">IF($Y141=0,"",COUNTIF($Y$5:$Y141,1))</f>
        <v/>
      </c>
    </row>
    <row r="142" customFormat="false" ht="15" hidden="false" customHeight="false" outlineLevel="0" collapsed="false">
      <c r="A142" s="26" t="str">
        <f aca="false">IF($B142="","","RES-"&amp;TEXT(ROW()-4,"000"))</f>
        <v/>
      </c>
      <c r="B142" s="24"/>
      <c r="C142" s="25"/>
      <c r="D142" s="24"/>
      <c r="E142" s="24"/>
      <c r="F142" s="29"/>
      <c r="G142" s="24"/>
      <c r="H142" s="24"/>
      <c r="I142" s="24"/>
      <c r="J142" s="24"/>
      <c r="K142" s="24"/>
      <c r="L142" s="26" t="str">
        <f aca="false">IF($B142="","",IFERROR(INDEX(ST_LOT,MATCH($B142,ST_ID,0)),""))</f>
        <v/>
      </c>
      <c r="M142" s="26" t="str">
        <f aca="false">IF($B142="","",IFERROR(INDEX(ST_STRAIT,MATCH($B142,ST_ID,0)),""))</f>
        <v/>
      </c>
      <c r="N142" s="26" t="str">
        <f aca="false">IF($B142="","",IF($E142="",$L142,$E142))</f>
        <v/>
      </c>
      <c r="O142" s="26" t="str">
        <f aca="false">IF($J142="","",IFERROR(INDEX(EMPL_CLASSE,MATCH($J142,EMPL_KEY,0)),"?"))</f>
        <v/>
      </c>
      <c r="P142" s="28" t="n">
        <f aca="false">IF($B142="",0,IF(OR(ISNA(MATCH($B142,ST_ID,0)),NOT(ISNUMBER($F142)),$F142&lt;=0,$J142="",$N142=""),0,1))</f>
        <v>0</v>
      </c>
      <c r="Q142" s="27" t="n">
        <f aca="false">IF($P142=0,0,$F142)</f>
        <v>0</v>
      </c>
      <c r="R142" s="26" t="str">
        <f aca="false">IF($B142="","",IFERROR(INDEX(ST_STATUT,MATCH($B142,ST_ID,0)),""))</f>
        <v/>
      </c>
      <c r="S142" s="26" t="str">
        <f aca="false">IF($B142="","",IF($P142=0,"DONNEES MANQUANTES",IF(OR($R142="DONNEES MANQUANTES",$R142="STOCK INSUFFISANT",$R142="EMPLACEMENT INCOHERENT",$R142="BLOQUE"),"BLOQUE","OK")))</f>
        <v/>
      </c>
      <c r="T142" s="28" t="n">
        <f aca="false">IF($S142="OK",1,0)</f>
        <v>0</v>
      </c>
      <c r="U142" s="26" t="str">
        <f aca="false">IF($B142="","",IF($P142=0,"A COMPLETER : "&amp;IF(ISNA(MATCH($B142,ST_ID,0)),"ID ST valide; ","")&amp;IF(OR(NOT(ISNUMBER($F142)),$F142&lt;=0),"QUANTITE &gt; 0; ","")&amp;IF($J142="","EMPL. DESTINATION; ",""),IF($S142="BLOQUE","Envoi parent en anomalie ("&amp;$R142&amp;") : corriger l'onglet SOUS_TRAITANCE.",IF(AND($E142&lt;&gt;"",ISNA(MATCH($E142,LOT_KEY,0))),"Creer la fiche du lot resultat dans l'onglet LOTS.",""))))</f>
        <v/>
      </c>
      <c r="V142" s="31" t="str">
        <f aca="false">IF($B142="","",IF($C142&lt;&gt;"",$C142,IFERROR(INDEX(ST_DATERET,MATCH($B142,ST_ID,0)),"")))</f>
        <v/>
      </c>
      <c r="W142" s="26" t="str">
        <f aca="false">IF($P142=0,"",IF($L142=R_LOT,IF($N142&lt;&gt;R_LOT,$N142,""),IF($N142=R_LOT,$L142,"")))</f>
        <v/>
      </c>
      <c r="X142" s="26" t="str">
        <f aca="false">IF($W142="","",IF(COUNTIF($W$4:$W141,$W142)&gt;0,"",COUNT($X$4:$X141)+1))</f>
        <v/>
      </c>
      <c r="Y142" s="26" t="n">
        <f aca="false">IF($P142=0,0,IF(OR($L142=R_LOT,$N142=R_LOT),1,0))</f>
        <v>0</v>
      </c>
      <c r="Z142" s="26" t="str">
        <f aca="false">IF($Y142=0,"",COUNTIF($Y$5:$Y142,1))</f>
        <v/>
      </c>
    </row>
    <row r="143" customFormat="false" ht="15" hidden="false" customHeight="false" outlineLevel="0" collapsed="false">
      <c r="A143" s="26" t="str">
        <f aca="false">IF($B143="","","RES-"&amp;TEXT(ROW()-4,"000"))</f>
        <v/>
      </c>
      <c r="B143" s="24"/>
      <c r="C143" s="25"/>
      <c r="D143" s="24"/>
      <c r="E143" s="24"/>
      <c r="F143" s="29"/>
      <c r="G143" s="24"/>
      <c r="H143" s="24"/>
      <c r="I143" s="24"/>
      <c r="J143" s="24"/>
      <c r="K143" s="24"/>
      <c r="L143" s="26" t="str">
        <f aca="false">IF($B143="","",IFERROR(INDEX(ST_LOT,MATCH($B143,ST_ID,0)),""))</f>
        <v/>
      </c>
      <c r="M143" s="26" t="str">
        <f aca="false">IF($B143="","",IFERROR(INDEX(ST_STRAIT,MATCH($B143,ST_ID,0)),""))</f>
        <v/>
      </c>
      <c r="N143" s="26" t="str">
        <f aca="false">IF($B143="","",IF($E143="",$L143,$E143))</f>
        <v/>
      </c>
      <c r="O143" s="26" t="str">
        <f aca="false">IF($J143="","",IFERROR(INDEX(EMPL_CLASSE,MATCH($J143,EMPL_KEY,0)),"?"))</f>
        <v/>
      </c>
      <c r="P143" s="28" t="n">
        <f aca="false">IF($B143="",0,IF(OR(ISNA(MATCH($B143,ST_ID,0)),NOT(ISNUMBER($F143)),$F143&lt;=0,$J143="",$N143=""),0,1))</f>
        <v>0</v>
      </c>
      <c r="Q143" s="27" t="n">
        <f aca="false">IF($P143=0,0,$F143)</f>
        <v>0</v>
      </c>
      <c r="R143" s="26" t="str">
        <f aca="false">IF($B143="","",IFERROR(INDEX(ST_STATUT,MATCH($B143,ST_ID,0)),""))</f>
        <v/>
      </c>
      <c r="S143" s="26" t="str">
        <f aca="false">IF($B143="","",IF($P143=0,"DONNEES MANQUANTES",IF(OR($R143="DONNEES MANQUANTES",$R143="STOCK INSUFFISANT",$R143="EMPLACEMENT INCOHERENT",$R143="BLOQUE"),"BLOQUE","OK")))</f>
        <v/>
      </c>
      <c r="T143" s="28" t="n">
        <f aca="false">IF($S143="OK",1,0)</f>
        <v>0</v>
      </c>
      <c r="U143" s="26" t="str">
        <f aca="false">IF($B143="","",IF($P143=0,"A COMPLETER : "&amp;IF(ISNA(MATCH($B143,ST_ID,0)),"ID ST valide; ","")&amp;IF(OR(NOT(ISNUMBER($F143)),$F143&lt;=0),"QUANTITE &gt; 0; ","")&amp;IF($J143="","EMPL. DESTINATION; ",""),IF($S143="BLOQUE","Envoi parent en anomalie ("&amp;$R143&amp;") : corriger l'onglet SOUS_TRAITANCE.",IF(AND($E143&lt;&gt;"",ISNA(MATCH($E143,LOT_KEY,0))),"Creer la fiche du lot resultat dans l'onglet LOTS.",""))))</f>
        <v/>
      </c>
      <c r="V143" s="31" t="str">
        <f aca="false">IF($B143="","",IF($C143&lt;&gt;"",$C143,IFERROR(INDEX(ST_DATERET,MATCH($B143,ST_ID,0)),"")))</f>
        <v/>
      </c>
      <c r="W143" s="26" t="str">
        <f aca="false">IF($P143=0,"",IF($L143=R_LOT,IF($N143&lt;&gt;R_LOT,$N143,""),IF($N143=R_LOT,$L143,"")))</f>
        <v/>
      </c>
      <c r="X143" s="26" t="str">
        <f aca="false">IF($W143="","",IF(COUNTIF($W$4:$W142,$W143)&gt;0,"",COUNT($X$4:$X142)+1))</f>
        <v/>
      </c>
      <c r="Y143" s="26" t="n">
        <f aca="false">IF($P143=0,0,IF(OR($L143=R_LOT,$N143=R_LOT),1,0))</f>
        <v>0</v>
      </c>
      <c r="Z143" s="26" t="str">
        <f aca="false">IF($Y143=0,"",COUNTIF($Y$5:$Y143,1))</f>
        <v/>
      </c>
    </row>
    <row r="144" customFormat="false" ht="15" hidden="false" customHeight="false" outlineLevel="0" collapsed="false">
      <c r="A144" s="26" t="str">
        <f aca="false">IF($B144="","","RES-"&amp;TEXT(ROW()-4,"000"))</f>
        <v/>
      </c>
      <c r="B144" s="24"/>
      <c r="C144" s="25"/>
      <c r="D144" s="24"/>
      <c r="E144" s="24"/>
      <c r="F144" s="29"/>
      <c r="G144" s="24"/>
      <c r="H144" s="24"/>
      <c r="I144" s="24"/>
      <c r="J144" s="24"/>
      <c r="K144" s="24"/>
      <c r="L144" s="26" t="str">
        <f aca="false">IF($B144="","",IFERROR(INDEX(ST_LOT,MATCH($B144,ST_ID,0)),""))</f>
        <v/>
      </c>
      <c r="M144" s="26" t="str">
        <f aca="false">IF($B144="","",IFERROR(INDEX(ST_STRAIT,MATCH($B144,ST_ID,0)),""))</f>
        <v/>
      </c>
      <c r="N144" s="26" t="str">
        <f aca="false">IF($B144="","",IF($E144="",$L144,$E144))</f>
        <v/>
      </c>
      <c r="O144" s="26" t="str">
        <f aca="false">IF($J144="","",IFERROR(INDEX(EMPL_CLASSE,MATCH($J144,EMPL_KEY,0)),"?"))</f>
        <v/>
      </c>
      <c r="P144" s="28" t="n">
        <f aca="false">IF($B144="",0,IF(OR(ISNA(MATCH($B144,ST_ID,0)),NOT(ISNUMBER($F144)),$F144&lt;=0,$J144="",$N144=""),0,1))</f>
        <v>0</v>
      </c>
      <c r="Q144" s="27" t="n">
        <f aca="false">IF($P144=0,0,$F144)</f>
        <v>0</v>
      </c>
      <c r="R144" s="26" t="str">
        <f aca="false">IF($B144="","",IFERROR(INDEX(ST_STATUT,MATCH($B144,ST_ID,0)),""))</f>
        <v/>
      </c>
      <c r="S144" s="26" t="str">
        <f aca="false">IF($B144="","",IF($P144=0,"DONNEES MANQUANTES",IF(OR($R144="DONNEES MANQUANTES",$R144="STOCK INSUFFISANT",$R144="EMPLACEMENT INCOHERENT",$R144="BLOQUE"),"BLOQUE","OK")))</f>
        <v/>
      </c>
      <c r="T144" s="28" t="n">
        <f aca="false">IF($S144="OK",1,0)</f>
        <v>0</v>
      </c>
      <c r="U144" s="26" t="str">
        <f aca="false">IF($B144="","",IF($P144=0,"A COMPLETER : "&amp;IF(ISNA(MATCH($B144,ST_ID,0)),"ID ST valide; ","")&amp;IF(OR(NOT(ISNUMBER($F144)),$F144&lt;=0),"QUANTITE &gt; 0; ","")&amp;IF($J144="","EMPL. DESTINATION; ",""),IF($S144="BLOQUE","Envoi parent en anomalie ("&amp;$R144&amp;") : corriger l'onglet SOUS_TRAITANCE.",IF(AND($E144&lt;&gt;"",ISNA(MATCH($E144,LOT_KEY,0))),"Creer la fiche du lot resultat dans l'onglet LOTS.",""))))</f>
        <v/>
      </c>
      <c r="V144" s="31" t="str">
        <f aca="false">IF($B144="","",IF($C144&lt;&gt;"",$C144,IFERROR(INDEX(ST_DATERET,MATCH($B144,ST_ID,0)),"")))</f>
        <v/>
      </c>
      <c r="W144" s="26" t="str">
        <f aca="false">IF($P144=0,"",IF($L144=R_LOT,IF($N144&lt;&gt;R_LOT,$N144,""),IF($N144=R_LOT,$L144,"")))</f>
        <v/>
      </c>
      <c r="X144" s="26" t="str">
        <f aca="false">IF($W144="","",IF(COUNTIF($W$4:$W143,$W144)&gt;0,"",COUNT($X$4:$X143)+1))</f>
        <v/>
      </c>
      <c r="Y144" s="26" t="n">
        <f aca="false">IF($P144=0,0,IF(OR($L144=R_LOT,$N144=R_LOT),1,0))</f>
        <v>0</v>
      </c>
      <c r="Z144" s="26" t="str">
        <f aca="false">IF($Y144=0,"",COUNTIF($Y$5:$Y144,1))</f>
        <v/>
      </c>
    </row>
    <row r="145" customFormat="false" ht="15" hidden="false" customHeight="false" outlineLevel="0" collapsed="false">
      <c r="A145" s="26" t="str">
        <f aca="false">IF($B145="","","RES-"&amp;TEXT(ROW()-4,"000"))</f>
        <v/>
      </c>
      <c r="B145" s="24"/>
      <c r="C145" s="25"/>
      <c r="D145" s="24"/>
      <c r="E145" s="24"/>
      <c r="F145" s="29"/>
      <c r="G145" s="24"/>
      <c r="H145" s="24"/>
      <c r="I145" s="24"/>
      <c r="J145" s="24"/>
      <c r="K145" s="24"/>
      <c r="L145" s="26" t="str">
        <f aca="false">IF($B145="","",IFERROR(INDEX(ST_LOT,MATCH($B145,ST_ID,0)),""))</f>
        <v/>
      </c>
      <c r="M145" s="26" t="str">
        <f aca="false">IF($B145="","",IFERROR(INDEX(ST_STRAIT,MATCH($B145,ST_ID,0)),""))</f>
        <v/>
      </c>
      <c r="N145" s="26" t="str">
        <f aca="false">IF($B145="","",IF($E145="",$L145,$E145))</f>
        <v/>
      </c>
      <c r="O145" s="26" t="str">
        <f aca="false">IF($J145="","",IFERROR(INDEX(EMPL_CLASSE,MATCH($J145,EMPL_KEY,0)),"?"))</f>
        <v/>
      </c>
      <c r="P145" s="28" t="n">
        <f aca="false">IF($B145="",0,IF(OR(ISNA(MATCH($B145,ST_ID,0)),NOT(ISNUMBER($F145)),$F145&lt;=0,$J145="",$N145=""),0,1))</f>
        <v>0</v>
      </c>
      <c r="Q145" s="27" t="n">
        <f aca="false">IF($P145=0,0,$F145)</f>
        <v>0</v>
      </c>
      <c r="R145" s="26" t="str">
        <f aca="false">IF($B145="","",IFERROR(INDEX(ST_STATUT,MATCH($B145,ST_ID,0)),""))</f>
        <v/>
      </c>
      <c r="S145" s="26" t="str">
        <f aca="false">IF($B145="","",IF($P145=0,"DONNEES MANQUANTES",IF(OR($R145="DONNEES MANQUANTES",$R145="STOCK INSUFFISANT",$R145="EMPLACEMENT INCOHERENT",$R145="BLOQUE"),"BLOQUE","OK")))</f>
        <v/>
      </c>
      <c r="T145" s="28" t="n">
        <f aca="false">IF($S145="OK",1,0)</f>
        <v>0</v>
      </c>
      <c r="U145" s="26" t="str">
        <f aca="false">IF($B145="","",IF($P145=0,"A COMPLETER : "&amp;IF(ISNA(MATCH($B145,ST_ID,0)),"ID ST valide; ","")&amp;IF(OR(NOT(ISNUMBER($F145)),$F145&lt;=0),"QUANTITE &gt; 0; ","")&amp;IF($J145="","EMPL. DESTINATION; ",""),IF($S145="BLOQUE","Envoi parent en anomalie ("&amp;$R145&amp;") : corriger l'onglet SOUS_TRAITANCE.",IF(AND($E145&lt;&gt;"",ISNA(MATCH($E145,LOT_KEY,0))),"Creer la fiche du lot resultat dans l'onglet LOTS.",""))))</f>
        <v/>
      </c>
      <c r="V145" s="31" t="str">
        <f aca="false">IF($B145="","",IF($C145&lt;&gt;"",$C145,IFERROR(INDEX(ST_DATERET,MATCH($B145,ST_ID,0)),"")))</f>
        <v/>
      </c>
      <c r="W145" s="26" t="str">
        <f aca="false">IF($P145=0,"",IF($L145=R_LOT,IF($N145&lt;&gt;R_LOT,$N145,""),IF($N145=R_LOT,$L145,"")))</f>
        <v/>
      </c>
      <c r="X145" s="26" t="str">
        <f aca="false">IF($W145="","",IF(COUNTIF($W$4:$W144,$W145)&gt;0,"",COUNT($X$4:$X144)+1))</f>
        <v/>
      </c>
      <c r="Y145" s="26" t="n">
        <f aca="false">IF($P145=0,0,IF(OR($L145=R_LOT,$N145=R_LOT),1,0))</f>
        <v>0</v>
      </c>
      <c r="Z145" s="26" t="str">
        <f aca="false">IF($Y145=0,"",COUNTIF($Y$5:$Y145,1))</f>
        <v/>
      </c>
    </row>
    <row r="146" customFormat="false" ht="15" hidden="false" customHeight="false" outlineLevel="0" collapsed="false">
      <c r="A146" s="26" t="str">
        <f aca="false">IF($B146="","","RES-"&amp;TEXT(ROW()-4,"000"))</f>
        <v/>
      </c>
      <c r="B146" s="24"/>
      <c r="C146" s="25"/>
      <c r="D146" s="24"/>
      <c r="E146" s="24"/>
      <c r="F146" s="29"/>
      <c r="G146" s="24"/>
      <c r="H146" s="24"/>
      <c r="I146" s="24"/>
      <c r="J146" s="24"/>
      <c r="K146" s="24"/>
      <c r="L146" s="26" t="str">
        <f aca="false">IF($B146="","",IFERROR(INDEX(ST_LOT,MATCH($B146,ST_ID,0)),""))</f>
        <v/>
      </c>
      <c r="M146" s="26" t="str">
        <f aca="false">IF($B146="","",IFERROR(INDEX(ST_STRAIT,MATCH($B146,ST_ID,0)),""))</f>
        <v/>
      </c>
      <c r="N146" s="26" t="str">
        <f aca="false">IF($B146="","",IF($E146="",$L146,$E146))</f>
        <v/>
      </c>
      <c r="O146" s="26" t="str">
        <f aca="false">IF($J146="","",IFERROR(INDEX(EMPL_CLASSE,MATCH($J146,EMPL_KEY,0)),"?"))</f>
        <v/>
      </c>
      <c r="P146" s="28" t="n">
        <f aca="false">IF($B146="",0,IF(OR(ISNA(MATCH($B146,ST_ID,0)),NOT(ISNUMBER($F146)),$F146&lt;=0,$J146="",$N146=""),0,1))</f>
        <v>0</v>
      </c>
      <c r="Q146" s="27" t="n">
        <f aca="false">IF($P146=0,0,$F146)</f>
        <v>0</v>
      </c>
      <c r="R146" s="26" t="str">
        <f aca="false">IF($B146="","",IFERROR(INDEX(ST_STATUT,MATCH($B146,ST_ID,0)),""))</f>
        <v/>
      </c>
      <c r="S146" s="26" t="str">
        <f aca="false">IF($B146="","",IF($P146=0,"DONNEES MANQUANTES",IF(OR($R146="DONNEES MANQUANTES",$R146="STOCK INSUFFISANT",$R146="EMPLACEMENT INCOHERENT",$R146="BLOQUE"),"BLOQUE","OK")))</f>
        <v/>
      </c>
      <c r="T146" s="28" t="n">
        <f aca="false">IF($S146="OK",1,0)</f>
        <v>0</v>
      </c>
      <c r="U146" s="26" t="str">
        <f aca="false">IF($B146="","",IF($P146=0,"A COMPLETER : "&amp;IF(ISNA(MATCH($B146,ST_ID,0)),"ID ST valide; ","")&amp;IF(OR(NOT(ISNUMBER($F146)),$F146&lt;=0),"QUANTITE &gt; 0; ","")&amp;IF($J146="","EMPL. DESTINATION; ",""),IF($S146="BLOQUE","Envoi parent en anomalie ("&amp;$R146&amp;") : corriger l'onglet SOUS_TRAITANCE.",IF(AND($E146&lt;&gt;"",ISNA(MATCH($E146,LOT_KEY,0))),"Creer la fiche du lot resultat dans l'onglet LOTS.",""))))</f>
        <v/>
      </c>
      <c r="V146" s="31" t="str">
        <f aca="false">IF($B146="","",IF($C146&lt;&gt;"",$C146,IFERROR(INDEX(ST_DATERET,MATCH($B146,ST_ID,0)),"")))</f>
        <v/>
      </c>
      <c r="W146" s="26" t="str">
        <f aca="false">IF($P146=0,"",IF($L146=R_LOT,IF($N146&lt;&gt;R_LOT,$N146,""),IF($N146=R_LOT,$L146,"")))</f>
        <v/>
      </c>
      <c r="X146" s="26" t="str">
        <f aca="false">IF($W146="","",IF(COUNTIF($W$4:$W145,$W146)&gt;0,"",COUNT($X$4:$X145)+1))</f>
        <v/>
      </c>
      <c r="Y146" s="26" t="n">
        <f aca="false">IF($P146=0,0,IF(OR($L146=R_LOT,$N146=R_LOT),1,0))</f>
        <v>0</v>
      </c>
      <c r="Z146" s="26" t="str">
        <f aca="false">IF($Y146=0,"",COUNTIF($Y$5:$Y146,1))</f>
        <v/>
      </c>
    </row>
    <row r="147" customFormat="false" ht="15" hidden="false" customHeight="false" outlineLevel="0" collapsed="false">
      <c r="A147" s="26" t="str">
        <f aca="false">IF($B147="","","RES-"&amp;TEXT(ROW()-4,"000"))</f>
        <v/>
      </c>
      <c r="B147" s="24"/>
      <c r="C147" s="25"/>
      <c r="D147" s="24"/>
      <c r="E147" s="24"/>
      <c r="F147" s="29"/>
      <c r="G147" s="24"/>
      <c r="H147" s="24"/>
      <c r="I147" s="24"/>
      <c r="J147" s="24"/>
      <c r="K147" s="24"/>
      <c r="L147" s="26" t="str">
        <f aca="false">IF($B147="","",IFERROR(INDEX(ST_LOT,MATCH($B147,ST_ID,0)),""))</f>
        <v/>
      </c>
      <c r="M147" s="26" t="str">
        <f aca="false">IF($B147="","",IFERROR(INDEX(ST_STRAIT,MATCH($B147,ST_ID,0)),""))</f>
        <v/>
      </c>
      <c r="N147" s="26" t="str">
        <f aca="false">IF($B147="","",IF($E147="",$L147,$E147))</f>
        <v/>
      </c>
      <c r="O147" s="26" t="str">
        <f aca="false">IF($J147="","",IFERROR(INDEX(EMPL_CLASSE,MATCH($J147,EMPL_KEY,0)),"?"))</f>
        <v/>
      </c>
      <c r="P147" s="28" t="n">
        <f aca="false">IF($B147="",0,IF(OR(ISNA(MATCH($B147,ST_ID,0)),NOT(ISNUMBER($F147)),$F147&lt;=0,$J147="",$N147=""),0,1))</f>
        <v>0</v>
      </c>
      <c r="Q147" s="27" t="n">
        <f aca="false">IF($P147=0,0,$F147)</f>
        <v>0</v>
      </c>
      <c r="R147" s="26" t="str">
        <f aca="false">IF($B147="","",IFERROR(INDEX(ST_STATUT,MATCH($B147,ST_ID,0)),""))</f>
        <v/>
      </c>
      <c r="S147" s="26" t="str">
        <f aca="false">IF($B147="","",IF($P147=0,"DONNEES MANQUANTES",IF(OR($R147="DONNEES MANQUANTES",$R147="STOCK INSUFFISANT",$R147="EMPLACEMENT INCOHERENT",$R147="BLOQUE"),"BLOQUE","OK")))</f>
        <v/>
      </c>
      <c r="T147" s="28" t="n">
        <f aca="false">IF($S147="OK",1,0)</f>
        <v>0</v>
      </c>
      <c r="U147" s="26" t="str">
        <f aca="false">IF($B147="","",IF($P147=0,"A COMPLETER : "&amp;IF(ISNA(MATCH($B147,ST_ID,0)),"ID ST valide; ","")&amp;IF(OR(NOT(ISNUMBER($F147)),$F147&lt;=0),"QUANTITE &gt; 0; ","")&amp;IF($J147="","EMPL. DESTINATION; ",""),IF($S147="BLOQUE","Envoi parent en anomalie ("&amp;$R147&amp;") : corriger l'onglet SOUS_TRAITANCE.",IF(AND($E147&lt;&gt;"",ISNA(MATCH($E147,LOT_KEY,0))),"Creer la fiche du lot resultat dans l'onglet LOTS.",""))))</f>
        <v/>
      </c>
      <c r="V147" s="31" t="str">
        <f aca="false">IF($B147="","",IF($C147&lt;&gt;"",$C147,IFERROR(INDEX(ST_DATERET,MATCH($B147,ST_ID,0)),"")))</f>
        <v/>
      </c>
      <c r="W147" s="26" t="str">
        <f aca="false">IF($P147=0,"",IF($L147=R_LOT,IF($N147&lt;&gt;R_LOT,$N147,""),IF($N147=R_LOT,$L147,"")))</f>
        <v/>
      </c>
      <c r="X147" s="26" t="str">
        <f aca="false">IF($W147="","",IF(COUNTIF($W$4:$W146,$W147)&gt;0,"",COUNT($X$4:$X146)+1))</f>
        <v/>
      </c>
      <c r="Y147" s="26" t="n">
        <f aca="false">IF($P147=0,0,IF(OR($L147=R_LOT,$N147=R_LOT),1,0))</f>
        <v>0</v>
      </c>
      <c r="Z147" s="26" t="str">
        <f aca="false">IF($Y147=0,"",COUNTIF($Y$5:$Y147,1))</f>
        <v/>
      </c>
    </row>
    <row r="148" customFormat="false" ht="15" hidden="false" customHeight="false" outlineLevel="0" collapsed="false">
      <c r="A148" s="26" t="str">
        <f aca="false">IF($B148="","","RES-"&amp;TEXT(ROW()-4,"000"))</f>
        <v/>
      </c>
      <c r="B148" s="24"/>
      <c r="C148" s="25"/>
      <c r="D148" s="24"/>
      <c r="E148" s="24"/>
      <c r="F148" s="29"/>
      <c r="G148" s="24"/>
      <c r="H148" s="24"/>
      <c r="I148" s="24"/>
      <c r="J148" s="24"/>
      <c r="K148" s="24"/>
      <c r="L148" s="26" t="str">
        <f aca="false">IF($B148="","",IFERROR(INDEX(ST_LOT,MATCH($B148,ST_ID,0)),""))</f>
        <v/>
      </c>
      <c r="M148" s="26" t="str">
        <f aca="false">IF($B148="","",IFERROR(INDEX(ST_STRAIT,MATCH($B148,ST_ID,0)),""))</f>
        <v/>
      </c>
      <c r="N148" s="26" t="str">
        <f aca="false">IF($B148="","",IF($E148="",$L148,$E148))</f>
        <v/>
      </c>
      <c r="O148" s="26" t="str">
        <f aca="false">IF($J148="","",IFERROR(INDEX(EMPL_CLASSE,MATCH($J148,EMPL_KEY,0)),"?"))</f>
        <v/>
      </c>
      <c r="P148" s="28" t="n">
        <f aca="false">IF($B148="",0,IF(OR(ISNA(MATCH($B148,ST_ID,0)),NOT(ISNUMBER($F148)),$F148&lt;=0,$J148="",$N148=""),0,1))</f>
        <v>0</v>
      </c>
      <c r="Q148" s="27" t="n">
        <f aca="false">IF($P148=0,0,$F148)</f>
        <v>0</v>
      </c>
      <c r="R148" s="26" t="str">
        <f aca="false">IF($B148="","",IFERROR(INDEX(ST_STATUT,MATCH($B148,ST_ID,0)),""))</f>
        <v/>
      </c>
      <c r="S148" s="26" t="str">
        <f aca="false">IF($B148="","",IF($P148=0,"DONNEES MANQUANTES",IF(OR($R148="DONNEES MANQUANTES",$R148="STOCK INSUFFISANT",$R148="EMPLACEMENT INCOHERENT",$R148="BLOQUE"),"BLOQUE","OK")))</f>
        <v/>
      </c>
      <c r="T148" s="28" t="n">
        <f aca="false">IF($S148="OK",1,0)</f>
        <v>0</v>
      </c>
      <c r="U148" s="26" t="str">
        <f aca="false">IF($B148="","",IF($P148=0,"A COMPLETER : "&amp;IF(ISNA(MATCH($B148,ST_ID,0)),"ID ST valide; ","")&amp;IF(OR(NOT(ISNUMBER($F148)),$F148&lt;=0),"QUANTITE &gt; 0; ","")&amp;IF($J148="","EMPL. DESTINATION; ",""),IF($S148="BLOQUE","Envoi parent en anomalie ("&amp;$R148&amp;") : corriger l'onglet SOUS_TRAITANCE.",IF(AND($E148&lt;&gt;"",ISNA(MATCH($E148,LOT_KEY,0))),"Creer la fiche du lot resultat dans l'onglet LOTS.",""))))</f>
        <v/>
      </c>
      <c r="V148" s="31" t="str">
        <f aca="false">IF($B148="","",IF($C148&lt;&gt;"",$C148,IFERROR(INDEX(ST_DATERET,MATCH($B148,ST_ID,0)),"")))</f>
        <v/>
      </c>
      <c r="W148" s="26" t="str">
        <f aca="false">IF($P148=0,"",IF($L148=R_LOT,IF($N148&lt;&gt;R_LOT,$N148,""),IF($N148=R_LOT,$L148,"")))</f>
        <v/>
      </c>
      <c r="X148" s="26" t="str">
        <f aca="false">IF($W148="","",IF(COUNTIF($W$4:$W147,$W148)&gt;0,"",COUNT($X$4:$X147)+1))</f>
        <v/>
      </c>
      <c r="Y148" s="26" t="n">
        <f aca="false">IF($P148=0,0,IF(OR($L148=R_LOT,$N148=R_LOT),1,0))</f>
        <v>0</v>
      </c>
      <c r="Z148" s="26" t="str">
        <f aca="false">IF($Y148=0,"",COUNTIF($Y$5:$Y148,1))</f>
        <v/>
      </c>
    </row>
    <row r="149" customFormat="false" ht="15" hidden="false" customHeight="false" outlineLevel="0" collapsed="false">
      <c r="A149" s="26" t="str">
        <f aca="false">IF($B149="","","RES-"&amp;TEXT(ROW()-4,"000"))</f>
        <v/>
      </c>
      <c r="B149" s="24"/>
      <c r="C149" s="25"/>
      <c r="D149" s="24"/>
      <c r="E149" s="24"/>
      <c r="F149" s="29"/>
      <c r="G149" s="24"/>
      <c r="H149" s="24"/>
      <c r="I149" s="24"/>
      <c r="J149" s="24"/>
      <c r="K149" s="24"/>
      <c r="L149" s="26" t="str">
        <f aca="false">IF($B149="","",IFERROR(INDEX(ST_LOT,MATCH($B149,ST_ID,0)),""))</f>
        <v/>
      </c>
      <c r="M149" s="26" t="str">
        <f aca="false">IF($B149="","",IFERROR(INDEX(ST_STRAIT,MATCH($B149,ST_ID,0)),""))</f>
        <v/>
      </c>
      <c r="N149" s="26" t="str">
        <f aca="false">IF($B149="","",IF($E149="",$L149,$E149))</f>
        <v/>
      </c>
      <c r="O149" s="26" t="str">
        <f aca="false">IF($J149="","",IFERROR(INDEX(EMPL_CLASSE,MATCH($J149,EMPL_KEY,0)),"?"))</f>
        <v/>
      </c>
      <c r="P149" s="28" t="n">
        <f aca="false">IF($B149="",0,IF(OR(ISNA(MATCH($B149,ST_ID,0)),NOT(ISNUMBER($F149)),$F149&lt;=0,$J149="",$N149=""),0,1))</f>
        <v>0</v>
      </c>
      <c r="Q149" s="27" t="n">
        <f aca="false">IF($P149=0,0,$F149)</f>
        <v>0</v>
      </c>
      <c r="R149" s="26" t="str">
        <f aca="false">IF($B149="","",IFERROR(INDEX(ST_STATUT,MATCH($B149,ST_ID,0)),""))</f>
        <v/>
      </c>
      <c r="S149" s="26" t="str">
        <f aca="false">IF($B149="","",IF($P149=0,"DONNEES MANQUANTES",IF(OR($R149="DONNEES MANQUANTES",$R149="STOCK INSUFFISANT",$R149="EMPLACEMENT INCOHERENT",$R149="BLOQUE"),"BLOQUE","OK")))</f>
        <v/>
      </c>
      <c r="T149" s="28" t="n">
        <f aca="false">IF($S149="OK",1,0)</f>
        <v>0</v>
      </c>
      <c r="U149" s="26" t="str">
        <f aca="false">IF($B149="","",IF($P149=0,"A COMPLETER : "&amp;IF(ISNA(MATCH($B149,ST_ID,0)),"ID ST valide; ","")&amp;IF(OR(NOT(ISNUMBER($F149)),$F149&lt;=0),"QUANTITE &gt; 0; ","")&amp;IF($J149="","EMPL. DESTINATION; ",""),IF($S149="BLOQUE","Envoi parent en anomalie ("&amp;$R149&amp;") : corriger l'onglet SOUS_TRAITANCE.",IF(AND($E149&lt;&gt;"",ISNA(MATCH($E149,LOT_KEY,0))),"Creer la fiche du lot resultat dans l'onglet LOTS.",""))))</f>
        <v/>
      </c>
      <c r="V149" s="31" t="str">
        <f aca="false">IF($B149="","",IF($C149&lt;&gt;"",$C149,IFERROR(INDEX(ST_DATERET,MATCH($B149,ST_ID,0)),"")))</f>
        <v/>
      </c>
      <c r="W149" s="26" t="str">
        <f aca="false">IF($P149=0,"",IF($L149=R_LOT,IF($N149&lt;&gt;R_LOT,$N149,""),IF($N149=R_LOT,$L149,"")))</f>
        <v/>
      </c>
      <c r="X149" s="26" t="str">
        <f aca="false">IF($W149="","",IF(COUNTIF($W$4:$W148,$W149)&gt;0,"",COUNT($X$4:$X148)+1))</f>
        <v/>
      </c>
      <c r="Y149" s="26" t="n">
        <f aca="false">IF($P149=0,0,IF(OR($L149=R_LOT,$N149=R_LOT),1,0))</f>
        <v>0</v>
      </c>
      <c r="Z149" s="26" t="str">
        <f aca="false">IF($Y149=0,"",COUNTIF($Y$5:$Y149,1))</f>
        <v/>
      </c>
    </row>
    <row r="150" customFormat="false" ht="15" hidden="false" customHeight="false" outlineLevel="0" collapsed="false">
      <c r="A150" s="26" t="str">
        <f aca="false">IF($B150="","","RES-"&amp;TEXT(ROW()-4,"000"))</f>
        <v/>
      </c>
      <c r="B150" s="24"/>
      <c r="C150" s="25"/>
      <c r="D150" s="24"/>
      <c r="E150" s="24"/>
      <c r="F150" s="29"/>
      <c r="G150" s="24"/>
      <c r="H150" s="24"/>
      <c r="I150" s="24"/>
      <c r="J150" s="24"/>
      <c r="K150" s="24"/>
      <c r="L150" s="26" t="str">
        <f aca="false">IF($B150="","",IFERROR(INDEX(ST_LOT,MATCH($B150,ST_ID,0)),""))</f>
        <v/>
      </c>
      <c r="M150" s="26" t="str">
        <f aca="false">IF($B150="","",IFERROR(INDEX(ST_STRAIT,MATCH($B150,ST_ID,0)),""))</f>
        <v/>
      </c>
      <c r="N150" s="26" t="str">
        <f aca="false">IF($B150="","",IF($E150="",$L150,$E150))</f>
        <v/>
      </c>
      <c r="O150" s="26" t="str">
        <f aca="false">IF($J150="","",IFERROR(INDEX(EMPL_CLASSE,MATCH($J150,EMPL_KEY,0)),"?"))</f>
        <v/>
      </c>
      <c r="P150" s="28" t="n">
        <f aca="false">IF($B150="",0,IF(OR(ISNA(MATCH($B150,ST_ID,0)),NOT(ISNUMBER($F150)),$F150&lt;=0,$J150="",$N150=""),0,1))</f>
        <v>0</v>
      </c>
      <c r="Q150" s="27" t="n">
        <f aca="false">IF($P150=0,0,$F150)</f>
        <v>0</v>
      </c>
      <c r="R150" s="26" t="str">
        <f aca="false">IF($B150="","",IFERROR(INDEX(ST_STATUT,MATCH($B150,ST_ID,0)),""))</f>
        <v/>
      </c>
      <c r="S150" s="26" t="str">
        <f aca="false">IF($B150="","",IF($P150=0,"DONNEES MANQUANTES",IF(OR($R150="DONNEES MANQUANTES",$R150="STOCK INSUFFISANT",$R150="EMPLACEMENT INCOHERENT",$R150="BLOQUE"),"BLOQUE","OK")))</f>
        <v/>
      </c>
      <c r="T150" s="28" t="n">
        <f aca="false">IF($S150="OK",1,0)</f>
        <v>0</v>
      </c>
      <c r="U150" s="26" t="str">
        <f aca="false">IF($B150="","",IF($P150=0,"A COMPLETER : "&amp;IF(ISNA(MATCH($B150,ST_ID,0)),"ID ST valide; ","")&amp;IF(OR(NOT(ISNUMBER($F150)),$F150&lt;=0),"QUANTITE &gt; 0; ","")&amp;IF($J150="","EMPL. DESTINATION; ",""),IF($S150="BLOQUE","Envoi parent en anomalie ("&amp;$R150&amp;") : corriger l'onglet SOUS_TRAITANCE.",IF(AND($E150&lt;&gt;"",ISNA(MATCH($E150,LOT_KEY,0))),"Creer la fiche du lot resultat dans l'onglet LOTS.",""))))</f>
        <v/>
      </c>
      <c r="V150" s="31" t="str">
        <f aca="false">IF($B150="","",IF($C150&lt;&gt;"",$C150,IFERROR(INDEX(ST_DATERET,MATCH($B150,ST_ID,0)),"")))</f>
        <v/>
      </c>
      <c r="W150" s="26" t="str">
        <f aca="false">IF($P150=0,"",IF($L150=R_LOT,IF($N150&lt;&gt;R_LOT,$N150,""),IF($N150=R_LOT,$L150,"")))</f>
        <v/>
      </c>
      <c r="X150" s="26" t="str">
        <f aca="false">IF($W150="","",IF(COUNTIF($W$4:$W149,$W150)&gt;0,"",COUNT($X$4:$X149)+1))</f>
        <v/>
      </c>
      <c r="Y150" s="26" t="n">
        <f aca="false">IF($P150=0,0,IF(OR($L150=R_LOT,$N150=R_LOT),1,0))</f>
        <v>0</v>
      </c>
      <c r="Z150" s="26" t="str">
        <f aca="false">IF($Y150=0,"",COUNTIF($Y$5:$Y150,1))</f>
        <v/>
      </c>
    </row>
    <row r="151" customFormat="false" ht="15" hidden="false" customHeight="false" outlineLevel="0" collapsed="false">
      <c r="A151" s="26" t="str">
        <f aca="false">IF($B151="","","RES-"&amp;TEXT(ROW()-4,"000"))</f>
        <v/>
      </c>
      <c r="B151" s="24"/>
      <c r="C151" s="25"/>
      <c r="D151" s="24"/>
      <c r="E151" s="24"/>
      <c r="F151" s="29"/>
      <c r="G151" s="24"/>
      <c r="H151" s="24"/>
      <c r="I151" s="24"/>
      <c r="J151" s="24"/>
      <c r="K151" s="24"/>
      <c r="L151" s="26" t="str">
        <f aca="false">IF($B151="","",IFERROR(INDEX(ST_LOT,MATCH($B151,ST_ID,0)),""))</f>
        <v/>
      </c>
      <c r="M151" s="26" t="str">
        <f aca="false">IF($B151="","",IFERROR(INDEX(ST_STRAIT,MATCH($B151,ST_ID,0)),""))</f>
        <v/>
      </c>
      <c r="N151" s="26" t="str">
        <f aca="false">IF($B151="","",IF($E151="",$L151,$E151))</f>
        <v/>
      </c>
      <c r="O151" s="26" t="str">
        <f aca="false">IF($J151="","",IFERROR(INDEX(EMPL_CLASSE,MATCH($J151,EMPL_KEY,0)),"?"))</f>
        <v/>
      </c>
      <c r="P151" s="28" t="n">
        <f aca="false">IF($B151="",0,IF(OR(ISNA(MATCH($B151,ST_ID,0)),NOT(ISNUMBER($F151)),$F151&lt;=0,$J151="",$N151=""),0,1))</f>
        <v>0</v>
      </c>
      <c r="Q151" s="27" t="n">
        <f aca="false">IF($P151=0,0,$F151)</f>
        <v>0</v>
      </c>
      <c r="R151" s="26" t="str">
        <f aca="false">IF($B151="","",IFERROR(INDEX(ST_STATUT,MATCH($B151,ST_ID,0)),""))</f>
        <v/>
      </c>
      <c r="S151" s="26" t="str">
        <f aca="false">IF($B151="","",IF($P151=0,"DONNEES MANQUANTES",IF(OR($R151="DONNEES MANQUANTES",$R151="STOCK INSUFFISANT",$R151="EMPLACEMENT INCOHERENT",$R151="BLOQUE"),"BLOQUE","OK")))</f>
        <v/>
      </c>
      <c r="T151" s="28" t="n">
        <f aca="false">IF($S151="OK",1,0)</f>
        <v>0</v>
      </c>
      <c r="U151" s="26" t="str">
        <f aca="false">IF($B151="","",IF($P151=0,"A COMPLETER : "&amp;IF(ISNA(MATCH($B151,ST_ID,0)),"ID ST valide; ","")&amp;IF(OR(NOT(ISNUMBER($F151)),$F151&lt;=0),"QUANTITE &gt; 0; ","")&amp;IF($J151="","EMPL. DESTINATION; ",""),IF($S151="BLOQUE","Envoi parent en anomalie ("&amp;$R151&amp;") : corriger l'onglet SOUS_TRAITANCE.",IF(AND($E151&lt;&gt;"",ISNA(MATCH($E151,LOT_KEY,0))),"Creer la fiche du lot resultat dans l'onglet LOTS.",""))))</f>
        <v/>
      </c>
      <c r="V151" s="31" t="str">
        <f aca="false">IF($B151="","",IF($C151&lt;&gt;"",$C151,IFERROR(INDEX(ST_DATERET,MATCH($B151,ST_ID,0)),"")))</f>
        <v/>
      </c>
      <c r="W151" s="26" t="str">
        <f aca="false">IF($P151=0,"",IF($L151=R_LOT,IF($N151&lt;&gt;R_LOT,$N151,""),IF($N151=R_LOT,$L151,"")))</f>
        <v/>
      </c>
      <c r="X151" s="26" t="str">
        <f aca="false">IF($W151="","",IF(COUNTIF($W$4:$W150,$W151)&gt;0,"",COUNT($X$4:$X150)+1))</f>
        <v/>
      </c>
      <c r="Y151" s="26" t="n">
        <f aca="false">IF($P151=0,0,IF(OR($L151=R_LOT,$N151=R_LOT),1,0))</f>
        <v>0</v>
      </c>
      <c r="Z151" s="26" t="str">
        <f aca="false">IF($Y151=0,"",COUNTIF($Y$5:$Y151,1))</f>
        <v/>
      </c>
    </row>
    <row r="152" customFormat="false" ht="15" hidden="false" customHeight="false" outlineLevel="0" collapsed="false">
      <c r="A152" s="26" t="str">
        <f aca="false">IF($B152="","","RES-"&amp;TEXT(ROW()-4,"000"))</f>
        <v/>
      </c>
      <c r="B152" s="24"/>
      <c r="C152" s="25"/>
      <c r="D152" s="24"/>
      <c r="E152" s="24"/>
      <c r="F152" s="29"/>
      <c r="G152" s="24"/>
      <c r="H152" s="24"/>
      <c r="I152" s="24"/>
      <c r="J152" s="24"/>
      <c r="K152" s="24"/>
      <c r="L152" s="26" t="str">
        <f aca="false">IF($B152="","",IFERROR(INDEX(ST_LOT,MATCH($B152,ST_ID,0)),""))</f>
        <v/>
      </c>
      <c r="M152" s="26" t="str">
        <f aca="false">IF($B152="","",IFERROR(INDEX(ST_STRAIT,MATCH($B152,ST_ID,0)),""))</f>
        <v/>
      </c>
      <c r="N152" s="26" t="str">
        <f aca="false">IF($B152="","",IF($E152="",$L152,$E152))</f>
        <v/>
      </c>
      <c r="O152" s="26" t="str">
        <f aca="false">IF($J152="","",IFERROR(INDEX(EMPL_CLASSE,MATCH($J152,EMPL_KEY,0)),"?"))</f>
        <v/>
      </c>
      <c r="P152" s="28" t="n">
        <f aca="false">IF($B152="",0,IF(OR(ISNA(MATCH($B152,ST_ID,0)),NOT(ISNUMBER($F152)),$F152&lt;=0,$J152="",$N152=""),0,1))</f>
        <v>0</v>
      </c>
      <c r="Q152" s="27" t="n">
        <f aca="false">IF($P152=0,0,$F152)</f>
        <v>0</v>
      </c>
      <c r="R152" s="26" t="str">
        <f aca="false">IF($B152="","",IFERROR(INDEX(ST_STATUT,MATCH($B152,ST_ID,0)),""))</f>
        <v/>
      </c>
      <c r="S152" s="26" t="str">
        <f aca="false">IF($B152="","",IF($P152=0,"DONNEES MANQUANTES",IF(OR($R152="DONNEES MANQUANTES",$R152="STOCK INSUFFISANT",$R152="EMPLACEMENT INCOHERENT",$R152="BLOQUE"),"BLOQUE","OK")))</f>
        <v/>
      </c>
      <c r="T152" s="28" t="n">
        <f aca="false">IF($S152="OK",1,0)</f>
        <v>0</v>
      </c>
      <c r="U152" s="26" t="str">
        <f aca="false">IF($B152="","",IF($P152=0,"A COMPLETER : "&amp;IF(ISNA(MATCH($B152,ST_ID,0)),"ID ST valide; ","")&amp;IF(OR(NOT(ISNUMBER($F152)),$F152&lt;=0),"QUANTITE &gt; 0; ","")&amp;IF($J152="","EMPL. DESTINATION; ",""),IF($S152="BLOQUE","Envoi parent en anomalie ("&amp;$R152&amp;") : corriger l'onglet SOUS_TRAITANCE.",IF(AND($E152&lt;&gt;"",ISNA(MATCH($E152,LOT_KEY,0))),"Creer la fiche du lot resultat dans l'onglet LOTS.",""))))</f>
        <v/>
      </c>
      <c r="V152" s="31" t="str">
        <f aca="false">IF($B152="","",IF($C152&lt;&gt;"",$C152,IFERROR(INDEX(ST_DATERET,MATCH($B152,ST_ID,0)),"")))</f>
        <v/>
      </c>
      <c r="W152" s="26" t="str">
        <f aca="false">IF($P152=0,"",IF($L152=R_LOT,IF($N152&lt;&gt;R_LOT,$N152,""),IF($N152=R_LOT,$L152,"")))</f>
        <v/>
      </c>
      <c r="X152" s="26" t="str">
        <f aca="false">IF($W152="","",IF(COUNTIF($W$4:$W151,$W152)&gt;0,"",COUNT($X$4:$X151)+1))</f>
        <v/>
      </c>
      <c r="Y152" s="26" t="n">
        <f aca="false">IF($P152=0,0,IF(OR($L152=R_LOT,$N152=R_LOT),1,0))</f>
        <v>0</v>
      </c>
      <c r="Z152" s="26" t="str">
        <f aca="false">IF($Y152=0,"",COUNTIF($Y$5:$Y152,1))</f>
        <v/>
      </c>
    </row>
    <row r="153" customFormat="false" ht="15" hidden="false" customHeight="false" outlineLevel="0" collapsed="false">
      <c r="A153" s="26" t="str">
        <f aca="false">IF($B153="","","RES-"&amp;TEXT(ROW()-4,"000"))</f>
        <v/>
      </c>
      <c r="B153" s="24"/>
      <c r="C153" s="25"/>
      <c r="D153" s="24"/>
      <c r="E153" s="24"/>
      <c r="F153" s="29"/>
      <c r="G153" s="24"/>
      <c r="H153" s="24"/>
      <c r="I153" s="24"/>
      <c r="J153" s="24"/>
      <c r="K153" s="24"/>
      <c r="L153" s="26" t="str">
        <f aca="false">IF($B153="","",IFERROR(INDEX(ST_LOT,MATCH($B153,ST_ID,0)),""))</f>
        <v/>
      </c>
      <c r="M153" s="26" t="str">
        <f aca="false">IF($B153="","",IFERROR(INDEX(ST_STRAIT,MATCH($B153,ST_ID,0)),""))</f>
        <v/>
      </c>
      <c r="N153" s="26" t="str">
        <f aca="false">IF($B153="","",IF($E153="",$L153,$E153))</f>
        <v/>
      </c>
      <c r="O153" s="26" t="str">
        <f aca="false">IF($J153="","",IFERROR(INDEX(EMPL_CLASSE,MATCH($J153,EMPL_KEY,0)),"?"))</f>
        <v/>
      </c>
      <c r="P153" s="28" t="n">
        <f aca="false">IF($B153="",0,IF(OR(ISNA(MATCH($B153,ST_ID,0)),NOT(ISNUMBER($F153)),$F153&lt;=0,$J153="",$N153=""),0,1))</f>
        <v>0</v>
      </c>
      <c r="Q153" s="27" t="n">
        <f aca="false">IF($P153=0,0,$F153)</f>
        <v>0</v>
      </c>
      <c r="R153" s="26" t="str">
        <f aca="false">IF($B153="","",IFERROR(INDEX(ST_STATUT,MATCH($B153,ST_ID,0)),""))</f>
        <v/>
      </c>
      <c r="S153" s="26" t="str">
        <f aca="false">IF($B153="","",IF($P153=0,"DONNEES MANQUANTES",IF(OR($R153="DONNEES MANQUANTES",$R153="STOCK INSUFFISANT",$R153="EMPLACEMENT INCOHERENT",$R153="BLOQUE"),"BLOQUE","OK")))</f>
        <v/>
      </c>
      <c r="T153" s="28" t="n">
        <f aca="false">IF($S153="OK",1,0)</f>
        <v>0</v>
      </c>
      <c r="U153" s="26" t="str">
        <f aca="false">IF($B153="","",IF($P153=0,"A COMPLETER : "&amp;IF(ISNA(MATCH($B153,ST_ID,0)),"ID ST valide; ","")&amp;IF(OR(NOT(ISNUMBER($F153)),$F153&lt;=0),"QUANTITE &gt; 0; ","")&amp;IF($J153="","EMPL. DESTINATION; ",""),IF($S153="BLOQUE","Envoi parent en anomalie ("&amp;$R153&amp;") : corriger l'onglet SOUS_TRAITANCE.",IF(AND($E153&lt;&gt;"",ISNA(MATCH($E153,LOT_KEY,0))),"Creer la fiche du lot resultat dans l'onglet LOTS.",""))))</f>
        <v/>
      </c>
      <c r="V153" s="31" t="str">
        <f aca="false">IF($B153="","",IF($C153&lt;&gt;"",$C153,IFERROR(INDEX(ST_DATERET,MATCH($B153,ST_ID,0)),"")))</f>
        <v/>
      </c>
      <c r="W153" s="26" t="str">
        <f aca="false">IF($P153=0,"",IF($L153=R_LOT,IF($N153&lt;&gt;R_LOT,$N153,""),IF($N153=R_LOT,$L153,"")))</f>
        <v/>
      </c>
      <c r="X153" s="26" t="str">
        <f aca="false">IF($W153="","",IF(COUNTIF($W$4:$W152,$W153)&gt;0,"",COUNT($X$4:$X152)+1))</f>
        <v/>
      </c>
      <c r="Y153" s="26" t="n">
        <f aca="false">IF($P153=0,0,IF(OR($L153=R_LOT,$N153=R_LOT),1,0))</f>
        <v>0</v>
      </c>
      <c r="Z153" s="26" t="str">
        <f aca="false">IF($Y153=0,"",COUNTIF($Y$5:$Y153,1))</f>
        <v/>
      </c>
    </row>
    <row r="154" customFormat="false" ht="15" hidden="false" customHeight="false" outlineLevel="0" collapsed="false">
      <c r="A154" s="26" t="str">
        <f aca="false">IF($B154="","","RES-"&amp;TEXT(ROW()-4,"000"))</f>
        <v/>
      </c>
      <c r="B154" s="24"/>
      <c r="C154" s="25"/>
      <c r="D154" s="24"/>
      <c r="E154" s="24"/>
      <c r="F154" s="29"/>
      <c r="G154" s="24"/>
      <c r="H154" s="24"/>
      <c r="I154" s="24"/>
      <c r="J154" s="24"/>
      <c r="K154" s="24"/>
      <c r="L154" s="26" t="str">
        <f aca="false">IF($B154="","",IFERROR(INDEX(ST_LOT,MATCH($B154,ST_ID,0)),""))</f>
        <v/>
      </c>
      <c r="M154" s="26" t="str">
        <f aca="false">IF($B154="","",IFERROR(INDEX(ST_STRAIT,MATCH($B154,ST_ID,0)),""))</f>
        <v/>
      </c>
      <c r="N154" s="26" t="str">
        <f aca="false">IF($B154="","",IF($E154="",$L154,$E154))</f>
        <v/>
      </c>
      <c r="O154" s="26" t="str">
        <f aca="false">IF($J154="","",IFERROR(INDEX(EMPL_CLASSE,MATCH($J154,EMPL_KEY,0)),"?"))</f>
        <v/>
      </c>
      <c r="P154" s="28" t="n">
        <f aca="false">IF($B154="",0,IF(OR(ISNA(MATCH($B154,ST_ID,0)),NOT(ISNUMBER($F154)),$F154&lt;=0,$J154="",$N154=""),0,1))</f>
        <v>0</v>
      </c>
      <c r="Q154" s="27" t="n">
        <f aca="false">IF($P154=0,0,$F154)</f>
        <v>0</v>
      </c>
      <c r="R154" s="26" t="str">
        <f aca="false">IF($B154="","",IFERROR(INDEX(ST_STATUT,MATCH($B154,ST_ID,0)),""))</f>
        <v/>
      </c>
      <c r="S154" s="26" t="str">
        <f aca="false">IF($B154="","",IF($P154=0,"DONNEES MANQUANTES",IF(OR($R154="DONNEES MANQUANTES",$R154="STOCK INSUFFISANT",$R154="EMPLACEMENT INCOHERENT",$R154="BLOQUE"),"BLOQUE","OK")))</f>
        <v/>
      </c>
      <c r="T154" s="28" t="n">
        <f aca="false">IF($S154="OK",1,0)</f>
        <v>0</v>
      </c>
      <c r="U154" s="26" t="str">
        <f aca="false">IF($B154="","",IF($P154=0,"A COMPLETER : "&amp;IF(ISNA(MATCH($B154,ST_ID,0)),"ID ST valide; ","")&amp;IF(OR(NOT(ISNUMBER($F154)),$F154&lt;=0),"QUANTITE &gt; 0; ","")&amp;IF($J154="","EMPL. DESTINATION; ",""),IF($S154="BLOQUE","Envoi parent en anomalie ("&amp;$R154&amp;") : corriger l'onglet SOUS_TRAITANCE.",IF(AND($E154&lt;&gt;"",ISNA(MATCH($E154,LOT_KEY,0))),"Creer la fiche du lot resultat dans l'onglet LOTS.",""))))</f>
        <v/>
      </c>
      <c r="V154" s="31" t="str">
        <f aca="false">IF($B154="","",IF($C154&lt;&gt;"",$C154,IFERROR(INDEX(ST_DATERET,MATCH($B154,ST_ID,0)),"")))</f>
        <v/>
      </c>
      <c r="W154" s="26" t="str">
        <f aca="false">IF($P154=0,"",IF($L154=R_LOT,IF($N154&lt;&gt;R_LOT,$N154,""),IF($N154=R_LOT,$L154,"")))</f>
        <v/>
      </c>
      <c r="X154" s="26" t="str">
        <f aca="false">IF($W154="","",IF(COUNTIF($W$4:$W153,$W154)&gt;0,"",COUNT($X$4:$X153)+1))</f>
        <v/>
      </c>
      <c r="Y154" s="26" t="n">
        <f aca="false">IF($P154=0,0,IF(OR($L154=R_LOT,$N154=R_LOT),1,0))</f>
        <v>0</v>
      </c>
      <c r="Z154" s="26" t="str">
        <f aca="false">IF($Y154=0,"",COUNTIF($Y$5:$Y154,1))</f>
        <v/>
      </c>
    </row>
    <row r="155" customFormat="false" ht="15" hidden="false" customHeight="false" outlineLevel="0" collapsed="false">
      <c r="A155" s="26" t="str">
        <f aca="false">IF($B155="","","RES-"&amp;TEXT(ROW()-4,"000"))</f>
        <v/>
      </c>
      <c r="B155" s="24"/>
      <c r="C155" s="25"/>
      <c r="D155" s="24"/>
      <c r="E155" s="24"/>
      <c r="F155" s="29"/>
      <c r="G155" s="24"/>
      <c r="H155" s="24"/>
      <c r="I155" s="24"/>
      <c r="J155" s="24"/>
      <c r="K155" s="24"/>
      <c r="L155" s="26" t="str">
        <f aca="false">IF($B155="","",IFERROR(INDEX(ST_LOT,MATCH($B155,ST_ID,0)),""))</f>
        <v/>
      </c>
      <c r="M155" s="26" t="str">
        <f aca="false">IF($B155="","",IFERROR(INDEX(ST_STRAIT,MATCH($B155,ST_ID,0)),""))</f>
        <v/>
      </c>
      <c r="N155" s="26" t="str">
        <f aca="false">IF($B155="","",IF($E155="",$L155,$E155))</f>
        <v/>
      </c>
      <c r="O155" s="26" t="str">
        <f aca="false">IF($J155="","",IFERROR(INDEX(EMPL_CLASSE,MATCH($J155,EMPL_KEY,0)),"?"))</f>
        <v/>
      </c>
      <c r="P155" s="28" t="n">
        <f aca="false">IF($B155="",0,IF(OR(ISNA(MATCH($B155,ST_ID,0)),NOT(ISNUMBER($F155)),$F155&lt;=0,$J155="",$N155=""),0,1))</f>
        <v>0</v>
      </c>
      <c r="Q155" s="27" t="n">
        <f aca="false">IF($P155=0,0,$F155)</f>
        <v>0</v>
      </c>
      <c r="R155" s="26" t="str">
        <f aca="false">IF($B155="","",IFERROR(INDEX(ST_STATUT,MATCH($B155,ST_ID,0)),""))</f>
        <v/>
      </c>
      <c r="S155" s="26" t="str">
        <f aca="false">IF($B155="","",IF($P155=0,"DONNEES MANQUANTES",IF(OR($R155="DONNEES MANQUANTES",$R155="STOCK INSUFFISANT",$R155="EMPLACEMENT INCOHERENT",$R155="BLOQUE"),"BLOQUE","OK")))</f>
        <v/>
      </c>
      <c r="T155" s="28" t="n">
        <f aca="false">IF($S155="OK",1,0)</f>
        <v>0</v>
      </c>
      <c r="U155" s="26" t="str">
        <f aca="false">IF($B155="","",IF($P155=0,"A COMPLETER : "&amp;IF(ISNA(MATCH($B155,ST_ID,0)),"ID ST valide; ","")&amp;IF(OR(NOT(ISNUMBER($F155)),$F155&lt;=0),"QUANTITE &gt; 0; ","")&amp;IF($J155="","EMPL. DESTINATION; ",""),IF($S155="BLOQUE","Envoi parent en anomalie ("&amp;$R155&amp;") : corriger l'onglet SOUS_TRAITANCE.",IF(AND($E155&lt;&gt;"",ISNA(MATCH($E155,LOT_KEY,0))),"Creer la fiche du lot resultat dans l'onglet LOTS.",""))))</f>
        <v/>
      </c>
      <c r="V155" s="31" t="str">
        <f aca="false">IF($B155="","",IF($C155&lt;&gt;"",$C155,IFERROR(INDEX(ST_DATERET,MATCH($B155,ST_ID,0)),"")))</f>
        <v/>
      </c>
      <c r="W155" s="26" t="str">
        <f aca="false">IF($P155=0,"",IF($L155=R_LOT,IF($N155&lt;&gt;R_LOT,$N155,""),IF($N155=R_LOT,$L155,"")))</f>
        <v/>
      </c>
      <c r="X155" s="26" t="str">
        <f aca="false">IF($W155="","",IF(COUNTIF($W$4:$W154,$W155)&gt;0,"",COUNT($X$4:$X154)+1))</f>
        <v/>
      </c>
      <c r="Y155" s="26" t="n">
        <f aca="false">IF($P155=0,0,IF(OR($L155=R_LOT,$N155=R_LOT),1,0))</f>
        <v>0</v>
      </c>
      <c r="Z155" s="26" t="str">
        <f aca="false">IF($Y155=0,"",COUNTIF($Y$5:$Y155,1))</f>
        <v/>
      </c>
    </row>
    <row r="156" customFormat="false" ht="15" hidden="false" customHeight="false" outlineLevel="0" collapsed="false">
      <c r="A156" s="26" t="str">
        <f aca="false">IF($B156="","","RES-"&amp;TEXT(ROW()-4,"000"))</f>
        <v/>
      </c>
      <c r="B156" s="24"/>
      <c r="C156" s="25"/>
      <c r="D156" s="24"/>
      <c r="E156" s="24"/>
      <c r="F156" s="29"/>
      <c r="G156" s="24"/>
      <c r="H156" s="24"/>
      <c r="I156" s="24"/>
      <c r="J156" s="24"/>
      <c r="K156" s="24"/>
      <c r="L156" s="26" t="str">
        <f aca="false">IF($B156="","",IFERROR(INDEX(ST_LOT,MATCH($B156,ST_ID,0)),""))</f>
        <v/>
      </c>
      <c r="M156" s="26" t="str">
        <f aca="false">IF($B156="","",IFERROR(INDEX(ST_STRAIT,MATCH($B156,ST_ID,0)),""))</f>
        <v/>
      </c>
      <c r="N156" s="26" t="str">
        <f aca="false">IF($B156="","",IF($E156="",$L156,$E156))</f>
        <v/>
      </c>
      <c r="O156" s="26" t="str">
        <f aca="false">IF($J156="","",IFERROR(INDEX(EMPL_CLASSE,MATCH($J156,EMPL_KEY,0)),"?"))</f>
        <v/>
      </c>
      <c r="P156" s="28" t="n">
        <f aca="false">IF($B156="",0,IF(OR(ISNA(MATCH($B156,ST_ID,0)),NOT(ISNUMBER($F156)),$F156&lt;=0,$J156="",$N156=""),0,1))</f>
        <v>0</v>
      </c>
      <c r="Q156" s="27" t="n">
        <f aca="false">IF($P156=0,0,$F156)</f>
        <v>0</v>
      </c>
      <c r="R156" s="26" t="str">
        <f aca="false">IF($B156="","",IFERROR(INDEX(ST_STATUT,MATCH($B156,ST_ID,0)),""))</f>
        <v/>
      </c>
      <c r="S156" s="26" t="str">
        <f aca="false">IF($B156="","",IF($P156=0,"DONNEES MANQUANTES",IF(OR($R156="DONNEES MANQUANTES",$R156="STOCK INSUFFISANT",$R156="EMPLACEMENT INCOHERENT",$R156="BLOQUE"),"BLOQUE","OK")))</f>
        <v/>
      </c>
      <c r="T156" s="28" t="n">
        <f aca="false">IF($S156="OK",1,0)</f>
        <v>0</v>
      </c>
      <c r="U156" s="26" t="str">
        <f aca="false">IF($B156="","",IF($P156=0,"A COMPLETER : "&amp;IF(ISNA(MATCH($B156,ST_ID,0)),"ID ST valide; ","")&amp;IF(OR(NOT(ISNUMBER($F156)),$F156&lt;=0),"QUANTITE &gt; 0; ","")&amp;IF($J156="","EMPL. DESTINATION; ",""),IF($S156="BLOQUE","Envoi parent en anomalie ("&amp;$R156&amp;") : corriger l'onglet SOUS_TRAITANCE.",IF(AND($E156&lt;&gt;"",ISNA(MATCH($E156,LOT_KEY,0))),"Creer la fiche du lot resultat dans l'onglet LOTS.",""))))</f>
        <v/>
      </c>
      <c r="V156" s="31" t="str">
        <f aca="false">IF($B156="","",IF($C156&lt;&gt;"",$C156,IFERROR(INDEX(ST_DATERET,MATCH($B156,ST_ID,0)),"")))</f>
        <v/>
      </c>
      <c r="W156" s="26" t="str">
        <f aca="false">IF($P156=0,"",IF($L156=R_LOT,IF($N156&lt;&gt;R_LOT,$N156,""),IF($N156=R_LOT,$L156,"")))</f>
        <v/>
      </c>
      <c r="X156" s="26" t="str">
        <f aca="false">IF($W156="","",IF(COUNTIF($W$4:$W155,$W156)&gt;0,"",COUNT($X$4:$X155)+1))</f>
        <v/>
      </c>
      <c r="Y156" s="26" t="n">
        <f aca="false">IF($P156=0,0,IF(OR($L156=R_LOT,$N156=R_LOT),1,0))</f>
        <v>0</v>
      </c>
      <c r="Z156" s="26" t="str">
        <f aca="false">IF($Y156=0,"",COUNTIF($Y$5:$Y156,1))</f>
        <v/>
      </c>
    </row>
    <row r="157" customFormat="false" ht="15" hidden="false" customHeight="false" outlineLevel="0" collapsed="false">
      <c r="A157" s="26" t="str">
        <f aca="false">IF($B157="","","RES-"&amp;TEXT(ROW()-4,"000"))</f>
        <v/>
      </c>
      <c r="B157" s="24"/>
      <c r="C157" s="25"/>
      <c r="D157" s="24"/>
      <c r="E157" s="24"/>
      <c r="F157" s="29"/>
      <c r="G157" s="24"/>
      <c r="H157" s="24"/>
      <c r="I157" s="24"/>
      <c r="J157" s="24"/>
      <c r="K157" s="24"/>
      <c r="L157" s="26" t="str">
        <f aca="false">IF($B157="","",IFERROR(INDEX(ST_LOT,MATCH($B157,ST_ID,0)),""))</f>
        <v/>
      </c>
      <c r="M157" s="26" t="str">
        <f aca="false">IF($B157="","",IFERROR(INDEX(ST_STRAIT,MATCH($B157,ST_ID,0)),""))</f>
        <v/>
      </c>
      <c r="N157" s="26" t="str">
        <f aca="false">IF($B157="","",IF($E157="",$L157,$E157))</f>
        <v/>
      </c>
      <c r="O157" s="26" t="str">
        <f aca="false">IF($J157="","",IFERROR(INDEX(EMPL_CLASSE,MATCH($J157,EMPL_KEY,0)),"?"))</f>
        <v/>
      </c>
      <c r="P157" s="28" t="n">
        <f aca="false">IF($B157="",0,IF(OR(ISNA(MATCH($B157,ST_ID,0)),NOT(ISNUMBER($F157)),$F157&lt;=0,$J157="",$N157=""),0,1))</f>
        <v>0</v>
      </c>
      <c r="Q157" s="27" t="n">
        <f aca="false">IF($P157=0,0,$F157)</f>
        <v>0</v>
      </c>
      <c r="R157" s="26" t="str">
        <f aca="false">IF($B157="","",IFERROR(INDEX(ST_STATUT,MATCH($B157,ST_ID,0)),""))</f>
        <v/>
      </c>
      <c r="S157" s="26" t="str">
        <f aca="false">IF($B157="","",IF($P157=0,"DONNEES MANQUANTES",IF(OR($R157="DONNEES MANQUANTES",$R157="STOCK INSUFFISANT",$R157="EMPLACEMENT INCOHERENT",$R157="BLOQUE"),"BLOQUE","OK")))</f>
        <v/>
      </c>
      <c r="T157" s="28" t="n">
        <f aca="false">IF($S157="OK",1,0)</f>
        <v>0</v>
      </c>
      <c r="U157" s="26" t="str">
        <f aca="false">IF($B157="","",IF($P157=0,"A COMPLETER : "&amp;IF(ISNA(MATCH($B157,ST_ID,0)),"ID ST valide; ","")&amp;IF(OR(NOT(ISNUMBER($F157)),$F157&lt;=0),"QUANTITE &gt; 0; ","")&amp;IF($J157="","EMPL. DESTINATION; ",""),IF($S157="BLOQUE","Envoi parent en anomalie ("&amp;$R157&amp;") : corriger l'onglet SOUS_TRAITANCE.",IF(AND($E157&lt;&gt;"",ISNA(MATCH($E157,LOT_KEY,0))),"Creer la fiche du lot resultat dans l'onglet LOTS.",""))))</f>
        <v/>
      </c>
      <c r="V157" s="31" t="str">
        <f aca="false">IF($B157="","",IF($C157&lt;&gt;"",$C157,IFERROR(INDEX(ST_DATERET,MATCH($B157,ST_ID,0)),"")))</f>
        <v/>
      </c>
      <c r="W157" s="26" t="str">
        <f aca="false">IF($P157=0,"",IF($L157=R_LOT,IF($N157&lt;&gt;R_LOT,$N157,""),IF($N157=R_LOT,$L157,"")))</f>
        <v/>
      </c>
      <c r="X157" s="26" t="str">
        <f aca="false">IF($W157="","",IF(COUNTIF($W$4:$W156,$W157)&gt;0,"",COUNT($X$4:$X156)+1))</f>
        <v/>
      </c>
      <c r="Y157" s="26" t="n">
        <f aca="false">IF($P157=0,0,IF(OR($L157=R_LOT,$N157=R_LOT),1,0))</f>
        <v>0</v>
      </c>
      <c r="Z157" s="26" t="str">
        <f aca="false">IF($Y157=0,"",COUNTIF($Y$5:$Y157,1))</f>
        <v/>
      </c>
    </row>
    <row r="158" customFormat="false" ht="15" hidden="false" customHeight="false" outlineLevel="0" collapsed="false">
      <c r="A158" s="26" t="str">
        <f aca="false">IF($B158="","","RES-"&amp;TEXT(ROW()-4,"000"))</f>
        <v/>
      </c>
      <c r="B158" s="24"/>
      <c r="C158" s="25"/>
      <c r="D158" s="24"/>
      <c r="E158" s="24"/>
      <c r="F158" s="29"/>
      <c r="G158" s="24"/>
      <c r="H158" s="24"/>
      <c r="I158" s="24"/>
      <c r="J158" s="24"/>
      <c r="K158" s="24"/>
      <c r="L158" s="26" t="str">
        <f aca="false">IF($B158="","",IFERROR(INDEX(ST_LOT,MATCH($B158,ST_ID,0)),""))</f>
        <v/>
      </c>
      <c r="M158" s="26" t="str">
        <f aca="false">IF($B158="","",IFERROR(INDEX(ST_STRAIT,MATCH($B158,ST_ID,0)),""))</f>
        <v/>
      </c>
      <c r="N158" s="26" t="str">
        <f aca="false">IF($B158="","",IF($E158="",$L158,$E158))</f>
        <v/>
      </c>
      <c r="O158" s="26" t="str">
        <f aca="false">IF($J158="","",IFERROR(INDEX(EMPL_CLASSE,MATCH($J158,EMPL_KEY,0)),"?"))</f>
        <v/>
      </c>
      <c r="P158" s="28" t="n">
        <f aca="false">IF($B158="",0,IF(OR(ISNA(MATCH($B158,ST_ID,0)),NOT(ISNUMBER($F158)),$F158&lt;=0,$J158="",$N158=""),0,1))</f>
        <v>0</v>
      </c>
      <c r="Q158" s="27" t="n">
        <f aca="false">IF($P158=0,0,$F158)</f>
        <v>0</v>
      </c>
      <c r="R158" s="26" t="str">
        <f aca="false">IF($B158="","",IFERROR(INDEX(ST_STATUT,MATCH($B158,ST_ID,0)),""))</f>
        <v/>
      </c>
      <c r="S158" s="26" t="str">
        <f aca="false">IF($B158="","",IF($P158=0,"DONNEES MANQUANTES",IF(OR($R158="DONNEES MANQUANTES",$R158="STOCK INSUFFISANT",$R158="EMPLACEMENT INCOHERENT",$R158="BLOQUE"),"BLOQUE","OK")))</f>
        <v/>
      </c>
      <c r="T158" s="28" t="n">
        <f aca="false">IF($S158="OK",1,0)</f>
        <v>0</v>
      </c>
      <c r="U158" s="26" t="str">
        <f aca="false">IF($B158="","",IF($P158=0,"A COMPLETER : "&amp;IF(ISNA(MATCH($B158,ST_ID,0)),"ID ST valide; ","")&amp;IF(OR(NOT(ISNUMBER($F158)),$F158&lt;=0),"QUANTITE &gt; 0; ","")&amp;IF($J158="","EMPL. DESTINATION; ",""),IF($S158="BLOQUE","Envoi parent en anomalie ("&amp;$R158&amp;") : corriger l'onglet SOUS_TRAITANCE.",IF(AND($E158&lt;&gt;"",ISNA(MATCH($E158,LOT_KEY,0))),"Creer la fiche du lot resultat dans l'onglet LOTS.",""))))</f>
        <v/>
      </c>
      <c r="V158" s="31" t="str">
        <f aca="false">IF($B158="","",IF($C158&lt;&gt;"",$C158,IFERROR(INDEX(ST_DATERET,MATCH($B158,ST_ID,0)),"")))</f>
        <v/>
      </c>
      <c r="W158" s="26" t="str">
        <f aca="false">IF($P158=0,"",IF($L158=R_LOT,IF($N158&lt;&gt;R_LOT,$N158,""),IF($N158=R_LOT,$L158,"")))</f>
        <v/>
      </c>
      <c r="X158" s="26" t="str">
        <f aca="false">IF($W158="","",IF(COUNTIF($W$4:$W157,$W158)&gt;0,"",COUNT($X$4:$X157)+1))</f>
        <v/>
      </c>
      <c r="Y158" s="26" t="n">
        <f aca="false">IF($P158=0,0,IF(OR($L158=R_LOT,$N158=R_LOT),1,0))</f>
        <v>0</v>
      </c>
      <c r="Z158" s="26" t="str">
        <f aca="false">IF($Y158=0,"",COUNTIF($Y$5:$Y158,1))</f>
        <v/>
      </c>
    </row>
    <row r="159" customFormat="false" ht="15" hidden="false" customHeight="false" outlineLevel="0" collapsed="false">
      <c r="A159" s="26" t="str">
        <f aca="false">IF($B159="","","RES-"&amp;TEXT(ROW()-4,"000"))</f>
        <v/>
      </c>
      <c r="B159" s="24"/>
      <c r="C159" s="25"/>
      <c r="D159" s="24"/>
      <c r="E159" s="24"/>
      <c r="F159" s="29"/>
      <c r="G159" s="24"/>
      <c r="H159" s="24"/>
      <c r="I159" s="24"/>
      <c r="J159" s="24"/>
      <c r="K159" s="24"/>
      <c r="L159" s="26" t="str">
        <f aca="false">IF($B159="","",IFERROR(INDEX(ST_LOT,MATCH($B159,ST_ID,0)),""))</f>
        <v/>
      </c>
      <c r="M159" s="26" t="str">
        <f aca="false">IF($B159="","",IFERROR(INDEX(ST_STRAIT,MATCH($B159,ST_ID,0)),""))</f>
        <v/>
      </c>
      <c r="N159" s="26" t="str">
        <f aca="false">IF($B159="","",IF($E159="",$L159,$E159))</f>
        <v/>
      </c>
      <c r="O159" s="26" t="str">
        <f aca="false">IF($J159="","",IFERROR(INDEX(EMPL_CLASSE,MATCH($J159,EMPL_KEY,0)),"?"))</f>
        <v/>
      </c>
      <c r="P159" s="28" t="n">
        <f aca="false">IF($B159="",0,IF(OR(ISNA(MATCH($B159,ST_ID,0)),NOT(ISNUMBER($F159)),$F159&lt;=0,$J159="",$N159=""),0,1))</f>
        <v>0</v>
      </c>
      <c r="Q159" s="27" t="n">
        <f aca="false">IF($P159=0,0,$F159)</f>
        <v>0</v>
      </c>
      <c r="R159" s="26" t="str">
        <f aca="false">IF($B159="","",IFERROR(INDEX(ST_STATUT,MATCH($B159,ST_ID,0)),""))</f>
        <v/>
      </c>
      <c r="S159" s="26" t="str">
        <f aca="false">IF($B159="","",IF($P159=0,"DONNEES MANQUANTES",IF(OR($R159="DONNEES MANQUANTES",$R159="STOCK INSUFFISANT",$R159="EMPLACEMENT INCOHERENT",$R159="BLOQUE"),"BLOQUE","OK")))</f>
        <v/>
      </c>
      <c r="T159" s="28" t="n">
        <f aca="false">IF($S159="OK",1,0)</f>
        <v>0</v>
      </c>
      <c r="U159" s="26" t="str">
        <f aca="false">IF($B159="","",IF($P159=0,"A COMPLETER : "&amp;IF(ISNA(MATCH($B159,ST_ID,0)),"ID ST valide; ","")&amp;IF(OR(NOT(ISNUMBER($F159)),$F159&lt;=0),"QUANTITE &gt; 0; ","")&amp;IF($J159="","EMPL. DESTINATION; ",""),IF($S159="BLOQUE","Envoi parent en anomalie ("&amp;$R159&amp;") : corriger l'onglet SOUS_TRAITANCE.",IF(AND($E159&lt;&gt;"",ISNA(MATCH($E159,LOT_KEY,0))),"Creer la fiche du lot resultat dans l'onglet LOTS.",""))))</f>
        <v/>
      </c>
      <c r="V159" s="31" t="str">
        <f aca="false">IF($B159="","",IF($C159&lt;&gt;"",$C159,IFERROR(INDEX(ST_DATERET,MATCH($B159,ST_ID,0)),"")))</f>
        <v/>
      </c>
      <c r="W159" s="26" t="str">
        <f aca="false">IF($P159=0,"",IF($L159=R_LOT,IF($N159&lt;&gt;R_LOT,$N159,""),IF($N159=R_LOT,$L159,"")))</f>
        <v/>
      </c>
      <c r="X159" s="26" t="str">
        <f aca="false">IF($W159="","",IF(COUNTIF($W$4:$W158,$W159)&gt;0,"",COUNT($X$4:$X158)+1))</f>
        <v/>
      </c>
      <c r="Y159" s="26" t="n">
        <f aca="false">IF($P159=0,0,IF(OR($L159=R_LOT,$N159=R_LOT),1,0))</f>
        <v>0</v>
      </c>
      <c r="Z159" s="26" t="str">
        <f aca="false">IF($Y159=0,"",COUNTIF($Y$5:$Y159,1))</f>
        <v/>
      </c>
    </row>
    <row r="160" customFormat="false" ht="15" hidden="false" customHeight="false" outlineLevel="0" collapsed="false">
      <c r="A160" s="26" t="str">
        <f aca="false">IF($B160="","","RES-"&amp;TEXT(ROW()-4,"000"))</f>
        <v/>
      </c>
      <c r="B160" s="24"/>
      <c r="C160" s="25"/>
      <c r="D160" s="24"/>
      <c r="E160" s="24"/>
      <c r="F160" s="29"/>
      <c r="G160" s="24"/>
      <c r="H160" s="24"/>
      <c r="I160" s="24"/>
      <c r="J160" s="24"/>
      <c r="K160" s="24"/>
      <c r="L160" s="26" t="str">
        <f aca="false">IF($B160="","",IFERROR(INDEX(ST_LOT,MATCH($B160,ST_ID,0)),""))</f>
        <v/>
      </c>
      <c r="M160" s="26" t="str">
        <f aca="false">IF($B160="","",IFERROR(INDEX(ST_STRAIT,MATCH($B160,ST_ID,0)),""))</f>
        <v/>
      </c>
      <c r="N160" s="26" t="str">
        <f aca="false">IF($B160="","",IF($E160="",$L160,$E160))</f>
        <v/>
      </c>
      <c r="O160" s="26" t="str">
        <f aca="false">IF($J160="","",IFERROR(INDEX(EMPL_CLASSE,MATCH($J160,EMPL_KEY,0)),"?"))</f>
        <v/>
      </c>
      <c r="P160" s="28" t="n">
        <f aca="false">IF($B160="",0,IF(OR(ISNA(MATCH($B160,ST_ID,0)),NOT(ISNUMBER($F160)),$F160&lt;=0,$J160="",$N160=""),0,1))</f>
        <v>0</v>
      </c>
      <c r="Q160" s="27" t="n">
        <f aca="false">IF($P160=0,0,$F160)</f>
        <v>0</v>
      </c>
      <c r="R160" s="26" t="str">
        <f aca="false">IF($B160="","",IFERROR(INDEX(ST_STATUT,MATCH($B160,ST_ID,0)),""))</f>
        <v/>
      </c>
      <c r="S160" s="26" t="str">
        <f aca="false">IF($B160="","",IF($P160=0,"DONNEES MANQUANTES",IF(OR($R160="DONNEES MANQUANTES",$R160="STOCK INSUFFISANT",$R160="EMPLACEMENT INCOHERENT",$R160="BLOQUE"),"BLOQUE","OK")))</f>
        <v/>
      </c>
      <c r="T160" s="28" t="n">
        <f aca="false">IF($S160="OK",1,0)</f>
        <v>0</v>
      </c>
      <c r="U160" s="26" t="str">
        <f aca="false">IF($B160="","",IF($P160=0,"A COMPLETER : "&amp;IF(ISNA(MATCH($B160,ST_ID,0)),"ID ST valide; ","")&amp;IF(OR(NOT(ISNUMBER($F160)),$F160&lt;=0),"QUANTITE &gt; 0; ","")&amp;IF($J160="","EMPL. DESTINATION; ",""),IF($S160="BLOQUE","Envoi parent en anomalie ("&amp;$R160&amp;") : corriger l'onglet SOUS_TRAITANCE.",IF(AND($E160&lt;&gt;"",ISNA(MATCH($E160,LOT_KEY,0))),"Creer la fiche du lot resultat dans l'onglet LOTS.",""))))</f>
        <v/>
      </c>
      <c r="V160" s="31" t="str">
        <f aca="false">IF($B160="","",IF($C160&lt;&gt;"",$C160,IFERROR(INDEX(ST_DATERET,MATCH($B160,ST_ID,0)),"")))</f>
        <v/>
      </c>
      <c r="W160" s="26" t="str">
        <f aca="false">IF($P160=0,"",IF($L160=R_LOT,IF($N160&lt;&gt;R_LOT,$N160,""),IF($N160=R_LOT,$L160,"")))</f>
        <v/>
      </c>
      <c r="X160" s="26" t="str">
        <f aca="false">IF($W160="","",IF(COUNTIF($W$4:$W159,$W160)&gt;0,"",COUNT($X$4:$X159)+1))</f>
        <v/>
      </c>
      <c r="Y160" s="26" t="n">
        <f aca="false">IF($P160=0,0,IF(OR($L160=R_LOT,$N160=R_LOT),1,0))</f>
        <v>0</v>
      </c>
      <c r="Z160" s="26" t="str">
        <f aca="false">IF($Y160=0,"",COUNTIF($Y$5:$Y160,1))</f>
        <v/>
      </c>
    </row>
    <row r="161" customFormat="false" ht="15" hidden="false" customHeight="false" outlineLevel="0" collapsed="false">
      <c r="A161" s="26" t="str">
        <f aca="false">IF($B161="","","RES-"&amp;TEXT(ROW()-4,"000"))</f>
        <v/>
      </c>
      <c r="B161" s="24"/>
      <c r="C161" s="25"/>
      <c r="D161" s="24"/>
      <c r="E161" s="24"/>
      <c r="F161" s="29"/>
      <c r="G161" s="24"/>
      <c r="H161" s="24"/>
      <c r="I161" s="24"/>
      <c r="J161" s="24"/>
      <c r="K161" s="24"/>
      <c r="L161" s="26" t="str">
        <f aca="false">IF($B161="","",IFERROR(INDEX(ST_LOT,MATCH($B161,ST_ID,0)),""))</f>
        <v/>
      </c>
      <c r="M161" s="26" t="str">
        <f aca="false">IF($B161="","",IFERROR(INDEX(ST_STRAIT,MATCH($B161,ST_ID,0)),""))</f>
        <v/>
      </c>
      <c r="N161" s="26" t="str">
        <f aca="false">IF($B161="","",IF($E161="",$L161,$E161))</f>
        <v/>
      </c>
      <c r="O161" s="26" t="str">
        <f aca="false">IF($J161="","",IFERROR(INDEX(EMPL_CLASSE,MATCH($J161,EMPL_KEY,0)),"?"))</f>
        <v/>
      </c>
      <c r="P161" s="28" t="n">
        <f aca="false">IF($B161="",0,IF(OR(ISNA(MATCH($B161,ST_ID,0)),NOT(ISNUMBER($F161)),$F161&lt;=0,$J161="",$N161=""),0,1))</f>
        <v>0</v>
      </c>
      <c r="Q161" s="27" t="n">
        <f aca="false">IF($P161=0,0,$F161)</f>
        <v>0</v>
      </c>
      <c r="R161" s="26" t="str">
        <f aca="false">IF($B161="","",IFERROR(INDEX(ST_STATUT,MATCH($B161,ST_ID,0)),""))</f>
        <v/>
      </c>
      <c r="S161" s="26" t="str">
        <f aca="false">IF($B161="","",IF($P161=0,"DONNEES MANQUANTES",IF(OR($R161="DONNEES MANQUANTES",$R161="STOCK INSUFFISANT",$R161="EMPLACEMENT INCOHERENT",$R161="BLOQUE"),"BLOQUE","OK")))</f>
        <v/>
      </c>
      <c r="T161" s="28" t="n">
        <f aca="false">IF($S161="OK",1,0)</f>
        <v>0</v>
      </c>
      <c r="U161" s="26" t="str">
        <f aca="false">IF($B161="","",IF($P161=0,"A COMPLETER : "&amp;IF(ISNA(MATCH($B161,ST_ID,0)),"ID ST valide; ","")&amp;IF(OR(NOT(ISNUMBER($F161)),$F161&lt;=0),"QUANTITE &gt; 0; ","")&amp;IF($J161="","EMPL. DESTINATION; ",""),IF($S161="BLOQUE","Envoi parent en anomalie ("&amp;$R161&amp;") : corriger l'onglet SOUS_TRAITANCE.",IF(AND($E161&lt;&gt;"",ISNA(MATCH($E161,LOT_KEY,0))),"Creer la fiche du lot resultat dans l'onglet LOTS.",""))))</f>
        <v/>
      </c>
      <c r="V161" s="31" t="str">
        <f aca="false">IF($B161="","",IF($C161&lt;&gt;"",$C161,IFERROR(INDEX(ST_DATERET,MATCH($B161,ST_ID,0)),"")))</f>
        <v/>
      </c>
      <c r="W161" s="26" t="str">
        <f aca="false">IF($P161=0,"",IF($L161=R_LOT,IF($N161&lt;&gt;R_LOT,$N161,""),IF($N161=R_LOT,$L161,"")))</f>
        <v/>
      </c>
      <c r="X161" s="26" t="str">
        <f aca="false">IF($W161="","",IF(COUNTIF($W$4:$W160,$W161)&gt;0,"",COUNT($X$4:$X160)+1))</f>
        <v/>
      </c>
      <c r="Y161" s="26" t="n">
        <f aca="false">IF($P161=0,0,IF(OR($L161=R_LOT,$N161=R_LOT),1,0))</f>
        <v>0</v>
      </c>
      <c r="Z161" s="26" t="str">
        <f aca="false">IF($Y161=0,"",COUNTIF($Y$5:$Y161,1))</f>
        <v/>
      </c>
    </row>
    <row r="162" customFormat="false" ht="15" hidden="false" customHeight="false" outlineLevel="0" collapsed="false">
      <c r="A162" s="26" t="str">
        <f aca="false">IF($B162="","","RES-"&amp;TEXT(ROW()-4,"000"))</f>
        <v/>
      </c>
      <c r="B162" s="24"/>
      <c r="C162" s="25"/>
      <c r="D162" s="24"/>
      <c r="E162" s="24"/>
      <c r="F162" s="29"/>
      <c r="G162" s="24"/>
      <c r="H162" s="24"/>
      <c r="I162" s="24"/>
      <c r="J162" s="24"/>
      <c r="K162" s="24"/>
      <c r="L162" s="26" t="str">
        <f aca="false">IF($B162="","",IFERROR(INDEX(ST_LOT,MATCH($B162,ST_ID,0)),""))</f>
        <v/>
      </c>
      <c r="M162" s="26" t="str">
        <f aca="false">IF($B162="","",IFERROR(INDEX(ST_STRAIT,MATCH($B162,ST_ID,0)),""))</f>
        <v/>
      </c>
      <c r="N162" s="26" t="str">
        <f aca="false">IF($B162="","",IF($E162="",$L162,$E162))</f>
        <v/>
      </c>
      <c r="O162" s="26" t="str">
        <f aca="false">IF($J162="","",IFERROR(INDEX(EMPL_CLASSE,MATCH($J162,EMPL_KEY,0)),"?"))</f>
        <v/>
      </c>
      <c r="P162" s="28" t="n">
        <f aca="false">IF($B162="",0,IF(OR(ISNA(MATCH($B162,ST_ID,0)),NOT(ISNUMBER($F162)),$F162&lt;=0,$J162="",$N162=""),0,1))</f>
        <v>0</v>
      </c>
      <c r="Q162" s="27" t="n">
        <f aca="false">IF($P162=0,0,$F162)</f>
        <v>0</v>
      </c>
      <c r="R162" s="26" t="str">
        <f aca="false">IF($B162="","",IFERROR(INDEX(ST_STATUT,MATCH($B162,ST_ID,0)),""))</f>
        <v/>
      </c>
      <c r="S162" s="26" t="str">
        <f aca="false">IF($B162="","",IF($P162=0,"DONNEES MANQUANTES",IF(OR($R162="DONNEES MANQUANTES",$R162="STOCK INSUFFISANT",$R162="EMPLACEMENT INCOHERENT",$R162="BLOQUE"),"BLOQUE","OK")))</f>
        <v/>
      </c>
      <c r="T162" s="28" t="n">
        <f aca="false">IF($S162="OK",1,0)</f>
        <v>0</v>
      </c>
      <c r="U162" s="26" t="str">
        <f aca="false">IF($B162="","",IF($P162=0,"A COMPLETER : "&amp;IF(ISNA(MATCH($B162,ST_ID,0)),"ID ST valide; ","")&amp;IF(OR(NOT(ISNUMBER($F162)),$F162&lt;=0),"QUANTITE &gt; 0; ","")&amp;IF($J162="","EMPL. DESTINATION; ",""),IF($S162="BLOQUE","Envoi parent en anomalie ("&amp;$R162&amp;") : corriger l'onglet SOUS_TRAITANCE.",IF(AND($E162&lt;&gt;"",ISNA(MATCH($E162,LOT_KEY,0))),"Creer la fiche du lot resultat dans l'onglet LOTS.",""))))</f>
        <v/>
      </c>
      <c r="V162" s="31" t="str">
        <f aca="false">IF($B162="","",IF($C162&lt;&gt;"",$C162,IFERROR(INDEX(ST_DATERET,MATCH($B162,ST_ID,0)),"")))</f>
        <v/>
      </c>
      <c r="W162" s="26" t="str">
        <f aca="false">IF($P162=0,"",IF($L162=R_LOT,IF($N162&lt;&gt;R_LOT,$N162,""),IF($N162=R_LOT,$L162,"")))</f>
        <v/>
      </c>
      <c r="X162" s="26" t="str">
        <f aca="false">IF($W162="","",IF(COUNTIF($W$4:$W161,$W162)&gt;0,"",COUNT($X$4:$X161)+1))</f>
        <v/>
      </c>
      <c r="Y162" s="26" t="n">
        <f aca="false">IF($P162=0,0,IF(OR($L162=R_LOT,$N162=R_LOT),1,0))</f>
        <v>0</v>
      </c>
      <c r="Z162" s="26" t="str">
        <f aca="false">IF($Y162=0,"",COUNTIF($Y$5:$Y162,1))</f>
        <v/>
      </c>
    </row>
    <row r="163" customFormat="false" ht="15" hidden="false" customHeight="false" outlineLevel="0" collapsed="false">
      <c r="A163" s="26" t="str">
        <f aca="false">IF($B163="","","RES-"&amp;TEXT(ROW()-4,"000"))</f>
        <v/>
      </c>
      <c r="B163" s="24"/>
      <c r="C163" s="25"/>
      <c r="D163" s="24"/>
      <c r="E163" s="24"/>
      <c r="F163" s="29"/>
      <c r="G163" s="24"/>
      <c r="H163" s="24"/>
      <c r="I163" s="24"/>
      <c r="J163" s="24"/>
      <c r="K163" s="24"/>
      <c r="L163" s="26" t="str">
        <f aca="false">IF($B163="","",IFERROR(INDEX(ST_LOT,MATCH($B163,ST_ID,0)),""))</f>
        <v/>
      </c>
      <c r="M163" s="26" t="str">
        <f aca="false">IF($B163="","",IFERROR(INDEX(ST_STRAIT,MATCH($B163,ST_ID,0)),""))</f>
        <v/>
      </c>
      <c r="N163" s="26" t="str">
        <f aca="false">IF($B163="","",IF($E163="",$L163,$E163))</f>
        <v/>
      </c>
      <c r="O163" s="26" t="str">
        <f aca="false">IF($J163="","",IFERROR(INDEX(EMPL_CLASSE,MATCH($J163,EMPL_KEY,0)),"?"))</f>
        <v/>
      </c>
      <c r="P163" s="28" t="n">
        <f aca="false">IF($B163="",0,IF(OR(ISNA(MATCH($B163,ST_ID,0)),NOT(ISNUMBER($F163)),$F163&lt;=0,$J163="",$N163=""),0,1))</f>
        <v>0</v>
      </c>
      <c r="Q163" s="27" t="n">
        <f aca="false">IF($P163=0,0,$F163)</f>
        <v>0</v>
      </c>
      <c r="R163" s="26" t="str">
        <f aca="false">IF($B163="","",IFERROR(INDEX(ST_STATUT,MATCH($B163,ST_ID,0)),""))</f>
        <v/>
      </c>
      <c r="S163" s="26" t="str">
        <f aca="false">IF($B163="","",IF($P163=0,"DONNEES MANQUANTES",IF(OR($R163="DONNEES MANQUANTES",$R163="STOCK INSUFFISANT",$R163="EMPLACEMENT INCOHERENT",$R163="BLOQUE"),"BLOQUE","OK")))</f>
        <v/>
      </c>
      <c r="T163" s="28" t="n">
        <f aca="false">IF($S163="OK",1,0)</f>
        <v>0</v>
      </c>
      <c r="U163" s="26" t="str">
        <f aca="false">IF($B163="","",IF($P163=0,"A COMPLETER : "&amp;IF(ISNA(MATCH($B163,ST_ID,0)),"ID ST valide; ","")&amp;IF(OR(NOT(ISNUMBER($F163)),$F163&lt;=0),"QUANTITE &gt; 0; ","")&amp;IF($J163="","EMPL. DESTINATION; ",""),IF($S163="BLOQUE","Envoi parent en anomalie ("&amp;$R163&amp;") : corriger l'onglet SOUS_TRAITANCE.",IF(AND($E163&lt;&gt;"",ISNA(MATCH($E163,LOT_KEY,0))),"Creer la fiche du lot resultat dans l'onglet LOTS.",""))))</f>
        <v/>
      </c>
      <c r="V163" s="31" t="str">
        <f aca="false">IF($B163="","",IF($C163&lt;&gt;"",$C163,IFERROR(INDEX(ST_DATERET,MATCH($B163,ST_ID,0)),"")))</f>
        <v/>
      </c>
      <c r="W163" s="26" t="str">
        <f aca="false">IF($P163=0,"",IF($L163=R_LOT,IF($N163&lt;&gt;R_LOT,$N163,""),IF($N163=R_LOT,$L163,"")))</f>
        <v/>
      </c>
      <c r="X163" s="26" t="str">
        <f aca="false">IF($W163="","",IF(COUNTIF($W$4:$W162,$W163)&gt;0,"",COUNT($X$4:$X162)+1))</f>
        <v/>
      </c>
      <c r="Y163" s="26" t="n">
        <f aca="false">IF($P163=0,0,IF(OR($L163=R_LOT,$N163=R_LOT),1,0))</f>
        <v>0</v>
      </c>
      <c r="Z163" s="26" t="str">
        <f aca="false">IF($Y163=0,"",COUNTIF($Y$5:$Y163,1))</f>
        <v/>
      </c>
    </row>
    <row r="164" customFormat="false" ht="15" hidden="false" customHeight="false" outlineLevel="0" collapsed="false">
      <c r="A164" s="26" t="str">
        <f aca="false">IF($B164="","","RES-"&amp;TEXT(ROW()-4,"000"))</f>
        <v/>
      </c>
      <c r="B164" s="24"/>
      <c r="C164" s="25"/>
      <c r="D164" s="24"/>
      <c r="E164" s="24"/>
      <c r="F164" s="29"/>
      <c r="G164" s="24"/>
      <c r="H164" s="24"/>
      <c r="I164" s="24"/>
      <c r="J164" s="24"/>
      <c r="K164" s="24"/>
      <c r="L164" s="26" t="str">
        <f aca="false">IF($B164="","",IFERROR(INDEX(ST_LOT,MATCH($B164,ST_ID,0)),""))</f>
        <v/>
      </c>
      <c r="M164" s="26" t="str">
        <f aca="false">IF($B164="","",IFERROR(INDEX(ST_STRAIT,MATCH($B164,ST_ID,0)),""))</f>
        <v/>
      </c>
      <c r="N164" s="26" t="str">
        <f aca="false">IF($B164="","",IF($E164="",$L164,$E164))</f>
        <v/>
      </c>
      <c r="O164" s="26" t="str">
        <f aca="false">IF($J164="","",IFERROR(INDEX(EMPL_CLASSE,MATCH($J164,EMPL_KEY,0)),"?"))</f>
        <v/>
      </c>
      <c r="P164" s="28" t="n">
        <f aca="false">IF($B164="",0,IF(OR(ISNA(MATCH($B164,ST_ID,0)),NOT(ISNUMBER($F164)),$F164&lt;=0,$J164="",$N164=""),0,1))</f>
        <v>0</v>
      </c>
      <c r="Q164" s="27" t="n">
        <f aca="false">IF($P164=0,0,$F164)</f>
        <v>0</v>
      </c>
      <c r="R164" s="26" t="str">
        <f aca="false">IF($B164="","",IFERROR(INDEX(ST_STATUT,MATCH($B164,ST_ID,0)),""))</f>
        <v/>
      </c>
      <c r="S164" s="26" t="str">
        <f aca="false">IF($B164="","",IF($P164=0,"DONNEES MANQUANTES",IF(OR($R164="DONNEES MANQUANTES",$R164="STOCK INSUFFISANT",$R164="EMPLACEMENT INCOHERENT",$R164="BLOQUE"),"BLOQUE","OK")))</f>
        <v/>
      </c>
      <c r="T164" s="28" t="n">
        <f aca="false">IF($S164="OK",1,0)</f>
        <v>0</v>
      </c>
      <c r="U164" s="26" t="str">
        <f aca="false">IF($B164="","",IF($P164=0,"A COMPLETER : "&amp;IF(ISNA(MATCH($B164,ST_ID,0)),"ID ST valide; ","")&amp;IF(OR(NOT(ISNUMBER($F164)),$F164&lt;=0),"QUANTITE &gt; 0; ","")&amp;IF($J164="","EMPL. DESTINATION; ",""),IF($S164="BLOQUE","Envoi parent en anomalie ("&amp;$R164&amp;") : corriger l'onglet SOUS_TRAITANCE.",IF(AND($E164&lt;&gt;"",ISNA(MATCH($E164,LOT_KEY,0))),"Creer la fiche du lot resultat dans l'onglet LOTS.",""))))</f>
        <v/>
      </c>
      <c r="V164" s="31" t="str">
        <f aca="false">IF($B164="","",IF($C164&lt;&gt;"",$C164,IFERROR(INDEX(ST_DATERET,MATCH($B164,ST_ID,0)),"")))</f>
        <v/>
      </c>
      <c r="W164" s="26" t="str">
        <f aca="false">IF($P164=0,"",IF($L164=R_LOT,IF($N164&lt;&gt;R_LOT,$N164,""),IF($N164=R_LOT,$L164,"")))</f>
        <v/>
      </c>
      <c r="X164" s="26" t="str">
        <f aca="false">IF($W164="","",IF(COUNTIF($W$4:$W163,$W164)&gt;0,"",COUNT($X$4:$X163)+1))</f>
        <v/>
      </c>
      <c r="Y164" s="26" t="n">
        <f aca="false">IF($P164=0,0,IF(OR($L164=R_LOT,$N164=R_LOT),1,0))</f>
        <v>0</v>
      </c>
      <c r="Z164" s="26" t="str">
        <f aca="false">IF($Y164=0,"",COUNTIF($Y$5:$Y164,1))</f>
        <v/>
      </c>
    </row>
    <row r="165" customFormat="false" ht="15" hidden="false" customHeight="false" outlineLevel="0" collapsed="false">
      <c r="A165" s="26" t="str">
        <f aca="false">IF($B165="","","RES-"&amp;TEXT(ROW()-4,"000"))</f>
        <v/>
      </c>
      <c r="B165" s="24"/>
      <c r="C165" s="25"/>
      <c r="D165" s="24"/>
      <c r="E165" s="24"/>
      <c r="F165" s="29"/>
      <c r="G165" s="24"/>
      <c r="H165" s="24"/>
      <c r="I165" s="24"/>
      <c r="J165" s="24"/>
      <c r="K165" s="24"/>
      <c r="L165" s="26" t="str">
        <f aca="false">IF($B165="","",IFERROR(INDEX(ST_LOT,MATCH($B165,ST_ID,0)),""))</f>
        <v/>
      </c>
      <c r="M165" s="26" t="str">
        <f aca="false">IF($B165="","",IFERROR(INDEX(ST_STRAIT,MATCH($B165,ST_ID,0)),""))</f>
        <v/>
      </c>
      <c r="N165" s="26" t="str">
        <f aca="false">IF($B165="","",IF($E165="",$L165,$E165))</f>
        <v/>
      </c>
      <c r="O165" s="26" t="str">
        <f aca="false">IF($J165="","",IFERROR(INDEX(EMPL_CLASSE,MATCH($J165,EMPL_KEY,0)),"?"))</f>
        <v/>
      </c>
      <c r="P165" s="28" t="n">
        <f aca="false">IF($B165="",0,IF(OR(ISNA(MATCH($B165,ST_ID,0)),NOT(ISNUMBER($F165)),$F165&lt;=0,$J165="",$N165=""),0,1))</f>
        <v>0</v>
      </c>
      <c r="Q165" s="27" t="n">
        <f aca="false">IF($P165=0,0,$F165)</f>
        <v>0</v>
      </c>
      <c r="R165" s="26" t="str">
        <f aca="false">IF($B165="","",IFERROR(INDEX(ST_STATUT,MATCH($B165,ST_ID,0)),""))</f>
        <v/>
      </c>
      <c r="S165" s="26" t="str">
        <f aca="false">IF($B165="","",IF($P165=0,"DONNEES MANQUANTES",IF(OR($R165="DONNEES MANQUANTES",$R165="STOCK INSUFFISANT",$R165="EMPLACEMENT INCOHERENT",$R165="BLOQUE"),"BLOQUE","OK")))</f>
        <v/>
      </c>
      <c r="T165" s="28" t="n">
        <f aca="false">IF($S165="OK",1,0)</f>
        <v>0</v>
      </c>
      <c r="U165" s="26" t="str">
        <f aca="false">IF($B165="","",IF($P165=0,"A COMPLETER : "&amp;IF(ISNA(MATCH($B165,ST_ID,0)),"ID ST valide; ","")&amp;IF(OR(NOT(ISNUMBER($F165)),$F165&lt;=0),"QUANTITE &gt; 0; ","")&amp;IF($J165="","EMPL. DESTINATION; ",""),IF($S165="BLOQUE","Envoi parent en anomalie ("&amp;$R165&amp;") : corriger l'onglet SOUS_TRAITANCE.",IF(AND($E165&lt;&gt;"",ISNA(MATCH($E165,LOT_KEY,0))),"Creer la fiche du lot resultat dans l'onglet LOTS.",""))))</f>
        <v/>
      </c>
      <c r="V165" s="31" t="str">
        <f aca="false">IF($B165="","",IF($C165&lt;&gt;"",$C165,IFERROR(INDEX(ST_DATERET,MATCH($B165,ST_ID,0)),"")))</f>
        <v/>
      </c>
      <c r="W165" s="26" t="str">
        <f aca="false">IF($P165=0,"",IF($L165=R_LOT,IF($N165&lt;&gt;R_LOT,$N165,""),IF($N165=R_LOT,$L165,"")))</f>
        <v/>
      </c>
      <c r="X165" s="26" t="str">
        <f aca="false">IF($W165="","",IF(COUNTIF($W$4:$W164,$W165)&gt;0,"",COUNT($X$4:$X164)+1))</f>
        <v/>
      </c>
      <c r="Y165" s="26" t="n">
        <f aca="false">IF($P165=0,0,IF(OR($L165=R_LOT,$N165=R_LOT),1,0))</f>
        <v>0</v>
      </c>
      <c r="Z165" s="26" t="str">
        <f aca="false">IF($Y165=0,"",COUNTIF($Y$5:$Y165,1))</f>
        <v/>
      </c>
    </row>
    <row r="166" customFormat="false" ht="15" hidden="false" customHeight="false" outlineLevel="0" collapsed="false">
      <c r="A166" s="26" t="str">
        <f aca="false">IF($B166="","","RES-"&amp;TEXT(ROW()-4,"000"))</f>
        <v/>
      </c>
      <c r="B166" s="24"/>
      <c r="C166" s="25"/>
      <c r="D166" s="24"/>
      <c r="E166" s="24"/>
      <c r="F166" s="29"/>
      <c r="G166" s="24"/>
      <c r="H166" s="24"/>
      <c r="I166" s="24"/>
      <c r="J166" s="24"/>
      <c r="K166" s="24"/>
      <c r="L166" s="26" t="str">
        <f aca="false">IF($B166="","",IFERROR(INDEX(ST_LOT,MATCH($B166,ST_ID,0)),""))</f>
        <v/>
      </c>
      <c r="M166" s="26" t="str">
        <f aca="false">IF($B166="","",IFERROR(INDEX(ST_STRAIT,MATCH($B166,ST_ID,0)),""))</f>
        <v/>
      </c>
      <c r="N166" s="26" t="str">
        <f aca="false">IF($B166="","",IF($E166="",$L166,$E166))</f>
        <v/>
      </c>
      <c r="O166" s="26" t="str">
        <f aca="false">IF($J166="","",IFERROR(INDEX(EMPL_CLASSE,MATCH($J166,EMPL_KEY,0)),"?"))</f>
        <v/>
      </c>
      <c r="P166" s="28" t="n">
        <f aca="false">IF($B166="",0,IF(OR(ISNA(MATCH($B166,ST_ID,0)),NOT(ISNUMBER($F166)),$F166&lt;=0,$J166="",$N166=""),0,1))</f>
        <v>0</v>
      </c>
      <c r="Q166" s="27" t="n">
        <f aca="false">IF($P166=0,0,$F166)</f>
        <v>0</v>
      </c>
      <c r="R166" s="26" t="str">
        <f aca="false">IF($B166="","",IFERROR(INDEX(ST_STATUT,MATCH($B166,ST_ID,0)),""))</f>
        <v/>
      </c>
      <c r="S166" s="26" t="str">
        <f aca="false">IF($B166="","",IF($P166=0,"DONNEES MANQUANTES",IF(OR($R166="DONNEES MANQUANTES",$R166="STOCK INSUFFISANT",$R166="EMPLACEMENT INCOHERENT",$R166="BLOQUE"),"BLOQUE","OK")))</f>
        <v/>
      </c>
      <c r="T166" s="28" t="n">
        <f aca="false">IF($S166="OK",1,0)</f>
        <v>0</v>
      </c>
      <c r="U166" s="26" t="str">
        <f aca="false">IF($B166="","",IF($P166=0,"A COMPLETER : "&amp;IF(ISNA(MATCH($B166,ST_ID,0)),"ID ST valide; ","")&amp;IF(OR(NOT(ISNUMBER($F166)),$F166&lt;=0),"QUANTITE &gt; 0; ","")&amp;IF($J166="","EMPL. DESTINATION; ",""),IF($S166="BLOQUE","Envoi parent en anomalie ("&amp;$R166&amp;") : corriger l'onglet SOUS_TRAITANCE.",IF(AND($E166&lt;&gt;"",ISNA(MATCH($E166,LOT_KEY,0))),"Creer la fiche du lot resultat dans l'onglet LOTS.",""))))</f>
        <v/>
      </c>
      <c r="V166" s="31" t="str">
        <f aca="false">IF($B166="","",IF($C166&lt;&gt;"",$C166,IFERROR(INDEX(ST_DATERET,MATCH($B166,ST_ID,0)),"")))</f>
        <v/>
      </c>
      <c r="W166" s="26" t="str">
        <f aca="false">IF($P166=0,"",IF($L166=R_LOT,IF($N166&lt;&gt;R_LOT,$N166,""),IF($N166=R_LOT,$L166,"")))</f>
        <v/>
      </c>
      <c r="X166" s="26" t="str">
        <f aca="false">IF($W166="","",IF(COUNTIF($W$4:$W165,$W166)&gt;0,"",COUNT($X$4:$X165)+1))</f>
        <v/>
      </c>
      <c r="Y166" s="26" t="n">
        <f aca="false">IF($P166=0,0,IF(OR($L166=R_LOT,$N166=R_LOT),1,0))</f>
        <v>0</v>
      </c>
      <c r="Z166" s="26" t="str">
        <f aca="false">IF($Y166=0,"",COUNTIF($Y$5:$Y166,1))</f>
        <v/>
      </c>
    </row>
    <row r="167" customFormat="false" ht="15" hidden="false" customHeight="false" outlineLevel="0" collapsed="false">
      <c r="A167" s="26" t="str">
        <f aca="false">IF($B167="","","RES-"&amp;TEXT(ROW()-4,"000"))</f>
        <v/>
      </c>
      <c r="B167" s="24"/>
      <c r="C167" s="25"/>
      <c r="D167" s="24"/>
      <c r="E167" s="24"/>
      <c r="F167" s="29"/>
      <c r="G167" s="24"/>
      <c r="H167" s="24"/>
      <c r="I167" s="24"/>
      <c r="J167" s="24"/>
      <c r="K167" s="24"/>
      <c r="L167" s="26" t="str">
        <f aca="false">IF($B167="","",IFERROR(INDEX(ST_LOT,MATCH($B167,ST_ID,0)),""))</f>
        <v/>
      </c>
      <c r="M167" s="26" t="str">
        <f aca="false">IF($B167="","",IFERROR(INDEX(ST_STRAIT,MATCH($B167,ST_ID,0)),""))</f>
        <v/>
      </c>
      <c r="N167" s="26" t="str">
        <f aca="false">IF($B167="","",IF($E167="",$L167,$E167))</f>
        <v/>
      </c>
      <c r="O167" s="26" t="str">
        <f aca="false">IF($J167="","",IFERROR(INDEX(EMPL_CLASSE,MATCH($J167,EMPL_KEY,0)),"?"))</f>
        <v/>
      </c>
      <c r="P167" s="28" t="n">
        <f aca="false">IF($B167="",0,IF(OR(ISNA(MATCH($B167,ST_ID,0)),NOT(ISNUMBER($F167)),$F167&lt;=0,$J167="",$N167=""),0,1))</f>
        <v>0</v>
      </c>
      <c r="Q167" s="27" t="n">
        <f aca="false">IF($P167=0,0,$F167)</f>
        <v>0</v>
      </c>
      <c r="R167" s="26" t="str">
        <f aca="false">IF($B167="","",IFERROR(INDEX(ST_STATUT,MATCH($B167,ST_ID,0)),""))</f>
        <v/>
      </c>
      <c r="S167" s="26" t="str">
        <f aca="false">IF($B167="","",IF($P167=0,"DONNEES MANQUANTES",IF(OR($R167="DONNEES MANQUANTES",$R167="STOCK INSUFFISANT",$R167="EMPLACEMENT INCOHERENT",$R167="BLOQUE"),"BLOQUE","OK")))</f>
        <v/>
      </c>
      <c r="T167" s="28" t="n">
        <f aca="false">IF($S167="OK",1,0)</f>
        <v>0</v>
      </c>
      <c r="U167" s="26" t="str">
        <f aca="false">IF($B167="","",IF($P167=0,"A COMPLETER : "&amp;IF(ISNA(MATCH($B167,ST_ID,0)),"ID ST valide; ","")&amp;IF(OR(NOT(ISNUMBER($F167)),$F167&lt;=0),"QUANTITE &gt; 0; ","")&amp;IF($J167="","EMPL. DESTINATION; ",""),IF($S167="BLOQUE","Envoi parent en anomalie ("&amp;$R167&amp;") : corriger l'onglet SOUS_TRAITANCE.",IF(AND($E167&lt;&gt;"",ISNA(MATCH($E167,LOT_KEY,0))),"Creer la fiche du lot resultat dans l'onglet LOTS.",""))))</f>
        <v/>
      </c>
      <c r="V167" s="31" t="str">
        <f aca="false">IF($B167="","",IF($C167&lt;&gt;"",$C167,IFERROR(INDEX(ST_DATERET,MATCH($B167,ST_ID,0)),"")))</f>
        <v/>
      </c>
      <c r="W167" s="26" t="str">
        <f aca="false">IF($P167=0,"",IF($L167=R_LOT,IF($N167&lt;&gt;R_LOT,$N167,""),IF($N167=R_LOT,$L167,"")))</f>
        <v/>
      </c>
      <c r="X167" s="26" t="str">
        <f aca="false">IF($W167="","",IF(COUNTIF($W$4:$W166,$W167)&gt;0,"",COUNT($X$4:$X166)+1))</f>
        <v/>
      </c>
      <c r="Y167" s="26" t="n">
        <f aca="false">IF($P167=0,0,IF(OR($L167=R_LOT,$N167=R_LOT),1,0))</f>
        <v>0</v>
      </c>
      <c r="Z167" s="26" t="str">
        <f aca="false">IF($Y167=0,"",COUNTIF($Y$5:$Y167,1))</f>
        <v/>
      </c>
    </row>
    <row r="168" customFormat="false" ht="15" hidden="false" customHeight="false" outlineLevel="0" collapsed="false">
      <c r="A168" s="26" t="str">
        <f aca="false">IF($B168="","","RES-"&amp;TEXT(ROW()-4,"000"))</f>
        <v/>
      </c>
      <c r="B168" s="24"/>
      <c r="C168" s="25"/>
      <c r="D168" s="24"/>
      <c r="E168" s="24"/>
      <c r="F168" s="29"/>
      <c r="G168" s="24"/>
      <c r="H168" s="24"/>
      <c r="I168" s="24"/>
      <c r="J168" s="24"/>
      <c r="K168" s="24"/>
      <c r="L168" s="26" t="str">
        <f aca="false">IF($B168="","",IFERROR(INDEX(ST_LOT,MATCH($B168,ST_ID,0)),""))</f>
        <v/>
      </c>
      <c r="M168" s="26" t="str">
        <f aca="false">IF($B168="","",IFERROR(INDEX(ST_STRAIT,MATCH($B168,ST_ID,0)),""))</f>
        <v/>
      </c>
      <c r="N168" s="26" t="str">
        <f aca="false">IF($B168="","",IF($E168="",$L168,$E168))</f>
        <v/>
      </c>
      <c r="O168" s="26" t="str">
        <f aca="false">IF($J168="","",IFERROR(INDEX(EMPL_CLASSE,MATCH($J168,EMPL_KEY,0)),"?"))</f>
        <v/>
      </c>
      <c r="P168" s="28" t="n">
        <f aca="false">IF($B168="",0,IF(OR(ISNA(MATCH($B168,ST_ID,0)),NOT(ISNUMBER($F168)),$F168&lt;=0,$J168="",$N168=""),0,1))</f>
        <v>0</v>
      </c>
      <c r="Q168" s="27" t="n">
        <f aca="false">IF($P168=0,0,$F168)</f>
        <v>0</v>
      </c>
      <c r="R168" s="26" t="str">
        <f aca="false">IF($B168="","",IFERROR(INDEX(ST_STATUT,MATCH($B168,ST_ID,0)),""))</f>
        <v/>
      </c>
      <c r="S168" s="26" t="str">
        <f aca="false">IF($B168="","",IF($P168=0,"DONNEES MANQUANTES",IF(OR($R168="DONNEES MANQUANTES",$R168="STOCK INSUFFISANT",$R168="EMPLACEMENT INCOHERENT",$R168="BLOQUE"),"BLOQUE","OK")))</f>
        <v/>
      </c>
      <c r="T168" s="28" t="n">
        <f aca="false">IF($S168="OK",1,0)</f>
        <v>0</v>
      </c>
      <c r="U168" s="26" t="str">
        <f aca="false">IF($B168="","",IF($P168=0,"A COMPLETER : "&amp;IF(ISNA(MATCH($B168,ST_ID,0)),"ID ST valide; ","")&amp;IF(OR(NOT(ISNUMBER($F168)),$F168&lt;=0),"QUANTITE &gt; 0; ","")&amp;IF($J168="","EMPL. DESTINATION; ",""),IF($S168="BLOQUE","Envoi parent en anomalie ("&amp;$R168&amp;") : corriger l'onglet SOUS_TRAITANCE.",IF(AND($E168&lt;&gt;"",ISNA(MATCH($E168,LOT_KEY,0))),"Creer la fiche du lot resultat dans l'onglet LOTS.",""))))</f>
        <v/>
      </c>
      <c r="V168" s="31" t="str">
        <f aca="false">IF($B168="","",IF($C168&lt;&gt;"",$C168,IFERROR(INDEX(ST_DATERET,MATCH($B168,ST_ID,0)),"")))</f>
        <v/>
      </c>
      <c r="W168" s="26" t="str">
        <f aca="false">IF($P168=0,"",IF($L168=R_LOT,IF($N168&lt;&gt;R_LOT,$N168,""),IF($N168=R_LOT,$L168,"")))</f>
        <v/>
      </c>
      <c r="X168" s="26" t="str">
        <f aca="false">IF($W168="","",IF(COUNTIF($W$4:$W167,$W168)&gt;0,"",COUNT($X$4:$X167)+1))</f>
        <v/>
      </c>
      <c r="Y168" s="26" t="n">
        <f aca="false">IF($P168=0,0,IF(OR($L168=R_LOT,$N168=R_LOT),1,0))</f>
        <v>0</v>
      </c>
      <c r="Z168" s="26" t="str">
        <f aca="false">IF($Y168=0,"",COUNTIF($Y$5:$Y168,1))</f>
        <v/>
      </c>
    </row>
    <row r="169" customFormat="false" ht="15" hidden="false" customHeight="false" outlineLevel="0" collapsed="false">
      <c r="A169" s="26" t="str">
        <f aca="false">IF($B169="","","RES-"&amp;TEXT(ROW()-4,"000"))</f>
        <v/>
      </c>
      <c r="B169" s="24"/>
      <c r="C169" s="25"/>
      <c r="D169" s="24"/>
      <c r="E169" s="24"/>
      <c r="F169" s="29"/>
      <c r="G169" s="24"/>
      <c r="H169" s="24"/>
      <c r="I169" s="24"/>
      <c r="J169" s="24"/>
      <c r="K169" s="24"/>
      <c r="L169" s="26" t="str">
        <f aca="false">IF($B169="","",IFERROR(INDEX(ST_LOT,MATCH($B169,ST_ID,0)),""))</f>
        <v/>
      </c>
      <c r="M169" s="26" t="str">
        <f aca="false">IF($B169="","",IFERROR(INDEX(ST_STRAIT,MATCH($B169,ST_ID,0)),""))</f>
        <v/>
      </c>
      <c r="N169" s="26" t="str">
        <f aca="false">IF($B169="","",IF($E169="",$L169,$E169))</f>
        <v/>
      </c>
      <c r="O169" s="26" t="str">
        <f aca="false">IF($J169="","",IFERROR(INDEX(EMPL_CLASSE,MATCH($J169,EMPL_KEY,0)),"?"))</f>
        <v/>
      </c>
      <c r="P169" s="28" t="n">
        <f aca="false">IF($B169="",0,IF(OR(ISNA(MATCH($B169,ST_ID,0)),NOT(ISNUMBER($F169)),$F169&lt;=0,$J169="",$N169=""),0,1))</f>
        <v>0</v>
      </c>
      <c r="Q169" s="27" t="n">
        <f aca="false">IF($P169=0,0,$F169)</f>
        <v>0</v>
      </c>
      <c r="R169" s="26" t="str">
        <f aca="false">IF($B169="","",IFERROR(INDEX(ST_STATUT,MATCH($B169,ST_ID,0)),""))</f>
        <v/>
      </c>
      <c r="S169" s="26" t="str">
        <f aca="false">IF($B169="","",IF($P169=0,"DONNEES MANQUANTES",IF(OR($R169="DONNEES MANQUANTES",$R169="STOCK INSUFFISANT",$R169="EMPLACEMENT INCOHERENT",$R169="BLOQUE"),"BLOQUE","OK")))</f>
        <v/>
      </c>
      <c r="T169" s="28" t="n">
        <f aca="false">IF($S169="OK",1,0)</f>
        <v>0</v>
      </c>
      <c r="U169" s="26" t="str">
        <f aca="false">IF($B169="","",IF($P169=0,"A COMPLETER : "&amp;IF(ISNA(MATCH($B169,ST_ID,0)),"ID ST valide; ","")&amp;IF(OR(NOT(ISNUMBER($F169)),$F169&lt;=0),"QUANTITE &gt; 0; ","")&amp;IF($J169="","EMPL. DESTINATION; ",""),IF($S169="BLOQUE","Envoi parent en anomalie ("&amp;$R169&amp;") : corriger l'onglet SOUS_TRAITANCE.",IF(AND($E169&lt;&gt;"",ISNA(MATCH($E169,LOT_KEY,0))),"Creer la fiche du lot resultat dans l'onglet LOTS.",""))))</f>
        <v/>
      </c>
      <c r="V169" s="31" t="str">
        <f aca="false">IF($B169="","",IF($C169&lt;&gt;"",$C169,IFERROR(INDEX(ST_DATERET,MATCH($B169,ST_ID,0)),"")))</f>
        <v/>
      </c>
      <c r="W169" s="26" t="str">
        <f aca="false">IF($P169=0,"",IF($L169=R_LOT,IF($N169&lt;&gt;R_LOT,$N169,""),IF($N169=R_LOT,$L169,"")))</f>
        <v/>
      </c>
      <c r="X169" s="26" t="str">
        <f aca="false">IF($W169="","",IF(COUNTIF($W$4:$W168,$W169)&gt;0,"",COUNT($X$4:$X168)+1))</f>
        <v/>
      </c>
      <c r="Y169" s="26" t="n">
        <f aca="false">IF($P169=0,0,IF(OR($L169=R_LOT,$N169=R_LOT),1,0))</f>
        <v>0</v>
      </c>
      <c r="Z169" s="26" t="str">
        <f aca="false">IF($Y169=0,"",COUNTIF($Y$5:$Y169,1))</f>
        <v/>
      </c>
    </row>
    <row r="170" customFormat="false" ht="15" hidden="false" customHeight="false" outlineLevel="0" collapsed="false">
      <c r="A170" s="26" t="str">
        <f aca="false">IF($B170="","","RES-"&amp;TEXT(ROW()-4,"000"))</f>
        <v/>
      </c>
      <c r="B170" s="24"/>
      <c r="C170" s="25"/>
      <c r="D170" s="24"/>
      <c r="E170" s="24"/>
      <c r="F170" s="29"/>
      <c r="G170" s="24"/>
      <c r="H170" s="24"/>
      <c r="I170" s="24"/>
      <c r="J170" s="24"/>
      <c r="K170" s="24"/>
      <c r="L170" s="26" t="str">
        <f aca="false">IF($B170="","",IFERROR(INDEX(ST_LOT,MATCH($B170,ST_ID,0)),""))</f>
        <v/>
      </c>
      <c r="M170" s="26" t="str">
        <f aca="false">IF($B170="","",IFERROR(INDEX(ST_STRAIT,MATCH($B170,ST_ID,0)),""))</f>
        <v/>
      </c>
      <c r="N170" s="26" t="str">
        <f aca="false">IF($B170="","",IF($E170="",$L170,$E170))</f>
        <v/>
      </c>
      <c r="O170" s="26" t="str">
        <f aca="false">IF($J170="","",IFERROR(INDEX(EMPL_CLASSE,MATCH($J170,EMPL_KEY,0)),"?"))</f>
        <v/>
      </c>
      <c r="P170" s="28" t="n">
        <f aca="false">IF($B170="",0,IF(OR(ISNA(MATCH($B170,ST_ID,0)),NOT(ISNUMBER($F170)),$F170&lt;=0,$J170="",$N170=""),0,1))</f>
        <v>0</v>
      </c>
      <c r="Q170" s="27" t="n">
        <f aca="false">IF($P170=0,0,$F170)</f>
        <v>0</v>
      </c>
      <c r="R170" s="26" t="str">
        <f aca="false">IF($B170="","",IFERROR(INDEX(ST_STATUT,MATCH($B170,ST_ID,0)),""))</f>
        <v/>
      </c>
      <c r="S170" s="26" t="str">
        <f aca="false">IF($B170="","",IF($P170=0,"DONNEES MANQUANTES",IF(OR($R170="DONNEES MANQUANTES",$R170="STOCK INSUFFISANT",$R170="EMPLACEMENT INCOHERENT",$R170="BLOQUE"),"BLOQUE","OK")))</f>
        <v/>
      </c>
      <c r="T170" s="28" t="n">
        <f aca="false">IF($S170="OK",1,0)</f>
        <v>0</v>
      </c>
      <c r="U170" s="26" t="str">
        <f aca="false">IF($B170="","",IF($P170=0,"A COMPLETER : "&amp;IF(ISNA(MATCH($B170,ST_ID,0)),"ID ST valide; ","")&amp;IF(OR(NOT(ISNUMBER($F170)),$F170&lt;=0),"QUANTITE &gt; 0; ","")&amp;IF($J170="","EMPL. DESTINATION; ",""),IF($S170="BLOQUE","Envoi parent en anomalie ("&amp;$R170&amp;") : corriger l'onglet SOUS_TRAITANCE.",IF(AND($E170&lt;&gt;"",ISNA(MATCH($E170,LOT_KEY,0))),"Creer la fiche du lot resultat dans l'onglet LOTS.",""))))</f>
        <v/>
      </c>
      <c r="V170" s="31" t="str">
        <f aca="false">IF($B170="","",IF($C170&lt;&gt;"",$C170,IFERROR(INDEX(ST_DATERET,MATCH($B170,ST_ID,0)),"")))</f>
        <v/>
      </c>
      <c r="W170" s="26" t="str">
        <f aca="false">IF($P170=0,"",IF($L170=R_LOT,IF($N170&lt;&gt;R_LOT,$N170,""),IF($N170=R_LOT,$L170,"")))</f>
        <v/>
      </c>
      <c r="X170" s="26" t="str">
        <f aca="false">IF($W170="","",IF(COUNTIF($W$4:$W169,$W170)&gt;0,"",COUNT($X$4:$X169)+1))</f>
        <v/>
      </c>
      <c r="Y170" s="26" t="n">
        <f aca="false">IF($P170=0,0,IF(OR($L170=R_LOT,$N170=R_LOT),1,0))</f>
        <v>0</v>
      </c>
      <c r="Z170" s="26" t="str">
        <f aca="false">IF($Y170=0,"",COUNTIF($Y$5:$Y170,1))</f>
        <v/>
      </c>
    </row>
    <row r="171" customFormat="false" ht="15" hidden="false" customHeight="false" outlineLevel="0" collapsed="false">
      <c r="A171" s="26" t="str">
        <f aca="false">IF($B171="","","RES-"&amp;TEXT(ROW()-4,"000"))</f>
        <v/>
      </c>
      <c r="B171" s="24"/>
      <c r="C171" s="25"/>
      <c r="D171" s="24"/>
      <c r="E171" s="24"/>
      <c r="F171" s="29"/>
      <c r="G171" s="24"/>
      <c r="H171" s="24"/>
      <c r="I171" s="24"/>
      <c r="J171" s="24"/>
      <c r="K171" s="24"/>
      <c r="L171" s="26" t="str">
        <f aca="false">IF($B171="","",IFERROR(INDEX(ST_LOT,MATCH($B171,ST_ID,0)),""))</f>
        <v/>
      </c>
      <c r="M171" s="26" t="str">
        <f aca="false">IF($B171="","",IFERROR(INDEX(ST_STRAIT,MATCH($B171,ST_ID,0)),""))</f>
        <v/>
      </c>
      <c r="N171" s="26" t="str">
        <f aca="false">IF($B171="","",IF($E171="",$L171,$E171))</f>
        <v/>
      </c>
      <c r="O171" s="26" t="str">
        <f aca="false">IF($J171="","",IFERROR(INDEX(EMPL_CLASSE,MATCH($J171,EMPL_KEY,0)),"?"))</f>
        <v/>
      </c>
      <c r="P171" s="28" t="n">
        <f aca="false">IF($B171="",0,IF(OR(ISNA(MATCH($B171,ST_ID,0)),NOT(ISNUMBER($F171)),$F171&lt;=0,$J171="",$N171=""),0,1))</f>
        <v>0</v>
      </c>
      <c r="Q171" s="27" t="n">
        <f aca="false">IF($P171=0,0,$F171)</f>
        <v>0</v>
      </c>
      <c r="R171" s="26" t="str">
        <f aca="false">IF($B171="","",IFERROR(INDEX(ST_STATUT,MATCH($B171,ST_ID,0)),""))</f>
        <v/>
      </c>
      <c r="S171" s="26" t="str">
        <f aca="false">IF($B171="","",IF($P171=0,"DONNEES MANQUANTES",IF(OR($R171="DONNEES MANQUANTES",$R171="STOCK INSUFFISANT",$R171="EMPLACEMENT INCOHERENT",$R171="BLOQUE"),"BLOQUE","OK")))</f>
        <v/>
      </c>
      <c r="T171" s="28" t="n">
        <f aca="false">IF($S171="OK",1,0)</f>
        <v>0</v>
      </c>
      <c r="U171" s="26" t="str">
        <f aca="false">IF($B171="","",IF($P171=0,"A COMPLETER : "&amp;IF(ISNA(MATCH($B171,ST_ID,0)),"ID ST valide; ","")&amp;IF(OR(NOT(ISNUMBER($F171)),$F171&lt;=0),"QUANTITE &gt; 0; ","")&amp;IF($J171="","EMPL. DESTINATION; ",""),IF($S171="BLOQUE","Envoi parent en anomalie ("&amp;$R171&amp;") : corriger l'onglet SOUS_TRAITANCE.",IF(AND($E171&lt;&gt;"",ISNA(MATCH($E171,LOT_KEY,0))),"Creer la fiche du lot resultat dans l'onglet LOTS.",""))))</f>
        <v/>
      </c>
      <c r="V171" s="31" t="str">
        <f aca="false">IF($B171="","",IF($C171&lt;&gt;"",$C171,IFERROR(INDEX(ST_DATERET,MATCH($B171,ST_ID,0)),"")))</f>
        <v/>
      </c>
      <c r="W171" s="26" t="str">
        <f aca="false">IF($P171=0,"",IF($L171=R_LOT,IF($N171&lt;&gt;R_LOT,$N171,""),IF($N171=R_LOT,$L171,"")))</f>
        <v/>
      </c>
      <c r="X171" s="26" t="str">
        <f aca="false">IF($W171="","",IF(COUNTIF($W$4:$W170,$W171)&gt;0,"",COUNT($X$4:$X170)+1))</f>
        <v/>
      </c>
      <c r="Y171" s="26" t="n">
        <f aca="false">IF($P171=0,0,IF(OR($L171=R_LOT,$N171=R_LOT),1,0))</f>
        <v>0</v>
      </c>
      <c r="Z171" s="26" t="str">
        <f aca="false">IF($Y171=0,"",COUNTIF($Y$5:$Y171,1))</f>
        <v/>
      </c>
    </row>
    <row r="172" customFormat="false" ht="15" hidden="false" customHeight="false" outlineLevel="0" collapsed="false">
      <c r="A172" s="26" t="str">
        <f aca="false">IF($B172="","","RES-"&amp;TEXT(ROW()-4,"000"))</f>
        <v/>
      </c>
      <c r="B172" s="24"/>
      <c r="C172" s="25"/>
      <c r="D172" s="24"/>
      <c r="E172" s="24"/>
      <c r="F172" s="29"/>
      <c r="G172" s="24"/>
      <c r="H172" s="24"/>
      <c r="I172" s="24"/>
      <c r="J172" s="24"/>
      <c r="K172" s="24"/>
      <c r="L172" s="26" t="str">
        <f aca="false">IF($B172="","",IFERROR(INDEX(ST_LOT,MATCH($B172,ST_ID,0)),""))</f>
        <v/>
      </c>
      <c r="M172" s="26" t="str">
        <f aca="false">IF($B172="","",IFERROR(INDEX(ST_STRAIT,MATCH($B172,ST_ID,0)),""))</f>
        <v/>
      </c>
      <c r="N172" s="26" t="str">
        <f aca="false">IF($B172="","",IF($E172="",$L172,$E172))</f>
        <v/>
      </c>
      <c r="O172" s="26" t="str">
        <f aca="false">IF($J172="","",IFERROR(INDEX(EMPL_CLASSE,MATCH($J172,EMPL_KEY,0)),"?"))</f>
        <v/>
      </c>
      <c r="P172" s="28" t="n">
        <f aca="false">IF($B172="",0,IF(OR(ISNA(MATCH($B172,ST_ID,0)),NOT(ISNUMBER($F172)),$F172&lt;=0,$J172="",$N172=""),0,1))</f>
        <v>0</v>
      </c>
      <c r="Q172" s="27" t="n">
        <f aca="false">IF($P172=0,0,$F172)</f>
        <v>0</v>
      </c>
      <c r="R172" s="26" t="str">
        <f aca="false">IF($B172="","",IFERROR(INDEX(ST_STATUT,MATCH($B172,ST_ID,0)),""))</f>
        <v/>
      </c>
      <c r="S172" s="26" t="str">
        <f aca="false">IF($B172="","",IF($P172=0,"DONNEES MANQUANTES",IF(OR($R172="DONNEES MANQUANTES",$R172="STOCK INSUFFISANT",$R172="EMPLACEMENT INCOHERENT",$R172="BLOQUE"),"BLOQUE","OK")))</f>
        <v/>
      </c>
      <c r="T172" s="28" t="n">
        <f aca="false">IF($S172="OK",1,0)</f>
        <v>0</v>
      </c>
      <c r="U172" s="26" t="str">
        <f aca="false">IF($B172="","",IF($P172=0,"A COMPLETER : "&amp;IF(ISNA(MATCH($B172,ST_ID,0)),"ID ST valide; ","")&amp;IF(OR(NOT(ISNUMBER($F172)),$F172&lt;=0),"QUANTITE &gt; 0; ","")&amp;IF($J172="","EMPL. DESTINATION; ",""),IF($S172="BLOQUE","Envoi parent en anomalie ("&amp;$R172&amp;") : corriger l'onglet SOUS_TRAITANCE.",IF(AND($E172&lt;&gt;"",ISNA(MATCH($E172,LOT_KEY,0))),"Creer la fiche du lot resultat dans l'onglet LOTS.",""))))</f>
        <v/>
      </c>
      <c r="V172" s="31" t="str">
        <f aca="false">IF($B172="","",IF($C172&lt;&gt;"",$C172,IFERROR(INDEX(ST_DATERET,MATCH($B172,ST_ID,0)),"")))</f>
        <v/>
      </c>
      <c r="W172" s="26" t="str">
        <f aca="false">IF($P172=0,"",IF($L172=R_LOT,IF($N172&lt;&gt;R_LOT,$N172,""),IF($N172=R_LOT,$L172,"")))</f>
        <v/>
      </c>
      <c r="X172" s="26" t="str">
        <f aca="false">IF($W172="","",IF(COUNTIF($W$4:$W171,$W172)&gt;0,"",COUNT($X$4:$X171)+1))</f>
        <v/>
      </c>
      <c r="Y172" s="26" t="n">
        <f aca="false">IF($P172=0,0,IF(OR($L172=R_LOT,$N172=R_LOT),1,0))</f>
        <v>0</v>
      </c>
      <c r="Z172" s="26" t="str">
        <f aca="false">IF($Y172=0,"",COUNTIF($Y$5:$Y172,1))</f>
        <v/>
      </c>
    </row>
    <row r="173" customFormat="false" ht="15" hidden="false" customHeight="false" outlineLevel="0" collapsed="false">
      <c r="A173" s="26" t="str">
        <f aca="false">IF($B173="","","RES-"&amp;TEXT(ROW()-4,"000"))</f>
        <v/>
      </c>
      <c r="B173" s="24"/>
      <c r="C173" s="25"/>
      <c r="D173" s="24"/>
      <c r="E173" s="24"/>
      <c r="F173" s="29"/>
      <c r="G173" s="24"/>
      <c r="H173" s="24"/>
      <c r="I173" s="24"/>
      <c r="J173" s="24"/>
      <c r="K173" s="24"/>
      <c r="L173" s="26" t="str">
        <f aca="false">IF($B173="","",IFERROR(INDEX(ST_LOT,MATCH($B173,ST_ID,0)),""))</f>
        <v/>
      </c>
      <c r="M173" s="26" t="str">
        <f aca="false">IF($B173="","",IFERROR(INDEX(ST_STRAIT,MATCH($B173,ST_ID,0)),""))</f>
        <v/>
      </c>
      <c r="N173" s="26" t="str">
        <f aca="false">IF($B173="","",IF($E173="",$L173,$E173))</f>
        <v/>
      </c>
      <c r="O173" s="26" t="str">
        <f aca="false">IF($J173="","",IFERROR(INDEX(EMPL_CLASSE,MATCH($J173,EMPL_KEY,0)),"?"))</f>
        <v/>
      </c>
      <c r="P173" s="28" t="n">
        <f aca="false">IF($B173="",0,IF(OR(ISNA(MATCH($B173,ST_ID,0)),NOT(ISNUMBER($F173)),$F173&lt;=0,$J173="",$N173=""),0,1))</f>
        <v>0</v>
      </c>
      <c r="Q173" s="27" t="n">
        <f aca="false">IF($P173=0,0,$F173)</f>
        <v>0</v>
      </c>
      <c r="R173" s="26" t="str">
        <f aca="false">IF($B173="","",IFERROR(INDEX(ST_STATUT,MATCH($B173,ST_ID,0)),""))</f>
        <v/>
      </c>
      <c r="S173" s="26" t="str">
        <f aca="false">IF($B173="","",IF($P173=0,"DONNEES MANQUANTES",IF(OR($R173="DONNEES MANQUANTES",$R173="STOCK INSUFFISANT",$R173="EMPLACEMENT INCOHERENT",$R173="BLOQUE"),"BLOQUE","OK")))</f>
        <v/>
      </c>
      <c r="T173" s="28" t="n">
        <f aca="false">IF($S173="OK",1,0)</f>
        <v>0</v>
      </c>
      <c r="U173" s="26" t="str">
        <f aca="false">IF($B173="","",IF($P173=0,"A COMPLETER : "&amp;IF(ISNA(MATCH($B173,ST_ID,0)),"ID ST valide; ","")&amp;IF(OR(NOT(ISNUMBER($F173)),$F173&lt;=0),"QUANTITE &gt; 0; ","")&amp;IF($J173="","EMPL. DESTINATION; ",""),IF($S173="BLOQUE","Envoi parent en anomalie ("&amp;$R173&amp;") : corriger l'onglet SOUS_TRAITANCE.",IF(AND($E173&lt;&gt;"",ISNA(MATCH($E173,LOT_KEY,0))),"Creer la fiche du lot resultat dans l'onglet LOTS.",""))))</f>
        <v/>
      </c>
      <c r="V173" s="31" t="str">
        <f aca="false">IF($B173="","",IF($C173&lt;&gt;"",$C173,IFERROR(INDEX(ST_DATERET,MATCH($B173,ST_ID,0)),"")))</f>
        <v/>
      </c>
      <c r="W173" s="26" t="str">
        <f aca="false">IF($P173=0,"",IF($L173=R_LOT,IF($N173&lt;&gt;R_LOT,$N173,""),IF($N173=R_LOT,$L173,"")))</f>
        <v/>
      </c>
      <c r="X173" s="26" t="str">
        <f aca="false">IF($W173="","",IF(COUNTIF($W$4:$W172,$W173)&gt;0,"",COUNT($X$4:$X172)+1))</f>
        <v/>
      </c>
      <c r="Y173" s="26" t="n">
        <f aca="false">IF($P173=0,0,IF(OR($L173=R_LOT,$N173=R_LOT),1,0))</f>
        <v>0</v>
      </c>
      <c r="Z173" s="26" t="str">
        <f aca="false">IF($Y173=0,"",COUNTIF($Y$5:$Y173,1))</f>
        <v/>
      </c>
    </row>
    <row r="174" customFormat="false" ht="15" hidden="false" customHeight="false" outlineLevel="0" collapsed="false">
      <c r="A174" s="26" t="str">
        <f aca="false">IF($B174="","","RES-"&amp;TEXT(ROW()-4,"000"))</f>
        <v/>
      </c>
      <c r="B174" s="24"/>
      <c r="C174" s="25"/>
      <c r="D174" s="24"/>
      <c r="E174" s="24"/>
      <c r="F174" s="29"/>
      <c r="G174" s="24"/>
      <c r="H174" s="24"/>
      <c r="I174" s="24"/>
      <c r="J174" s="24"/>
      <c r="K174" s="24"/>
      <c r="L174" s="26" t="str">
        <f aca="false">IF($B174="","",IFERROR(INDEX(ST_LOT,MATCH($B174,ST_ID,0)),""))</f>
        <v/>
      </c>
      <c r="M174" s="26" t="str">
        <f aca="false">IF($B174="","",IFERROR(INDEX(ST_STRAIT,MATCH($B174,ST_ID,0)),""))</f>
        <v/>
      </c>
      <c r="N174" s="26" t="str">
        <f aca="false">IF($B174="","",IF($E174="",$L174,$E174))</f>
        <v/>
      </c>
      <c r="O174" s="26" t="str">
        <f aca="false">IF($J174="","",IFERROR(INDEX(EMPL_CLASSE,MATCH($J174,EMPL_KEY,0)),"?"))</f>
        <v/>
      </c>
      <c r="P174" s="28" t="n">
        <f aca="false">IF($B174="",0,IF(OR(ISNA(MATCH($B174,ST_ID,0)),NOT(ISNUMBER($F174)),$F174&lt;=0,$J174="",$N174=""),0,1))</f>
        <v>0</v>
      </c>
      <c r="Q174" s="27" t="n">
        <f aca="false">IF($P174=0,0,$F174)</f>
        <v>0</v>
      </c>
      <c r="R174" s="26" t="str">
        <f aca="false">IF($B174="","",IFERROR(INDEX(ST_STATUT,MATCH($B174,ST_ID,0)),""))</f>
        <v/>
      </c>
      <c r="S174" s="26" t="str">
        <f aca="false">IF($B174="","",IF($P174=0,"DONNEES MANQUANTES",IF(OR($R174="DONNEES MANQUANTES",$R174="STOCK INSUFFISANT",$R174="EMPLACEMENT INCOHERENT",$R174="BLOQUE"),"BLOQUE","OK")))</f>
        <v/>
      </c>
      <c r="T174" s="28" t="n">
        <f aca="false">IF($S174="OK",1,0)</f>
        <v>0</v>
      </c>
      <c r="U174" s="26" t="str">
        <f aca="false">IF($B174="","",IF($P174=0,"A COMPLETER : "&amp;IF(ISNA(MATCH($B174,ST_ID,0)),"ID ST valide; ","")&amp;IF(OR(NOT(ISNUMBER($F174)),$F174&lt;=0),"QUANTITE &gt; 0; ","")&amp;IF($J174="","EMPL. DESTINATION; ",""),IF($S174="BLOQUE","Envoi parent en anomalie ("&amp;$R174&amp;") : corriger l'onglet SOUS_TRAITANCE.",IF(AND($E174&lt;&gt;"",ISNA(MATCH($E174,LOT_KEY,0))),"Creer la fiche du lot resultat dans l'onglet LOTS.",""))))</f>
        <v/>
      </c>
      <c r="V174" s="31" t="str">
        <f aca="false">IF($B174="","",IF($C174&lt;&gt;"",$C174,IFERROR(INDEX(ST_DATERET,MATCH($B174,ST_ID,0)),"")))</f>
        <v/>
      </c>
      <c r="W174" s="26" t="str">
        <f aca="false">IF($P174=0,"",IF($L174=R_LOT,IF($N174&lt;&gt;R_LOT,$N174,""),IF($N174=R_LOT,$L174,"")))</f>
        <v/>
      </c>
      <c r="X174" s="26" t="str">
        <f aca="false">IF($W174="","",IF(COUNTIF($W$4:$W173,$W174)&gt;0,"",COUNT($X$4:$X173)+1))</f>
        <v/>
      </c>
      <c r="Y174" s="26" t="n">
        <f aca="false">IF($P174=0,0,IF(OR($L174=R_LOT,$N174=R_LOT),1,0))</f>
        <v>0</v>
      </c>
      <c r="Z174" s="26" t="str">
        <f aca="false">IF($Y174=0,"",COUNTIF($Y$5:$Y174,1))</f>
        <v/>
      </c>
    </row>
    <row r="175" customFormat="false" ht="15" hidden="false" customHeight="false" outlineLevel="0" collapsed="false">
      <c r="A175" s="26" t="str">
        <f aca="false">IF($B175="","","RES-"&amp;TEXT(ROW()-4,"000"))</f>
        <v/>
      </c>
      <c r="B175" s="24"/>
      <c r="C175" s="25"/>
      <c r="D175" s="24"/>
      <c r="E175" s="24"/>
      <c r="F175" s="29"/>
      <c r="G175" s="24"/>
      <c r="H175" s="24"/>
      <c r="I175" s="24"/>
      <c r="J175" s="24"/>
      <c r="K175" s="24"/>
      <c r="L175" s="26" t="str">
        <f aca="false">IF($B175="","",IFERROR(INDEX(ST_LOT,MATCH($B175,ST_ID,0)),""))</f>
        <v/>
      </c>
      <c r="M175" s="26" t="str">
        <f aca="false">IF($B175="","",IFERROR(INDEX(ST_STRAIT,MATCH($B175,ST_ID,0)),""))</f>
        <v/>
      </c>
      <c r="N175" s="26" t="str">
        <f aca="false">IF($B175="","",IF($E175="",$L175,$E175))</f>
        <v/>
      </c>
      <c r="O175" s="26" t="str">
        <f aca="false">IF($J175="","",IFERROR(INDEX(EMPL_CLASSE,MATCH($J175,EMPL_KEY,0)),"?"))</f>
        <v/>
      </c>
      <c r="P175" s="28" t="n">
        <f aca="false">IF($B175="",0,IF(OR(ISNA(MATCH($B175,ST_ID,0)),NOT(ISNUMBER($F175)),$F175&lt;=0,$J175="",$N175=""),0,1))</f>
        <v>0</v>
      </c>
      <c r="Q175" s="27" t="n">
        <f aca="false">IF($P175=0,0,$F175)</f>
        <v>0</v>
      </c>
      <c r="R175" s="26" t="str">
        <f aca="false">IF($B175="","",IFERROR(INDEX(ST_STATUT,MATCH($B175,ST_ID,0)),""))</f>
        <v/>
      </c>
      <c r="S175" s="26" t="str">
        <f aca="false">IF($B175="","",IF($P175=0,"DONNEES MANQUANTES",IF(OR($R175="DONNEES MANQUANTES",$R175="STOCK INSUFFISANT",$R175="EMPLACEMENT INCOHERENT",$R175="BLOQUE"),"BLOQUE","OK")))</f>
        <v/>
      </c>
      <c r="T175" s="28" t="n">
        <f aca="false">IF($S175="OK",1,0)</f>
        <v>0</v>
      </c>
      <c r="U175" s="26" t="str">
        <f aca="false">IF($B175="","",IF($P175=0,"A COMPLETER : "&amp;IF(ISNA(MATCH($B175,ST_ID,0)),"ID ST valide; ","")&amp;IF(OR(NOT(ISNUMBER($F175)),$F175&lt;=0),"QUANTITE &gt; 0; ","")&amp;IF($J175="","EMPL. DESTINATION; ",""),IF($S175="BLOQUE","Envoi parent en anomalie ("&amp;$R175&amp;") : corriger l'onglet SOUS_TRAITANCE.",IF(AND($E175&lt;&gt;"",ISNA(MATCH($E175,LOT_KEY,0))),"Creer la fiche du lot resultat dans l'onglet LOTS.",""))))</f>
        <v/>
      </c>
      <c r="V175" s="31" t="str">
        <f aca="false">IF($B175="","",IF($C175&lt;&gt;"",$C175,IFERROR(INDEX(ST_DATERET,MATCH($B175,ST_ID,0)),"")))</f>
        <v/>
      </c>
      <c r="W175" s="26" t="str">
        <f aca="false">IF($P175=0,"",IF($L175=R_LOT,IF($N175&lt;&gt;R_LOT,$N175,""),IF($N175=R_LOT,$L175,"")))</f>
        <v/>
      </c>
      <c r="X175" s="26" t="str">
        <f aca="false">IF($W175="","",IF(COUNTIF($W$4:$W174,$W175)&gt;0,"",COUNT($X$4:$X174)+1))</f>
        <v/>
      </c>
      <c r="Y175" s="26" t="n">
        <f aca="false">IF($P175=0,0,IF(OR($L175=R_LOT,$N175=R_LOT),1,0))</f>
        <v>0</v>
      </c>
      <c r="Z175" s="26" t="str">
        <f aca="false">IF($Y175=0,"",COUNTIF($Y$5:$Y175,1))</f>
        <v/>
      </c>
    </row>
    <row r="176" customFormat="false" ht="15" hidden="false" customHeight="false" outlineLevel="0" collapsed="false">
      <c r="A176" s="26" t="str">
        <f aca="false">IF($B176="","","RES-"&amp;TEXT(ROW()-4,"000"))</f>
        <v/>
      </c>
      <c r="B176" s="24"/>
      <c r="C176" s="25"/>
      <c r="D176" s="24"/>
      <c r="E176" s="24"/>
      <c r="F176" s="29"/>
      <c r="G176" s="24"/>
      <c r="H176" s="24"/>
      <c r="I176" s="24"/>
      <c r="J176" s="24"/>
      <c r="K176" s="24"/>
      <c r="L176" s="26" t="str">
        <f aca="false">IF($B176="","",IFERROR(INDEX(ST_LOT,MATCH($B176,ST_ID,0)),""))</f>
        <v/>
      </c>
      <c r="M176" s="26" t="str">
        <f aca="false">IF($B176="","",IFERROR(INDEX(ST_STRAIT,MATCH($B176,ST_ID,0)),""))</f>
        <v/>
      </c>
      <c r="N176" s="26" t="str">
        <f aca="false">IF($B176="","",IF($E176="",$L176,$E176))</f>
        <v/>
      </c>
      <c r="O176" s="26" t="str">
        <f aca="false">IF($J176="","",IFERROR(INDEX(EMPL_CLASSE,MATCH($J176,EMPL_KEY,0)),"?"))</f>
        <v/>
      </c>
      <c r="P176" s="28" t="n">
        <f aca="false">IF($B176="",0,IF(OR(ISNA(MATCH($B176,ST_ID,0)),NOT(ISNUMBER($F176)),$F176&lt;=0,$J176="",$N176=""),0,1))</f>
        <v>0</v>
      </c>
      <c r="Q176" s="27" t="n">
        <f aca="false">IF($P176=0,0,$F176)</f>
        <v>0</v>
      </c>
      <c r="R176" s="26" t="str">
        <f aca="false">IF($B176="","",IFERROR(INDEX(ST_STATUT,MATCH($B176,ST_ID,0)),""))</f>
        <v/>
      </c>
      <c r="S176" s="26" t="str">
        <f aca="false">IF($B176="","",IF($P176=0,"DONNEES MANQUANTES",IF(OR($R176="DONNEES MANQUANTES",$R176="STOCK INSUFFISANT",$R176="EMPLACEMENT INCOHERENT",$R176="BLOQUE"),"BLOQUE","OK")))</f>
        <v/>
      </c>
      <c r="T176" s="28" t="n">
        <f aca="false">IF($S176="OK",1,0)</f>
        <v>0</v>
      </c>
      <c r="U176" s="26" t="str">
        <f aca="false">IF($B176="","",IF($P176=0,"A COMPLETER : "&amp;IF(ISNA(MATCH($B176,ST_ID,0)),"ID ST valide; ","")&amp;IF(OR(NOT(ISNUMBER($F176)),$F176&lt;=0),"QUANTITE &gt; 0; ","")&amp;IF($J176="","EMPL. DESTINATION; ",""),IF($S176="BLOQUE","Envoi parent en anomalie ("&amp;$R176&amp;") : corriger l'onglet SOUS_TRAITANCE.",IF(AND($E176&lt;&gt;"",ISNA(MATCH($E176,LOT_KEY,0))),"Creer la fiche du lot resultat dans l'onglet LOTS.",""))))</f>
        <v/>
      </c>
      <c r="V176" s="31" t="str">
        <f aca="false">IF($B176="","",IF($C176&lt;&gt;"",$C176,IFERROR(INDEX(ST_DATERET,MATCH($B176,ST_ID,0)),"")))</f>
        <v/>
      </c>
      <c r="W176" s="26" t="str">
        <f aca="false">IF($P176=0,"",IF($L176=R_LOT,IF($N176&lt;&gt;R_LOT,$N176,""),IF($N176=R_LOT,$L176,"")))</f>
        <v/>
      </c>
      <c r="X176" s="26" t="str">
        <f aca="false">IF($W176="","",IF(COUNTIF($W$4:$W175,$W176)&gt;0,"",COUNT($X$4:$X175)+1))</f>
        <v/>
      </c>
      <c r="Y176" s="26" t="n">
        <f aca="false">IF($P176=0,0,IF(OR($L176=R_LOT,$N176=R_LOT),1,0))</f>
        <v>0</v>
      </c>
      <c r="Z176" s="26" t="str">
        <f aca="false">IF($Y176=0,"",COUNTIF($Y$5:$Y176,1))</f>
        <v/>
      </c>
    </row>
    <row r="177" customFormat="false" ht="15" hidden="false" customHeight="false" outlineLevel="0" collapsed="false">
      <c r="A177" s="26" t="str">
        <f aca="false">IF($B177="","","RES-"&amp;TEXT(ROW()-4,"000"))</f>
        <v/>
      </c>
      <c r="B177" s="24"/>
      <c r="C177" s="25"/>
      <c r="D177" s="24"/>
      <c r="E177" s="24"/>
      <c r="F177" s="29"/>
      <c r="G177" s="24"/>
      <c r="H177" s="24"/>
      <c r="I177" s="24"/>
      <c r="J177" s="24"/>
      <c r="K177" s="24"/>
      <c r="L177" s="26" t="str">
        <f aca="false">IF($B177="","",IFERROR(INDEX(ST_LOT,MATCH($B177,ST_ID,0)),""))</f>
        <v/>
      </c>
      <c r="M177" s="26" t="str">
        <f aca="false">IF($B177="","",IFERROR(INDEX(ST_STRAIT,MATCH($B177,ST_ID,0)),""))</f>
        <v/>
      </c>
      <c r="N177" s="26" t="str">
        <f aca="false">IF($B177="","",IF($E177="",$L177,$E177))</f>
        <v/>
      </c>
      <c r="O177" s="26" t="str">
        <f aca="false">IF($J177="","",IFERROR(INDEX(EMPL_CLASSE,MATCH($J177,EMPL_KEY,0)),"?"))</f>
        <v/>
      </c>
      <c r="P177" s="28" t="n">
        <f aca="false">IF($B177="",0,IF(OR(ISNA(MATCH($B177,ST_ID,0)),NOT(ISNUMBER($F177)),$F177&lt;=0,$J177="",$N177=""),0,1))</f>
        <v>0</v>
      </c>
      <c r="Q177" s="27" t="n">
        <f aca="false">IF($P177=0,0,$F177)</f>
        <v>0</v>
      </c>
      <c r="R177" s="26" t="str">
        <f aca="false">IF($B177="","",IFERROR(INDEX(ST_STATUT,MATCH($B177,ST_ID,0)),""))</f>
        <v/>
      </c>
      <c r="S177" s="26" t="str">
        <f aca="false">IF($B177="","",IF($P177=0,"DONNEES MANQUANTES",IF(OR($R177="DONNEES MANQUANTES",$R177="STOCK INSUFFISANT",$R177="EMPLACEMENT INCOHERENT",$R177="BLOQUE"),"BLOQUE","OK")))</f>
        <v/>
      </c>
      <c r="T177" s="28" t="n">
        <f aca="false">IF($S177="OK",1,0)</f>
        <v>0</v>
      </c>
      <c r="U177" s="26" t="str">
        <f aca="false">IF($B177="","",IF($P177=0,"A COMPLETER : "&amp;IF(ISNA(MATCH($B177,ST_ID,0)),"ID ST valide; ","")&amp;IF(OR(NOT(ISNUMBER($F177)),$F177&lt;=0),"QUANTITE &gt; 0; ","")&amp;IF($J177="","EMPL. DESTINATION; ",""),IF($S177="BLOQUE","Envoi parent en anomalie ("&amp;$R177&amp;") : corriger l'onglet SOUS_TRAITANCE.",IF(AND($E177&lt;&gt;"",ISNA(MATCH($E177,LOT_KEY,0))),"Creer la fiche du lot resultat dans l'onglet LOTS.",""))))</f>
        <v/>
      </c>
      <c r="V177" s="31" t="str">
        <f aca="false">IF($B177="","",IF($C177&lt;&gt;"",$C177,IFERROR(INDEX(ST_DATERET,MATCH($B177,ST_ID,0)),"")))</f>
        <v/>
      </c>
      <c r="W177" s="26" t="str">
        <f aca="false">IF($P177=0,"",IF($L177=R_LOT,IF($N177&lt;&gt;R_LOT,$N177,""),IF($N177=R_LOT,$L177,"")))</f>
        <v/>
      </c>
      <c r="X177" s="26" t="str">
        <f aca="false">IF($W177="","",IF(COUNTIF($W$4:$W176,$W177)&gt;0,"",COUNT($X$4:$X176)+1))</f>
        <v/>
      </c>
      <c r="Y177" s="26" t="n">
        <f aca="false">IF($P177=0,0,IF(OR($L177=R_LOT,$N177=R_LOT),1,0))</f>
        <v>0</v>
      </c>
      <c r="Z177" s="26" t="str">
        <f aca="false">IF($Y177=0,"",COUNTIF($Y$5:$Y177,1))</f>
        <v/>
      </c>
    </row>
    <row r="178" customFormat="false" ht="15" hidden="false" customHeight="false" outlineLevel="0" collapsed="false">
      <c r="A178" s="26" t="str">
        <f aca="false">IF($B178="","","RES-"&amp;TEXT(ROW()-4,"000"))</f>
        <v/>
      </c>
      <c r="B178" s="24"/>
      <c r="C178" s="25"/>
      <c r="D178" s="24"/>
      <c r="E178" s="24"/>
      <c r="F178" s="29"/>
      <c r="G178" s="24"/>
      <c r="H178" s="24"/>
      <c r="I178" s="24"/>
      <c r="J178" s="24"/>
      <c r="K178" s="24"/>
      <c r="L178" s="26" t="str">
        <f aca="false">IF($B178="","",IFERROR(INDEX(ST_LOT,MATCH($B178,ST_ID,0)),""))</f>
        <v/>
      </c>
      <c r="M178" s="26" t="str">
        <f aca="false">IF($B178="","",IFERROR(INDEX(ST_STRAIT,MATCH($B178,ST_ID,0)),""))</f>
        <v/>
      </c>
      <c r="N178" s="26" t="str">
        <f aca="false">IF($B178="","",IF($E178="",$L178,$E178))</f>
        <v/>
      </c>
      <c r="O178" s="26" t="str">
        <f aca="false">IF($J178="","",IFERROR(INDEX(EMPL_CLASSE,MATCH($J178,EMPL_KEY,0)),"?"))</f>
        <v/>
      </c>
      <c r="P178" s="28" t="n">
        <f aca="false">IF($B178="",0,IF(OR(ISNA(MATCH($B178,ST_ID,0)),NOT(ISNUMBER($F178)),$F178&lt;=0,$J178="",$N178=""),0,1))</f>
        <v>0</v>
      </c>
      <c r="Q178" s="27" t="n">
        <f aca="false">IF($P178=0,0,$F178)</f>
        <v>0</v>
      </c>
      <c r="R178" s="26" t="str">
        <f aca="false">IF($B178="","",IFERROR(INDEX(ST_STATUT,MATCH($B178,ST_ID,0)),""))</f>
        <v/>
      </c>
      <c r="S178" s="26" t="str">
        <f aca="false">IF($B178="","",IF($P178=0,"DONNEES MANQUANTES",IF(OR($R178="DONNEES MANQUANTES",$R178="STOCK INSUFFISANT",$R178="EMPLACEMENT INCOHERENT",$R178="BLOQUE"),"BLOQUE","OK")))</f>
        <v/>
      </c>
      <c r="T178" s="28" t="n">
        <f aca="false">IF($S178="OK",1,0)</f>
        <v>0</v>
      </c>
      <c r="U178" s="26" t="str">
        <f aca="false">IF($B178="","",IF($P178=0,"A COMPLETER : "&amp;IF(ISNA(MATCH($B178,ST_ID,0)),"ID ST valide; ","")&amp;IF(OR(NOT(ISNUMBER($F178)),$F178&lt;=0),"QUANTITE &gt; 0; ","")&amp;IF($J178="","EMPL. DESTINATION; ",""),IF($S178="BLOQUE","Envoi parent en anomalie ("&amp;$R178&amp;") : corriger l'onglet SOUS_TRAITANCE.",IF(AND($E178&lt;&gt;"",ISNA(MATCH($E178,LOT_KEY,0))),"Creer la fiche du lot resultat dans l'onglet LOTS.",""))))</f>
        <v/>
      </c>
      <c r="V178" s="31" t="str">
        <f aca="false">IF($B178="","",IF($C178&lt;&gt;"",$C178,IFERROR(INDEX(ST_DATERET,MATCH($B178,ST_ID,0)),"")))</f>
        <v/>
      </c>
      <c r="W178" s="26" t="str">
        <f aca="false">IF($P178=0,"",IF($L178=R_LOT,IF($N178&lt;&gt;R_LOT,$N178,""),IF($N178=R_LOT,$L178,"")))</f>
        <v/>
      </c>
      <c r="X178" s="26" t="str">
        <f aca="false">IF($W178="","",IF(COUNTIF($W$4:$W177,$W178)&gt;0,"",COUNT($X$4:$X177)+1))</f>
        <v/>
      </c>
      <c r="Y178" s="26" t="n">
        <f aca="false">IF($P178=0,0,IF(OR($L178=R_LOT,$N178=R_LOT),1,0))</f>
        <v>0</v>
      </c>
      <c r="Z178" s="26" t="str">
        <f aca="false">IF($Y178=0,"",COUNTIF($Y$5:$Y178,1))</f>
        <v/>
      </c>
    </row>
    <row r="179" customFormat="false" ht="15" hidden="false" customHeight="false" outlineLevel="0" collapsed="false">
      <c r="A179" s="26" t="str">
        <f aca="false">IF($B179="","","RES-"&amp;TEXT(ROW()-4,"000"))</f>
        <v/>
      </c>
      <c r="B179" s="24"/>
      <c r="C179" s="25"/>
      <c r="D179" s="24"/>
      <c r="E179" s="24"/>
      <c r="F179" s="29"/>
      <c r="G179" s="24"/>
      <c r="H179" s="24"/>
      <c r="I179" s="24"/>
      <c r="J179" s="24"/>
      <c r="K179" s="24"/>
      <c r="L179" s="26" t="str">
        <f aca="false">IF($B179="","",IFERROR(INDEX(ST_LOT,MATCH($B179,ST_ID,0)),""))</f>
        <v/>
      </c>
      <c r="M179" s="26" t="str">
        <f aca="false">IF($B179="","",IFERROR(INDEX(ST_STRAIT,MATCH($B179,ST_ID,0)),""))</f>
        <v/>
      </c>
      <c r="N179" s="26" t="str">
        <f aca="false">IF($B179="","",IF($E179="",$L179,$E179))</f>
        <v/>
      </c>
      <c r="O179" s="26" t="str">
        <f aca="false">IF($J179="","",IFERROR(INDEX(EMPL_CLASSE,MATCH($J179,EMPL_KEY,0)),"?"))</f>
        <v/>
      </c>
      <c r="P179" s="28" t="n">
        <f aca="false">IF($B179="",0,IF(OR(ISNA(MATCH($B179,ST_ID,0)),NOT(ISNUMBER($F179)),$F179&lt;=0,$J179="",$N179=""),0,1))</f>
        <v>0</v>
      </c>
      <c r="Q179" s="27" t="n">
        <f aca="false">IF($P179=0,0,$F179)</f>
        <v>0</v>
      </c>
      <c r="R179" s="26" t="str">
        <f aca="false">IF($B179="","",IFERROR(INDEX(ST_STATUT,MATCH($B179,ST_ID,0)),""))</f>
        <v/>
      </c>
      <c r="S179" s="26" t="str">
        <f aca="false">IF($B179="","",IF($P179=0,"DONNEES MANQUANTES",IF(OR($R179="DONNEES MANQUANTES",$R179="STOCK INSUFFISANT",$R179="EMPLACEMENT INCOHERENT",$R179="BLOQUE"),"BLOQUE","OK")))</f>
        <v/>
      </c>
      <c r="T179" s="28" t="n">
        <f aca="false">IF($S179="OK",1,0)</f>
        <v>0</v>
      </c>
      <c r="U179" s="26" t="str">
        <f aca="false">IF($B179="","",IF($P179=0,"A COMPLETER : "&amp;IF(ISNA(MATCH($B179,ST_ID,0)),"ID ST valide; ","")&amp;IF(OR(NOT(ISNUMBER($F179)),$F179&lt;=0),"QUANTITE &gt; 0; ","")&amp;IF($J179="","EMPL. DESTINATION; ",""),IF($S179="BLOQUE","Envoi parent en anomalie ("&amp;$R179&amp;") : corriger l'onglet SOUS_TRAITANCE.",IF(AND($E179&lt;&gt;"",ISNA(MATCH($E179,LOT_KEY,0))),"Creer la fiche du lot resultat dans l'onglet LOTS.",""))))</f>
        <v/>
      </c>
      <c r="V179" s="31" t="str">
        <f aca="false">IF($B179="","",IF($C179&lt;&gt;"",$C179,IFERROR(INDEX(ST_DATERET,MATCH($B179,ST_ID,0)),"")))</f>
        <v/>
      </c>
      <c r="W179" s="26" t="str">
        <f aca="false">IF($P179=0,"",IF($L179=R_LOT,IF($N179&lt;&gt;R_LOT,$N179,""),IF($N179=R_LOT,$L179,"")))</f>
        <v/>
      </c>
      <c r="X179" s="26" t="str">
        <f aca="false">IF($W179="","",IF(COUNTIF($W$4:$W178,$W179)&gt;0,"",COUNT($X$4:$X178)+1))</f>
        <v/>
      </c>
      <c r="Y179" s="26" t="n">
        <f aca="false">IF($P179=0,0,IF(OR($L179=R_LOT,$N179=R_LOT),1,0))</f>
        <v>0</v>
      </c>
      <c r="Z179" s="26" t="str">
        <f aca="false">IF($Y179=0,"",COUNTIF($Y$5:$Y179,1))</f>
        <v/>
      </c>
    </row>
    <row r="180" customFormat="false" ht="15" hidden="false" customHeight="false" outlineLevel="0" collapsed="false">
      <c r="A180" s="26" t="str">
        <f aca="false">IF($B180="","","RES-"&amp;TEXT(ROW()-4,"000"))</f>
        <v/>
      </c>
      <c r="B180" s="24"/>
      <c r="C180" s="25"/>
      <c r="D180" s="24"/>
      <c r="E180" s="24"/>
      <c r="F180" s="29"/>
      <c r="G180" s="24"/>
      <c r="H180" s="24"/>
      <c r="I180" s="24"/>
      <c r="J180" s="24"/>
      <c r="K180" s="24"/>
      <c r="L180" s="26" t="str">
        <f aca="false">IF($B180="","",IFERROR(INDEX(ST_LOT,MATCH($B180,ST_ID,0)),""))</f>
        <v/>
      </c>
      <c r="M180" s="26" t="str">
        <f aca="false">IF($B180="","",IFERROR(INDEX(ST_STRAIT,MATCH($B180,ST_ID,0)),""))</f>
        <v/>
      </c>
      <c r="N180" s="26" t="str">
        <f aca="false">IF($B180="","",IF($E180="",$L180,$E180))</f>
        <v/>
      </c>
      <c r="O180" s="26" t="str">
        <f aca="false">IF($J180="","",IFERROR(INDEX(EMPL_CLASSE,MATCH($J180,EMPL_KEY,0)),"?"))</f>
        <v/>
      </c>
      <c r="P180" s="28" t="n">
        <f aca="false">IF($B180="",0,IF(OR(ISNA(MATCH($B180,ST_ID,0)),NOT(ISNUMBER($F180)),$F180&lt;=0,$J180="",$N180=""),0,1))</f>
        <v>0</v>
      </c>
      <c r="Q180" s="27" t="n">
        <f aca="false">IF($P180=0,0,$F180)</f>
        <v>0</v>
      </c>
      <c r="R180" s="26" t="str">
        <f aca="false">IF($B180="","",IFERROR(INDEX(ST_STATUT,MATCH($B180,ST_ID,0)),""))</f>
        <v/>
      </c>
      <c r="S180" s="26" t="str">
        <f aca="false">IF($B180="","",IF($P180=0,"DONNEES MANQUANTES",IF(OR($R180="DONNEES MANQUANTES",$R180="STOCK INSUFFISANT",$R180="EMPLACEMENT INCOHERENT",$R180="BLOQUE"),"BLOQUE","OK")))</f>
        <v/>
      </c>
      <c r="T180" s="28" t="n">
        <f aca="false">IF($S180="OK",1,0)</f>
        <v>0</v>
      </c>
      <c r="U180" s="26" t="str">
        <f aca="false">IF($B180="","",IF($P180=0,"A COMPLETER : "&amp;IF(ISNA(MATCH($B180,ST_ID,0)),"ID ST valide; ","")&amp;IF(OR(NOT(ISNUMBER($F180)),$F180&lt;=0),"QUANTITE &gt; 0; ","")&amp;IF($J180="","EMPL. DESTINATION; ",""),IF($S180="BLOQUE","Envoi parent en anomalie ("&amp;$R180&amp;") : corriger l'onglet SOUS_TRAITANCE.",IF(AND($E180&lt;&gt;"",ISNA(MATCH($E180,LOT_KEY,0))),"Creer la fiche du lot resultat dans l'onglet LOTS.",""))))</f>
        <v/>
      </c>
      <c r="V180" s="31" t="str">
        <f aca="false">IF($B180="","",IF($C180&lt;&gt;"",$C180,IFERROR(INDEX(ST_DATERET,MATCH($B180,ST_ID,0)),"")))</f>
        <v/>
      </c>
      <c r="W180" s="26" t="str">
        <f aca="false">IF($P180=0,"",IF($L180=R_LOT,IF($N180&lt;&gt;R_LOT,$N180,""),IF($N180=R_LOT,$L180,"")))</f>
        <v/>
      </c>
      <c r="X180" s="26" t="str">
        <f aca="false">IF($W180="","",IF(COUNTIF($W$4:$W179,$W180)&gt;0,"",COUNT($X$4:$X179)+1))</f>
        <v/>
      </c>
      <c r="Y180" s="26" t="n">
        <f aca="false">IF($P180=0,0,IF(OR($L180=R_LOT,$N180=R_LOT),1,0))</f>
        <v>0</v>
      </c>
      <c r="Z180" s="26" t="str">
        <f aca="false">IF($Y180=0,"",COUNTIF($Y$5:$Y180,1))</f>
        <v/>
      </c>
    </row>
    <row r="181" customFormat="false" ht="15" hidden="false" customHeight="false" outlineLevel="0" collapsed="false">
      <c r="A181" s="26" t="str">
        <f aca="false">IF($B181="","","RES-"&amp;TEXT(ROW()-4,"000"))</f>
        <v/>
      </c>
      <c r="B181" s="24"/>
      <c r="C181" s="25"/>
      <c r="D181" s="24"/>
      <c r="E181" s="24"/>
      <c r="F181" s="29"/>
      <c r="G181" s="24"/>
      <c r="H181" s="24"/>
      <c r="I181" s="24"/>
      <c r="J181" s="24"/>
      <c r="K181" s="24"/>
      <c r="L181" s="26" t="str">
        <f aca="false">IF($B181="","",IFERROR(INDEX(ST_LOT,MATCH($B181,ST_ID,0)),""))</f>
        <v/>
      </c>
      <c r="M181" s="26" t="str">
        <f aca="false">IF($B181="","",IFERROR(INDEX(ST_STRAIT,MATCH($B181,ST_ID,0)),""))</f>
        <v/>
      </c>
      <c r="N181" s="26" t="str">
        <f aca="false">IF($B181="","",IF($E181="",$L181,$E181))</f>
        <v/>
      </c>
      <c r="O181" s="26" t="str">
        <f aca="false">IF($J181="","",IFERROR(INDEX(EMPL_CLASSE,MATCH($J181,EMPL_KEY,0)),"?"))</f>
        <v/>
      </c>
      <c r="P181" s="28" t="n">
        <f aca="false">IF($B181="",0,IF(OR(ISNA(MATCH($B181,ST_ID,0)),NOT(ISNUMBER($F181)),$F181&lt;=0,$J181="",$N181=""),0,1))</f>
        <v>0</v>
      </c>
      <c r="Q181" s="27" t="n">
        <f aca="false">IF($P181=0,0,$F181)</f>
        <v>0</v>
      </c>
      <c r="R181" s="26" t="str">
        <f aca="false">IF($B181="","",IFERROR(INDEX(ST_STATUT,MATCH($B181,ST_ID,0)),""))</f>
        <v/>
      </c>
      <c r="S181" s="26" t="str">
        <f aca="false">IF($B181="","",IF($P181=0,"DONNEES MANQUANTES",IF(OR($R181="DONNEES MANQUANTES",$R181="STOCK INSUFFISANT",$R181="EMPLACEMENT INCOHERENT",$R181="BLOQUE"),"BLOQUE","OK")))</f>
        <v/>
      </c>
      <c r="T181" s="28" t="n">
        <f aca="false">IF($S181="OK",1,0)</f>
        <v>0</v>
      </c>
      <c r="U181" s="26" t="str">
        <f aca="false">IF($B181="","",IF($P181=0,"A COMPLETER : "&amp;IF(ISNA(MATCH($B181,ST_ID,0)),"ID ST valide; ","")&amp;IF(OR(NOT(ISNUMBER($F181)),$F181&lt;=0),"QUANTITE &gt; 0; ","")&amp;IF($J181="","EMPL. DESTINATION; ",""),IF($S181="BLOQUE","Envoi parent en anomalie ("&amp;$R181&amp;") : corriger l'onglet SOUS_TRAITANCE.",IF(AND($E181&lt;&gt;"",ISNA(MATCH($E181,LOT_KEY,0))),"Creer la fiche du lot resultat dans l'onglet LOTS.",""))))</f>
        <v/>
      </c>
      <c r="V181" s="31" t="str">
        <f aca="false">IF($B181="","",IF($C181&lt;&gt;"",$C181,IFERROR(INDEX(ST_DATERET,MATCH($B181,ST_ID,0)),"")))</f>
        <v/>
      </c>
      <c r="W181" s="26" t="str">
        <f aca="false">IF($P181=0,"",IF($L181=R_LOT,IF($N181&lt;&gt;R_LOT,$N181,""),IF($N181=R_LOT,$L181,"")))</f>
        <v/>
      </c>
      <c r="X181" s="26" t="str">
        <f aca="false">IF($W181="","",IF(COUNTIF($W$4:$W180,$W181)&gt;0,"",COUNT($X$4:$X180)+1))</f>
        <v/>
      </c>
      <c r="Y181" s="26" t="n">
        <f aca="false">IF($P181=0,0,IF(OR($L181=R_LOT,$N181=R_LOT),1,0))</f>
        <v>0</v>
      </c>
      <c r="Z181" s="26" t="str">
        <f aca="false">IF($Y181=0,"",COUNTIF($Y$5:$Y181,1))</f>
        <v/>
      </c>
    </row>
    <row r="182" customFormat="false" ht="15" hidden="false" customHeight="false" outlineLevel="0" collapsed="false">
      <c r="A182" s="26" t="str">
        <f aca="false">IF($B182="","","RES-"&amp;TEXT(ROW()-4,"000"))</f>
        <v/>
      </c>
      <c r="B182" s="24"/>
      <c r="C182" s="25"/>
      <c r="D182" s="24"/>
      <c r="E182" s="24"/>
      <c r="F182" s="29"/>
      <c r="G182" s="24"/>
      <c r="H182" s="24"/>
      <c r="I182" s="24"/>
      <c r="J182" s="24"/>
      <c r="K182" s="24"/>
      <c r="L182" s="26" t="str">
        <f aca="false">IF($B182="","",IFERROR(INDEX(ST_LOT,MATCH($B182,ST_ID,0)),""))</f>
        <v/>
      </c>
      <c r="M182" s="26" t="str">
        <f aca="false">IF($B182="","",IFERROR(INDEX(ST_STRAIT,MATCH($B182,ST_ID,0)),""))</f>
        <v/>
      </c>
      <c r="N182" s="26" t="str">
        <f aca="false">IF($B182="","",IF($E182="",$L182,$E182))</f>
        <v/>
      </c>
      <c r="O182" s="26" t="str">
        <f aca="false">IF($J182="","",IFERROR(INDEX(EMPL_CLASSE,MATCH($J182,EMPL_KEY,0)),"?"))</f>
        <v/>
      </c>
      <c r="P182" s="28" t="n">
        <f aca="false">IF($B182="",0,IF(OR(ISNA(MATCH($B182,ST_ID,0)),NOT(ISNUMBER($F182)),$F182&lt;=0,$J182="",$N182=""),0,1))</f>
        <v>0</v>
      </c>
      <c r="Q182" s="27" t="n">
        <f aca="false">IF($P182=0,0,$F182)</f>
        <v>0</v>
      </c>
      <c r="R182" s="26" t="str">
        <f aca="false">IF($B182="","",IFERROR(INDEX(ST_STATUT,MATCH($B182,ST_ID,0)),""))</f>
        <v/>
      </c>
      <c r="S182" s="26" t="str">
        <f aca="false">IF($B182="","",IF($P182=0,"DONNEES MANQUANTES",IF(OR($R182="DONNEES MANQUANTES",$R182="STOCK INSUFFISANT",$R182="EMPLACEMENT INCOHERENT",$R182="BLOQUE"),"BLOQUE","OK")))</f>
        <v/>
      </c>
      <c r="T182" s="28" t="n">
        <f aca="false">IF($S182="OK",1,0)</f>
        <v>0</v>
      </c>
      <c r="U182" s="26" t="str">
        <f aca="false">IF($B182="","",IF($P182=0,"A COMPLETER : "&amp;IF(ISNA(MATCH($B182,ST_ID,0)),"ID ST valide; ","")&amp;IF(OR(NOT(ISNUMBER($F182)),$F182&lt;=0),"QUANTITE &gt; 0; ","")&amp;IF($J182="","EMPL. DESTINATION; ",""),IF($S182="BLOQUE","Envoi parent en anomalie ("&amp;$R182&amp;") : corriger l'onglet SOUS_TRAITANCE.",IF(AND($E182&lt;&gt;"",ISNA(MATCH($E182,LOT_KEY,0))),"Creer la fiche du lot resultat dans l'onglet LOTS.",""))))</f>
        <v/>
      </c>
      <c r="V182" s="31" t="str">
        <f aca="false">IF($B182="","",IF($C182&lt;&gt;"",$C182,IFERROR(INDEX(ST_DATERET,MATCH($B182,ST_ID,0)),"")))</f>
        <v/>
      </c>
      <c r="W182" s="26" t="str">
        <f aca="false">IF($P182=0,"",IF($L182=R_LOT,IF($N182&lt;&gt;R_LOT,$N182,""),IF($N182=R_LOT,$L182,"")))</f>
        <v/>
      </c>
      <c r="X182" s="26" t="str">
        <f aca="false">IF($W182="","",IF(COUNTIF($W$4:$W181,$W182)&gt;0,"",COUNT($X$4:$X181)+1))</f>
        <v/>
      </c>
      <c r="Y182" s="26" t="n">
        <f aca="false">IF($P182=0,0,IF(OR($L182=R_LOT,$N182=R_LOT),1,0))</f>
        <v>0</v>
      </c>
      <c r="Z182" s="26" t="str">
        <f aca="false">IF($Y182=0,"",COUNTIF($Y$5:$Y182,1))</f>
        <v/>
      </c>
    </row>
    <row r="183" customFormat="false" ht="15" hidden="false" customHeight="false" outlineLevel="0" collapsed="false">
      <c r="A183" s="26" t="str">
        <f aca="false">IF($B183="","","RES-"&amp;TEXT(ROW()-4,"000"))</f>
        <v/>
      </c>
      <c r="B183" s="24"/>
      <c r="C183" s="25"/>
      <c r="D183" s="24"/>
      <c r="E183" s="24"/>
      <c r="F183" s="29"/>
      <c r="G183" s="24"/>
      <c r="H183" s="24"/>
      <c r="I183" s="24"/>
      <c r="J183" s="24"/>
      <c r="K183" s="24"/>
      <c r="L183" s="26" t="str">
        <f aca="false">IF($B183="","",IFERROR(INDEX(ST_LOT,MATCH($B183,ST_ID,0)),""))</f>
        <v/>
      </c>
      <c r="M183" s="26" t="str">
        <f aca="false">IF($B183="","",IFERROR(INDEX(ST_STRAIT,MATCH($B183,ST_ID,0)),""))</f>
        <v/>
      </c>
      <c r="N183" s="26" t="str">
        <f aca="false">IF($B183="","",IF($E183="",$L183,$E183))</f>
        <v/>
      </c>
      <c r="O183" s="26" t="str">
        <f aca="false">IF($J183="","",IFERROR(INDEX(EMPL_CLASSE,MATCH($J183,EMPL_KEY,0)),"?"))</f>
        <v/>
      </c>
      <c r="P183" s="28" t="n">
        <f aca="false">IF($B183="",0,IF(OR(ISNA(MATCH($B183,ST_ID,0)),NOT(ISNUMBER($F183)),$F183&lt;=0,$J183="",$N183=""),0,1))</f>
        <v>0</v>
      </c>
      <c r="Q183" s="27" t="n">
        <f aca="false">IF($P183=0,0,$F183)</f>
        <v>0</v>
      </c>
      <c r="R183" s="26" t="str">
        <f aca="false">IF($B183="","",IFERROR(INDEX(ST_STATUT,MATCH($B183,ST_ID,0)),""))</f>
        <v/>
      </c>
      <c r="S183" s="26" t="str">
        <f aca="false">IF($B183="","",IF($P183=0,"DONNEES MANQUANTES",IF(OR($R183="DONNEES MANQUANTES",$R183="STOCK INSUFFISANT",$R183="EMPLACEMENT INCOHERENT",$R183="BLOQUE"),"BLOQUE","OK")))</f>
        <v/>
      </c>
      <c r="T183" s="28" t="n">
        <f aca="false">IF($S183="OK",1,0)</f>
        <v>0</v>
      </c>
      <c r="U183" s="26" t="str">
        <f aca="false">IF($B183="","",IF($P183=0,"A COMPLETER : "&amp;IF(ISNA(MATCH($B183,ST_ID,0)),"ID ST valide; ","")&amp;IF(OR(NOT(ISNUMBER($F183)),$F183&lt;=0),"QUANTITE &gt; 0; ","")&amp;IF($J183="","EMPL. DESTINATION; ",""),IF($S183="BLOQUE","Envoi parent en anomalie ("&amp;$R183&amp;") : corriger l'onglet SOUS_TRAITANCE.",IF(AND($E183&lt;&gt;"",ISNA(MATCH($E183,LOT_KEY,0))),"Creer la fiche du lot resultat dans l'onglet LOTS.",""))))</f>
        <v/>
      </c>
      <c r="V183" s="31" t="str">
        <f aca="false">IF($B183="","",IF($C183&lt;&gt;"",$C183,IFERROR(INDEX(ST_DATERET,MATCH($B183,ST_ID,0)),"")))</f>
        <v/>
      </c>
      <c r="W183" s="26" t="str">
        <f aca="false">IF($P183=0,"",IF($L183=R_LOT,IF($N183&lt;&gt;R_LOT,$N183,""),IF($N183=R_LOT,$L183,"")))</f>
        <v/>
      </c>
      <c r="X183" s="26" t="str">
        <f aca="false">IF($W183="","",IF(COUNTIF($W$4:$W182,$W183)&gt;0,"",COUNT($X$4:$X182)+1))</f>
        <v/>
      </c>
      <c r="Y183" s="26" t="n">
        <f aca="false">IF($P183=0,0,IF(OR($L183=R_LOT,$N183=R_LOT),1,0))</f>
        <v>0</v>
      </c>
      <c r="Z183" s="26" t="str">
        <f aca="false">IF($Y183=0,"",COUNTIF($Y$5:$Y183,1))</f>
        <v/>
      </c>
    </row>
    <row r="184" customFormat="false" ht="15" hidden="false" customHeight="false" outlineLevel="0" collapsed="false">
      <c r="A184" s="26" t="str">
        <f aca="false">IF($B184="","","RES-"&amp;TEXT(ROW()-4,"000"))</f>
        <v/>
      </c>
      <c r="B184" s="24"/>
      <c r="C184" s="25"/>
      <c r="D184" s="24"/>
      <c r="E184" s="24"/>
      <c r="F184" s="29"/>
      <c r="G184" s="24"/>
      <c r="H184" s="24"/>
      <c r="I184" s="24"/>
      <c r="J184" s="24"/>
      <c r="K184" s="24"/>
      <c r="L184" s="26" t="str">
        <f aca="false">IF($B184="","",IFERROR(INDEX(ST_LOT,MATCH($B184,ST_ID,0)),""))</f>
        <v/>
      </c>
      <c r="M184" s="26" t="str">
        <f aca="false">IF($B184="","",IFERROR(INDEX(ST_STRAIT,MATCH($B184,ST_ID,0)),""))</f>
        <v/>
      </c>
      <c r="N184" s="26" t="str">
        <f aca="false">IF($B184="","",IF($E184="",$L184,$E184))</f>
        <v/>
      </c>
      <c r="O184" s="26" t="str">
        <f aca="false">IF($J184="","",IFERROR(INDEX(EMPL_CLASSE,MATCH($J184,EMPL_KEY,0)),"?"))</f>
        <v/>
      </c>
      <c r="P184" s="28" t="n">
        <f aca="false">IF($B184="",0,IF(OR(ISNA(MATCH($B184,ST_ID,0)),NOT(ISNUMBER($F184)),$F184&lt;=0,$J184="",$N184=""),0,1))</f>
        <v>0</v>
      </c>
      <c r="Q184" s="27" t="n">
        <f aca="false">IF($P184=0,0,$F184)</f>
        <v>0</v>
      </c>
      <c r="R184" s="26" t="str">
        <f aca="false">IF($B184="","",IFERROR(INDEX(ST_STATUT,MATCH($B184,ST_ID,0)),""))</f>
        <v/>
      </c>
      <c r="S184" s="26" t="str">
        <f aca="false">IF($B184="","",IF($P184=0,"DONNEES MANQUANTES",IF(OR($R184="DONNEES MANQUANTES",$R184="STOCK INSUFFISANT",$R184="EMPLACEMENT INCOHERENT",$R184="BLOQUE"),"BLOQUE","OK")))</f>
        <v/>
      </c>
      <c r="T184" s="28" t="n">
        <f aca="false">IF($S184="OK",1,0)</f>
        <v>0</v>
      </c>
      <c r="U184" s="26" t="str">
        <f aca="false">IF($B184="","",IF($P184=0,"A COMPLETER : "&amp;IF(ISNA(MATCH($B184,ST_ID,0)),"ID ST valide; ","")&amp;IF(OR(NOT(ISNUMBER($F184)),$F184&lt;=0),"QUANTITE &gt; 0; ","")&amp;IF($J184="","EMPL. DESTINATION; ",""),IF($S184="BLOQUE","Envoi parent en anomalie ("&amp;$R184&amp;") : corriger l'onglet SOUS_TRAITANCE.",IF(AND($E184&lt;&gt;"",ISNA(MATCH($E184,LOT_KEY,0))),"Creer la fiche du lot resultat dans l'onglet LOTS.",""))))</f>
        <v/>
      </c>
      <c r="V184" s="31" t="str">
        <f aca="false">IF($B184="","",IF($C184&lt;&gt;"",$C184,IFERROR(INDEX(ST_DATERET,MATCH($B184,ST_ID,0)),"")))</f>
        <v/>
      </c>
      <c r="W184" s="26" t="str">
        <f aca="false">IF($P184=0,"",IF($L184=R_LOT,IF($N184&lt;&gt;R_LOT,$N184,""),IF($N184=R_LOT,$L184,"")))</f>
        <v/>
      </c>
      <c r="X184" s="26" t="str">
        <f aca="false">IF($W184="","",IF(COUNTIF($W$4:$W183,$W184)&gt;0,"",COUNT($X$4:$X183)+1))</f>
        <v/>
      </c>
      <c r="Y184" s="26" t="n">
        <f aca="false">IF($P184=0,0,IF(OR($L184=R_LOT,$N184=R_LOT),1,0))</f>
        <v>0</v>
      </c>
      <c r="Z184" s="26" t="str">
        <f aca="false">IF($Y184=0,"",COUNTIF($Y$5:$Y184,1))</f>
        <v/>
      </c>
    </row>
    <row r="185" customFormat="false" ht="15" hidden="false" customHeight="false" outlineLevel="0" collapsed="false">
      <c r="A185" s="26" t="str">
        <f aca="false">IF($B185="","","RES-"&amp;TEXT(ROW()-4,"000"))</f>
        <v/>
      </c>
      <c r="B185" s="24"/>
      <c r="C185" s="25"/>
      <c r="D185" s="24"/>
      <c r="E185" s="24"/>
      <c r="F185" s="29"/>
      <c r="G185" s="24"/>
      <c r="H185" s="24"/>
      <c r="I185" s="24"/>
      <c r="J185" s="24"/>
      <c r="K185" s="24"/>
      <c r="L185" s="26" t="str">
        <f aca="false">IF($B185="","",IFERROR(INDEX(ST_LOT,MATCH($B185,ST_ID,0)),""))</f>
        <v/>
      </c>
      <c r="M185" s="26" t="str">
        <f aca="false">IF($B185="","",IFERROR(INDEX(ST_STRAIT,MATCH($B185,ST_ID,0)),""))</f>
        <v/>
      </c>
      <c r="N185" s="26" t="str">
        <f aca="false">IF($B185="","",IF($E185="",$L185,$E185))</f>
        <v/>
      </c>
      <c r="O185" s="26" t="str">
        <f aca="false">IF($J185="","",IFERROR(INDEX(EMPL_CLASSE,MATCH($J185,EMPL_KEY,0)),"?"))</f>
        <v/>
      </c>
      <c r="P185" s="28" t="n">
        <f aca="false">IF($B185="",0,IF(OR(ISNA(MATCH($B185,ST_ID,0)),NOT(ISNUMBER($F185)),$F185&lt;=0,$J185="",$N185=""),0,1))</f>
        <v>0</v>
      </c>
      <c r="Q185" s="27" t="n">
        <f aca="false">IF($P185=0,0,$F185)</f>
        <v>0</v>
      </c>
      <c r="R185" s="26" t="str">
        <f aca="false">IF($B185="","",IFERROR(INDEX(ST_STATUT,MATCH($B185,ST_ID,0)),""))</f>
        <v/>
      </c>
      <c r="S185" s="26" t="str">
        <f aca="false">IF($B185="","",IF($P185=0,"DONNEES MANQUANTES",IF(OR($R185="DONNEES MANQUANTES",$R185="STOCK INSUFFISANT",$R185="EMPLACEMENT INCOHERENT",$R185="BLOQUE"),"BLOQUE","OK")))</f>
        <v/>
      </c>
      <c r="T185" s="28" t="n">
        <f aca="false">IF($S185="OK",1,0)</f>
        <v>0</v>
      </c>
      <c r="U185" s="26" t="str">
        <f aca="false">IF($B185="","",IF($P185=0,"A COMPLETER : "&amp;IF(ISNA(MATCH($B185,ST_ID,0)),"ID ST valide; ","")&amp;IF(OR(NOT(ISNUMBER($F185)),$F185&lt;=0),"QUANTITE &gt; 0; ","")&amp;IF($J185="","EMPL. DESTINATION; ",""),IF($S185="BLOQUE","Envoi parent en anomalie ("&amp;$R185&amp;") : corriger l'onglet SOUS_TRAITANCE.",IF(AND($E185&lt;&gt;"",ISNA(MATCH($E185,LOT_KEY,0))),"Creer la fiche du lot resultat dans l'onglet LOTS.",""))))</f>
        <v/>
      </c>
      <c r="V185" s="31" t="str">
        <f aca="false">IF($B185="","",IF($C185&lt;&gt;"",$C185,IFERROR(INDEX(ST_DATERET,MATCH($B185,ST_ID,0)),"")))</f>
        <v/>
      </c>
      <c r="W185" s="26" t="str">
        <f aca="false">IF($P185=0,"",IF($L185=R_LOT,IF($N185&lt;&gt;R_LOT,$N185,""),IF($N185=R_LOT,$L185,"")))</f>
        <v/>
      </c>
      <c r="X185" s="26" t="str">
        <f aca="false">IF($W185="","",IF(COUNTIF($W$4:$W184,$W185)&gt;0,"",COUNT($X$4:$X184)+1))</f>
        <v/>
      </c>
      <c r="Y185" s="26" t="n">
        <f aca="false">IF($P185=0,0,IF(OR($L185=R_LOT,$N185=R_LOT),1,0))</f>
        <v>0</v>
      </c>
      <c r="Z185" s="26" t="str">
        <f aca="false">IF($Y185=0,"",COUNTIF($Y$5:$Y185,1))</f>
        <v/>
      </c>
    </row>
    <row r="186" customFormat="false" ht="15" hidden="false" customHeight="false" outlineLevel="0" collapsed="false">
      <c r="A186" s="26" t="str">
        <f aca="false">IF($B186="","","RES-"&amp;TEXT(ROW()-4,"000"))</f>
        <v/>
      </c>
      <c r="B186" s="24"/>
      <c r="C186" s="25"/>
      <c r="D186" s="24"/>
      <c r="E186" s="24"/>
      <c r="F186" s="29"/>
      <c r="G186" s="24"/>
      <c r="H186" s="24"/>
      <c r="I186" s="24"/>
      <c r="J186" s="24"/>
      <c r="K186" s="24"/>
      <c r="L186" s="26" t="str">
        <f aca="false">IF($B186="","",IFERROR(INDEX(ST_LOT,MATCH($B186,ST_ID,0)),""))</f>
        <v/>
      </c>
      <c r="M186" s="26" t="str">
        <f aca="false">IF($B186="","",IFERROR(INDEX(ST_STRAIT,MATCH($B186,ST_ID,0)),""))</f>
        <v/>
      </c>
      <c r="N186" s="26" t="str">
        <f aca="false">IF($B186="","",IF($E186="",$L186,$E186))</f>
        <v/>
      </c>
      <c r="O186" s="26" t="str">
        <f aca="false">IF($J186="","",IFERROR(INDEX(EMPL_CLASSE,MATCH($J186,EMPL_KEY,0)),"?"))</f>
        <v/>
      </c>
      <c r="P186" s="28" t="n">
        <f aca="false">IF($B186="",0,IF(OR(ISNA(MATCH($B186,ST_ID,0)),NOT(ISNUMBER($F186)),$F186&lt;=0,$J186="",$N186=""),0,1))</f>
        <v>0</v>
      </c>
      <c r="Q186" s="27" t="n">
        <f aca="false">IF($P186=0,0,$F186)</f>
        <v>0</v>
      </c>
      <c r="R186" s="26" t="str">
        <f aca="false">IF($B186="","",IFERROR(INDEX(ST_STATUT,MATCH($B186,ST_ID,0)),""))</f>
        <v/>
      </c>
      <c r="S186" s="26" t="str">
        <f aca="false">IF($B186="","",IF($P186=0,"DONNEES MANQUANTES",IF(OR($R186="DONNEES MANQUANTES",$R186="STOCK INSUFFISANT",$R186="EMPLACEMENT INCOHERENT",$R186="BLOQUE"),"BLOQUE","OK")))</f>
        <v/>
      </c>
      <c r="T186" s="28" t="n">
        <f aca="false">IF($S186="OK",1,0)</f>
        <v>0</v>
      </c>
      <c r="U186" s="26" t="str">
        <f aca="false">IF($B186="","",IF($P186=0,"A COMPLETER : "&amp;IF(ISNA(MATCH($B186,ST_ID,0)),"ID ST valide; ","")&amp;IF(OR(NOT(ISNUMBER($F186)),$F186&lt;=0),"QUANTITE &gt; 0; ","")&amp;IF($J186="","EMPL. DESTINATION; ",""),IF($S186="BLOQUE","Envoi parent en anomalie ("&amp;$R186&amp;") : corriger l'onglet SOUS_TRAITANCE.",IF(AND($E186&lt;&gt;"",ISNA(MATCH($E186,LOT_KEY,0))),"Creer la fiche du lot resultat dans l'onglet LOTS.",""))))</f>
        <v/>
      </c>
      <c r="V186" s="31" t="str">
        <f aca="false">IF($B186="","",IF($C186&lt;&gt;"",$C186,IFERROR(INDEX(ST_DATERET,MATCH($B186,ST_ID,0)),"")))</f>
        <v/>
      </c>
      <c r="W186" s="26" t="str">
        <f aca="false">IF($P186=0,"",IF($L186=R_LOT,IF($N186&lt;&gt;R_LOT,$N186,""),IF($N186=R_LOT,$L186,"")))</f>
        <v/>
      </c>
      <c r="X186" s="26" t="str">
        <f aca="false">IF($W186="","",IF(COUNTIF($W$4:$W185,$W186)&gt;0,"",COUNT($X$4:$X185)+1))</f>
        <v/>
      </c>
      <c r="Y186" s="26" t="n">
        <f aca="false">IF($P186=0,0,IF(OR($L186=R_LOT,$N186=R_LOT),1,0))</f>
        <v>0</v>
      </c>
      <c r="Z186" s="26" t="str">
        <f aca="false">IF($Y186=0,"",COUNTIF($Y$5:$Y186,1))</f>
        <v/>
      </c>
    </row>
    <row r="187" customFormat="false" ht="15" hidden="false" customHeight="false" outlineLevel="0" collapsed="false">
      <c r="A187" s="26" t="str">
        <f aca="false">IF($B187="","","RES-"&amp;TEXT(ROW()-4,"000"))</f>
        <v/>
      </c>
      <c r="B187" s="24"/>
      <c r="C187" s="25"/>
      <c r="D187" s="24"/>
      <c r="E187" s="24"/>
      <c r="F187" s="29"/>
      <c r="G187" s="24"/>
      <c r="H187" s="24"/>
      <c r="I187" s="24"/>
      <c r="J187" s="24"/>
      <c r="K187" s="24"/>
      <c r="L187" s="26" t="str">
        <f aca="false">IF($B187="","",IFERROR(INDEX(ST_LOT,MATCH($B187,ST_ID,0)),""))</f>
        <v/>
      </c>
      <c r="M187" s="26" t="str">
        <f aca="false">IF($B187="","",IFERROR(INDEX(ST_STRAIT,MATCH($B187,ST_ID,0)),""))</f>
        <v/>
      </c>
      <c r="N187" s="26" t="str">
        <f aca="false">IF($B187="","",IF($E187="",$L187,$E187))</f>
        <v/>
      </c>
      <c r="O187" s="26" t="str">
        <f aca="false">IF($J187="","",IFERROR(INDEX(EMPL_CLASSE,MATCH($J187,EMPL_KEY,0)),"?"))</f>
        <v/>
      </c>
      <c r="P187" s="28" t="n">
        <f aca="false">IF($B187="",0,IF(OR(ISNA(MATCH($B187,ST_ID,0)),NOT(ISNUMBER($F187)),$F187&lt;=0,$J187="",$N187=""),0,1))</f>
        <v>0</v>
      </c>
      <c r="Q187" s="27" t="n">
        <f aca="false">IF($P187=0,0,$F187)</f>
        <v>0</v>
      </c>
      <c r="R187" s="26" t="str">
        <f aca="false">IF($B187="","",IFERROR(INDEX(ST_STATUT,MATCH($B187,ST_ID,0)),""))</f>
        <v/>
      </c>
      <c r="S187" s="26" t="str">
        <f aca="false">IF($B187="","",IF($P187=0,"DONNEES MANQUANTES",IF(OR($R187="DONNEES MANQUANTES",$R187="STOCK INSUFFISANT",$R187="EMPLACEMENT INCOHERENT",$R187="BLOQUE"),"BLOQUE","OK")))</f>
        <v/>
      </c>
      <c r="T187" s="28" t="n">
        <f aca="false">IF($S187="OK",1,0)</f>
        <v>0</v>
      </c>
      <c r="U187" s="26" t="str">
        <f aca="false">IF($B187="","",IF($P187=0,"A COMPLETER : "&amp;IF(ISNA(MATCH($B187,ST_ID,0)),"ID ST valide; ","")&amp;IF(OR(NOT(ISNUMBER($F187)),$F187&lt;=0),"QUANTITE &gt; 0; ","")&amp;IF($J187="","EMPL. DESTINATION; ",""),IF($S187="BLOQUE","Envoi parent en anomalie ("&amp;$R187&amp;") : corriger l'onglet SOUS_TRAITANCE.",IF(AND($E187&lt;&gt;"",ISNA(MATCH($E187,LOT_KEY,0))),"Creer la fiche du lot resultat dans l'onglet LOTS.",""))))</f>
        <v/>
      </c>
      <c r="V187" s="31" t="str">
        <f aca="false">IF($B187="","",IF($C187&lt;&gt;"",$C187,IFERROR(INDEX(ST_DATERET,MATCH($B187,ST_ID,0)),"")))</f>
        <v/>
      </c>
      <c r="W187" s="26" t="str">
        <f aca="false">IF($P187=0,"",IF($L187=R_LOT,IF($N187&lt;&gt;R_LOT,$N187,""),IF($N187=R_LOT,$L187,"")))</f>
        <v/>
      </c>
      <c r="X187" s="26" t="str">
        <f aca="false">IF($W187="","",IF(COUNTIF($W$4:$W186,$W187)&gt;0,"",COUNT($X$4:$X186)+1))</f>
        <v/>
      </c>
      <c r="Y187" s="26" t="n">
        <f aca="false">IF($P187=0,0,IF(OR($L187=R_LOT,$N187=R_LOT),1,0))</f>
        <v>0</v>
      </c>
      <c r="Z187" s="26" t="str">
        <f aca="false">IF($Y187=0,"",COUNTIF($Y$5:$Y187,1))</f>
        <v/>
      </c>
    </row>
    <row r="188" customFormat="false" ht="15" hidden="false" customHeight="false" outlineLevel="0" collapsed="false">
      <c r="A188" s="26" t="str">
        <f aca="false">IF($B188="","","RES-"&amp;TEXT(ROW()-4,"000"))</f>
        <v/>
      </c>
      <c r="B188" s="24"/>
      <c r="C188" s="25"/>
      <c r="D188" s="24"/>
      <c r="E188" s="24"/>
      <c r="F188" s="29"/>
      <c r="G188" s="24"/>
      <c r="H188" s="24"/>
      <c r="I188" s="24"/>
      <c r="J188" s="24"/>
      <c r="K188" s="24"/>
      <c r="L188" s="26" t="str">
        <f aca="false">IF($B188="","",IFERROR(INDEX(ST_LOT,MATCH($B188,ST_ID,0)),""))</f>
        <v/>
      </c>
      <c r="M188" s="26" t="str">
        <f aca="false">IF($B188="","",IFERROR(INDEX(ST_STRAIT,MATCH($B188,ST_ID,0)),""))</f>
        <v/>
      </c>
      <c r="N188" s="26" t="str">
        <f aca="false">IF($B188="","",IF($E188="",$L188,$E188))</f>
        <v/>
      </c>
      <c r="O188" s="26" t="str">
        <f aca="false">IF($J188="","",IFERROR(INDEX(EMPL_CLASSE,MATCH($J188,EMPL_KEY,0)),"?"))</f>
        <v/>
      </c>
      <c r="P188" s="28" t="n">
        <f aca="false">IF($B188="",0,IF(OR(ISNA(MATCH($B188,ST_ID,0)),NOT(ISNUMBER($F188)),$F188&lt;=0,$J188="",$N188=""),0,1))</f>
        <v>0</v>
      </c>
      <c r="Q188" s="27" t="n">
        <f aca="false">IF($P188=0,0,$F188)</f>
        <v>0</v>
      </c>
      <c r="R188" s="26" t="str">
        <f aca="false">IF($B188="","",IFERROR(INDEX(ST_STATUT,MATCH($B188,ST_ID,0)),""))</f>
        <v/>
      </c>
      <c r="S188" s="26" t="str">
        <f aca="false">IF($B188="","",IF($P188=0,"DONNEES MANQUANTES",IF(OR($R188="DONNEES MANQUANTES",$R188="STOCK INSUFFISANT",$R188="EMPLACEMENT INCOHERENT",$R188="BLOQUE"),"BLOQUE","OK")))</f>
        <v/>
      </c>
      <c r="T188" s="28" t="n">
        <f aca="false">IF($S188="OK",1,0)</f>
        <v>0</v>
      </c>
      <c r="U188" s="26" t="str">
        <f aca="false">IF($B188="","",IF($P188=0,"A COMPLETER : "&amp;IF(ISNA(MATCH($B188,ST_ID,0)),"ID ST valide; ","")&amp;IF(OR(NOT(ISNUMBER($F188)),$F188&lt;=0),"QUANTITE &gt; 0; ","")&amp;IF($J188="","EMPL. DESTINATION; ",""),IF($S188="BLOQUE","Envoi parent en anomalie ("&amp;$R188&amp;") : corriger l'onglet SOUS_TRAITANCE.",IF(AND($E188&lt;&gt;"",ISNA(MATCH($E188,LOT_KEY,0))),"Creer la fiche du lot resultat dans l'onglet LOTS.",""))))</f>
        <v/>
      </c>
      <c r="V188" s="31" t="str">
        <f aca="false">IF($B188="","",IF($C188&lt;&gt;"",$C188,IFERROR(INDEX(ST_DATERET,MATCH($B188,ST_ID,0)),"")))</f>
        <v/>
      </c>
      <c r="W188" s="26" t="str">
        <f aca="false">IF($P188=0,"",IF($L188=R_LOT,IF($N188&lt;&gt;R_LOT,$N188,""),IF($N188=R_LOT,$L188,"")))</f>
        <v/>
      </c>
      <c r="X188" s="26" t="str">
        <f aca="false">IF($W188="","",IF(COUNTIF($W$4:$W187,$W188)&gt;0,"",COUNT($X$4:$X187)+1))</f>
        <v/>
      </c>
      <c r="Y188" s="26" t="n">
        <f aca="false">IF($P188=0,0,IF(OR($L188=R_LOT,$N188=R_LOT),1,0))</f>
        <v>0</v>
      </c>
      <c r="Z188" s="26" t="str">
        <f aca="false">IF($Y188=0,"",COUNTIF($Y$5:$Y188,1))</f>
        <v/>
      </c>
    </row>
    <row r="189" customFormat="false" ht="15" hidden="false" customHeight="false" outlineLevel="0" collapsed="false">
      <c r="A189" s="26" t="str">
        <f aca="false">IF($B189="","","RES-"&amp;TEXT(ROW()-4,"000"))</f>
        <v/>
      </c>
      <c r="B189" s="24"/>
      <c r="C189" s="25"/>
      <c r="D189" s="24"/>
      <c r="E189" s="24"/>
      <c r="F189" s="29"/>
      <c r="G189" s="24"/>
      <c r="H189" s="24"/>
      <c r="I189" s="24"/>
      <c r="J189" s="24"/>
      <c r="K189" s="24"/>
      <c r="L189" s="26" t="str">
        <f aca="false">IF($B189="","",IFERROR(INDEX(ST_LOT,MATCH($B189,ST_ID,0)),""))</f>
        <v/>
      </c>
      <c r="M189" s="26" t="str">
        <f aca="false">IF($B189="","",IFERROR(INDEX(ST_STRAIT,MATCH($B189,ST_ID,0)),""))</f>
        <v/>
      </c>
      <c r="N189" s="26" t="str">
        <f aca="false">IF($B189="","",IF($E189="",$L189,$E189))</f>
        <v/>
      </c>
      <c r="O189" s="26" t="str">
        <f aca="false">IF($J189="","",IFERROR(INDEX(EMPL_CLASSE,MATCH($J189,EMPL_KEY,0)),"?"))</f>
        <v/>
      </c>
      <c r="P189" s="28" t="n">
        <f aca="false">IF($B189="",0,IF(OR(ISNA(MATCH($B189,ST_ID,0)),NOT(ISNUMBER($F189)),$F189&lt;=0,$J189="",$N189=""),0,1))</f>
        <v>0</v>
      </c>
      <c r="Q189" s="27" t="n">
        <f aca="false">IF($P189=0,0,$F189)</f>
        <v>0</v>
      </c>
      <c r="R189" s="26" t="str">
        <f aca="false">IF($B189="","",IFERROR(INDEX(ST_STATUT,MATCH($B189,ST_ID,0)),""))</f>
        <v/>
      </c>
      <c r="S189" s="26" t="str">
        <f aca="false">IF($B189="","",IF($P189=0,"DONNEES MANQUANTES",IF(OR($R189="DONNEES MANQUANTES",$R189="STOCK INSUFFISANT",$R189="EMPLACEMENT INCOHERENT",$R189="BLOQUE"),"BLOQUE","OK")))</f>
        <v/>
      </c>
      <c r="T189" s="28" t="n">
        <f aca="false">IF($S189="OK",1,0)</f>
        <v>0</v>
      </c>
      <c r="U189" s="26" t="str">
        <f aca="false">IF($B189="","",IF($P189=0,"A COMPLETER : "&amp;IF(ISNA(MATCH($B189,ST_ID,0)),"ID ST valide; ","")&amp;IF(OR(NOT(ISNUMBER($F189)),$F189&lt;=0),"QUANTITE &gt; 0; ","")&amp;IF($J189="","EMPL. DESTINATION; ",""),IF($S189="BLOQUE","Envoi parent en anomalie ("&amp;$R189&amp;") : corriger l'onglet SOUS_TRAITANCE.",IF(AND($E189&lt;&gt;"",ISNA(MATCH($E189,LOT_KEY,0))),"Creer la fiche du lot resultat dans l'onglet LOTS.",""))))</f>
        <v/>
      </c>
      <c r="V189" s="31" t="str">
        <f aca="false">IF($B189="","",IF($C189&lt;&gt;"",$C189,IFERROR(INDEX(ST_DATERET,MATCH($B189,ST_ID,0)),"")))</f>
        <v/>
      </c>
      <c r="W189" s="26" t="str">
        <f aca="false">IF($P189=0,"",IF($L189=R_LOT,IF($N189&lt;&gt;R_LOT,$N189,""),IF($N189=R_LOT,$L189,"")))</f>
        <v/>
      </c>
      <c r="X189" s="26" t="str">
        <f aca="false">IF($W189="","",IF(COUNTIF($W$4:$W188,$W189)&gt;0,"",COUNT($X$4:$X188)+1))</f>
        <v/>
      </c>
      <c r="Y189" s="26" t="n">
        <f aca="false">IF($P189=0,0,IF(OR($L189=R_LOT,$N189=R_LOT),1,0))</f>
        <v>0</v>
      </c>
      <c r="Z189" s="26" t="str">
        <f aca="false">IF($Y189=0,"",COUNTIF($Y$5:$Y189,1))</f>
        <v/>
      </c>
    </row>
    <row r="190" customFormat="false" ht="15" hidden="false" customHeight="false" outlineLevel="0" collapsed="false">
      <c r="A190" s="26" t="str">
        <f aca="false">IF($B190="","","RES-"&amp;TEXT(ROW()-4,"000"))</f>
        <v/>
      </c>
      <c r="B190" s="24"/>
      <c r="C190" s="25"/>
      <c r="D190" s="24"/>
      <c r="E190" s="24"/>
      <c r="F190" s="29"/>
      <c r="G190" s="24"/>
      <c r="H190" s="24"/>
      <c r="I190" s="24"/>
      <c r="J190" s="24"/>
      <c r="K190" s="24"/>
      <c r="L190" s="26" t="str">
        <f aca="false">IF($B190="","",IFERROR(INDEX(ST_LOT,MATCH($B190,ST_ID,0)),""))</f>
        <v/>
      </c>
      <c r="M190" s="26" t="str">
        <f aca="false">IF($B190="","",IFERROR(INDEX(ST_STRAIT,MATCH($B190,ST_ID,0)),""))</f>
        <v/>
      </c>
      <c r="N190" s="26" t="str">
        <f aca="false">IF($B190="","",IF($E190="",$L190,$E190))</f>
        <v/>
      </c>
      <c r="O190" s="26" t="str">
        <f aca="false">IF($J190="","",IFERROR(INDEX(EMPL_CLASSE,MATCH($J190,EMPL_KEY,0)),"?"))</f>
        <v/>
      </c>
      <c r="P190" s="28" t="n">
        <f aca="false">IF($B190="",0,IF(OR(ISNA(MATCH($B190,ST_ID,0)),NOT(ISNUMBER($F190)),$F190&lt;=0,$J190="",$N190=""),0,1))</f>
        <v>0</v>
      </c>
      <c r="Q190" s="27" t="n">
        <f aca="false">IF($P190=0,0,$F190)</f>
        <v>0</v>
      </c>
      <c r="R190" s="26" t="str">
        <f aca="false">IF($B190="","",IFERROR(INDEX(ST_STATUT,MATCH($B190,ST_ID,0)),""))</f>
        <v/>
      </c>
      <c r="S190" s="26" t="str">
        <f aca="false">IF($B190="","",IF($P190=0,"DONNEES MANQUANTES",IF(OR($R190="DONNEES MANQUANTES",$R190="STOCK INSUFFISANT",$R190="EMPLACEMENT INCOHERENT",$R190="BLOQUE"),"BLOQUE","OK")))</f>
        <v/>
      </c>
      <c r="T190" s="28" t="n">
        <f aca="false">IF($S190="OK",1,0)</f>
        <v>0</v>
      </c>
      <c r="U190" s="26" t="str">
        <f aca="false">IF($B190="","",IF($P190=0,"A COMPLETER : "&amp;IF(ISNA(MATCH($B190,ST_ID,0)),"ID ST valide; ","")&amp;IF(OR(NOT(ISNUMBER($F190)),$F190&lt;=0),"QUANTITE &gt; 0; ","")&amp;IF($J190="","EMPL. DESTINATION; ",""),IF($S190="BLOQUE","Envoi parent en anomalie ("&amp;$R190&amp;") : corriger l'onglet SOUS_TRAITANCE.",IF(AND($E190&lt;&gt;"",ISNA(MATCH($E190,LOT_KEY,0))),"Creer la fiche du lot resultat dans l'onglet LOTS.",""))))</f>
        <v/>
      </c>
      <c r="V190" s="31" t="str">
        <f aca="false">IF($B190="","",IF($C190&lt;&gt;"",$C190,IFERROR(INDEX(ST_DATERET,MATCH($B190,ST_ID,0)),"")))</f>
        <v/>
      </c>
      <c r="W190" s="26" t="str">
        <f aca="false">IF($P190=0,"",IF($L190=R_LOT,IF($N190&lt;&gt;R_LOT,$N190,""),IF($N190=R_LOT,$L190,"")))</f>
        <v/>
      </c>
      <c r="X190" s="26" t="str">
        <f aca="false">IF($W190="","",IF(COUNTIF($W$4:$W189,$W190)&gt;0,"",COUNT($X$4:$X189)+1))</f>
        <v/>
      </c>
      <c r="Y190" s="26" t="n">
        <f aca="false">IF($P190=0,0,IF(OR($L190=R_LOT,$N190=R_LOT),1,0))</f>
        <v>0</v>
      </c>
      <c r="Z190" s="26" t="str">
        <f aca="false">IF($Y190=0,"",COUNTIF($Y$5:$Y190,1))</f>
        <v/>
      </c>
    </row>
    <row r="191" customFormat="false" ht="15" hidden="false" customHeight="false" outlineLevel="0" collapsed="false">
      <c r="A191" s="26" t="str">
        <f aca="false">IF($B191="","","RES-"&amp;TEXT(ROW()-4,"000"))</f>
        <v/>
      </c>
      <c r="B191" s="24"/>
      <c r="C191" s="25"/>
      <c r="D191" s="24"/>
      <c r="E191" s="24"/>
      <c r="F191" s="29"/>
      <c r="G191" s="24"/>
      <c r="H191" s="24"/>
      <c r="I191" s="24"/>
      <c r="J191" s="24"/>
      <c r="K191" s="24"/>
      <c r="L191" s="26" t="str">
        <f aca="false">IF($B191="","",IFERROR(INDEX(ST_LOT,MATCH($B191,ST_ID,0)),""))</f>
        <v/>
      </c>
      <c r="M191" s="26" t="str">
        <f aca="false">IF($B191="","",IFERROR(INDEX(ST_STRAIT,MATCH($B191,ST_ID,0)),""))</f>
        <v/>
      </c>
      <c r="N191" s="26" t="str">
        <f aca="false">IF($B191="","",IF($E191="",$L191,$E191))</f>
        <v/>
      </c>
      <c r="O191" s="26" t="str">
        <f aca="false">IF($J191="","",IFERROR(INDEX(EMPL_CLASSE,MATCH($J191,EMPL_KEY,0)),"?"))</f>
        <v/>
      </c>
      <c r="P191" s="28" t="n">
        <f aca="false">IF($B191="",0,IF(OR(ISNA(MATCH($B191,ST_ID,0)),NOT(ISNUMBER($F191)),$F191&lt;=0,$J191="",$N191=""),0,1))</f>
        <v>0</v>
      </c>
      <c r="Q191" s="27" t="n">
        <f aca="false">IF($P191=0,0,$F191)</f>
        <v>0</v>
      </c>
      <c r="R191" s="26" t="str">
        <f aca="false">IF($B191="","",IFERROR(INDEX(ST_STATUT,MATCH($B191,ST_ID,0)),""))</f>
        <v/>
      </c>
      <c r="S191" s="26" t="str">
        <f aca="false">IF($B191="","",IF($P191=0,"DONNEES MANQUANTES",IF(OR($R191="DONNEES MANQUANTES",$R191="STOCK INSUFFISANT",$R191="EMPLACEMENT INCOHERENT",$R191="BLOQUE"),"BLOQUE","OK")))</f>
        <v/>
      </c>
      <c r="T191" s="28" t="n">
        <f aca="false">IF($S191="OK",1,0)</f>
        <v>0</v>
      </c>
      <c r="U191" s="26" t="str">
        <f aca="false">IF($B191="","",IF($P191=0,"A COMPLETER : "&amp;IF(ISNA(MATCH($B191,ST_ID,0)),"ID ST valide; ","")&amp;IF(OR(NOT(ISNUMBER($F191)),$F191&lt;=0),"QUANTITE &gt; 0; ","")&amp;IF($J191="","EMPL. DESTINATION; ",""),IF($S191="BLOQUE","Envoi parent en anomalie ("&amp;$R191&amp;") : corriger l'onglet SOUS_TRAITANCE.",IF(AND($E191&lt;&gt;"",ISNA(MATCH($E191,LOT_KEY,0))),"Creer la fiche du lot resultat dans l'onglet LOTS.",""))))</f>
        <v/>
      </c>
      <c r="V191" s="31" t="str">
        <f aca="false">IF($B191="","",IF($C191&lt;&gt;"",$C191,IFERROR(INDEX(ST_DATERET,MATCH($B191,ST_ID,0)),"")))</f>
        <v/>
      </c>
      <c r="W191" s="26" t="str">
        <f aca="false">IF($P191=0,"",IF($L191=R_LOT,IF($N191&lt;&gt;R_LOT,$N191,""),IF($N191=R_LOT,$L191,"")))</f>
        <v/>
      </c>
      <c r="X191" s="26" t="str">
        <f aca="false">IF($W191="","",IF(COUNTIF($W$4:$W190,$W191)&gt;0,"",COUNT($X$4:$X190)+1))</f>
        <v/>
      </c>
      <c r="Y191" s="26" t="n">
        <f aca="false">IF($P191=0,0,IF(OR($L191=R_LOT,$N191=R_LOT),1,0))</f>
        <v>0</v>
      </c>
      <c r="Z191" s="26" t="str">
        <f aca="false">IF($Y191=0,"",COUNTIF($Y$5:$Y191,1))</f>
        <v/>
      </c>
    </row>
    <row r="192" customFormat="false" ht="15" hidden="false" customHeight="false" outlineLevel="0" collapsed="false">
      <c r="A192" s="26" t="str">
        <f aca="false">IF($B192="","","RES-"&amp;TEXT(ROW()-4,"000"))</f>
        <v/>
      </c>
      <c r="B192" s="24"/>
      <c r="C192" s="25"/>
      <c r="D192" s="24"/>
      <c r="E192" s="24"/>
      <c r="F192" s="29"/>
      <c r="G192" s="24"/>
      <c r="H192" s="24"/>
      <c r="I192" s="24"/>
      <c r="J192" s="24"/>
      <c r="K192" s="24"/>
      <c r="L192" s="26" t="str">
        <f aca="false">IF($B192="","",IFERROR(INDEX(ST_LOT,MATCH($B192,ST_ID,0)),""))</f>
        <v/>
      </c>
      <c r="M192" s="26" t="str">
        <f aca="false">IF($B192="","",IFERROR(INDEX(ST_STRAIT,MATCH($B192,ST_ID,0)),""))</f>
        <v/>
      </c>
      <c r="N192" s="26" t="str">
        <f aca="false">IF($B192="","",IF($E192="",$L192,$E192))</f>
        <v/>
      </c>
      <c r="O192" s="26" t="str">
        <f aca="false">IF($J192="","",IFERROR(INDEX(EMPL_CLASSE,MATCH($J192,EMPL_KEY,0)),"?"))</f>
        <v/>
      </c>
      <c r="P192" s="28" t="n">
        <f aca="false">IF($B192="",0,IF(OR(ISNA(MATCH($B192,ST_ID,0)),NOT(ISNUMBER($F192)),$F192&lt;=0,$J192="",$N192=""),0,1))</f>
        <v>0</v>
      </c>
      <c r="Q192" s="27" t="n">
        <f aca="false">IF($P192=0,0,$F192)</f>
        <v>0</v>
      </c>
      <c r="R192" s="26" t="str">
        <f aca="false">IF($B192="","",IFERROR(INDEX(ST_STATUT,MATCH($B192,ST_ID,0)),""))</f>
        <v/>
      </c>
      <c r="S192" s="26" t="str">
        <f aca="false">IF($B192="","",IF($P192=0,"DONNEES MANQUANTES",IF(OR($R192="DONNEES MANQUANTES",$R192="STOCK INSUFFISANT",$R192="EMPLACEMENT INCOHERENT",$R192="BLOQUE"),"BLOQUE","OK")))</f>
        <v/>
      </c>
      <c r="T192" s="28" t="n">
        <f aca="false">IF($S192="OK",1,0)</f>
        <v>0</v>
      </c>
      <c r="U192" s="26" t="str">
        <f aca="false">IF($B192="","",IF($P192=0,"A COMPLETER : "&amp;IF(ISNA(MATCH($B192,ST_ID,0)),"ID ST valide; ","")&amp;IF(OR(NOT(ISNUMBER($F192)),$F192&lt;=0),"QUANTITE &gt; 0; ","")&amp;IF($J192="","EMPL. DESTINATION; ",""),IF($S192="BLOQUE","Envoi parent en anomalie ("&amp;$R192&amp;") : corriger l'onglet SOUS_TRAITANCE.",IF(AND($E192&lt;&gt;"",ISNA(MATCH($E192,LOT_KEY,0))),"Creer la fiche du lot resultat dans l'onglet LOTS.",""))))</f>
        <v/>
      </c>
      <c r="V192" s="31" t="str">
        <f aca="false">IF($B192="","",IF($C192&lt;&gt;"",$C192,IFERROR(INDEX(ST_DATERET,MATCH($B192,ST_ID,0)),"")))</f>
        <v/>
      </c>
      <c r="W192" s="26" t="str">
        <f aca="false">IF($P192=0,"",IF($L192=R_LOT,IF($N192&lt;&gt;R_LOT,$N192,""),IF($N192=R_LOT,$L192,"")))</f>
        <v/>
      </c>
      <c r="X192" s="26" t="str">
        <f aca="false">IF($W192="","",IF(COUNTIF($W$4:$W191,$W192)&gt;0,"",COUNT($X$4:$X191)+1))</f>
        <v/>
      </c>
      <c r="Y192" s="26" t="n">
        <f aca="false">IF($P192=0,0,IF(OR($L192=R_LOT,$N192=R_LOT),1,0))</f>
        <v>0</v>
      </c>
      <c r="Z192" s="26" t="str">
        <f aca="false">IF($Y192=0,"",COUNTIF($Y$5:$Y192,1))</f>
        <v/>
      </c>
    </row>
    <row r="193" customFormat="false" ht="15" hidden="false" customHeight="false" outlineLevel="0" collapsed="false">
      <c r="A193" s="26" t="str">
        <f aca="false">IF($B193="","","RES-"&amp;TEXT(ROW()-4,"000"))</f>
        <v/>
      </c>
      <c r="B193" s="24"/>
      <c r="C193" s="25"/>
      <c r="D193" s="24"/>
      <c r="E193" s="24"/>
      <c r="F193" s="29"/>
      <c r="G193" s="24"/>
      <c r="H193" s="24"/>
      <c r="I193" s="24"/>
      <c r="J193" s="24"/>
      <c r="K193" s="24"/>
      <c r="L193" s="26" t="str">
        <f aca="false">IF($B193="","",IFERROR(INDEX(ST_LOT,MATCH($B193,ST_ID,0)),""))</f>
        <v/>
      </c>
      <c r="M193" s="26" t="str">
        <f aca="false">IF($B193="","",IFERROR(INDEX(ST_STRAIT,MATCH($B193,ST_ID,0)),""))</f>
        <v/>
      </c>
      <c r="N193" s="26" t="str">
        <f aca="false">IF($B193="","",IF($E193="",$L193,$E193))</f>
        <v/>
      </c>
      <c r="O193" s="26" t="str">
        <f aca="false">IF($J193="","",IFERROR(INDEX(EMPL_CLASSE,MATCH($J193,EMPL_KEY,0)),"?"))</f>
        <v/>
      </c>
      <c r="P193" s="28" t="n">
        <f aca="false">IF($B193="",0,IF(OR(ISNA(MATCH($B193,ST_ID,0)),NOT(ISNUMBER($F193)),$F193&lt;=0,$J193="",$N193=""),0,1))</f>
        <v>0</v>
      </c>
      <c r="Q193" s="27" t="n">
        <f aca="false">IF($P193=0,0,$F193)</f>
        <v>0</v>
      </c>
      <c r="R193" s="26" t="str">
        <f aca="false">IF($B193="","",IFERROR(INDEX(ST_STATUT,MATCH($B193,ST_ID,0)),""))</f>
        <v/>
      </c>
      <c r="S193" s="26" t="str">
        <f aca="false">IF($B193="","",IF($P193=0,"DONNEES MANQUANTES",IF(OR($R193="DONNEES MANQUANTES",$R193="STOCK INSUFFISANT",$R193="EMPLACEMENT INCOHERENT",$R193="BLOQUE"),"BLOQUE","OK")))</f>
        <v/>
      </c>
      <c r="T193" s="28" t="n">
        <f aca="false">IF($S193="OK",1,0)</f>
        <v>0</v>
      </c>
      <c r="U193" s="26" t="str">
        <f aca="false">IF($B193="","",IF($P193=0,"A COMPLETER : "&amp;IF(ISNA(MATCH($B193,ST_ID,0)),"ID ST valide; ","")&amp;IF(OR(NOT(ISNUMBER($F193)),$F193&lt;=0),"QUANTITE &gt; 0; ","")&amp;IF($J193="","EMPL. DESTINATION; ",""),IF($S193="BLOQUE","Envoi parent en anomalie ("&amp;$R193&amp;") : corriger l'onglet SOUS_TRAITANCE.",IF(AND($E193&lt;&gt;"",ISNA(MATCH($E193,LOT_KEY,0))),"Creer la fiche du lot resultat dans l'onglet LOTS.",""))))</f>
        <v/>
      </c>
      <c r="V193" s="31" t="str">
        <f aca="false">IF($B193="","",IF($C193&lt;&gt;"",$C193,IFERROR(INDEX(ST_DATERET,MATCH($B193,ST_ID,0)),"")))</f>
        <v/>
      </c>
      <c r="W193" s="26" t="str">
        <f aca="false">IF($P193=0,"",IF($L193=R_LOT,IF($N193&lt;&gt;R_LOT,$N193,""),IF($N193=R_LOT,$L193,"")))</f>
        <v/>
      </c>
      <c r="X193" s="26" t="str">
        <f aca="false">IF($W193="","",IF(COUNTIF($W$4:$W192,$W193)&gt;0,"",COUNT($X$4:$X192)+1))</f>
        <v/>
      </c>
      <c r="Y193" s="26" t="n">
        <f aca="false">IF($P193=0,0,IF(OR($L193=R_LOT,$N193=R_LOT),1,0))</f>
        <v>0</v>
      </c>
      <c r="Z193" s="26" t="str">
        <f aca="false">IF($Y193=0,"",COUNTIF($Y$5:$Y193,1))</f>
        <v/>
      </c>
    </row>
    <row r="194" customFormat="false" ht="15" hidden="false" customHeight="false" outlineLevel="0" collapsed="false">
      <c r="A194" s="26" t="str">
        <f aca="false">IF($B194="","","RES-"&amp;TEXT(ROW()-4,"000"))</f>
        <v/>
      </c>
      <c r="B194" s="24"/>
      <c r="C194" s="25"/>
      <c r="D194" s="24"/>
      <c r="E194" s="24"/>
      <c r="F194" s="29"/>
      <c r="G194" s="24"/>
      <c r="H194" s="24"/>
      <c r="I194" s="24"/>
      <c r="J194" s="24"/>
      <c r="K194" s="24"/>
      <c r="L194" s="26" t="str">
        <f aca="false">IF($B194="","",IFERROR(INDEX(ST_LOT,MATCH($B194,ST_ID,0)),""))</f>
        <v/>
      </c>
      <c r="M194" s="26" t="str">
        <f aca="false">IF($B194="","",IFERROR(INDEX(ST_STRAIT,MATCH($B194,ST_ID,0)),""))</f>
        <v/>
      </c>
      <c r="N194" s="26" t="str">
        <f aca="false">IF($B194="","",IF($E194="",$L194,$E194))</f>
        <v/>
      </c>
      <c r="O194" s="26" t="str">
        <f aca="false">IF($J194="","",IFERROR(INDEX(EMPL_CLASSE,MATCH($J194,EMPL_KEY,0)),"?"))</f>
        <v/>
      </c>
      <c r="P194" s="28" t="n">
        <f aca="false">IF($B194="",0,IF(OR(ISNA(MATCH($B194,ST_ID,0)),NOT(ISNUMBER($F194)),$F194&lt;=0,$J194="",$N194=""),0,1))</f>
        <v>0</v>
      </c>
      <c r="Q194" s="27" t="n">
        <f aca="false">IF($P194=0,0,$F194)</f>
        <v>0</v>
      </c>
      <c r="R194" s="26" t="str">
        <f aca="false">IF($B194="","",IFERROR(INDEX(ST_STATUT,MATCH($B194,ST_ID,0)),""))</f>
        <v/>
      </c>
      <c r="S194" s="26" t="str">
        <f aca="false">IF($B194="","",IF($P194=0,"DONNEES MANQUANTES",IF(OR($R194="DONNEES MANQUANTES",$R194="STOCK INSUFFISANT",$R194="EMPLACEMENT INCOHERENT",$R194="BLOQUE"),"BLOQUE","OK")))</f>
        <v/>
      </c>
      <c r="T194" s="28" t="n">
        <f aca="false">IF($S194="OK",1,0)</f>
        <v>0</v>
      </c>
      <c r="U194" s="26" t="str">
        <f aca="false">IF($B194="","",IF($P194=0,"A COMPLETER : "&amp;IF(ISNA(MATCH($B194,ST_ID,0)),"ID ST valide; ","")&amp;IF(OR(NOT(ISNUMBER($F194)),$F194&lt;=0),"QUANTITE &gt; 0; ","")&amp;IF($J194="","EMPL. DESTINATION; ",""),IF($S194="BLOQUE","Envoi parent en anomalie ("&amp;$R194&amp;") : corriger l'onglet SOUS_TRAITANCE.",IF(AND($E194&lt;&gt;"",ISNA(MATCH($E194,LOT_KEY,0))),"Creer la fiche du lot resultat dans l'onglet LOTS.",""))))</f>
        <v/>
      </c>
      <c r="V194" s="31" t="str">
        <f aca="false">IF($B194="","",IF($C194&lt;&gt;"",$C194,IFERROR(INDEX(ST_DATERET,MATCH($B194,ST_ID,0)),"")))</f>
        <v/>
      </c>
      <c r="W194" s="26" t="str">
        <f aca="false">IF($P194=0,"",IF($L194=R_LOT,IF($N194&lt;&gt;R_LOT,$N194,""),IF($N194=R_LOT,$L194,"")))</f>
        <v/>
      </c>
      <c r="X194" s="26" t="str">
        <f aca="false">IF($W194="","",IF(COUNTIF($W$4:$W193,$W194)&gt;0,"",COUNT($X$4:$X193)+1))</f>
        <v/>
      </c>
      <c r="Y194" s="26" t="n">
        <f aca="false">IF($P194=0,0,IF(OR($L194=R_LOT,$N194=R_LOT),1,0))</f>
        <v>0</v>
      </c>
      <c r="Z194" s="26" t="str">
        <f aca="false">IF($Y194=0,"",COUNTIF($Y$5:$Y194,1))</f>
        <v/>
      </c>
    </row>
    <row r="195" customFormat="false" ht="15" hidden="false" customHeight="false" outlineLevel="0" collapsed="false">
      <c r="A195" s="26" t="str">
        <f aca="false">IF($B195="","","RES-"&amp;TEXT(ROW()-4,"000"))</f>
        <v/>
      </c>
      <c r="B195" s="24"/>
      <c r="C195" s="25"/>
      <c r="D195" s="24"/>
      <c r="E195" s="24"/>
      <c r="F195" s="29"/>
      <c r="G195" s="24"/>
      <c r="H195" s="24"/>
      <c r="I195" s="24"/>
      <c r="J195" s="24"/>
      <c r="K195" s="24"/>
      <c r="L195" s="26" t="str">
        <f aca="false">IF($B195="","",IFERROR(INDEX(ST_LOT,MATCH($B195,ST_ID,0)),""))</f>
        <v/>
      </c>
      <c r="M195" s="26" t="str">
        <f aca="false">IF($B195="","",IFERROR(INDEX(ST_STRAIT,MATCH($B195,ST_ID,0)),""))</f>
        <v/>
      </c>
      <c r="N195" s="26" t="str">
        <f aca="false">IF($B195="","",IF($E195="",$L195,$E195))</f>
        <v/>
      </c>
      <c r="O195" s="26" t="str">
        <f aca="false">IF($J195="","",IFERROR(INDEX(EMPL_CLASSE,MATCH($J195,EMPL_KEY,0)),"?"))</f>
        <v/>
      </c>
      <c r="P195" s="28" t="n">
        <f aca="false">IF($B195="",0,IF(OR(ISNA(MATCH($B195,ST_ID,0)),NOT(ISNUMBER($F195)),$F195&lt;=0,$J195="",$N195=""),0,1))</f>
        <v>0</v>
      </c>
      <c r="Q195" s="27" t="n">
        <f aca="false">IF($P195=0,0,$F195)</f>
        <v>0</v>
      </c>
      <c r="R195" s="26" t="str">
        <f aca="false">IF($B195="","",IFERROR(INDEX(ST_STATUT,MATCH($B195,ST_ID,0)),""))</f>
        <v/>
      </c>
      <c r="S195" s="26" t="str">
        <f aca="false">IF($B195="","",IF($P195=0,"DONNEES MANQUANTES",IF(OR($R195="DONNEES MANQUANTES",$R195="STOCK INSUFFISANT",$R195="EMPLACEMENT INCOHERENT",$R195="BLOQUE"),"BLOQUE","OK")))</f>
        <v/>
      </c>
      <c r="T195" s="28" t="n">
        <f aca="false">IF($S195="OK",1,0)</f>
        <v>0</v>
      </c>
      <c r="U195" s="26" t="str">
        <f aca="false">IF($B195="","",IF($P195=0,"A COMPLETER : "&amp;IF(ISNA(MATCH($B195,ST_ID,0)),"ID ST valide; ","")&amp;IF(OR(NOT(ISNUMBER($F195)),$F195&lt;=0),"QUANTITE &gt; 0; ","")&amp;IF($J195="","EMPL. DESTINATION; ",""),IF($S195="BLOQUE","Envoi parent en anomalie ("&amp;$R195&amp;") : corriger l'onglet SOUS_TRAITANCE.",IF(AND($E195&lt;&gt;"",ISNA(MATCH($E195,LOT_KEY,0))),"Creer la fiche du lot resultat dans l'onglet LOTS.",""))))</f>
        <v/>
      </c>
      <c r="V195" s="31" t="str">
        <f aca="false">IF($B195="","",IF($C195&lt;&gt;"",$C195,IFERROR(INDEX(ST_DATERET,MATCH($B195,ST_ID,0)),"")))</f>
        <v/>
      </c>
      <c r="W195" s="26" t="str">
        <f aca="false">IF($P195=0,"",IF($L195=R_LOT,IF($N195&lt;&gt;R_LOT,$N195,""),IF($N195=R_LOT,$L195,"")))</f>
        <v/>
      </c>
      <c r="X195" s="26" t="str">
        <f aca="false">IF($W195="","",IF(COUNTIF($W$4:$W194,$W195)&gt;0,"",COUNT($X$4:$X194)+1))</f>
        <v/>
      </c>
      <c r="Y195" s="26" t="n">
        <f aca="false">IF($P195=0,0,IF(OR($L195=R_LOT,$N195=R_LOT),1,0))</f>
        <v>0</v>
      </c>
      <c r="Z195" s="26" t="str">
        <f aca="false">IF($Y195=0,"",COUNTIF($Y$5:$Y195,1))</f>
        <v/>
      </c>
    </row>
    <row r="196" customFormat="false" ht="15" hidden="false" customHeight="false" outlineLevel="0" collapsed="false">
      <c r="A196" s="26" t="str">
        <f aca="false">IF($B196="","","RES-"&amp;TEXT(ROW()-4,"000"))</f>
        <v/>
      </c>
      <c r="B196" s="24"/>
      <c r="C196" s="25"/>
      <c r="D196" s="24"/>
      <c r="E196" s="24"/>
      <c r="F196" s="29"/>
      <c r="G196" s="24"/>
      <c r="H196" s="24"/>
      <c r="I196" s="24"/>
      <c r="J196" s="24"/>
      <c r="K196" s="24"/>
      <c r="L196" s="26" t="str">
        <f aca="false">IF($B196="","",IFERROR(INDEX(ST_LOT,MATCH($B196,ST_ID,0)),""))</f>
        <v/>
      </c>
      <c r="M196" s="26" t="str">
        <f aca="false">IF($B196="","",IFERROR(INDEX(ST_STRAIT,MATCH($B196,ST_ID,0)),""))</f>
        <v/>
      </c>
      <c r="N196" s="26" t="str">
        <f aca="false">IF($B196="","",IF($E196="",$L196,$E196))</f>
        <v/>
      </c>
      <c r="O196" s="26" t="str">
        <f aca="false">IF($J196="","",IFERROR(INDEX(EMPL_CLASSE,MATCH($J196,EMPL_KEY,0)),"?"))</f>
        <v/>
      </c>
      <c r="P196" s="28" t="n">
        <f aca="false">IF($B196="",0,IF(OR(ISNA(MATCH($B196,ST_ID,0)),NOT(ISNUMBER($F196)),$F196&lt;=0,$J196="",$N196=""),0,1))</f>
        <v>0</v>
      </c>
      <c r="Q196" s="27" t="n">
        <f aca="false">IF($P196=0,0,$F196)</f>
        <v>0</v>
      </c>
      <c r="R196" s="26" t="str">
        <f aca="false">IF($B196="","",IFERROR(INDEX(ST_STATUT,MATCH($B196,ST_ID,0)),""))</f>
        <v/>
      </c>
      <c r="S196" s="26" t="str">
        <f aca="false">IF($B196="","",IF($P196=0,"DONNEES MANQUANTES",IF(OR($R196="DONNEES MANQUANTES",$R196="STOCK INSUFFISANT",$R196="EMPLACEMENT INCOHERENT",$R196="BLOQUE"),"BLOQUE","OK")))</f>
        <v/>
      </c>
      <c r="T196" s="28" t="n">
        <f aca="false">IF($S196="OK",1,0)</f>
        <v>0</v>
      </c>
      <c r="U196" s="26" t="str">
        <f aca="false">IF($B196="","",IF($P196=0,"A COMPLETER : "&amp;IF(ISNA(MATCH($B196,ST_ID,0)),"ID ST valide; ","")&amp;IF(OR(NOT(ISNUMBER($F196)),$F196&lt;=0),"QUANTITE &gt; 0; ","")&amp;IF($J196="","EMPL. DESTINATION; ",""),IF($S196="BLOQUE","Envoi parent en anomalie ("&amp;$R196&amp;") : corriger l'onglet SOUS_TRAITANCE.",IF(AND($E196&lt;&gt;"",ISNA(MATCH($E196,LOT_KEY,0))),"Creer la fiche du lot resultat dans l'onglet LOTS.",""))))</f>
        <v/>
      </c>
      <c r="V196" s="31" t="str">
        <f aca="false">IF($B196="","",IF($C196&lt;&gt;"",$C196,IFERROR(INDEX(ST_DATERET,MATCH($B196,ST_ID,0)),"")))</f>
        <v/>
      </c>
      <c r="W196" s="26" t="str">
        <f aca="false">IF($P196=0,"",IF($L196=R_LOT,IF($N196&lt;&gt;R_LOT,$N196,""),IF($N196=R_LOT,$L196,"")))</f>
        <v/>
      </c>
      <c r="X196" s="26" t="str">
        <f aca="false">IF($W196="","",IF(COUNTIF($W$4:$W195,$W196)&gt;0,"",COUNT($X$4:$X195)+1))</f>
        <v/>
      </c>
      <c r="Y196" s="26" t="n">
        <f aca="false">IF($P196=0,0,IF(OR($L196=R_LOT,$N196=R_LOT),1,0))</f>
        <v>0</v>
      </c>
      <c r="Z196" s="26" t="str">
        <f aca="false">IF($Y196=0,"",COUNTIF($Y$5:$Y196,1))</f>
        <v/>
      </c>
    </row>
    <row r="197" customFormat="false" ht="15" hidden="false" customHeight="false" outlineLevel="0" collapsed="false">
      <c r="A197" s="26" t="str">
        <f aca="false">IF($B197="","","RES-"&amp;TEXT(ROW()-4,"000"))</f>
        <v/>
      </c>
      <c r="B197" s="24"/>
      <c r="C197" s="25"/>
      <c r="D197" s="24"/>
      <c r="E197" s="24"/>
      <c r="F197" s="29"/>
      <c r="G197" s="24"/>
      <c r="H197" s="24"/>
      <c r="I197" s="24"/>
      <c r="J197" s="24"/>
      <c r="K197" s="24"/>
      <c r="L197" s="26" t="str">
        <f aca="false">IF($B197="","",IFERROR(INDEX(ST_LOT,MATCH($B197,ST_ID,0)),""))</f>
        <v/>
      </c>
      <c r="M197" s="26" t="str">
        <f aca="false">IF($B197="","",IFERROR(INDEX(ST_STRAIT,MATCH($B197,ST_ID,0)),""))</f>
        <v/>
      </c>
      <c r="N197" s="26" t="str">
        <f aca="false">IF($B197="","",IF($E197="",$L197,$E197))</f>
        <v/>
      </c>
      <c r="O197" s="26" t="str">
        <f aca="false">IF($J197="","",IFERROR(INDEX(EMPL_CLASSE,MATCH($J197,EMPL_KEY,0)),"?"))</f>
        <v/>
      </c>
      <c r="P197" s="28" t="n">
        <f aca="false">IF($B197="",0,IF(OR(ISNA(MATCH($B197,ST_ID,0)),NOT(ISNUMBER($F197)),$F197&lt;=0,$J197="",$N197=""),0,1))</f>
        <v>0</v>
      </c>
      <c r="Q197" s="27" t="n">
        <f aca="false">IF($P197=0,0,$F197)</f>
        <v>0</v>
      </c>
      <c r="R197" s="26" t="str">
        <f aca="false">IF($B197="","",IFERROR(INDEX(ST_STATUT,MATCH($B197,ST_ID,0)),""))</f>
        <v/>
      </c>
      <c r="S197" s="26" t="str">
        <f aca="false">IF($B197="","",IF($P197=0,"DONNEES MANQUANTES",IF(OR($R197="DONNEES MANQUANTES",$R197="STOCK INSUFFISANT",$R197="EMPLACEMENT INCOHERENT",$R197="BLOQUE"),"BLOQUE","OK")))</f>
        <v/>
      </c>
      <c r="T197" s="28" t="n">
        <f aca="false">IF($S197="OK",1,0)</f>
        <v>0</v>
      </c>
      <c r="U197" s="26" t="str">
        <f aca="false">IF($B197="","",IF($P197=0,"A COMPLETER : "&amp;IF(ISNA(MATCH($B197,ST_ID,0)),"ID ST valide; ","")&amp;IF(OR(NOT(ISNUMBER($F197)),$F197&lt;=0),"QUANTITE &gt; 0; ","")&amp;IF($J197="","EMPL. DESTINATION; ",""),IF($S197="BLOQUE","Envoi parent en anomalie ("&amp;$R197&amp;") : corriger l'onglet SOUS_TRAITANCE.",IF(AND($E197&lt;&gt;"",ISNA(MATCH($E197,LOT_KEY,0))),"Creer la fiche du lot resultat dans l'onglet LOTS.",""))))</f>
        <v/>
      </c>
      <c r="V197" s="31" t="str">
        <f aca="false">IF($B197="","",IF($C197&lt;&gt;"",$C197,IFERROR(INDEX(ST_DATERET,MATCH($B197,ST_ID,0)),"")))</f>
        <v/>
      </c>
      <c r="W197" s="26" t="str">
        <f aca="false">IF($P197=0,"",IF($L197=R_LOT,IF($N197&lt;&gt;R_LOT,$N197,""),IF($N197=R_LOT,$L197,"")))</f>
        <v/>
      </c>
      <c r="X197" s="26" t="str">
        <f aca="false">IF($W197="","",IF(COUNTIF($W$4:$W196,$W197)&gt;0,"",COUNT($X$4:$X196)+1))</f>
        <v/>
      </c>
      <c r="Y197" s="26" t="n">
        <f aca="false">IF($P197=0,0,IF(OR($L197=R_LOT,$N197=R_LOT),1,0))</f>
        <v>0</v>
      </c>
      <c r="Z197" s="26" t="str">
        <f aca="false">IF($Y197=0,"",COUNTIF($Y$5:$Y197,1))</f>
        <v/>
      </c>
    </row>
    <row r="198" customFormat="false" ht="15" hidden="false" customHeight="false" outlineLevel="0" collapsed="false">
      <c r="A198" s="26" t="str">
        <f aca="false">IF($B198="","","RES-"&amp;TEXT(ROW()-4,"000"))</f>
        <v/>
      </c>
      <c r="B198" s="24"/>
      <c r="C198" s="25"/>
      <c r="D198" s="24"/>
      <c r="E198" s="24"/>
      <c r="F198" s="29"/>
      <c r="G198" s="24"/>
      <c r="H198" s="24"/>
      <c r="I198" s="24"/>
      <c r="J198" s="24"/>
      <c r="K198" s="24"/>
      <c r="L198" s="26" t="str">
        <f aca="false">IF($B198="","",IFERROR(INDEX(ST_LOT,MATCH($B198,ST_ID,0)),""))</f>
        <v/>
      </c>
      <c r="M198" s="26" t="str">
        <f aca="false">IF($B198="","",IFERROR(INDEX(ST_STRAIT,MATCH($B198,ST_ID,0)),""))</f>
        <v/>
      </c>
      <c r="N198" s="26" t="str">
        <f aca="false">IF($B198="","",IF($E198="",$L198,$E198))</f>
        <v/>
      </c>
      <c r="O198" s="26" t="str">
        <f aca="false">IF($J198="","",IFERROR(INDEX(EMPL_CLASSE,MATCH($J198,EMPL_KEY,0)),"?"))</f>
        <v/>
      </c>
      <c r="P198" s="28" t="n">
        <f aca="false">IF($B198="",0,IF(OR(ISNA(MATCH($B198,ST_ID,0)),NOT(ISNUMBER($F198)),$F198&lt;=0,$J198="",$N198=""),0,1))</f>
        <v>0</v>
      </c>
      <c r="Q198" s="27" t="n">
        <f aca="false">IF($P198=0,0,$F198)</f>
        <v>0</v>
      </c>
      <c r="R198" s="26" t="str">
        <f aca="false">IF($B198="","",IFERROR(INDEX(ST_STATUT,MATCH($B198,ST_ID,0)),""))</f>
        <v/>
      </c>
      <c r="S198" s="26" t="str">
        <f aca="false">IF($B198="","",IF($P198=0,"DONNEES MANQUANTES",IF(OR($R198="DONNEES MANQUANTES",$R198="STOCK INSUFFISANT",$R198="EMPLACEMENT INCOHERENT",$R198="BLOQUE"),"BLOQUE","OK")))</f>
        <v/>
      </c>
      <c r="T198" s="28" t="n">
        <f aca="false">IF($S198="OK",1,0)</f>
        <v>0</v>
      </c>
      <c r="U198" s="26" t="str">
        <f aca="false">IF($B198="","",IF($P198=0,"A COMPLETER : "&amp;IF(ISNA(MATCH($B198,ST_ID,0)),"ID ST valide; ","")&amp;IF(OR(NOT(ISNUMBER($F198)),$F198&lt;=0),"QUANTITE &gt; 0; ","")&amp;IF($J198="","EMPL. DESTINATION; ",""),IF($S198="BLOQUE","Envoi parent en anomalie ("&amp;$R198&amp;") : corriger l'onglet SOUS_TRAITANCE.",IF(AND($E198&lt;&gt;"",ISNA(MATCH($E198,LOT_KEY,0))),"Creer la fiche du lot resultat dans l'onglet LOTS.",""))))</f>
        <v/>
      </c>
      <c r="V198" s="31" t="str">
        <f aca="false">IF($B198="","",IF($C198&lt;&gt;"",$C198,IFERROR(INDEX(ST_DATERET,MATCH($B198,ST_ID,0)),"")))</f>
        <v/>
      </c>
      <c r="W198" s="26" t="str">
        <f aca="false">IF($P198=0,"",IF($L198=R_LOT,IF($N198&lt;&gt;R_LOT,$N198,""),IF($N198=R_LOT,$L198,"")))</f>
        <v/>
      </c>
      <c r="X198" s="26" t="str">
        <f aca="false">IF($W198="","",IF(COUNTIF($W$4:$W197,$W198)&gt;0,"",COUNT($X$4:$X197)+1))</f>
        <v/>
      </c>
      <c r="Y198" s="26" t="n">
        <f aca="false">IF($P198=0,0,IF(OR($L198=R_LOT,$N198=R_LOT),1,0))</f>
        <v>0</v>
      </c>
      <c r="Z198" s="26" t="str">
        <f aca="false">IF($Y198=0,"",COUNTIF($Y$5:$Y198,1))</f>
        <v/>
      </c>
    </row>
    <row r="199" customFormat="false" ht="15" hidden="false" customHeight="false" outlineLevel="0" collapsed="false">
      <c r="A199" s="26" t="str">
        <f aca="false">IF($B199="","","RES-"&amp;TEXT(ROW()-4,"000"))</f>
        <v/>
      </c>
      <c r="B199" s="24"/>
      <c r="C199" s="25"/>
      <c r="D199" s="24"/>
      <c r="E199" s="24"/>
      <c r="F199" s="29"/>
      <c r="G199" s="24"/>
      <c r="H199" s="24"/>
      <c r="I199" s="24"/>
      <c r="J199" s="24"/>
      <c r="K199" s="24"/>
      <c r="L199" s="26" t="str">
        <f aca="false">IF($B199="","",IFERROR(INDEX(ST_LOT,MATCH($B199,ST_ID,0)),""))</f>
        <v/>
      </c>
      <c r="M199" s="26" t="str">
        <f aca="false">IF($B199="","",IFERROR(INDEX(ST_STRAIT,MATCH($B199,ST_ID,0)),""))</f>
        <v/>
      </c>
      <c r="N199" s="26" t="str">
        <f aca="false">IF($B199="","",IF($E199="",$L199,$E199))</f>
        <v/>
      </c>
      <c r="O199" s="26" t="str">
        <f aca="false">IF($J199="","",IFERROR(INDEX(EMPL_CLASSE,MATCH($J199,EMPL_KEY,0)),"?"))</f>
        <v/>
      </c>
      <c r="P199" s="28" t="n">
        <f aca="false">IF($B199="",0,IF(OR(ISNA(MATCH($B199,ST_ID,0)),NOT(ISNUMBER($F199)),$F199&lt;=0,$J199="",$N199=""),0,1))</f>
        <v>0</v>
      </c>
      <c r="Q199" s="27" t="n">
        <f aca="false">IF($P199=0,0,$F199)</f>
        <v>0</v>
      </c>
      <c r="R199" s="26" t="str">
        <f aca="false">IF($B199="","",IFERROR(INDEX(ST_STATUT,MATCH($B199,ST_ID,0)),""))</f>
        <v/>
      </c>
      <c r="S199" s="26" t="str">
        <f aca="false">IF($B199="","",IF($P199=0,"DONNEES MANQUANTES",IF(OR($R199="DONNEES MANQUANTES",$R199="STOCK INSUFFISANT",$R199="EMPLACEMENT INCOHERENT",$R199="BLOQUE"),"BLOQUE","OK")))</f>
        <v/>
      </c>
      <c r="T199" s="28" t="n">
        <f aca="false">IF($S199="OK",1,0)</f>
        <v>0</v>
      </c>
      <c r="U199" s="26" t="str">
        <f aca="false">IF($B199="","",IF($P199=0,"A COMPLETER : "&amp;IF(ISNA(MATCH($B199,ST_ID,0)),"ID ST valide; ","")&amp;IF(OR(NOT(ISNUMBER($F199)),$F199&lt;=0),"QUANTITE &gt; 0; ","")&amp;IF($J199="","EMPL. DESTINATION; ",""),IF($S199="BLOQUE","Envoi parent en anomalie ("&amp;$R199&amp;") : corriger l'onglet SOUS_TRAITANCE.",IF(AND($E199&lt;&gt;"",ISNA(MATCH($E199,LOT_KEY,0))),"Creer la fiche du lot resultat dans l'onglet LOTS.",""))))</f>
        <v/>
      </c>
      <c r="V199" s="31" t="str">
        <f aca="false">IF($B199="","",IF($C199&lt;&gt;"",$C199,IFERROR(INDEX(ST_DATERET,MATCH($B199,ST_ID,0)),"")))</f>
        <v/>
      </c>
      <c r="W199" s="26" t="str">
        <f aca="false">IF($P199=0,"",IF($L199=R_LOT,IF($N199&lt;&gt;R_LOT,$N199,""),IF($N199=R_LOT,$L199,"")))</f>
        <v/>
      </c>
      <c r="X199" s="26" t="str">
        <f aca="false">IF($W199="","",IF(COUNTIF($W$4:$W198,$W199)&gt;0,"",COUNT($X$4:$X198)+1))</f>
        <v/>
      </c>
      <c r="Y199" s="26" t="n">
        <f aca="false">IF($P199=0,0,IF(OR($L199=R_LOT,$N199=R_LOT),1,0))</f>
        <v>0</v>
      </c>
      <c r="Z199" s="26" t="str">
        <f aca="false">IF($Y199=0,"",COUNTIF($Y$5:$Y199,1))</f>
        <v/>
      </c>
    </row>
    <row r="200" customFormat="false" ht="15" hidden="false" customHeight="false" outlineLevel="0" collapsed="false">
      <c r="A200" s="26" t="str">
        <f aca="false">IF($B200="","","RES-"&amp;TEXT(ROW()-4,"000"))</f>
        <v/>
      </c>
      <c r="B200" s="24"/>
      <c r="C200" s="25"/>
      <c r="D200" s="24"/>
      <c r="E200" s="24"/>
      <c r="F200" s="29"/>
      <c r="G200" s="24"/>
      <c r="H200" s="24"/>
      <c r="I200" s="24"/>
      <c r="J200" s="24"/>
      <c r="K200" s="24"/>
      <c r="L200" s="26" t="str">
        <f aca="false">IF($B200="","",IFERROR(INDEX(ST_LOT,MATCH($B200,ST_ID,0)),""))</f>
        <v/>
      </c>
      <c r="M200" s="26" t="str">
        <f aca="false">IF($B200="","",IFERROR(INDEX(ST_STRAIT,MATCH($B200,ST_ID,0)),""))</f>
        <v/>
      </c>
      <c r="N200" s="26" t="str">
        <f aca="false">IF($B200="","",IF($E200="",$L200,$E200))</f>
        <v/>
      </c>
      <c r="O200" s="26" t="str">
        <f aca="false">IF($J200="","",IFERROR(INDEX(EMPL_CLASSE,MATCH($J200,EMPL_KEY,0)),"?"))</f>
        <v/>
      </c>
      <c r="P200" s="28" t="n">
        <f aca="false">IF($B200="",0,IF(OR(ISNA(MATCH($B200,ST_ID,0)),NOT(ISNUMBER($F200)),$F200&lt;=0,$J200="",$N200=""),0,1))</f>
        <v>0</v>
      </c>
      <c r="Q200" s="27" t="n">
        <f aca="false">IF($P200=0,0,$F200)</f>
        <v>0</v>
      </c>
      <c r="R200" s="26" t="str">
        <f aca="false">IF($B200="","",IFERROR(INDEX(ST_STATUT,MATCH($B200,ST_ID,0)),""))</f>
        <v/>
      </c>
      <c r="S200" s="26" t="str">
        <f aca="false">IF($B200="","",IF($P200=0,"DONNEES MANQUANTES",IF(OR($R200="DONNEES MANQUANTES",$R200="STOCK INSUFFISANT",$R200="EMPLACEMENT INCOHERENT",$R200="BLOQUE"),"BLOQUE","OK")))</f>
        <v/>
      </c>
      <c r="T200" s="28" t="n">
        <f aca="false">IF($S200="OK",1,0)</f>
        <v>0</v>
      </c>
      <c r="U200" s="26" t="str">
        <f aca="false">IF($B200="","",IF($P200=0,"A COMPLETER : "&amp;IF(ISNA(MATCH($B200,ST_ID,0)),"ID ST valide; ","")&amp;IF(OR(NOT(ISNUMBER($F200)),$F200&lt;=0),"QUANTITE &gt; 0; ","")&amp;IF($J200="","EMPL. DESTINATION; ",""),IF($S200="BLOQUE","Envoi parent en anomalie ("&amp;$R200&amp;") : corriger l'onglet SOUS_TRAITANCE.",IF(AND($E200&lt;&gt;"",ISNA(MATCH($E200,LOT_KEY,0))),"Creer la fiche du lot resultat dans l'onglet LOTS.",""))))</f>
        <v/>
      </c>
      <c r="V200" s="31" t="str">
        <f aca="false">IF($B200="","",IF($C200&lt;&gt;"",$C200,IFERROR(INDEX(ST_DATERET,MATCH($B200,ST_ID,0)),"")))</f>
        <v/>
      </c>
      <c r="W200" s="26" t="str">
        <f aca="false">IF($P200=0,"",IF($L200=R_LOT,IF($N200&lt;&gt;R_LOT,$N200,""),IF($N200=R_LOT,$L200,"")))</f>
        <v/>
      </c>
      <c r="X200" s="26" t="str">
        <f aca="false">IF($W200="","",IF(COUNTIF($W$4:$W199,$W200)&gt;0,"",COUNT($X$4:$X199)+1))</f>
        <v/>
      </c>
      <c r="Y200" s="26" t="n">
        <f aca="false">IF($P200=0,0,IF(OR($L200=R_LOT,$N200=R_LOT),1,0))</f>
        <v>0</v>
      </c>
      <c r="Z200" s="26" t="str">
        <f aca="false">IF($Y200=0,"",COUNTIF($Y$5:$Y200,1))</f>
        <v/>
      </c>
    </row>
    <row r="201" customFormat="false" ht="15" hidden="false" customHeight="false" outlineLevel="0" collapsed="false">
      <c r="A201" s="26" t="str">
        <f aca="false">IF($B201="","","RES-"&amp;TEXT(ROW()-4,"000"))</f>
        <v/>
      </c>
      <c r="B201" s="24"/>
      <c r="C201" s="25"/>
      <c r="D201" s="24"/>
      <c r="E201" s="24"/>
      <c r="F201" s="29"/>
      <c r="G201" s="24"/>
      <c r="H201" s="24"/>
      <c r="I201" s="24"/>
      <c r="J201" s="24"/>
      <c r="K201" s="24"/>
      <c r="L201" s="26" t="str">
        <f aca="false">IF($B201="","",IFERROR(INDEX(ST_LOT,MATCH($B201,ST_ID,0)),""))</f>
        <v/>
      </c>
      <c r="M201" s="26" t="str">
        <f aca="false">IF($B201="","",IFERROR(INDEX(ST_STRAIT,MATCH($B201,ST_ID,0)),""))</f>
        <v/>
      </c>
      <c r="N201" s="26" t="str">
        <f aca="false">IF($B201="","",IF($E201="",$L201,$E201))</f>
        <v/>
      </c>
      <c r="O201" s="26" t="str">
        <f aca="false">IF($J201="","",IFERROR(INDEX(EMPL_CLASSE,MATCH($J201,EMPL_KEY,0)),"?"))</f>
        <v/>
      </c>
      <c r="P201" s="28" t="n">
        <f aca="false">IF($B201="",0,IF(OR(ISNA(MATCH($B201,ST_ID,0)),NOT(ISNUMBER($F201)),$F201&lt;=0,$J201="",$N201=""),0,1))</f>
        <v>0</v>
      </c>
      <c r="Q201" s="27" t="n">
        <f aca="false">IF($P201=0,0,$F201)</f>
        <v>0</v>
      </c>
      <c r="R201" s="26" t="str">
        <f aca="false">IF($B201="","",IFERROR(INDEX(ST_STATUT,MATCH($B201,ST_ID,0)),""))</f>
        <v/>
      </c>
      <c r="S201" s="26" t="str">
        <f aca="false">IF($B201="","",IF($P201=0,"DONNEES MANQUANTES",IF(OR($R201="DONNEES MANQUANTES",$R201="STOCK INSUFFISANT",$R201="EMPLACEMENT INCOHERENT",$R201="BLOQUE"),"BLOQUE","OK")))</f>
        <v/>
      </c>
      <c r="T201" s="28" t="n">
        <f aca="false">IF($S201="OK",1,0)</f>
        <v>0</v>
      </c>
      <c r="U201" s="26" t="str">
        <f aca="false">IF($B201="","",IF($P201=0,"A COMPLETER : "&amp;IF(ISNA(MATCH($B201,ST_ID,0)),"ID ST valide; ","")&amp;IF(OR(NOT(ISNUMBER($F201)),$F201&lt;=0),"QUANTITE &gt; 0; ","")&amp;IF($J201="","EMPL. DESTINATION; ",""),IF($S201="BLOQUE","Envoi parent en anomalie ("&amp;$R201&amp;") : corriger l'onglet SOUS_TRAITANCE.",IF(AND($E201&lt;&gt;"",ISNA(MATCH($E201,LOT_KEY,0))),"Creer la fiche du lot resultat dans l'onglet LOTS.",""))))</f>
        <v/>
      </c>
      <c r="V201" s="31" t="str">
        <f aca="false">IF($B201="","",IF($C201&lt;&gt;"",$C201,IFERROR(INDEX(ST_DATERET,MATCH($B201,ST_ID,0)),"")))</f>
        <v/>
      </c>
      <c r="W201" s="26" t="str">
        <f aca="false">IF($P201=0,"",IF($L201=R_LOT,IF($N201&lt;&gt;R_LOT,$N201,""),IF($N201=R_LOT,$L201,"")))</f>
        <v/>
      </c>
      <c r="X201" s="26" t="str">
        <f aca="false">IF($W201="","",IF(COUNTIF($W$4:$W200,$W201)&gt;0,"",COUNT($X$4:$X200)+1))</f>
        <v/>
      </c>
      <c r="Y201" s="26" t="n">
        <f aca="false">IF($P201=0,0,IF(OR($L201=R_LOT,$N201=R_LOT),1,0))</f>
        <v>0</v>
      </c>
      <c r="Z201" s="26" t="str">
        <f aca="false">IF($Y201=0,"",COUNTIF($Y$5:$Y201,1))</f>
        <v/>
      </c>
    </row>
    <row r="202" customFormat="false" ht="15" hidden="false" customHeight="false" outlineLevel="0" collapsed="false">
      <c r="A202" s="26" t="str">
        <f aca="false">IF($B202="","","RES-"&amp;TEXT(ROW()-4,"000"))</f>
        <v/>
      </c>
      <c r="B202" s="24"/>
      <c r="C202" s="25"/>
      <c r="D202" s="24"/>
      <c r="E202" s="24"/>
      <c r="F202" s="29"/>
      <c r="G202" s="24"/>
      <c r="H202" s="24"/>
      <c r="I202" s="24"/>
      <c r="J202" s="24"/>
      <c r="K202" s="24"/>
      <c r="L202" s="26" t="str">
        <f aca="false">IF($B202="","",IFERROR(INDEX(ST_LOT,MATCH($B202,ST_ID,0)),""))</f>
        <v/>
      </c>
      <c r="M202" s="26" t="str">
        <f aca="false">IF($B202="","",IFERROR(INDEX(ST_STRAIT,MATCH($B202,ST_ID,0)),""))</f>
        <v/>
      </c>
      <c r="N202" s="26" t="str">
        <f aca="false">IF($B202="","",IF($E202="",$L202,$E202))</f>
        <v/>
      </c>
      <c r="O202" s="26" t="str">
        <f aca="false">IF($J202="","",IFERROR(INDEX(EMPL_CLASSE,MATCH($J202,EMPL_KEY,0)),"?"))</f>
        <v/>
      </c>
      <c r="P202" s="28" t="n">
        <f aca="false">IF($B202="",0,IF(OR(ISNA(MATCH($B202,ST_ID,0)),NOT(ISNUMBER($F202)),$F202&lt;=0,$J202="",$N202=""),0,1))</f>
        <v>0</v>
      </c>
      <c r="Q202" s="27" t="n">
        <f aca="false">IF($P202=0,0,$F202)</f>
        <v>0</v>
      </c>
      <c r="R202" s="26" t="str">
        <f aca="false">IF($B202="","",IFERROR(INDEX(ST_STATUT,MATCH($B202,ST_ID,0)),""))</f>
        <v/>
      </c>
      <c r="S202" s="26" t="str">
        <f aca="false">IF($B202="","",IF($P202=0,"DONNEES MANQUANTES",IF(OR($R202="DONNEES MANQUANTES",$R202="STOCK INSUFFISANT",$R202="EMPLACEMENT INCOHERENT",$R202="BLOQUE"),"BLOQUE","OK")))</f>
        <v/>
      </c>
      <c r="T202" s="28" t="n">
        <f aca="false">IF($S202="OK",1,0)</f>
        <v>0</v>
      </c>
      <c r="U202" s="26" t="str">
        <f aca="false">IF($B202="","",IF($P202=0,"A COMPLETER : "&amp;IF(ISNA(MATCH($B202,ST_ID,0)),"ID ST valide; ","")&amp;IF(OR(NOT(ISNUMBER($F202)),$F202&lt;=0),"QUANTITE &gt; 0; ","")&amp;IF($J202="","EMPL. DESTINATION; ",""),IF($S202="BLOQUE","Envoi parent en anomalie ("&amp;$R202&amp;") : corriger l'onglet SOUS_TRAITANCE.",IF(AND($E202&lt;&gt;"",ISNA(MATCH($E202,LOT_KEY,0))),"Creer la fiche du lot resultat dans l'onglet LOTS.",""))))</f>
        <v/>
      </c>
      <c r="V202" s="31" t="str">
        <f aca="false">IF($B202="","",IF($C202&lt;&gt;"",$C202,IFERROR(INDEX(ST_DATERET,MATCH($B202,ST_ID,0)),"")))</f>
        <v/>
      </c>
      <c r="W202" s="26" t="str">
        <f aca="false">IF($P202=0,"",IF($L202=R_LOT,IF($N202&lt;&gt;R_LOT,$N202,""),IF($N202=R_LOT,$L202,"")))</f>
        <v/>
      </c>
      <c r="X202" s="26" t="str">
        <f aca="false">IF($W202="","",IF(COUNTIF($W$4:$W201,$W202)&gt;0,"",COUNT($X$4:$X201)+1))</f>
        <v/>
      </c>
      <c r="Y202" s="26" t="n">
        <f aca="false">IF($P202=0,0,IF(OR($L202=R_LOT,$N202=R_LOT),1,0))</f>
        <v>0</v>
      </c>
      <c r="Z202" s="26" t="str">
        <f aca="false">IF($Y202=0,"",COUNTIF($Y$5:$Y202,1))</f>
        <v/>
      </c>
    </row>
    <row r="203" customFormat="false" ht="15" hidden="false" customHeight="false" outlineLevel="0" collapsed="false">
      <c r="A203" s="26" t="str">
        <f aca="false">IF($B203="","","RES-"&amp;TEXT(ROW()-4,"000"))</f>
        <v/>
      </c>
      <c r="B203" s="24"/>
      <c r="C203" s="25"/>
      <c r="D203" s="24"/>
      <c r="E203" s="24"/>
      <c r="F203" s="29"/>
      <c r="G203" s="24"/>
      <c r="H203" s="24"/>
      <c r="I203" s="24"/>
      <c r="J203" s="24"/>
      <c r="K203" s="24"/>
      <c r="L203" s="26" t="str">
        <f aca="false">IF($B203="","",IFERROR(INDEX(ST_LOT,MATCH($B203,ST_ID,0)),""))</f>
        <v/>
      </c>
      <c r="M203" s="26" t="str">
        <f aca="false">IF($B203="","",IFERROR(INDEX(ST_STRAIT,MATCH($B203,ST_ID,0)),""))</f>
        <v/>
      </c>
      <c r="N203" s="26" t="str">
        <f aca="false">IF($B203="","",IF($E203="",$L203,$E203))</f>
        <v/>
      </c>
      <c r="O203" s="26" t="str">
        <f aca="false">IF($J203="","",IFERROR(INDEX(EMPL_CLASSE,MATCH($J203,EMPL_KEY,0)),"?"))</f>
        <v/>
      </c>
      <c r="P203" s="28" t="n">
        <f aca="false">IF($B203="",0,IF(OR(ISNA(MATCH($B203,ST_ID,0)),NOT(ISNUMBER($F203)),$F203&lt;=0,$J203="",$N203=""),0,1))</f>
        <v>0</v>
      </c>
      <c r="Q203" s="27" t="n">
        <f aca="false">IF($P203=0,0,$F203)</f>
        <v>0</v>
      </c>
      <c r="R203" s="26" t="str">
        <f aca="false">IF($B203="","",IFERROR(INDEX(ST_STATUT,MATCH($B203,ST_ID,0)),""))</f>
        <v/>
      </c>
      <c r="S203" s="26" t="str">
        <f aca="false">IF($B203="","",IF($P203=0,"DONNEES MANQUANTES",IF(OR($R203="DONNEES MANQUANTES",$R203="STOCK INSUFFISANT",$R203="EMPLACEMENT INCOHERENT",$R203="BLOQUE"),"BLOQUE","OK")))</f>
        <v/>
      </c>
      <c r="T203" s="28" t="n">
        <f aca="false">IF($S203="OK",1,0)</f>
        <v>0</v>
      </c>
      <c r="U203" s="26" t="str">
        <f aca="false">IF($B203="","",IF($P203=0,"A COMPLETER : "&amp;IF(ISNA(MATCH($B203,ST_ID,0)),"ID ST valide; ","")&amp;IF(OR(NOT(ISNUMBER($F203)),$F203&lt;=0),"QUANTITE &gt; 0; ","")&amp;IF($J203="","EMPL. DESTINATION; ",""),IF($S203="BLOQUE","Envoi parent en anomalie ("&amp;$R203&amp;") : corriger l'onglet SOUS_TRAITANCE.",IF(AND($E203&lt;&gt;"",ISNA(MATCH($E203,LOT_KEY,0))),"Creer la fiche du lot resultat dans l'onglet LOTS.",""))))</f>
        <v/>
      </c>
      <c r="V203" s="31" t="str">
        <f aca="false">IF($B203="","",IF($C203&lt;&gt;"",$C203,IFERROR(INDEX(ST_DATERET,MATCH($B203,ST_ID,0)),"")))</f>
        <v/>
      </c>
      <c r="W203" s="26" t="str">
        <f aca="false">IF($P203=0,"",IF($L203=R_LOT,IF($N203&lt;&gt;R_LOT,$N203,""),IF($N203=R_LOT,$L203,"")))</f>
        <v/>
      </c>
      <c r="X203" s="26" t="str">
        <f aca="false">IF($W203="","",IF(COUNTIF($W$4:$W202,$W203)&gt;0,"",COUNT($X$4:$X202)+1))</f>
        <v/>
      </c>
      <c r="Y203" s="26" t="n">
        <f aca="false">IF($P203=0,0,IF(OR($L203=R_LOT,$N203=R_LOT),1,0))</f>
        <v>0</v>
      </c>
      <c r="Z203" s="26" t="str">
        <f aca="false">IF($Y203=0,"",COUNTIF($Y$5:$Y203,1))</f>
        <v/>
      </c>
    </row>
    <row r="204" customFormat="false" ht="15" hidden="false" customHeight="false" outlineLevel="0" collapsed="false">
      <c r="A204" s="26" t="str">
        <f aca="false">IF($B204="","","RES-"&amp;TEXT(ROW()-4,"000"))</f>
        <v/>
      </c>
      <c r="B204" s="24"/>
      <c r="C204" s="25"/>
      <c r="D204" s="24"/>
      <c r="E204" s="24"/>
      <c r="F204" s="29"/>
      <c r="G204" s="24"/>
      <c r="H204" s="24"/>
      <c r="I204" s="24"/>
      <c r="J204" s="24"/>
      <c r="K204" s="24"/>
      <c r="L204" s="26" t="str">
        <f aca="false">IF($B204="","",IFERROR(INDEX(ST_LOT,MATCH($B204,ST_ID,0)),""))</f>
        <v/>
      </c>
      <c r="M204" s="26" t="str">
        <f aca="false">IF($B204="","",IFERROR(INDEX(ST_STRAIT,MATCH($B204,ST_ID,0)),""))</f>
        <v/>
      </c>
      <c r="N204" s="26" t="str">
        <f aca="false">IF($B204="","",IF($E204="",$L204,$E204))</f>
        <v/>
      </c>
      <c r="O204" s="26" t="str">
        <f aca="false">IF($J204="","",IFERROR(INDEX(EMPL_CLASSE,MATCH($J204,EMPL_KEY,0)),"?"))</f>
        <v/>
      </c>
      <c r="P204" s="28" t="n">
        <f aca="false">IF($B204="",0,IF(OR(ISNA(MATCH($B204,ST_ID,0)),NOT(ISNUMBER($F204)),$F204&lt;=0,$J204="",$N204=""),0,1))</f>
        <v>0</v>
      </c>
      <c r="Q204" s="27" t="n">
        <f aca="false">IF($P204=0,0,$F204)</f>
        <v>0</v>
      </c>
      <c r="R204" s="26" t="str">
        <f aca="false">IF($B204="","",IFERROR(INDEX(ST_STATUT,MATCH($B204,ST_ID,0)),""))</f>
        <v/>
      </c>
      <c r="S204" s="26" t="str">
        <f aca="false">IF($B204="","",IF($P204=0,"DONNEES MANQUANTES",IF(OR($R204="DONNEES MANQUANTES",$R204="STOCK INSUFFISANT",$R204="EMPLACEMENT INCOHERENT",$R204="BLOQUE"),"BLOQUE","OK")))</f>
        <v/>
      </c>
      <c r="T204" s="28" t="n">
        <f aca="false">IF($S204="OK",1,0)</f>
        <v>0</v>
      </c>
      <c r="U204" s="26" t="str">
        <f aca="false">IF($B204="","",IF($P204=0,"A COMPLETER : "&amp;IF(ISNA(MATCH($B204,ST_ID,0)),"ID ST valide; ","")&amp;IF(OR(NOT(ISNUMBER($F204)),$F204&lt;=0),"QUANTITE &gt; 0; ","")&amp;IF($J204="","EMPL. DESTINATION; ",""),IF($S204="BLOQUE","Envoi parent en anomalie ("&amp;$R204&amp;") : corriger l'onglet SOUS_TRAITANCE.",IF(AND($E204&lt;&gt;"",ISNA(MATCH($E204,LOT_KEY,0))),"Creer la fiche du lot resultat dans l'onglet LOTS.",""))))</f>
        <v/>
      </c>
      <c r="V204" s="31" t="str">
        <f aca="false">IF($B204="","",IF($C204&lt;&gt;"",$C204,IFERROR(INDEX(ST_DATERET,MATCH($B204,ST_ID,0)),"")))</f>
        <v/>
      </c>
      <c r="W204" s="26" t="str">
        <f aca="false">IF($P204=0,"",IF($L204=R_LOT,IF($N204&lt;&gt;R_LOT,$N204,""),IF($N204=R_LOT,$L204,"")))</f>
        <v/>
      </c>
      <c r="X204" s="26" t="str">
        <f aca="false">IF($W204="","",IF(COUNTIF($W$4:$W203,$W204)&gt;0,"",COUNT($X$4:$X203)+1))</f>
        <v/>
      </c>
      <c r="Y204" s="26" t="n">
        <f aca="false">IF($P204=0,0,IF(OR($L204=R_LOT,$N204=R_LOT),1,0))</f>
        <v>0</v>
      </c>
      <c r="Z204" s="26" t="str">
        <f aca="false">IF($Y204=0,"",COUNTIF($Y$5:$Y204,1))</f>
        <v/>
      </c>
    </row>
    <row r="205" customFormat="false" ht="15" hidden="false" customHeight="false" outlineLevel="0" collapsed="false">
      <c r="A205" s="26" t="str">
        <f aca="false">IF($B205="","","RES-"&amp;TEXT(ROW()-4,"000"))</f>
        <v/>
      </c>
      <c r="B205" s="24"/>
      <c r="C205" s="25"/>
      <c r="D205" s="24"/>
      <c r="E205" s="24"/>
      <c r="F205" s="29"/>
      <c r="G205" s="24"/>
      <c r="H205" s="24"/>
      <c r="I205" s="24"/>
      <c r="J205" s="24"/>
      <c r="K205" s="24"/>
      <c r="L205" s="26" t="str">
        <f aca="false">IF($B205="","",IFERROR(INDEX(ST_LOT,MATCH($B205,ST_ID,0)),""))</f>
        <v/>
      </c>
      <c r="M205" s="26" t="str">
        <f aca="false">IF($B205="","",IFERROR(INDEX(ST_STRAIT,MATCH($B205,ST_ID,0)),""))</f>
        <v/>
      </c>
      <c r="N205" s="26" t="str">
        <f aca="false">IF($B205="","",IF($E205="",$L205,$E205))</f>
        <v/>
      </c>
      <c r="O205" s="26" t="str">
        <f aca="false">IF($J205="","",IFERROR(INDEX(EMPL_CLASSE,MATCH($J205,EMPL_KEY,0)),"?"))</f>
        <v/>
      </c>
      <c r="P205" s="28" t="n">
        <f aca="false">IF($B205="",0,IF(OR(ISNA(MATCH($B205,ST_ID,0)),NOT(ISNUMBER($F205)),$F205&lt;=0,$J205="",$N205=""),0,1))</f>
        <v>0</v>
      </c>
      <c r="Q205" s="27" t="n">
        <f aca="false">IF($P205=0,0,$F205)</f>
        <v>0</v>
      </c>
      <c r="R205" s="26" t="str">
        <f aca="false">IF($B205="","",IFERROR(INDEX(ST_STATUT,MATCH($B205,ST_ID,0)),""))</f>
        <v/>
      </c>
      <c r="S205" s="26" t="str">
        <f aca="false">IF($B205="","",IF($P205=0,"DONNEES MANQUANTES",IF(OR($R205="DONNEES MANQUANTES",$R205="STOCK INSUFFISANT",$R205="EMPLACEMENT INCOHERENT",$R205="BLOQUE"),"BLOQUE","OK")))</f>
        <v/>
      </c>
      <c r="T205" s="28" t="n">
        <f aca="false">IF($S205="OK",1,0)</f>
        <v>0</v>
      </c>
      <c r="U205" s="26" t="str">
        <f aca="false">IF($B205="","",IF($P205=0,"A COMPLETER : "&amp;IF(ISNA(MATCH($B205,ST_ID,0)),"ID ST valide; ","")&amp;IF(OR(NOT(ISNUMBER($F205)),$F205&lt;=0),"QUANTITE &gt; 0; ","")&amp;IF($J205="","EMPL. DESTINATION; ",""),IF($S205="BLOQUE","Envoi parent en anomalie ("&amp;$R205&amp;") : corriger l'onglet SOUS_TRAITANCE.",IF(AND($E205&lt;&gt;"",ISNA(MATCH($E205,LOT_KEY,0))),"Creer la fiche du lot resultat dans l'onglet LOTS.",""))))</f>
        <v/>
      </c>
      <c r="V205" s="31" t="str">
        <f aca="false">IF($B205="","",IF($C205&lt;&gt;"",$C205,IFERROR(INDEX(ST_DATERET,MATCH($B205,ST_ID,0)),"")))</f>
        <v/>
      </c>
      <c r="W205" s="26" t="str">
        <f aca="false">IF($P205=0,"",IF($L205=R_LOT,IF($N205&lt;&gt;R_LOT,$N205,""),IF($N205=R_LOT,$L205,"")))</f>
        <v/>
      </c>
      <c r="X205" s="26" t="str">
        <f aca="false">IF($W205="","",IF(COUNTIF($W$4:$W204,$W205)&gt;0,"",COUNT($X$4:$X204)+1))</f>
        <v/>
      </c>
      <c r="Y205" s="26" t="n">
        <f aca="false">IF($P205=0,0,IF(OR($L205=R_LOT,$N205=R_LOT),1,0))</f>
        <v>0</v>
      </c>
      <c r="Z205" s="26" t="str">
        <f aca="false">IF($Y205=0,"",COUNTIF($Y$5:$Y205,1))</f>
        <v/>
      </c>
    </row>
    <row r="206" customFormat="false" ht="15" hidden="false" customHeight="false" outlineLevel="0" collapsed="false">
      <c r="A206" s="26" t="str">
        <f aca="false">IF($B206="","","RES-"&amp;TEXT(ROW()-4,"000"))</f>
        <v/>
      </c>
      <c r="B206" s="24"/>
      <c r="C206" s="25"/>
      <c r="D206" s="24"/>
      <c r="E206" s="24"/>
      <c r="F206" s="29"/>
      <c r="G206" s="24"/>
      <c r="H206" s="24"/>
      <c r="I206" s="24"/>
      <c r="J206" s="24"/>
      <c r="K206" s="24"/>
      <c r="L206" s="26" t="str">
        <f aca="false">IF($B206="","",IFERROR(INDEX(ST_LOT,MATCH($B206,ST_ID,0)),""))</f>
        <v/>
      </c>
      <c r="M206" s="26" t="str">
        <f aca="false">IF($B206="","",IFERROR(INDEX(ST_STRAIT,MATCH($B206,ST_ID,0)),""))</f>
        <v/>
      </c>
      <c r="N206" s="26" t="str">
        <f aca="false">IF($B206="","",IF($E206="",$L206,$E206))</f>
        <v/>
      </c>
      <c r="O206" s="26" t="str">
        <f aca="false">IF($J206="","",IFERROR(INDEX(EMPL_CLASSE,MATCH($J206,EMPL_KEY,0)),"?"))</f>
        <v/>
      </c>
      <c r="P206" s="28" t="n">
        <f aca="false">IF($B206="",0,IF(OR(ISNA(MATCH($B206,ST_ID,0)),NOT(ISNUMBER($F206)),$F206&lt;=0,$J206="",$N206=""),0,1))</f>
        <v>0</v>
      </c>
      <c r="Q206" s="27" t="n">
        <f aca="false">IF($P206=0,0,$F206)</f>
        <v>0</v>
      </c>
      <c r="R206" s="26" t="str">
        <f aca="false">IF($B206="","",IFERROR(INDEX(ST_STATUT,MATCH($B206,ST_ID,0)),""))</f>
        <v/>
      </c>
      <c r="S206" s="26" t="str">
        <f aca="false">IF($B206="","",IF($P206=0,"DONNEES MANQUANTES",IF(OR($R206="DONNEES MANQUANTES",$R206="STOCK INSUFFISANT",$R206="EMPLACEMENT INCOHERENT",$R206="BLOQUE"),"BLOQUE","OK")))</f>
        <v/>
      </c>
      <c r="T206" s="28" t="n">
        <f aca="false">IF($S206="OK",1,0)</f>
        <v>0</v>
      </c>
      <c r="U206" s="26" t="str">
        <f aca="false">IF($B206="","",IF($P206=0,"A COMPLETER : "&amp;IF(ISNA(MATCH($B206,ST_ID,0)),"ID ST valide; ","")&amp;IF(OR(NOT(ISNUMBER($F206)),$F206&lt;=0),"QUANTITE &gt; 0; ","")&amp;IF($J206="","EMPL. DESTINATION; ",""),IF($S206="BLOQUE","Envoi parent en anomalie ("&amp;$R206&amp;") : corriger l'onglet SOUS_TRAITANCE.",IF(AND($E206&lt;&gt;"",ISNA(MATCH($E206,LOT_KEY,0))),"Creer la fiche du lot resultat dans l'onglet LOTS.",""))))</f>
        <v/>
      </c>
      <c r="V206" s="31" t="str">
        <f aca="false">IF($B206="","",IF($C206&lt;&gt;"",$C206,IFERROR(INDEX(ST_DATERET,MATCH($B206,ST_ID,0)),"")))</f>
        <v/>
      </c>
      <c r="W206" s="26" t="str">
        <f aca="false">IF($P206=0,"",IF($L206=R_LOT,IF($N206&lt;&gt;R_LOT,$N206,""),IF($N206=R_LOT,$L206,"")))</f>
        <v/>
      </c>
      <c r="X206" s="26" t="str">
        <f aca="false">IF($W206="","",IF(COUNTIF($W$4:$W205,$W206)&gt;0,"",COUNT($X$4:$X205)+1))</f>
        <v/>
      </c>
      <c r="Y206" s="26" t="n">
        <f aca="false">IF($P206=0,0,IF(OR($L206=R_LOT,$N206=R_LOT),1,0))</f>
        <v>0</v>
      </c>
      <c r="Z206" s="26" t="str">
        <f aca="false">IF($Y206=0,"",COUNTIF($Y$5:$Y206,1))</f>
        <v/>
      </c>
    </row>
    <row r="207" customFormat="false" ht="15" hidden="false" customHeight="false" outlineLevel="0" collapsed="false">
      <c r="A207" s="26" t="str">
        <f aca="false">IF($B207="","","RES-"&amp;TEXT(ROW()-4,"000"))</f>
        <v/>
      </c>
      <c r="B207" s="24"/>
      <c r="C207" s="25"/>
      <c r="D207" s="24"/>
      <c r="E207" s="24"/>
      <c r="F207" s="29"/>
      <c r="G207" s="24"/>
      <c r="H207" s="24"/>
      <c r="I207" s="24"/>
      <c r="J207" s="24"/>
      <c r="K207" s="24"/>
      <c r="L207" s="26" t="str">
        <f aca="false">IF($B207="","",IFERROR(INDEX(ST_LOT,MATCH($B207,ST_ID,0)),""))</f>
        <v/>
      </c>
      <c r="M207" s="26" t="str">
        <f aca="false">IF($B207="","",IFERROR(INDEX(ST_STRAIT,MATCH($B207,ST_ID,0)),""))</f>
        <v/>
      </c>
      <c r="N207" s="26" t="str">
        <f aca="false">IF($B207="","",IF($E207="",$L207,$E207))</f>
        <v/>
      </c>
      <c r="O207" s="26" t="str">
        <f aca="false">IF($J207="","",IFERROR(INDEX(EMPL_CLASSE,MATCH($J207,EMPL_KEY,0)),"?"))</f>
        <v/>
      </c>
      <c r="P207" s="28" t="n">
        <f aca="false">IF($B207="",0,IF(OR(ISNA(MATCH($B207,ST_ID,0)),NOT(ISNUMBER($F207)),$F207&lt;=0,$J207="",$N207=""),0,1))</f>
        <v>0</v>
      </c>
      <c r="Q207" s="27" t="n">
        <f aca="false">IF($P207=0,0,$F207)</f>
        <v>0</v>
      </c>
      <c r="R207" s="26" t="str">
        <f aca="false">IF($B207="","",IFERROR(INDEX(ST_STATUT,MATCH($B207,ST_ID,0)),""))</f>
        <v/>
      </c>
      <c r="S207" s="26" t="str">
        <f aca="false">IF($B207="","",IF($P207=0,"DONNEES MANQUANTES",IF(OR($R207="DONNEES MANQUANTES",$R207="STOCK INSUFFISANT",$R207="EMPLACEMENT INCOHERENT",$R207="BLOQUE"),"BLOQUE","OK")))</f>
        <v/>
      </c>
      <c r="T207" s="28" t="n">
        <f aca="false">IF($S207="OK",1,0)</f>
        <v>0</v>
      </c>
      <c r="U207" s="26" t="str">
        <f aca="false">IF($B207="","",IF($P207=0,"A COMPLETER : "&amp;IF(ISNA(MATCH($B207,ST_ID,0)),"ID ST valide; ","")&amp;IF(OR(NOT(ISNUMBER($F207)),$F207&lt;=0),"QUANTITE &gt; 0; ","")&amp;IF($J207="","EMPL. DESTINATION; ",""),IF($S207="BLOQUE","Envoi parent en anomalie ("&amp;$R207&amp;") : corriger l'onglet SOUS_TRAITANCE.",IF(AND($E207&lt;&gt;"",ISNA(MATCH($E207,LOT_KEY,0))),"Creer la fiche du lot resultat dans l'onglet LOTS.",""))))</f>
        <v/>
      </c>
      <c r="V207" s="31" t="str">
        <f aca="false">IF($B207="","",IF($C207&lt;&gt;"",$C207,IFERROR(INDEX(ST_DATERET,MATCH($B207,ST_ID,0)),"")))</f>
        <v/>
      </c>
      <c r="W207" s="26" t="str">
        <f aca="false">IF($P207=0,"",IF($L207=R_LOT,IF($N207&lt;&gt;R_LOT,$N207,""),IF($N207=R_LOT,$L207,"")))</f>
        <v/>
      </c>
      <c r="X207" s="26" t="str">
        <f aca="false">IF($W207="","",IF(COUNTIF($W$4:$W206,$W207)&gt;0,"",COUNT($X$4:$X206)+1))</f>
        <v/>
      </c>
      <c r="Y207" s="26" t="n">
        <f aca="false">IF($P207=0,0,IF(OR($L207=R_LOT,$N207=R_LOT),1,0))</f>
        <v>0</v>
      </c>
      <c r="Z207" s="26" t="str">
        <f aca="false">IF($Y207=0,"",COUNTIF($Y$5:$Y207,1))</f>
        <v/>
      </c>
    </row>
    <row r="208" customFormat="false" ht="15" hidden="false" customHeight="false" outlineLevel="0" collapsed="false">
      <c r="A208" s="26" t="str">
        <f aca="false">IF($B208="","","RES-"&amp;TEXT(ROW()-4,"000"))</f>
        <v/>
      </c>
      <c r="B208" s="24"/>
      <c r="C208" s="25"/>
      <c r="D208" s="24"/>
      <c r="E208" s="24"/>
      <c r="F208" s="29"/>
      <c r="G208" s="24"/>
      <c r="H208" s="24"/>
      <c r="I208" s="24"/>
      <c r="J208" s="24"/>
      <c r="K208" s="24"/>
      <c r="L208" s="26" t="str">
        <f aca="false">IF($B208="","",IFERROR(INDEX(ST_LOT,MATCH($B208,ST_ID,0)),""))</f>
        <v/>
      </c>
      <c r="M208" s="26" t="str">
        <f aca="false">IF($B208="","",IFERROR(INDEX(ST_STRAIT,MATCH($B208,ST_ID,0)),""))</f>
        <v/>
      </c>
      <c r="N208" s="26" t="str">
        <f aca="false">IF($B208="","",IF($E208="",$L208,$E208))</f>
        <v/>
      </c>
      <c r="O208" s="26" t="str">
        <f aca="false">IF($J208="","",IFERROR(INDEX(EMPL_CLASSE,MATCH($J208,EMPL_KEY,0)),"?"))</f>
        <v/>
      </c>
      <c r="P208" s="28" t="n">
        <f aca="false">IF($B208="",0,IF(OR(ISNA(MATCH($B208,ST_ID,0)),NOT(ISNUMBER($F208)),$F208&lt;=0,$J208="",$N208=""),0,1))</f>
        <v>0</v>
      </c>
      <c r="Q208" s="27" t="n">
        <f aca="false">IF($P208=0,0,$F208)</f>
        <v>0</v>
      </c>
      <c r="R208" s="26" t="str">
        <f aca="false">IF($B208="","",IFERROR(INDEX(ST_STATUT,MATCH($B208,ST_ID,0)),""))</f>
        <v/>
      </c>
      <c r="S208" s="26" t="str">
        <f aca="false">IF($B208="","",IF($P208=0,"DONNEES MANQUANTES",IF(OR($R208="DONNEES MANQUANTES",$R208="STOCK INSUFFISANT",$R208="EMPLACEMENT INCOHERENT",$R208="BLOQUE"),"BLOQUE","OK")))</f>
        <v/>
      </c>
      <c r="T208" s="28" t="n">
        <f aca="false">IF($S208="OK",1,0)</f>
        <v>0</v>
      </c>
      <c r="U208" s="26" t="str">
        <f aca="false">IF($B208="","",IF($P208=0,"A COMPLETER : "&amp;IF(ISNA(MATCH($B208,ST_ID,0)),"ID ST valide; ","")&amp;IF(OR(NOT(ISNUMBER($F208)),$F208&lt;=0),"QUANTITE &gt; 0; ","")&amp;IF($J208="","EMPL. DESTINATION; ",""),IF($S208="BLOQUE","Envoi parent en anomalie ("&amp;$R208&amp;") : corriger l'onglet SOUS_TRAITANCE.",IF(AND($E208&lt;&gt;"",ISNA(MATCH($E208,LOT_KEY,0))),"Creer la fiche du lot resultat dans l'onglet LOTS.",""))))</f>
        <v/>
      </c>
      <c r="V208" s="31" t="str">
        <f aca="false">IF($B208="","",IF($C208&lt;&gt;"",$C208,IFERROR(INDEX(ST_DATERET,MATCH($B208,ST_ID,0)),"")))</f>
        <v/>
      </c>
      <c r="W208" s="26" t="str">
        <f aca="false">IF($P208=0,"",IF($L208=R_LOT,IF($N208&lt;&gt;R_LOT,$N208,""),IF($N208=R_LOT,$L208,"")))</f>
        <v/>
      </c>
      <c r="X208" s="26" t="str">
        <f aca="false">IF($W208="","",IF(COUNTIF($W$4:$W207,$W208)&gt;0,"",COUNT($X$4:$X207)+1))</f>
        <v/>
      </c>
      <c r="Y208" s="26" t="n">
        <f aca="false">IF($P208=0,0,IF(OR($L208=R_LOT,$N208=R_LOT),1,0))</f>
        <v>0</v>
      </c>
      <c r="Z208" s="26" t="str">
        <f aca="false">IF($Y208=0,"",COUNTIF($Y$5:$Y208,1))</f>
        <v/>
      </c>
    </row>
    <row r="209" customFormat="false" ht="15" hidden="false" customHeight="false" outlineLevel="0" collapsed="false">
      <c r="A209" s="26" t="str">
        <f aca="false">IF($B209="","","RES-"&amp;TEXT(ROW()-4,"000"))</f>
        <v/>
      </c>
      <c r="B209" s="24"/>
      <c r="C209" s="25"/>
      <c r="D209" s="24"/>
      <c r="E209" s="24"/>
      <c r="F209" s="29"/>
      <c r="G209" s="24"/>
      <c r="H209" s="24"/>
      <c r="I209" s="24"/>
      <c r="J209" s="24"/>
      <c r="K209" s="24"/>
      <c r="L209" s="26" t="str">
        <f aca="false">IF($B209="","",IFERROR(INDEX(ST_LOT,MATCH($B209,ST_ID,0)),""))</f>
        <v/>
      </c>
      <c r="M209" s="26" t="str">
        <f aca="false">IF($B209="","",IFERROR(INDEX(ST_STRAIT,MATCH($B209,ST_ID,0)),""))</f>
        <v/>
      </c>
      <c r="N209" s="26" t="str">
        <f aca="false">IF($B209="","",IF($E209="",$L209,$E209))</f>
        <v/>
      </c>
      <c r="O209" s="26" t="str">
        <f aca="false">IF($J209="","",IFERROR(INDEX(EMPL_CLASSE,MATCH($J209,EMPL_KEY,0)),"?"))</f>
        <v/>
      </c>
      <c r="P209" s="28" t="n">
        <f aca="false">IF($B209="",0,IF(OR(ISNA(MATCH($B209,ST_ID,0)),NOT(ISNUMBER($F209)),$F209&lt;=0,$J209="",$N209=""),0,1))</f>
        <v>0</v>
      </c>
      <c r="Q209" s="27" t="n">
        <f aca="false">IF($P209=0,0,$F209)</f>
        <v>0</v>
      </c>
      <c r="R209" s="26" t="str">
        <f aca="false">IF($B209="","",IFERROR(INDEX(ST_STATUT,MATCH($B209,ST_ID,0)),""))</f>
        <v/>
      </c>
      <c r="S209" s="26" t="str">
        <f aca="false">IF($B209="","",IF($P209=0,"DONNEES MANQUANTES",IF(OR($R209="DONNEES MANQUANTES",$R209="STOCK INSUFFISANT",$R209="EMPLACEMENT INCOHERENT",$R209="BLOQUE"),"BLOQUE","OK")))</f>
        <v/>
      </c>
      <c r="T209" s="28" t="n">
        <f aca="false">IF($S209="OK",1,0)</f>
        <v>0</v>
      </c>
      <c r="U209" s="26" t="str">
        <f aca="false">IF($B209="","",IF($P209=0,"A COMPLETER : "&amp;IF(ISNA(MATCH($B209,ST_ID,0)),"ID ST valide; ","")&amp;IF(OR(NOT(ISNUMBER($F209)),$F209&lt;=0),"QUANTITE &gt; 0; ","")&amp;IF($J209="","EMPL. DESTINATION; ",""),IF($S209="BLOQUE","Envoi parent en anomalie ("&amp;$R209&amp;") : corriger l'onglet SOUS_TRAITANCE.",IF(AND($E209&lt;&gt;"",ISNA(MATCH($E209,LOT_KEY,0))),"Creer la fiche du lot resultat dans l'onglet LOTS.",""))))</f>
        <v/>
      </c>
      <c r="V209" s="31" t="str">
        <f aca="false">IF($B209="","",IF($C209&lt;&gt;"",$C209,IFERROR(INDEX(ST_DATERET,MATCH($B209,ST_ID,0)),"")))</f>
        <v/>
      </c>
      <c r="W209" s="26" t="str">
        <f aca="false">IF($P209=0,"",IF($L209=R_LOT,IF($N209&lt;&gt;R_LOT,$N209,""),IF($N209=R_LOT,$L209,"")))</f>
        <v/>
      </c>
      <c r="X209" s="26" t="str">
        <f aca="false">IF($W209="","",IF(COUNTIF($W$4:$W208,$W209)&gt;0,"",COUNT($X$4:$X208)+1))</f>
        <v/>
      </c>
      <c r="Y209" s="26" t="n">
        <f aca="false">IF($P209=0,0,IF(OR($L209=R_LOT,$N209=R_LOT),1,0))</f>
        <v>0</v>
      </c>
      <c r="Z209" s="26" t="str">
        <f aca="false">IF($Y209=0,"",COUNTIF($Y$5:$Y209,1))</f>
        <v/>
      </c>
    </row>
    <row r="210" customFormat="false" ht="15" hidden="false" customHeight="false" outlineLevel="0" collapsed="false">
      <c r="A210" s="26" t="str">
        <f aca="false">IF($B210="","","RES-"&amp;TEXT(ROW()-4,"000"))</f>
        <v/>
      </c>
      <c r="B210" s="24"/>
      <c r="C210" s="25"/>
      <c r="D210" s="24"/>
      <c r="E210" s="24"/>
      <c r="F210" s="29"/>
      <c r="G210" s="24"/>
      <c r="H210" s="24"/>
      <c r="I210" s="24"/>
      <c r="J210" s="24"/>
      <c r="K210" s="24"/>
      <c r="L210" s="26" t="str">
        <f aca="false">IF($B210="","",IFERROR(INDEX(ST_LOT,MATCH($B210,ST_ID,0)),""))</f>
        <v/>
      </c>
      <c r="M210" s="26" t="str">
        <f aca="false">IF($B210="","",IFERROR(INDEX(ST_STRAIT,MATCH($B210,ST_ID,0)),""))</f>
        <v/>
      </c>
      <c r="N210" s="26" t="str">
        <f aca="false">IF($B210="","",IF($E210="",$L210,$E210))</f>
        <v/>
      </c>
      <c r="O210" s="26" t="str">
        <f aca="false">IF($J210="","",IFERROR(INDEX(EMPL_CLASSE,MATCH($J210,EMPL_KEY,0)),"?"))</f>
        <v/>
      </c>
      <c r="P210" s="28" t="n">
        <f aca="false">IF($B210="",0,IF(OR(ISNA(MATCH($B210,ST_ID,0)),NOT(ISNUMBER($F210)),$F210&lt;=0,$J210="",$N210=""),0,1))</f>
        <v>0</v>
      </c>
      <c r="Q210" s="27" t="n">
        <f aca="false">IF($P210=0,0,$F210)</f>
        <v>0</v>
      </c>
      <c r="R210" s="26" t="str">
        <f aca="false">IF($B210="","",IFERROR(INDEX(ST_STATUT,MATCH($B210,ST_ID,0)),""))</f>
        <v/>
      </c>
      <c r="S210" s="26" t="str">
        <f aca="false">IF($B210="","",IF($P210=0,"DONNEES MANQUANTES",IF(OR($R210="DONNEES MANQUANTES",$R210="STOCK INSUFFISANT",$R210="EMPLACEMENT INCOHERENT",$R210="BLOQUE"),"BLOQUE","OK")))</f>
        <v/>
      </c>
      <c r="T210" s="28" t="n">
        <f aca="false">IF($S210="OK",1,0)</f>
        <v>0</v>
      </c>
      <c r="U210" s="26" t="str">
        <f aca="false">IF($B210="","",IF($P210=0,"A COMPLETER : "&amp;IF(ISNA(MATCH($B210,ST_ID,0)),"ID ST valide; ","")&amp;IF(OR(NOT(ISNUMBER($F210)),$F210&lt;=0),"QUANTITE &gt; 0; ","")&amp;IF($J210="","EMPL. DESTINATION; ",""),IF($S210="BLOQUE","Envoi parent en anomalie ("&amp;$R210&amp;") : corriger l'onglet SOUS_TRAITANCE.",IF(AND($E210&lt;&gt;"",ISNA(MATCH($E210,LOT_KEY,0))),"Creer la fiche du lot resultat dans l'onglet LOTS.",""))))</f>
        <v/>
      </c>
      <c r="V210" s="31" t="str">
        <f aca="false">IF($B210="","",IF($C210&lt;&gt;"",$C210,IFERROR(INDEX(ST_DATERET,MATCH($B210,ST_ID,0)),"")))</f>
        <v/>
      </c>
      <c r="W210" s="26" t="str">
        <f aca="false">IF($P210=0,"",IF($L210=R_LOT,IF($N210&lt;&gt;R_LOT,$N210,""),IF($N210=R_LOT,$L210,"")))</f>
        <v/>
      </c>
      <c r="X210" s="26" t="str">
        <f aca="false">IF($W210="","",IF(COUNTIF($W$4:$W209,$W210)&gt;0,"",COUNT($X$4:$X209)+1))</f>
        <v/>
      </c>
      <c r="Y210" s="26" t="n">
        <f aca="false">IF($P210=0,0,IF(OR($L210=R_LOT,$N210=R_LOT),1,0))</f>
        <v>0</v>
      </c>
      <c r="Z210" s="26" t="str">
        <f aca="false">IF($Y210=0,"",COUNTIF($Y$5:$Y210,1))</f>
        <v/>
      </c>
    </row>
    <row r="211" customFormat="false" ht="15" hidden="false" customHeight="false" outlineLevel="0" collapsed="false">
      <c r="A211" s="26" t="str">
        <f aca="false">IF($B211="","","RES-"&amp;TEXT(ROW()-4,"000"))</f>
        <v/>
      </c>
      <c r="B211" s="24"/>
      <c r="C211" s="25"/>
      <c r="D211" s="24"/>
      <c r="E211" s="24"/>
      <c r="F211" s="29"/>
      <c r="G211" s="24"/>
      <c r="H211" s="24"/>
      <c r="I211" s="24"/>
      <c r="J211" s="24"/>
      <c r="K211" s="24"/>
      <c r="L211" s="26" t="str">
        <f aca="false">IF($B211="","",IFERROR(INDEX(ST_LOT,MATCH($B211,ST_ID,0)),""))</f>
        <v/>
      </c>
      <c r="M211" s="26" t="str">
        <f aca="false">IF($B211="","",IFERROR(INDEX(ST_STRAIT,MATCH($B211,ST_ID,0)),""))</f>
        <v/>
      </c>
      <c r="N211" s="26" t="str">
        <f aca="false">IF($B211="","",IF($E211="",$L211,$E211))</f>
        <v/>
      </c>
      <c r="O211" s="26" t="str">
        <f aca="false">IF($J211="","",IFERROR(INDEX(EMPL_CLASSE,MATCH($J211,EMPL_KEY,0)),"?"))</f>
        <v/>
      </c>
      <c r="P211" s="28" t="n">
        <f aca="false">IF($B211="",0,IF(OR(ISNA(MATCH($B211,ST_ID,0)),NOT(ISNUMBER($F211)),$F211&lt;=0,$J211="",$N211=""),0,1))</f>
        <v>0</v>
      </c>
      <c r="Q211" s="27" t="n">
        <f aca="false">IF($P211=0,0,$F211)</f>
        <v>0</v>
      </c>
      <c r="R211" s="26" t="str">
        <f aca="false">IF($B211="","",IFERROR(INDEX(ST_STATUT,MATCH($B211,ST_ID,0)),""))</f>
        <v/>
      </c>
      <c r="S211" s="26" t="str">
        <f aca="false">IF($B211="","",IF($P211=0,"DONNEES MANQUANTES",IF(OR($R211="DONNEES MANQUANTES",$R211="STOCK INSUFFISANT",$R211="EMPLACEMENT INCOHERENT",$R211="BLOQUE"),"BLOQUE","OK")))</f>
        <v/>
      </c>
      <c r="T211" s="28" t="n">
        <f aca="false">IF($S211="OK",1,0)</f>
        <v>0</v>
      </c>
      <c r="U211" s="26" t="str">
        <f aca="false">IF($B211="","",IF($P211=0,"A COMPLETER : "&amp;IF(ISNA(MATCH($B211,ST_ID,0)),"ID ST valide; ","")&amp;IF(OR(NOT(ISNUMBER($F211)),$F211&lt;=0),"QUANTITE &gt; 0; ","")&amp;IF($J211="","EMPL. DESTINATION; ",""),IF($S211="BLOQUE","Envoi parent en anomalie ("&amp;$R211&amp;") : corriger l'onglet SOUS_TRAITANCE.",IF(AND($E211&lt;&gt;"",ISNA(MATCH($E211,LOT_KEY,0))),"Creer la fiche du lot resultat dans l'onglet LOTS.",""))))</f>
        <v/>
      </c>
      <c r="V211" s="31" t="str">
        <f aca="false">IF($B211="","",IF($C211&lt;&gt;"",$C211,IFERROR(INDEX(ST_DATERET,MATCH($B211,ST_ID,0)),"")))</f>
        <v/>
      </c>
      <c r="W211" s="26" t="str">
        <f aca="false">IF($P211=0,"",IF($L211=R_LOT,IF($N211&lt;&gt;R_LOT,$N211,""),IF($N211=R_LOT,$L211,"")))</f>
        <v/>
      </c>
      <c r="X211" s="26" t="str">
        <f aca="false">IF($W211="","",IF(COUNTIF($W$4:$W210,$W211)&gt;0,"",COUNT($X$4:$X210)+1))</f>
        <v/>
      </c>
      <c r="Y211" s="26" t="n">
        <f aca="false">IF($P211=0,0,IF(OR($L211=R_LOT,$N211=R_LOT),1,0))</f>
        <v>0</v>
      </c>
      <c r="Z211" s="26" t="str">
        <f aca="false">IF($Y211=0,"",COUNTIF($Y$5:$Y211,1))</f>
        <v/>
      </c>
    </row>
    <row r="212" customFormat="false" ht="15" hidden="false" customHeight="false" outlineLevel="0" collapsed="false">
      <c r="A212" s="26" t="str">
        <f aca="false">IF($B212="","","RES-"&amp;TEXT(ROW()-4,"000"))</f>
        <v/>
      </c>
      <c r="B212" s="24"/>
      <c r="C212" s="25"/>
      <c r="D212" s="24"/>
      <c r="E212" s="24"/>
      <c r="F212" s="29"/>
      <c r="G212" s="24"/>
      <c r="H212" s="24"/>
      <c r="I212" s="24"/>
      <c r="J212" s="24"/>
      <c r="K212" s="24"/>
      <c r="L212" s="26" t="str">
        <f aca="false">IF($B212="","",IFERROR(INDEX(ST_LOT,MATCH($B212,ST_ID,0)),""))</f>
        <v/>
      </c>
      <c r="M212" s="26" t="str">
        <f aca="false">IF($B212="","",IFERROR(INDEX(ST_STRAIT,MATCH($B212,ST_ID,0)),""))</f>
        <v/>
      </c>
      <c r="N212" s="26" t="str">
        <f aca="false">IF($B212="","",IF($E212="",$L212,$E212))</f>
        <v/>
      </c>
      <c r="O212" s="26" t="str">
        <f aca="false">IF($J212="","",IFERROR(INDEX(EMPL_CLASSE,MATCH($J212,EMPL_KEY,0)),"?"))</f>
        <v/>
      </c>
      <c r="P212" s="28" t="n">
        <f aca="false">IF($B212="",0,IF(OR(ISNA(MATCH($B212,ST_ID,0)),NOT(ISNUMBER($F212)),$F212&lt;=0,$J212="",$N212=""),0,1))</f>
        <v>0</v>
      </c>
      <c r="Q212" s="27" t="n">
        <f aca="false">IF($P212=0,0,$F212)</f>
        <v>0</v>
      </c>
      <c r="R212" s="26" t="str">
        <f aca="false">IF($B212="","",IFERROR(INDEX(ST_STATUT,MATCH($B212,ST_ID,0)),""))</f>
        <v/>
      </c>
      <c r="S212" s="26" t="str">
        <f aca="false">IF($B212="","",IF($P212=0,"DONNEES MANQUANTES",IF(OR($R212="DONNEES MANQUANTES",$R212="STOCK INSUFFISANT",$R212="EMPLACEMENT INCOHERENT",$R212="BLOQUE"),"BLOQUE","OK")))</f>
        <v/>
      </c>
      <c r="T212" s="28" t="n">
        <f aca="false">IF($S212="OK",1,0)</f>
        <v>0</v>
      </c>
      <c r="U212" s="26" t="str">
        <f aca="false">IF($B212="","",IF($P212=0,"A COMPLETER : "&amp;IF(ISNA(MATCH($B212,ST_ID,0)),"ID ST valide; ","")&amp;IF(OR(NOT(ISNUMBER($F212)),$F212&lt;=0),"QUANTITE &gt; 0; ","")&amp;IF($J212="","EMPL. DESTINATION; ",""),IF($S212="BLOQUE","Envoi parent en anomalie ("&amp;$R212&amp;") : corriger l'onglet SOUS_TRAITANCE.",IF(AND($E212&lt;&gt;"",ISNA(MATCH($E212,LOT_KEY,0))),"Creer la fiche du lot resultat dans l'onglet LOTS.",""))))</f>
        <v/>
      </c>
      <c r="V212" s="31" t="str">
        <f aca="false">IF($B212="","",IF($C212&lt;&gt;"",$C212,IFERROR(INDEX(ST_DATERET,MATCH($B212,ST_ID,0)),"")))</f>
        <v/>
      </c>
      <c r="W212" s="26" t="str">
        <f aca="false">IF($P212=0,"",IF($L212=R_LOT,IF($N212&lt;&gt;R_LOT,$N212,""),IF($N212=R_LOT,$L212,"")))</f>
        <v/>
      </c>
      <c r="X212" s="26" t="str">
        <f aca="false">IF($W212="","",IF(COUNTIF($W$4:$W211,$W212)&gt;0,"",COUNT($X$4:$X211)+1))</f>
        <v/>
      </c>
      <c r="Y212" s="26" t="n">
        <f aca="false">IF($P212=0,0,IF(OR($L212=R_LOT,$N212=R_LOT),1,0))</f>
        <v>0</v>
      </c>
      <c r="Z212" s="26" t="str">
        <f aca="false">IF($Y212=0,"",COUNTIF($Y$5:$Y212,1))</f>
        <v/>
      </c>
    </row>
    <row r="213" customFormat="false" ht="15" hidden="false" customHeight="false" outlineLevel="0" collapsed="false">
      <c r="A213" s="26" t="str">
        <f aca="false">IF($B213="","","RES-"&amp;TEXT(ROW()-4,"000"))</f>
        <v/>
      </c>
      <c r="B213" s="24"/>
      <c r="C213" s="25"/>
      <c r="D213" s="24"/>
      <c r="E213" s="24"/>
      <c r="F213" s="29"/>
      <c r="G213" s="24"/>
      <c r="H213" s="24"/>
      <c r="I213" s="24"/>
      <c r="J213" s="24"/>
      <c r="K213" s="24"/>
      <c r="L213" s="26" t="str">
        <f aca="false">IF($B213="","",IFERROR(INDEX(ST_LOT,MATCH($B213,ST_ID,0)),""))</f>
        <v/>
      </c>
      <c r="M213" s="26" t="str">
        <f aca="false">IF($B213="","",IFERROR(INDEX(ST_STRAIT,MATCH($B213,ST_ID,0)),""))</f>
        <v/>
      </c>
      <c r="N213" s="26" t="str">
        <f aca="false">IF($B213="","",IF($E213="",$L213,$E213))</f>
        <v/>
      </c>
      <c r="O213" s="26" t="str">
        <f aca="false">IF($J213="","",IFERROR(INDEX(EMPL_CLASSE,MATCH($J213,EMPL_KEY,0)),"?"))</f>
        <v/>
      </c>
      <c r="P213" s="28" t="n">
        <f aca="false">IF($B213="",0,IF(OR(ISNA(MATCH($B213,ST_ID,0)),NOT(ISNUMBER($F213)),$F213&lt;=0,$J213="",$N213=""),0,1))</f>
        <v>0</v>
      </c>
      <c r="Q213" s="27" t="n">
        <f aca="false">IF($P213=0,0,$F213)</f>
        <v>0</v>
      </c>
      <c r="R213" s="26" t="str">
        <f aca="false">IF($B213="","",IFERROR(INDEX(ST_STATUT,MATCH($B213,ST_ID,0)),""))</f>
        <v/>
      </c>
      <c r="S213" s="26" t="str">
        <f aca="false">IF($B213="","",IF($P213=0,"DONNEES MANQUANTES",IF(OR($R213="DONNEES MANQUANTES",$R213="STOCK INSUFFISANT",$R213="EMPLACEMENT INCOHERENT",$R213="BLOQUE"),"BLOQUE","OK")))</f>
        <v/>
      </c>
      <c r="T213" s="28" t="n">
        <f aca="false">IF($S213="OK",1,0)</f>
        <v>0</v>
      </c>
      <c r="U213" s="26" t="str">
        <f aca="false">IF($B213="","",IF($P213=0,"A COMPLETER : "&amp;IF(ISNA(MATCH($B213,ST_ID,0)),"ID ST valide; ","")&amp;IF(OR(NOT(ISNUMBER($F213)),$F213&lt;=0),"QUANTITE &gt; 0; ","")&amp;IF($J213="","EMPL. DESTINATION; ",""),IF($S213="BLOQUE","Envoi parent en anomalie ("&amp;$R213&amp;") : corriger l'onglet SOUS_TRAITANCE.",IF(AND($E213&lt;&gt;"",ISNA(MATCH($E213,LOT_KEY,0))),"Creer la fiche du lot resultat dans l'onglet LOTS.",""))))</f>
        <v/>
      </c>
      <c r="V213" s="31" t="str">
        <f aca="false">IF($B213="","",IF($C213&lt;&gt;"",$C213,IFERROR(INDEX(ST_DATERET,MATCH($B213,ST_ID,0)),"")))</f>
        <v/>
      </c>
      <c r="W213" s="26" t="str">
        <f aca="false">IF($P213=0,"",IF($L213=R_LOT,IF($N213&lt;&gt;R_LOT,$N213,""),IF($N213=R_LOT,$L213,"")))</f>
        <v/>
      </c>
      <c r="X213" s="26" t="str">
        <f aca="false">IF($W213="","",IF(COUNTIF($W$4:$W212,$W213)&gt;0,"",COUNT($X$4:$X212)+1))</f>
        <v/>
      </c>
      <c r="Y213" s="26" t="n">
        <f aca="false">IF($P213=0,0,IF(OR($L213=R_LOT,$N213=R_LOT),1,0))</f>
        <v>0</v>
      </c>
      <c r="Z213" s="26" t="str">
        <f aca="false">IF($Y213=0,"",COUNTIF($Y$5:$Y213,1))</f>
        <v/>
      </c>
    </row>
    <row r="214" customFormat="false" ht="15" hidden="false" customHeight="false" outlineLevel="0" collapsed="false">
      <c r="A214" s="26" t="str">
        <f aca="false">IF($B214="","","RES-"&amp;TEXT(ROW()-4,"000"))</f>
        <v/>
      </c>
      <c r="B214" s="24"/>
      <c r="C214" s="25"/>
      <c r="D214" s="24"/>
      <c r="E214" s="24"/>
      <c r="F214" s="29"/>
      <c r="G214" s="24"/>
      <c r="H214" s="24"/>
      <c r="I214" s="24"/>
      <c r="J214" s="24"/>
      <c r="K214" s="24"/>
      <c r="L214" s="26" t="str">
        <f aca="false">IF($B214="","",IFERROR(INDEX(ST_LOT,MATCH($B214,ST_ID,0)),""))</f>
        <v/>
      </c>
      <c r="M214" s="26" t="str">
        <f aca="false">IF($B214="","",IFERROR(INDEX(ST_STRAIT,MATCH($B214,ST_ID,0)),""))</f>
        <v/>
      </c>
      <c r="N214" s="26" t="str">
        <f aca="false">IF($B214="","",IF($E214="",$L214,$E214))</f>
        <v/>
      </c>
      <c r="O214" s="26" t="str">
        <f aca="false">IF($J214="","",IFERROR(INDEX(EMPL_CLASSE,MATCH($J214,EMPL_KEY,0)),"?"))</f>
        <v/>
      </c>
      <c r="P214" s="28" t="n">
        <f aca="false">IF($B214="",0,IF(OR(ISNA(MATCH($B214,ST_ID,0)),NOT(ISNUMBER($F214)),$F214&lt;=0,$J214="",$N214=""),0,1))</f>
        <v>0</v>
      </c>
      <c r="Q214" s="27" t="n">
        <f aca="false">IF($P214=0,0,$F214)</f>
        <v>0</v>
      </c>
      <c r="R214" s="26" t="str">
        <f aca="false">IF($B214="","",IFERROR(INDEX(ST_STATUT,MATCH($B214,ST_ID,0)),""))</f>
        <v/>
      </c>
      <c r="S214" s="26" t="str">
        <f aca="false">IF($B214="","",IF($P214=0,"DONNEES MANQUANTES",IF(OR($R214="DONNEES MANQUANTES",$R214="STOCK INSUFFISANT",$R214="EMPLACEMENT INCOHERENT",$R214="BLOQUE"),"BLOQUE","OK")))</f>
        <v/>
      </c>
      <c r="T214" s="28" t="n">
        <f aca="false">IF($S214="OK",1,0)</f>
        <v>0</v>
      </c>
      <c r="U214" s="26" t="str">
        <f aca="false">IF($B214="","",IF($P214=0,"A COMPLETER : "&amp;IF(ISNA(MATCH($B214,ST_ID,0)),"ID ST valide; ","")&amp;IF(OR(NOT(ISNUMBER($F214)),$F214&lt;=0),"QUANTITE &gt; 0; ","")&amp;IF($J214="","EMPL. DESTINATION; ",""),IF($S214="BLOQUE","Envoi parent en anomalie ("&amp;$R214&amp;") : corriger l'onglet SOUS_TRAITANCE.",IF(AND($E214&lt;&gt;"",ISNA(MATCH($E214,LOT_KEY,0))),"Creer la fiche du lot resultat dans l'onglet LOTS.",""))))</f>
        <v/>
      </c>
      <c r="V214" s="31" t="str">
        <f aca="false">IF($B214="","",IF($C214&lt;&gt;"",$C214,IFERROR(INDEX(ST_DATERET,MATCH($B214,ST_ID,0)),"")))</f>
        <v/>
      </c>
      <c r="W214" s="26" t="str">
        <f aca="false">IF($P214=0,"",IF($L214=R_LOT,IF($N214&lt;&gt;R_LOT,$N214,""),IF($N214=R_LOT,$L214,"")))</f>
        <v/>
      </c>
      <c r="X214" s="26" t="str">
        <f aca="false">IF($W214="","",IF(COUNTIF($W$4:$W213,$W214)&gt;0,"",COUNT($X$4:$X213)+1))</f>
        <v/>
      </c>
      <c r="Y214" s="26" t="n">
        <f aca="false">IF($P214=0,0,IF(OR($L214=R_LOT,$N214=R_LOT),1,0))</f>
        <v>0</v>
      </c>
      <c r="Z214" s="26" t="str">
        <f aca="false">IF($Y214=0,"",COUNTIF($Y$5:$Y214,1))</f>
        <v/>
      </c>
    </row>
    <row r="215" customFormat="false" ht="15" hidden="false" customHeight="false" outlineLevel="0" collapsed="false">
      <c r="A215" s="26" t="str">
        <f aca="false">IF($B215="","","RES-"&amp;TEXT(ROW()-4,"000"))</f>
        <v/>
      </c>
      <c r="B215" s="24"/>
      <c r="C215" s="25"/>
      <c r="D215" s="24"/>
      <c r="E215" s="24"/>
      <c r="F215" s="29"/>
      <c r="G215" s="24"/>
      <c r="H215" s="24"/>
      <c r="I215" s="24"/>
      <c r="J215" s="24"/>
      <c r="K215" s="24"/>
      <c r="L215" s="26" t="str">
        <f aca="false">IF($B215="","",IFERROR(INDEX(ST_LOT,MATCH($B215,ST_ID,0)),""))</f>
        <v/>
      </c>
      <c r="M215" s="26" t="str">
        <f aca="false">IF($B215="","",IFERROR(INDEX(ST_STRAIT,MATCH($B215,ST_ID,0)),""))</f>
        <v/>
      </c>
      <c r="N215" s="26" t="str">
        <f aca="false">IF($B215="","",IF($E215="",$L215,$E215))</f>
        <v/>
      </c>
      <c r="O215" s="26" t="str">
        <f aca="false">IF($J215="","",IFERROR(INDEX(EMPL_CLASSE,MATCH($J215,EMPL_KEY,0)),"?"))</f>
        <v/>
      </c>
      <c r="P215" s="28" t="n">
        <f aca="false">IF($B215="",0,IF(OR(ISNA(MATCH($B215,ST_ID,0)),NOT(ISNUMBER($F215)),$F215&lt;=0,$J215="",$N215=""),0,1))</f>
        <v>0</v>
      </c>
      <c r="Q215" s="27" t="n">
        <f aca="false">IF($P215=0,0,$F215)</f>
        <v>0</v>
      </c>
      <c r="R215" s="26" t="str">
        <f aca="false">IF($B215="","",IFERROR(INDEX(ST_STATUT,MATCH($B215,ST_ID,0)),""))</f>
        <v/>
      </c>
      <c r="S215" s="26" t="str">
        <f aca="false">IF($B215="","",IF($P215=0,"DONNEES MANQUANTES",IF(OR($R215="DONNEES MANQUANTES",$R215="STOCK INSUFFISANT",$R215="EMPLACEMENT INCOHERENT",$R215="BLOQUE"),"BLOQUE","OK")))</f>
        <v/>
      </c>
      <c r="T215" s="28" t="n">
        <f aca="false">IF($S215="OK",1,0)</f>
        <v>0</v>
      </c>
      <c r="U215" s="26" t="str">
        <f aca="false">IF($B215="","",IF($P215=0,"A COMPLETER : "&amp;IF(ISNA(MATCH($B215,ST_ID,0)),"ID ST valide; ","")&amp;IF(OR(NOT(ISNUMBER($F215)),$F215&lt;=0),"QUANTITE &gt; 0; ","")&amp;IF($J215="","EMPL. DESTINATION; ",""),IF($S215="BLOQUE","Envoi parent en anomalie ("&amp;$R215&amp;") : corriger l'onglet SOUS_TRAITANCE.",IF(AND($E215&lt;&gt;"",ISNA(MATCH($E215,LOT_KEY,0))),"Creer la fiche du lot resultat dans l'onglet LOTS.",""))))</f>
        <v/>
      </c>
      <c r="V215" s="31" t="str">
        <f aca="false">IF($B215="","",IF($C215&lt;&gt;"",$C215,IFERROR(INDEX(ST_DATERET,MATCH($B215,ST_ID,0)),"")))</f>
        <v/>
      </c>
      <c r="W215" s="26" t="str">
        <f aca="false">IF($P215=0,"",IF($L215=R_LOT,IF($N215&lt;&gt;R_LOT,$N215,""),IF($N215=R_LOT,$L215,"")))</f>
        <v/>
      </c>
      <c r="X215" s="26" t="str">
        <f aca="false">IF($W215="","",IF(COUNTIF($W$4:$W214,$W215)&gt;0,"",COUNT($X$4:$X214)+1))</f>
        <v/>
      </c>
      <c r="Y215" s="26" t="n">
        <f aca="false">IF($P215=0,0,IF(OR($L215=R_LOT,$N215=R_LOT),1,0))</f>
        <v>0</v>
      </c>
      <c r="Z215" s="26" t="str">
        <f aca="false">IF($Y215=0,"",COUNTIF($Y$5:$Y215,1))</f>
        <v/>
      </c>
    </row>
    <row r="216" customFormat="false" ht="15" hidden="false" customHeight="false" outlineLevel="0" collapsed="false">
      <c r="A216" s="26" t="str">
        <f aca="false">IF($B216="","","RES-"&amp;TEXT(ROW()-4,"000"))</f>
        <v/>
      </c>
      <c r="B216" s="24"/>
      <c r="C216" s="25"/>
      <c r="D216" s="24"/>
      <c r="E216" s="24"/>
      <c r="F216" s="29"/>
      <c r="G216" s="24"/>
      <c r="H216" s="24"/>
      <c r="I216" s="24"/>
      <c r="J216" s="24"/>
      <c r="K216" s="24"/>
      <c r="L216" s="26" t="str">
        <f aca="false">IF($B216="","",IFERROR(INDEX(ST_LOT,MATCH($B216,ST_ID,0)),""))</f>
        <v/>
      </c>
      <c r="M216" s="26" t="str">
        <f aca="false">IF($B216="","",IFERROR(INDEX(ST_STRAIT,MATCH($B216,ST_ID,0)),""))</f>
        <v/>
      </c>
      <c r="N216" s="26" t="str">
        <f aca="false">IF($B216="","",IF($E216="",$L216,$E216))</f>
        <v/>
      </c>
      <c r="O216" s="26" t="str">
        <f aca="false">IF($J216="","",IFERROR(INDEX(EMPL_CLASSE,MATCH($J216,EMPL_KEY,0)),"?"))</f>
        <v/>
      </c>
      <c r="P216" s="28" t="n">
        <f aca="false">IF($B216="",0,IF(OR(ISNA(MATCH($B216,ST_ID,0)),NOT(ISNUMBER($F216)),$F216&lt;=0,$J216="",$N216=""),0,1))</f>
        <v>0</v>
      </c>
      <c r="Q216" s="27" t="n">
        <f aca="false">IF($P216=0,0,$F216)</f>
        <v>0</v>
      </c>
      <c r="R216" s="26" t="str">
        <f aca="false">IF($B216="","",IFERROR(INDEX(ST_STATUT,MATCH($B216,ST_ID,0)),""))</f>
        <v/>
      </c>
      <c r="S216" s="26" t="str">
        <f aca="false">IF($B216="","",IF($P216=0,"DONNEES MANQUANTES",IF(OR($R216="DONNEES MANQUANTES",$R216="STOCK INSUFFISANT",$R216="EMPLACEMENT INCOHERENT",$R216="BLOQUE"),"BLOQUE","OK")))</f>
        <v/>
      </c>
      <c r="T216" s="28" t="n">
        <f aca="false">IF($S216="OK",1,0)</f>
        <v>0</v>
      </c>
      <c r="U216" s="26" t="str">
        <f aca="false">IF($B216="","",IF($P216=0,"A COMPLETER : "&amp;IF(ISNA(MATCH($B216,ST_ID,0)),"ID ST valide; ","")&amp;IF(OR(NOT(ISNUMBER($F216)),$F216&lt;=0),"QUANTITE &gt; 0; ","")&amp;IF($J216="","EMPL. DESTINATION; ",""),IF($S216="BLOQUE","Envoi parent en anomalie ("&amp;$R216&amp;") : corriger l'onglet SOUS_TRAITANCE.",IF(AND($E216&lt;&gt;"",ISNA(MATCH($E216,LOT_KEY,0))),"Creer la fiche du lot resultat dans l'onglet LOTS.",""))))</f>
        <v/>
      </c>
      <c r="V216" s="31" t="str">
        <f aca="false">IF($B216="","",IF($C216&lt;&gt;"",$C216,IFERROR(INDEX(ST_DATERET,MATCH($B216,ST_ID,0)),"")))</f>
        <v/>
      </c>
      <c r="W216" s="26" t="str">
        <f aca="false">IF($P216=0,"",IF($L216=R_LOT,IF($N216&lt;&gt;R_LOT,$N216,""),IF($N216=R_LOT,$L216,"")))</f>
        <v/>
      </c>
      <c r="X216" s="26" t="str">
        <f aca="false">IF($W216="","",IF(COUNTIF($W$4:$W215,$W216)&gt;0,"",COUNT($X$4:$X215)+1))</f>
        <v/>
      </c>
      <c r="Y216" s="26" t="n">
        <f aca="false">IF($P216=0,0,IF(OR($L216=R_LOT,$N216=R_LOT),1,0))</f>
        <v>0</v>
      </c>
      <c r="Z216" s="26" t="str">
        <f aca="false">IF($Y216=0,"",COUNTIF($Y$5:$Y216,1))</f>
        <v/>
      </c>
    </row>
    <row r="217" customFormat="false" ht="15" hidden="false" customHeight="false" outlineLevel="0" collapsed="false">
      <c r="A217" s="26" t="str">
        <f aca="false">IF($B217="","","RES-"&amp;TEXT(ROW()-4,"000"))</f>
        <v/>
      </c>
      <c r="B217" s="24"/>
      <c r="C217" s="25"/>
      <c r="D217" s="24"/>
      <c r="E217" s="24"/>
      <c r="F217" s="29"/>
      <c r="G217" s="24"/>
      <c r="H217" s="24"/>
      <c r="I217" s="24"/>
      <c r="J217" s="24"/>
      <c r="K217" s="24"/>
      <c r="L217" s="26" t="str">
        <f aca="false">IF($B217="","",IFERROR(INDEX(ST_LOT,MATCH($B217,ST_ID,0)),""))</f>
        <v/>
      </c>
      <c r="M217" s="26" t="str">
        <f aca="false">IF($B217="","",IFERROR(INDEX(ST_STRAIT,MATCH($B217,ST_ID,0)),""))</f>
        <v/>
      </c>
      <c r="N217" s="26" t="str">
        <f aca="false">IF($B217="","",IF($E217="",$L217,$E217))</f>
        <v/>
      </c>
      <c r="O217" s="26" t="str">
        <f aca="false">IF($J217="","",IFERROR(INDEX(EMPL_CLASSE,MATCH($J217,EMPL_KEY,0)),"?"))</f>
        <v/>
      </c>
      <c r="P217" s="28" t="n">
        <f aca="false">IF($B217="",0,IF(OR(ISNA(MATCH($B217,ST_ID,0)),NOT(ISNUMBER($F217)),$F217&lt;=0,$J217="",$N217=""),0,1))</f>
        <v>0</v>
      </c>
      <c r="Q217" s="27" t="n">
        <f aca="false">IF($P217=0,0,$F217)</f>
        <v>0</v>
      </c>
      <c r="R217" s="26" t="str">
        <f aca="false">IF($B217="","",IFERROR(INDEX(ST_STATUT,MATCH($B217,ST_ID,0)),""))</f>
        <v/>
      </c>
      <c r="S217" s="26" t="str">
        <f aca="false">IF($B217="","",IF($P217=0,"DONNEES MANQUANTES",IF(OR($R217="DONNEES MANQUANTES",$R217="STOCK INSUFFISANT",$R217="EMPLACEMENT INCOHERENT",$R217="BLOQUE"),"BLOQUE","OK")))</f>
        <v/>
      </c>
      <c r="T217" s="28" t="n">
        <f aca="false">IF($S217="OK",1,0)</f>
        <v>0</v>
      </c>
      <c r="U217" s="26" t="str">
        <f aca="false">IF($B217="","",IF($P217=0,"A COMPLETER : "&amp;IF(ISNA(MATCH($B217,ST_ID,0)),"ID ST valide; ","")&amp;IF(OR(NOT(ISNUMBER($F217)),$F217&lt;=0),"QUANTITE &gt; 0; ","")&amp;IF($J217="","EMPL. DESTINATION; ",""),IF($S217="BLOQUE","Envoi parent en anomalie ("&amp;$R217&amp;") : corriger l'onglet SOUS_TRAITANCE.",IF(AND($E217&lt;&gt;"",ISNA(MATCH($E217,LOT_KEY,0))),"Creer la fiche du lot resultat dans l'onglet LOTS.",""))))</f>
        <v/>
      </c>
      <c r="V217" s="31" t="str">
        <f aca="false">IF($B217="","",IF($C217&lt;&gt;"",$C217,IFERROR(INDEX(ST_DATERET,MATCH($B217,ST_ID,0)),"")))</f>
        <v/>
      </c>
      <c r="W217" s="26" t="str">
        <f aca="false">IF($P217=0,"",IF($L217=R_LOT,IF($N217&lt;&gt;R_LOT,$N217,""),IF($N217=R_LOT,$L217,"")))</f>
        <v/>
      </c>
      <c r="X217" s="26" t="str">
        <f aca="false">IF($W217="","",IF(COUNTIF($W$4:$W216,$W217)&gt;0,"",COUNT($X$4:$X216)+1))</f>
        <v/>
      </c>
      <c r="Y217" s="26" t="n">
        <f aca="false">IF($P217=0,0,IF(OR($L217=R_LOT,$N217=R_LOT),1,0))</f>
        <v>0</v>
      </c>
      <c r="Z217" s="26" t="str">
        <f aca="false">IF($Y217=0,"",COUNTIF($Y$5:$Y217,1))</f>
        <v/>
      </c>
    </row>
    <row r="218" customFormat="false" ht="15" hidden="false" customHeight="false" outlineLevel="0" collapsed="false">
      <c r="A218" s="26" t="str">
        <f aca="false">IF($B218="","","RES-"&amp;TEXT(ROW()-4,"000"))</f>
        <v/>
      </c>
      <c r="B218" s="24"/>
      <c r="C218" s="25"/>
      <c r="D218" s="24"/>
      <c r="E218" s="24"/>
      <c r="F218" s="29"/>
      <c r="G218" s="24"/>
      <c r="H218" s="24"/>
      <c r="I218" s="24"/>
      <c r="J218" s="24"/>
      <c r="K218" s="24"/>
      <c r="L218" s="26" t="str">
        <f aca="false">IF($B218="","",IFERROR(INDEX(ST_LOT,MATCH($B218,ST_ID,0)),""))</f>
        <v/>
      </c>
      <c r="M218" s="26" t="str">
        <f aca="false">IF($B218="","",IFERROR(INDEX(ST_STRAIT,MATCH($B218,ST_ID,0)),""))</f>
        <v/>
      </c>
      <c r="N218" s="26" t="str">
        <f aca="false">IF($B218="","",IF($E218="",$L218,$E218))</f>
        <v/>
      </c>
      <c r="O218" s="26" t="str">
        <f aca="false">IF($J218="","",IFERROR(INDEX(EMPL_CLASSE,MATCH($J218,EMPL_KEY,0)),"?"))</f>
        <v/>
      </c>
      <c r="P218" s="28" t="n">
        <f aca="false">IF($B218="",0,IF(OR(ISNA(MATCH($B218,ST_ID,0)),NOT(ISNUMBER($F218)),$F218&lt;=0,$J218="",$N218=""),0,1))</f>
        <v>0</v>
      </c>
      <c r="Q218" s="27" t="n">
        <f aca="false">IF($P218=0,0,$F218)</f>
        <v>0</v>
      </c>
      <c r="R218" s="26" t="str">
        <f aca="false">IF($B218="","",IFERROR(INDEX(ST_STATUT,MATCH($B218,ST_ID,0)),""))</f>
        <v/>
      </c>
      <c r="S218" s="26" t="str">
        <f aca="false">IF($B218="","",IF($P218=0,"DONNEES MANQUANTES",IF(OR($R218="DONNEES MANQUANTES",$R218="STOCK INSUFFISANT",$R218="EMPLACEMENT INCOHERENT",$R218="BLOQUE"),"BLOQUE","OK")))</f>
        <v/>
      </c>
      <c r="T218" s="28" t="n">
        <f aca="false">IF($S218="OK",1,0)</f>
        <v>0</v>
      </c>
      <c r="U218" s="26" t="str">
        <f aca="false">IF($B218="","",IF($P218=0,"A COMPLETER : "&amp;IF(ISNA(MATCH($B218,ST_ID,0)),"ID ST valide; ","")&amp;IF(OR(NOT(ISNUMBER($F218)),$F218&lt;=0),"QUANTITE &gt; 0; ","")&amp;IF($J218="","EMPL. DESTINATION; ",""),IF($S218="BLOQUE","Envoi parent en anomalie ("&amp;$R218&amp;") : corriger l'onglet SOUS_TRAITANCE.",IF(AND($E218&lt;&gt;"",ISNA(MATCH($E218,LOT_KEY,0))),"Creer la fiche du lot resultat dans l'onglet LOTS.",""))))</f>
        <v/>
      </c>
      <c r="V218" s="31" t="str">
        <f aca="false">IF($B218="","",IF($C218&lt;&gt;"",$C218,IFERROR(INDEX(ST_DATERET,MATCH($B218,ST_ID,0)),"")))</f>
        <v/>
      </c>
      <c r="W218" s="26" t="str">
        <f aca="false">IF($P218=0,"",IF($L218=R_LOT,IF($N218&lt;&gt;R_LOT,$N218,""),IF($N218=R_LOT,$L218,"")))</f>
        <v/>
      </c>
      <c r="X218" s="26" t="str">
        <f aca="false">IF($W218="","",IF(COUNTIF($W$4:$W217,$W218)&gt;0,"",COUNT($X$4:$X217)+1))</f>
        <v/>
      </c>
      <c r="Y218" s="26" t="n">
        <f aca="false">IF($P218=0,0,IF(OR($L218=R_LOT,$N218=R_LOT),1,0))</f>
        <v>0</v>
      </c>
      <c r="Z218" s="26" t="str">
        <f aca="false">IF($Y218=0,"",COUNTIF($Y$5:$Y218,1))</f>
        <v/>
      </c>
    </row>
    <row r="219" customFormat="false" ht="15" hidden="false" customHeight="false" outlineLevel="0" collapsed="false">
      <c r="A219" s="26" t="str">
        <f aca="false">IF($B219="","","RES-"&amp;TEXT(ROW()-4,"000"))</f>
        <v/>
      </c>
      <c r="B219" s="24"/>
      <c r="C219" s="25"/>
      <c r="D219" s="24"/>
      <c r="E219" s="24"/>
      <c r="F219" s="29"/>
      <c r="G219" s="24"/>
      <c r="H219" s="24"/>
      <c r="I219" s="24"/>
      <c r="J219" s="24"/>
      <c r="K219" s="24"/>
      <c r="L219" s="26" t="str">
        <f aca="false">IF($B219="","",IFERROR(INDEX(ST_LOT,MATCH($B219,ST_ID,0)),""))</f>
        <v/>
      </c>
      <c r="M219" s="26" t="str">
        <f aca="false">IF($B219="","",IFERROR(INDEX(ST_STRAIT,MATCH($B219,ST_ID,0)),""))</f>
        <v/>
      </c>
      <c r="N219" s="26" t="str">
        <f aca="false">IF($B219="","",IF($E219="",$L219,$E219))</f>
        <v/>
      </c>
      <c r="O219" s="26" t="str">
        <f aca="false">IF($J219="","",IFERROR(INDEX(EMPL_CLASSE,MATCH($J219,EMPL_KEY,0)),"?"))</f>
        <v/>
      </c>
      <c r="P219" s="28" t="n">
        <f aca="false">IF($B219="",0,IF(OR(ISNA(MATCH($B219,ST_ID,0)),NOT(ISNUMBER($F219)),$F219&lt;=0,$J219="",$N219=""),0,1))</f>
        <v>0</v>
      </c>
      <c r="Q219" s="27" t="n">
        <f aca="false">IF($P219=0,0,$F219)</f>
        <v>0</v>
      </c>
      <c r="R219" s="26" t="str">
        <f aca="false">IF($B219="","",IFERROR(INDEX(ST_STATUT,MATCH($B219,ST_ID,0)),""))</f>
        <v/>
      </c>
      <c r="S219" s="26" t="str">
        <f aca="false">IF($B219="","",IF($P219=0,"DONNEES MANQUANTES",IF(OR($R219="DONNEES MANQUANTES",$R219="STOCK INSUFFISANT",$R219="EMPLACEMENT INCOHERENT",$R219="BLOQUE"),"BLOQUE","OK")))</f>
        <v/>
      </c>
      <c r="T219" s="28" t="n">
        <f aca="false">IF($S219="OK",1,0)</f>
        <v>0</v>
      </c>
      <c r="U219" s="26" t="str">
        <f aca="false">IF($B219="","",IF($P219=0,"A COMPLETER : "&amp;IF(ISNA(MATCH($B219,ST_ID,0)),"ID ST valide; ","")&amp;IF(OR(NOT(ISNUMBER($F219)),$F219&lt;=0),"QUANTITE &gt; 0; ","")&amp;IF($J219="","EMPL. DESTINATION; ",""),IF($S219="BLOQUE","Envoi parent en anomalie ("&amp;$R219&amp;") : corriger l'onglet SOUS_TRAITANCE.",IF(AND($E219&lt;&gt;"",ISNA(MATCH($E219,LOT_KEY,0))),"Creer la fiche du lot resultat dans l'onglet LOTS.",""))))</f>
        <v/>
      </c>
      <c r="V219" s="31" t="str">
        <f aca="false">IF($B219="","",IF($C219&lt;&gt;"",$C219,IFERROR(INDEX(ST_DATERET,MATCH($B219,ST_ID,0)),"")))</f>
        <v/>
      </c>
      <c r="W219" s="26" t="str">
        <f aca="false">IF($P219=0,"",IF($L219=R_LOT,IF($N219&lt;&gt;R_LOT,$N219,""),IF($N219=R_LOT,$L219,"")))</f>
        <v/>
      </c>
      <c r="X219" s="26" t="str">
        <f aca="false">IF($W219="","",IF(COUNTIF($W$4:$W218,$W219)&gt;0,"",COUNT($X$4:$X218)+1))</f>
        <v/>
      </c>
      <c r="Y219" s="26" t="n">
        <f aca="false">IF($P219=0,0,IF(OR($L219=R_LOT,$N219=R_LOT),1,0))</f>
        <v>0</v>
      </c>
      <c r="Z219" s="26" t="str">
        <f aca="false">IF($Y219=0,"",COUNTIF($Y$5:$Y219,1))</f>
        <v/>
      </c>
    </row>
    <row r="220" customFormat="false" ht="15" hidden="false" customHeight="false" outlineLevel="0" collapsed="false">
      <c r="A220" s="26" t="str">
        <f aca="false">IF($B220="","","RES-"&amp;TEXT(ROW()-4,"000"))</f>
        <v/>
      </c>
      <c r="B220" s="24"/>
      <c r="C220" s="25"/>
      <c r="D220" s="24"/>
      <c r="E220" s="24"/>
      <c r="F220" s="29"/>
      <c r="G220" s="24"/>
      <c r="H220" s="24"/>
      <c r="I220" s="24"/>
      <c r="J220" s="24"/>
      <c r="K220" s="24"/>
      <c r="L220" s="26" t="str">
        <f aca="false">IF($B220="","",IFERROR(INDEX(ST_LOT,MATCH($B220,ST_ID,0)),""))</f>
        <v/>
      </c>
      <c r="M220" s="26" t="str">
        <f aca="false">IF($B220="","",IFERROR(INDEX(ST_STRAIT,MATCH($B220,ST_ID,0)),""))</f>
        <v/>
      </c>
      <c r="N220" s="26" t="str">
        <f aca="false">IF($B220="","",IF($E220="",$L220,$E220))</f>
        <v/>
      </c>
      <c r="O220" s="26" t="str">
        <f aca="false">IF($J220="","",IFERROR(INDEX(EMPL_CLASSE,MATCH($J220,EMPL_KEY,0)),"?"))</f>
        <v/>
      </c>
      <c r="P220" s="28" t="n">
        <f aca="false">IF($B220="",0,IF(OR(ISNA(MATCH($B220,ST_ID,0)),NOT(ISNUMBER($F220)),$F220&lt;=0,$J220="",$N220=""),0,1))</f>
        <v>0</v>
      </c>
      <c r="Q220" s="27" t="n">
        <f aca="false">IF($P220=0,0,$F220)</f>
        <v>0</v>
      </c>
      <c r="R220" s="26" t="str">
        <f aca="false">IF($B220="","",IFERROR(INDEX(ST_STATUT,MATCH($B220,ST_ID,0)),""))</f>
        <v/>
      </c>
      <c r="S220" s="26" t="str">
        <f aca="false">IF($B220="","",IF($P220=0,"DONNEES MANQUANTES",IF(OR($R220="DONNEES MANQUANTES",$R220="STOCK INSUFFISANT",$R220="EMPLACEMENT INCOHERENT",$R220="BLOQUE"),"BLOQUE","OK")))</f>
        <v/>
      </c>
      <c r="T220" s="28" t="n">
        <f aca="false">IF($S220="OK",1,0)</f>
        <v>0</v>
      </c>
      <c r="U220" s="26" t="str">
        <f aca="false">IF($B220="","",IF($P220=0,"A COMPLETER : "&amp;IF(ISNA(MATCH($B220,ST_ID,0)),"ID ST valide; ","")&amp;IF(OR(NOT(ISNUMBER($F220)),$F220&lt;=0),"QUANTITE &gt; 0; ","")&amp;IF($J220="","EMPL. DESTINATION; ",""),IF($S220="BLOQUE","Envoi parent en anomalie ("&amp;$R220&amp;") : corriger l'onglet SOUS_TRAITANCE.",IF(AND($E220&lt;&gt;"",ISNA(MATCH($E220,LOT_KEY,0))),"Creer la fiche du lot resultat dans l'onglet LOTS.",""))))</f>
        <v/>
      </c>
      <c r="V220" s="31" t="str">
        <f aca="false">IF($B220="","",IF($C220&lt;&gt;"",$C220,IFERROR(INDEX(ST_DATERET,MATCH($B220,ST_ID,0)),"")))</f>
        <v/>
      </c>
      <c r="W220" s="26" t="str">
        <f aca="false">IF($P220=0,"",IF($L220=R_LOT,IF($N220&lt;&gt;R_LOT,$N220,""),IF($N220=R_LOT,$L220,"")))</f>
        <v/>
      </c>
      <c r="X220" s="26" t="str">
        <f aca="false">IF($W220="","",IF(COUNTIF($W$4:$W219,$W220)&gt;0,"",COUNT($X$4:$X219)+1))</f>
        <v/>
      </c>
      <c r="Y220" s="26" t="n">
        <f aca="false">IF($P220=0,0,IF(OR($L220=R_LOT,$N220=R_LOT),1,0))</f>
        <v>0</v>
      </c>
      <c r="Z220" s="26" t="str">
        <f aca="false">IF($Y220=0,"",COUNTIF($Y$5:$Y220,1))</f>
        <v/>
      </c>
    </row>
    <row r="221" customFormat="false" ht="15" hidden="false" customHeight="false" outlineLevel="0" collapsed="false">
      <c r="A221" s="26" t="str">
        <f aca="false">IF($B221="","","RES-"&amp;TEXT(ROW()-4,"000"))</f>
        <v/>
      </c>
      <c r="B221" s="24"/>
      <c r="C221" s="25"/>
      <c r="D221" s="24"/>
      <c r="E221" s="24"/>
      <c r="F221" s="29"/>
      <c r="G221" s="24"/>
      <c r="H221" s="24"/>
      <c r="I221" s="24"/>
      <c r="J221" s="24"/>
      <c r="K221" s="24"/>
      <c r="L221" s="26" t="str">
        <f aca="false">IF($B221="","",IFERROR(INDEX(ST_LOT,MATCH($B221,ST_ID,0)),""))</f>
        <v/>
      </c>
      <c r="M221" s="26" t="str">
        <f aca="false">IF($B221="","",IFERROR(INDEX(ST_STRAIT,MATCH($B221,ST_ID,0)),""))</f>
        <v/>
      </c>
      <c r="N221" s="26" t="str">
        <f aca="false">IF($B221="","",IF($E221="",$L221,$E221))</f>
        <v/>
      </c>
      <c r="O221" s="26" t="str">
        <f aca="false">IF($J221="","",IFERROR(INDEX(EMPL_CLASSE,MATCH($J221,EMPL_KEY,0)),"?"))</f>
        <v/>
      </c>
      <c r="P221" s="28" t="n">
        <f aca="false">IF($B221="",0,IF(OR(ISNA(MATCH($B221,ST_ID,0)),NOT(ISNUMBER($F221)),$F221&lt;=0,$J221="",$N221=""),0,1))</f>
        <v>0</v>
      </c>
      <c r="Q221" s="27" t="n">
        <f aca="false">IF($P221=0,0,$F221)</f>
        <v>0</v>
      </c>
      <c r="R221" s="26" t="str">
        <f aca="false">IF($B221="","",IFERROR(INDEX(ST_STATUT,MATCH($B221,ST_ID,0)),""))</f>
        <v/>
      </c>
      <c r="S221" s="26" t="str">
        <f aca="false">IF($B221="","",IF($P221=0,"DONNEES MANQUANTES",IF(OR($R221="DONNEES MANQUANTES",$R221="STOCK INSUFFISANT",$R221="EMPLACEMENT INCOHERENT",$R221="BLOQUE"),"BLOQUE","OK")))</f>
        <v/>
      </c>
      <c r="T221" s="28" t="n">
        <f aca="false">IF($S221="OK",1,0)</f>
        <v>0</v>
      </c>
      <c r="U221" s="26" t="str">
        <f aca="false">IF($B221="","",IF($P221=0,"A COMPLETER : "&amp;IF(ISNA(MATCH($B221,ST_ID,0)),"ID ST valide; ","")&amp;IF(OR(NOT(ISNUMBER($F221)),$F221&lt;=0),"QUANTITE &gt; 0; ","")&amp;IF($J221="","EMPL. DESTINATION; ",""),IF($S221="BLOQUE","Envoi parent en anomalie ("&amp;$R221&amp;") : corriger l'onglet SOUS_TRAITANCE.",IF(AND($E221&lt;&gt;"",ISNA(MATCH($E221,LOT_KEY,0))),"Creer la fiche du lot resultat dans l'onglet LOTS.",""))))</f>
        <v/>
      </c>
      <c r="V221" s="31" t="str">
        <f aca="false">IF($B221="","",IF($C221&lt;&gt;"",$C221,IFERROR(INDEX(ST_DATERET,MATCH($B221,ST_ID,0)),"")))</f>
        <v/>
      </c>
      <c r="W221" s="26" t="str">
        <f aca="false">IF($P221=0,"",IF($L221=R_LOT,IF($N221&lt;&gt;R_LOT,$N221,""),IF($N221=R_LOT,$L221,"")))</f>
        <v/>
      </c>
      <c r="X221" s="26" t="str">
        <f aca="false">IF($W221="","",IF(COUNTIF($W$4:$W220,$W221)&gt;0,"",COUNT($X$4:$X220)+1))</f>
        <v/>
      </c>
      <c r="Y221" s="26" t="n">
        <f aca="false">IF($P221=0,0,IF(OR($L221=R_LOT,$N221=R_LOT),1,0))</f>
        <v>0</v>
      </c>
      <c r="Z221" s="26" t="str">
        <f aca="false">IF($Y221=0,"",COUNTIF($Y$5:$Y221,1))</f>
        <v/>
      </c>
    </row>
    <row r="222" customFormat="false" ht="15" hidden="false" customHeight="false" outlineLevel="0" collapsed="false">
      <c r="A222" s="26" t="str">
        <f aca="false">IF($B222="","","RES-"&amp;TEXT(ROW()-4,"000"))</f>
        <v/>
      </c>
      <c r="B222" s="24"/>
      <c r="C222" s="25"/>
      <c r="D222" s="24"/>
      <c r="E222" s="24"/>
      <c r="F222" s="29"/>
      <c r="G222" s="24"/>
      <c r="H222" s="24"/>
      <c r="I222" s="24"/>
      <c r="J222" s="24"/>
      <c r="K222" s="24"/>
      <c r="L222" s="26" t="str">
        <f aca="false">IF($B222="","",IFERROR(INDEX(ST_LOT,MATCH($B222,ST_ID,0)),""))</f>
        <v/>
      </c>
      <c r="M222" s="26" t="str">
        <f aca="false">IF($B222="","",IFERROR(INDEX(ST_STRAIT,MATCH($B222,ST_ID,0)),""))</f>
        <v/>
      </c>
      <c r="N222" s="26" t="str">
        <f aca="false">IF($B222="","",IF($E222="",$L222,$E222))</f>
        <v/>
      </c>
      <c r="O222" s="26" t="str">
        <f aca="false">IF($J222="","",IFERROR(INDEX(EMPL_CLASSE,MATCH($J222,EMPL_KEY,0)),"?"))</f>
        <v/>
      </c>
      <c r="P222" s="28" t="n">
        <f aca="false">IF($B222="",0,IF(OR(ISNA(MATCH($B222,ST_ID,0)),NOT(ISNUMBER($F222)),$F222&lt;=0,$J222="",$N222=""),0,1))</f>
        <v>0</v>
      </c>
      <c r="Q222" s="27" t="n">
        <f aca="false">IF($P222=0,0,$F222)</f>
        <v>0</v>
      </c>
      <c r="R222" s="26" t="str">
        <f aca="false">IF($B222="","",IFERROR(INDEX(ST_STATUT,MATCH($B222,ST_ID,0)),""))</f>
        <v/>
      </c>
      <c r="S222" s="26" t="str">
        <f aca="false">IF($B222="","",IF($P222=0,"DONNEES MANQUANTES",IF(OR($R222="DONNEES MANQUANTES",$R222="STOCK INSUFFISANT",$R222="EMPLACEMENT INCOHERENT",$R222="BLOQUE"),"BLOQUE","OK")))</f>
        <v/>
      </c>
      <c r="T222" s="28" t="n">
        <f aca="false">IF($S222="OK",1,0)</f>
        <v>0</v>
      </c>
      <c r="U222" s="26" t="str">
        <f aca="false">IF($B222="","",IF($P222=0,"A COMPLETER : "&amp;IF(ISNA(MATCH($B222,ST_ID,0)),"ID ST valide; ","")&amp;IF(OR(NOT(ISNUMBER($F222)),$F222&lt;=0),"QUANTITE &gt; 0; ","")&amp;IF($J222="","EMPL. DESTINATION; ",""),IF($S222="BLOQUE","Envoi parent en anomalie ("&amp;$R222&amp;") : corriger l'onglet SOUS_TRAITANCE.",IF(AND($E222&lt;&gt;"",ISNA(MATCH($E222,LOT_KEY,0))),"Creer la fiche du lot resultat dans l'onglet LOTS.",""))))</f>
        <v/>
      </c>
      <c r="V222" s="31" t="str">
        <f aca="false">IF($B222="","",IF($C222&lt;&gt;"",$C222,IFERROR(INDEX(ST_DATERET,MATCH($B222,ST_ID,0)),"")))</f>
        <v/>
      </c>
      <c r="W222" s="26" t="str">
        <f aca="false">IF($P222=0,"",IF($L222=R_LOT,IF($N222&lt;&gt;R_LOT,$N222,""),IF($N222=R_LOT,$L222,"")))</f>
        <v/>
      </c>
      <c r="X222" s="26" t="str">
        <f aca="false">IF($W222="","",IF(COUNTIF($W$4:$W221,$W222)&gt;0,"",COUNT($X$4:$X221)+1))</f>
        <v/>
      </c>
      <c r="Y222" s="26" t="n">
        <f aca="false">IF($P222=0,0,IF(OR($L222=R_LOT,$N222=R_LOT),1,0))</f>
        <v>0</v>
      </c>
      <c r="Z222" s="26" t="str">
        <f aca="false">IF($Y222=0,"",COUNTIF($Y$5:$Y222,1))</f>
        <v/>
      </c>
    </row>
    <row r="223" customFormat="false" ht="15" hidden="false" customHeight="false" outlineLevel="0" collapsed="false">
      <c r="A223" s="26" t="str">
        <f aca="false">IF($B223="","","RES-"&amp;TEXT(ROW()-4,"000"))</f>
        <v/>
      </c>
      <c r="B223" s="24"/>
      <c r="C223" s="25"/>
      <c r="D223" s="24"/>
      <c r="E223" s="24"/>
      <c r="F223" s="29"/>
      <c r="G223" s="24"/>
      <c r="H223" s="24"/>
      <c r="I223" s="24"/>
      <c r="J223" s="24"/>
      <c r="K223" s="24"/>
      <c r="L223" s="26" t="str">
        <f aca="false">IF($B223="","",IFERROR(INDEX(ST_LOT,MATCH($B223,ST_ID,0)),""))</f>
        <v/>
      </c>
      <c r="M223" s="26" t="str">
        <f aca="false">IF($B223="","",IFERROR(INDEX(ST_STRAIT,MATCH($B223,ST_ID,0)),""))</f>
        <v/>
      </c>
      <c r="N223" s="26" t="str">
        <f aca="false">IF($B223="","",IF($E223="",$L223,$E223))</f>
        <v/>
      </c>
      <c r="O223" s="26" t="str">
        <f aca="false">IF($J223="","",IFERROR(INDEX(EMPL_CLASSE,MATCH($J223,EMPL_KEY,0)),"?"))</f>
        <v/>
      </c>
      <c r="P223" s="28" t="n">
        <f aca="false">IF($B223="",0,IF(OR(ISNA(MATCH($B223,ST_ID,0)),NOT(ISNUMBER($F223)),$F223&lt;=0,$J223="",$N223=""),0,1))</f>
        <v>0</v>
      </c>
      <c r="Q223" s="27" t="n">
        <f aca="false">IF($P223=0,0,$F223)</f>
        <v>0</v>
      </c>
      <c r="R223" s="26" t="str">
        <f aca="false">IF($B223="","",IFERROR(INDEX(ST_STATUT,MATCH($B223,ST_ID,0)),""))</f>
        <v/>
      </c>
      <c r="S223" s="26" t="str">
        <f aca="false">IF($B223="","",IF($P223=0,"DONNEES MANQUANTES",IF(OR($R223="DONNEES MANQUANTES",$R223="STOCK INSUFFISANT",$R223="EMPLACEMENT INCOHERENT",$R223="BLOQUE"),"BLOQUE","OK")))</f>
        <v/>
      </c>
      <c r="T223" s="28" t="n">
        <f aca="false">IF($S223="OK",1,0)</f>
        <v>0</v>
      </c>
      <c r="U223" s="26" t="str">
        <f aca="false">IF($B223="","",IF($P223=0,"A COMPLETER : "&amp;IF(ISNA(MATCH($B223,ST_ID,0)),"ID ST valide; ","")&amp;IF(OR(NOT(ISNUMBER($F223)),$F223&lt;=0),"QUANTITE &gt; 0; ","")&amp;IF($J223="","EMPL. DESTINATION; ",""),IF($S223="BLOQUE","Envoi parent en anomalie ("&amp;$R223&amp;") : corriger l'onglet SOUS_TRAITANCE.",IF(AND($E223&lt;&gt;"",ISNA(MATCH($E223,LOT_KEY,0))),"Creer la fiche du lot resultat dans l'onglet LOTS.",""))))</f>
        <v/>
      </c>
      <c r="V223" s="31" t="str">
        <f aca="false">IF($B223="","",IF($C223&lt;&gt;"",$C223,IFERROR(INDEX(ST_DATERET,MATCH($B223,ST_ID,0)),"")))</f>
        <v/>
      </c>
      <c r="W223" s="26" t="str">
        <f aca="false">IF($P223=0,"",IF($L223=R_LOT,IF($N223&lt;&gt;R_LOT,$N223,""),IF($N223=R_LOT,$L223,"")))</f>
        <v/>
      </c>
      <c r="X223" s="26" t="str">
        <f aca="false">IF($W223="","",IF(COUNTIF($W$4:$W222,$W223)&gt;0,"",COUNT($X$4:$X222)+1))</f>
        <v/>
      </c>
      <c r="Y223" s="26" t="n">
        <f aca="false">IF($P223=0,0,IF(OR($L223=R_LOT,$N223=R_LOT),1,0))</f>
        <v>0</v>
      </c>
      <c r="Z223" s="26" t="str">
        <f aca="false">IF($Y223=0,"",COUNTIF($Y$5:$Y223,1))</f>
        <v/>
      </c>
    </row>
    <row r="224" customFormat="false" ht="15" hidden="false" customHeight="false" outlineLevel="0" collapsed="false">
      <c r="A224" s="26" t="str">
        <f aca="false">IF($B224="","","RES-"&amp;TEXT(ROW()-4,"000"))</f>
        <v/>
      </c>
      <c r="B224" s="24"/>
      <c r="C224" s="25"/>
      <c r="D224" s="24"/>
      <c r="E224" s="24"/>
      <c r="F224" s="29"/>
      <c r="G224" s="24"/>
      <c r="H224" s="24"/>
      <c r="I224" s="24"/>
      <c r="J224" s="24"/>
      <c r="K224" s="24"/>
      <c r="L224" s="26" t="str">
        <f aca="false">IF($B224="","",IFERROR(INDEX(ST_LOT,MATCH($B224,ST_ID,0)),""))</f>
        <v/>
      </c>
      <c r="M224" s="26" t="str">
        <f aca="false">IF($B224="","",IFERROR(INDEX(ST_STRAIT,MATCH($B224,ST_ID,0)),""))</f>
        <v/>
      </c>
      <c r="N224" s="26" t="str">
        <f aca="false">IF($B224="","",IF($E224="",$L224,$E224))</f>
        <v/>
      </c>
      <c r="O224" s="26" t="str">
        <f aca="false">IF($J224="","",IFERROR(INDEX(EMPL_CLASSE,MATCH($J224,EMPL_KEY,0)),"?"))</f>
        <v/>
      </c>
      <c r="P224" s="28" t="n">
        <f aca="false">IF($B224="",0,IF(OR(ISNA(MATCH($B224,ST_ID,0)),NOT(ISNUMBER($F224)),$F224&lt;=0,$J224="",$N224=""),0,1))</f>
        <v>0</v>
      </c>
      <c r="Q224" s="27" t="n">
        <f aca="false">IF($P224=0,0,$F224)</f>
        <v>0</v>
      </c>
      <c r="R224" s="26" t="str">
        <f aca="false">IF($B224="","",IFERROR(INDEX(ST_STATUT,MATCH($B224,ST_ID,0)),""))</f>
        <v/>
      </c>
      <c r="S224" s="26" t="str">
        <f aca="false">IF($B224="","",IF($P224=0,"DONNEES MANQUANTES",IF(OR($R224="DONNEES MANQUANTES",$R224="STOCK INSUFFISANT",$R224="EMPLACEMENT INCOHERENT",$R224="BLOQUE"),"BLOQUE","OK")))</f>
        <v/>
      </c>
      <c r="T224" s="28" t="n">
        <f aca="false">IF($S224="OK",1,0)</f>
        <v>0</v>
      </c>
      <c r="U224" s="26" t="str">
        <f aca="false">IF($B224="","",IF($P224=0,"A COMPLETER : "&amp;IF(ISNA(MATCH($B224,ST_ID,0)),"ID ST valide; ","")&amp;IF(OR(NOT(ISNUMBER($F224)),$F224&lt;=0),"QUANTITE &gt; 0; ","")&amp;IF($J224="","EMPL. DESTINATION; ",""),IF($S224="BLOQUE","Envoi parent en anomalie ("&amp;$R224&amp;") : corriger l'onglet SOUS_TRAITANCE.",IF(AND($E224&lt;&gt;"",ISNA(MATCH($E224,LOT_KEY,0))),"Creer la fiche du lot resultat dans l'onglet LOTS.",""))))</f>
        <v/>
      </c>
      <c r="V224" s="31" t="str">
        <f aca="false">IF($B224="","",IF($C224&lt;&gt;"",$C224,IFERROR(INDEX(ST_DATERET,MATCH($B224,ST_ID,0)),"")))</f>
        <v/>
      </c>
      <c r="W224" s="26" t="str">
        <f aca="false">IF($P224=0,"",IF($L224=R_LOT,IF($N224&lt;&gt;R_LOT,$N224,""),IF($N224=R_LOT,$L224,"")))</f>
        <v/>
      </c>
      <c r="X224" s="26" t="str">
        <f aca="false">IF($W224="","",IF(COUNTIF($W$4:$W223,$W224)&gt;0,"",COUNT($X$4:$X223)+1))</f>
        <v/>
      </c>
      <c r="Y224" s="26" t="n">
        <f aca="false">IF($P224=0,0,IF(OR($L224=R_LOT,$N224=R_LOT),1,0))</f>
        <v>0</v>
      </c>
      <c r="Z224" s="26" t="str">
        <f aca="false">IF($Y224=0,"",COUNTIF($Y$5:$Y224,1))</f>
        <v/>
      </c>
    </row>
    <row r="225" customFormat="false" ht="15" hidden="false" customHeight="false" outlineLevel="0" collapsed="false">
      <c r="A225" s="26" t="str">
        <f aca="false">IF($B225="","","RES-"&amp;TEXT(ROW()-4,"000"))</f>
        <v/>
      </c>
      <c r="B225" s="24"/>
      <c r="C225" s="25"/>
      <c r="D225" s="24"/>
      <c r="E225" s="24"/>
      <c r="F225" s="29"/>
      <c r="G225" s="24"/>
      <c r="H225" s="24"/>
      <c r="I225" s="24"/>
      <c r="J225" s="24"/>
      <c r="K225" s="24"/>
      <c r="L225" s="26" t="str">
        <f aca="false">IF($B225="","",IFERROR(INDEX(ST_LOT,MATCH($B225,ST_ID,0)),""))</f>
        <v/>
      </c>
      <c r="M225" s="26" t="str">
        <f aca="false">IF($B225="","",IFERROR(INDEX(ST_STRAIT,MATCH($B225,ST_ID,0)),""))</f>
        <v/>
      </c>
      <c r="N225" s="26" t="str">
        <f aca="false">IF($B225="","",IF($E225="",$L225,$E225))</f>
        <v/>
      </c>
      <c r="O225" s="26" t="str">
        <f aca="false">IF($J225="","",IFERROR(INDEX(EMPL_CLASSE,MATCH($J225,EMPL_KEY,0)),"?"))</f>
        <v/>
      </c>
      <c r="P225" s="28" t="n">
        <f aca="false">IF($B225="",0,IF(OR(ISNA(MATCH($B225,ST_ID,0)),NOT(ISNUMBER($F225)),$F225&lt;=0,$J225="",$N225=""),0,1))</f>
        <v>0</v>
      </c>
      <c r="Q225" s="27" t="n">
        <f aca="false">IF($P225=0,0,$F225)</f>
        <v>0</v>
      </c>
      <c r="R225" s="26" t="str">
        <f aca="false">IF($B225="","",IFERROR(INDEX(ST_STATUT,MATCH($B225,ST_ID,0)),""))</f>
        <v/>
      </c>
      <c r="S225" s="26" t="str">
        <f aca="false">IF($B225="","",IF($P225=0,"DONNEES MANQUANTES",IF(OR($R225="DONNEES MANQUANTES",$R225="STOCK INSUFFISANT",$R225="EMPLACEMENT INCOHERENT",$R225="BLOQUE"),"BLOQUE","OK")))</f>
        <v/>
      </c>
      <c r="T225" s="28" t="n">
        <f aca="false">IF($S225="OK",1,0)</f>
        <v>0</v>
      </c>
      <c r="U225" s="26" t="str">
        <f aca="false">IF($B225="","",IF($P225=0,"A COMPLETER : "&amp;IF(ISNA(MATCH($B225,ST_ID,0)),"ID ST valide; ","")&amp;IF(OR(NOT(ISNUMBER($F225)),$F225&lt;=0),"QUANTITE &gt; 0; ","")&amp;IF($J225="","EMPL. DESTINATION; ",""),IF($S225="BLOQUE","Envoi parent en anomalie ("&amp;$R225&amp;") : corriger l'onglet SOUS_TRAITANCE.",IF(AND($E225&lt;&gt;"",ISNA(MATCH($E225,LOT_KEY,0))),"Creer la fiche du lot resultat dans l'onglet LOTS.",""))))</f>
        <v/>
      </c>
      <c r="V225" s="31" t="str">
        <f aca="false">IF($B225="","",IF($C225&lt;&gt;"",$C225,IFERROR(INDEX(ST_DATERET,MATCH($B225,ST_ID,0)),"")))</f>
        <v/>
      </c>
      <c r="W225" s="26" t="str">
        <f aca="false">IF($P225=0,"",IF($L225=R_LOT,IF($N225&lt;&gt;R_LOT,$N225,""),IF($N225=R_LOT,$L225,"")))</f>
        <v/>
      </c>
      <c r="X225" s="26" t="str">
        <f aca="false">IF($W225="","",IF(COUNTIF($W$4:$W224,$W225)&gt;0,"",COUNT($X$4:$X224)+1))</f>
        <v/>
      </c>
      <c r="Y225" s="26" t="n">
        <f aca="false">IF($P225=0,0,IF(OR($L225=R_LOT,$N225=R_LOT),1,0))</f>
        <v>0</v>
      </c>
      <c r="Z225" s="26" t="str">
        <f aca="false">IF($Y225=0,"",COUNTIF($Y$5:$Y225,1))</f>
        <v/>
      </c>
    </row>
    <row r="226" customFormat="false" ht="15" hidden="false" customHeight="false" outlineLevel="0" collapsed="false">
      <c r="A226" s="26" t="str">
        <f aca="false">IF($B226="","","RES-"&amp;TEXT(ROW()-4,"000"))</f>
        <v/>
      </c>
      <c r="B226" s="24"/>
      <c r="C226" s="25"/>
      <c r="D226" s="24"/>
      <c r="E226" s="24"/>
      <c r="F226" s="29"/>
      <c r="G226" s="24"/>
      <c r="H226" s="24"/>
      <c r="I226" s="24"/>
      <c r="J226" s="24"/>
      <c r="K226" s="24"/>
      <c r="L226" s="26" t="str">
        <f aca="false">IF($B226="","",IFERROR(INDEX(ST_LOT,MATCH($B226,ST_ID,0)),""))</f>
        <v/>
      </c>
      <c r="M226" s="26" t="str">
        <f aca="false">IF($B226="","",IFERROR(INDEX(ST_STRAIT,MATCH($B226,ST_ID,0)),""))</f>
        <v/>
      </c>
      <c r="N226" s="26" t="str">
        <f aca="false">IF($B226="","",IF($E226="",$L226,$E226))</f>
        <v/>
      </c>
      <c r="O226" s="26" t="str">
        <f aca="false">IF($J226="","",IFERROR(INDEX(EMPL_CLASSE,MATCH($J226,EMPL_KEY,0)),"?"))</f>
        <v/>
      </c>
      <c r="P226" s="28" t="n">
        <f aca="false">IF($B226="",0,IF(OR(ISNA(MATCH($B226,ST_ID,0)),NOT(ISNUMBER($F226)),$F226&lt;=0,$J226="",$N226=""),0,1))</f>
        <v>0</v>
      </c>
      <c r="Q226" s="27" t="n">
        <f aca="false">IF($P226=0,0,$F226)</f>
        <v>0</v>
      </c>
      <c r="R226" s="26" t="str">
        <f aca="false">IF($B226="","",IFERROR(INDEX(ST_STATUT,MATCH($B226,ST_ID,0)),""))</f>
        <v/>
      </c>
      <c r="S226" s="26" t="str">
        <f aca="false">IF($B226="","",IF($P226=0,"DONNEES MANQUANTES",IF(OR($R226="DONNEES MANQUANTES",$R226="STOCK INSUFFISANT",$R226="EMPLACEMENT INCOHERENT",$R226="BLOQUE"),"BLOQUE","OK")))</f>
        <v/>
      </c>
      <c r="T226" s="28" t="n">
        <f aca="false">IF($S226="OK",1,0)</f>
        <v>0</v>
      </c>
      <c r="U226" s="26" t="str">
        <f aca="false">IF($B226="","",IF($P226=0,"A COMPLETER : "&amp;IF(ISNA(MATCH($B226,ST_ID,0)),"ID ST valide; ","")&amp;IF(OR(NOT(ISNUMBER($F226)),$F226&lt;=0),"QUANTITE &gt; 0; ","")&amp;IF($J226="","EMPL. DESTINATION; ",""),IF($S226="BLOQUE","Envoi parent en anomalie ("&amp;$R226&amp;") : corriger l'onglet SOUS_TRAITANCE.",IF(AND($E226&lt;&gt;"",ISNA(MATCH($E226,LOT_KEY,0))),"Creer la fiche du lot resultat dans l'onglet LOTS.",""))))</f>
        <v/>
      </c>
      <c r="V226" s="31" t="str">
        <f aca="false">IF($B226="","",IF($C226&lt;&gt;"",$C226,IFERROR(INDEX(ST_DATERET,MATCH($B226,ST_ID,0)),"")))</f>
        <v/>
      </c>
      <c r="W226" s="26" t="str">
        <f aca="false">IF($P226=0,"",IF($L226=R_LOT,IF($N226&lt;&gt;R_LOT,$N226,""),IF($N226=R_LOT,$L226,"")))</f>
        <v/>
      </c>
      <c r="X226" s="26" t="str">
        <f aca="false">IF($W226="","",IF(COUNTIF($W$4:$W225,$W226)&gt;0,"",COUNT($X$4:$X225)+1))</f>
        <v/>
      </c>
      <c r="Y226" s="26" t="n">
        <f aca="false">IF($P226=0,0,IF(OR($L226=R_LOT,$N226=R_LOT),1,0))</f>
        <v>0</v>
      </c>
      <c r="Z226" s="26" t="str">
        <f aca="false">IF($Y226=0,"",COUNTIF($Y$5:$Y226,1))</f>
        <v/>
      </c>
    </row>
    <row r="227" customFormat="false" ht="15" hidden="false" customHeight="false" outlineLevel="0" collapsed="false">
      <c r="A227" s="26" t="str">
        <f aca="false">IF($B227="","","RES-"&amp;TEXT(ROW()-4,"000"))</f>
        <v/>
      </c>
      <c r="B227" s="24"/>
      <c r="C227" s="25"/>
      <c r="D227" s="24"/>
      <c r="E227" s="24"/>
      <c r="F227" s="29"/>
      <c r="G227" s="24"/>
      <c r="H227" s="24"/>
      <c r="I227" s="24"/>
      <c r="J227" s="24"/>
      <c r="K227" s="24"/>
      <c r="L227" s="26" t="str">
        <f aca="false">IF($B227="","",IFERROR(INDEX(ST_LOT,MATCH($B227,ST_ID,0)),""))</f>
        <v/>
      </c>
      <c r="M227" s="26" t="str">
        <f aca="false">IF($B227="","",IFERROR(INDEX(ST_STRAIT,MATCH($B227,ST_ID,0)),""))</f>
        <v/>
      </c>
      <c r="N227" s="26" t="str">
        <f aca="false">IF($B227="","",IF($E227="",$L227,$E227))</f>
        <v/>
      </c>
      <c r="O227" s="26" t="str">
        <f aca="false">IF($J227="","",IFERROR(INDEX(EMPL_CLASSE,MATCH($J227,EMPL_KEY,0)),"?"))</f>
        <v/>
      </c>
      <c r="P227" s="28" t="n">
        <f aca="false">IF($B227="",0,IF(OR(ISNA(MATCH($B227,ST_ID,0)),NOT(ISNUMBER($F227)),$F227&lt;=0,$J227="",$N227=""),0,1))</f>
        <v>0</v>
      </c>
      <c r="Q227" s="27" t="n">
        <f aca="false">IF($P227=0,0,$F227)</f>
        <v>0</v>
      </c>
      <c r="R227" s="26" t="str">
        <f aca="false">IF($B227="","",IFERROR(INDEX(ST_STATUT,MATCH($B227,ST_ID,0)),""))</f>
        <v/>
      </c>
      <c r="S227" s="26" t="str">
        <f aca="false">IF($B227="","",IF($P227=0,"DONNEES MANQUANTES",IF(OR($R227="DONNEES MANQUANTES",$R227="STOCK INSUFFISANT",$R227="EMPLACEMENT INCOHERENT",$R227="BLOQUE"),"BLOQUE","OK")))</f>
        <v/>
      </c>
      <c r="T227" s="28" t="n">
        <f aca="false">IF($S227="OK",1,0)</f>
        <v>0</v>
      </c>
      <c r="U227" s="26" t="str">
        <f aca="false">IF($B227="","",IF($P227=0,"A COMPLETER : "&amp;IF(ISNA(MATCH($B227,ST_ID,0)),"ID ST valide; ","")&amp;IF(OR(NOT(ISNUMBER($F227)),$F227&lt;=0),"QUANTITE &gt; 0; ","")&amp;IF($J227="","EMPL. DESTINATION; ",""),IF($S227="BLOQUE","Envoi parent en anomalie ("&amp;$R227&amp;") : corriger l'onglet SOUS_TRAITANCE.",IF(AND($E227&lt;&gt;"",ISNA(MATCH($E227,LOT_KEY,0))),"Creer la fiche du lot resultat dans l'onglet LOTS.",""))))</f>
        <v/>
      </c>
      <c r="V227" s="31" t="str">
        <f aca="false">IF($B227="","",IF($C227&lt;&gt;"",$C227,IFERROR(INDEX(ST_DATERET,MATCH($B227,ST_ID,0)),"")))</f>
        <v/>
      </c>
      <c r="W227" s="26" t="str">
        <f aca="false">IF($P227=0,"",IF($L227=R_LOT,IF($N227&lt;&gt;R_LOT,$N227,""),IF($N227=R_LOT,$L227,"")))</f>
        <v/>
      </c>
      <c r="X227" s="26" t="str">
        <f aca="false">IF($W227="","",IF(COUNTIF($W$4:$W226,$W227)&gt;0,"",COUNT($X$4:$X226)+1))</f>
        <v/>
      </c>
      <c r="Y227" s="26" t="n">
        <f aca="false">IF($P227=0,0,IF(OR($L227=R_LOT,$N227=R_LOT),1,0))</f>
        <v>0</v>
      </c>
      <c r="Z227" s="26" t="str">
        <f aca="false">IF($Y227=0,"",COUNTIF($Y$5:$Y227,1))</f>
        <v/>
      </c>
    </row>
    <row r="228" customFormat="false" ht="15" hidden="false" customHeight="false" outlineLevel="0" collapsed="false">
      <c r="A228" s="26" t="str">
        <f aca="false">IF($B228="","","RES-"&amp;TEXT(ROW()-4,"000"))</f>
        <v/>
      </c>
      <c r="B228" s="24"/>
      <c r="C228" s="25"/>
      <c r="D228" s="24"/>
      <c r="E228" s="24"/>
      <c r="F228" s="29"/>
      <c r="G228" s="24"/>
      <c r="H228" s="24"/>
      <c r="I228" s="24"/>
      <c r="J228" s="24"/>
      <c r="K228" s="24"/>
      <c r="L228" s="26" t="str">
        <f aca="false">IF($B228="","",IFERROR(INDEX(ST_LOT,MATCH($B228,ST_ID,0)),""))</f>
        <v/>
      </c>
      <c r="M228" s="26" t="str">
        <f aca="false">IF($B228="","",IFERROR(INDEX(ST_STRAIT,MATCH($B228,ST_ID,0)),""))</f>
        <v/>
      </c>
      <c r="N228" s="26" t="str">
        <f aca="false">IF($B228="","",IF($E228="",$L228,$E228))</f>
        <v/>
      </c>
      <c r="O228" s="26" t="str">
        <f aca="false">IF($J228="","",IFERROR(INDEX(EMPL_CLASSE,MATCH($J228,EMPL_KEY,0)),"?"))</f>
        <v/>
      </c>
      <c r="P228" s="28" t="n">
        <f aca="false">IF($B228="",0,IF(OR(ISNA(MATCH($B228,ST_ID,0)),NOT(ISNUMBER($F228)),$F228&lt;=0,$J228="",$N228=""),0,1))</f>
        <v>0</v>
      </c>
      <c r="Q228" s="27" t="n">
        <f aca="false">IF($P228=0,0,$F228)</f>
        <v>0</v>
      </c>
      <c r="R228" s="26" t="str">
        <f aca="false">IF($B228="","",IFERROR(INDEX(ST_STATUT,MATCH($B228,ST_ID,0)),""))</f>
        <v/>
      </c>
      <c r="S228" s="26" t="str">
        <f aca="false">IF($B228="","",IF($P228=0,"DONNEES MANQUANTES",IF(OR($R228="DONNEES MANQUANTES",$R228="STOCK INSUFFISANT",$R228="EMPLACEMENT INCOHERENT",$R228="BLOQUE"),"BLOQUE","OK")))</f>
        <v/>
      </c>
      <c r="T228" s="28" t="n">
        <f aca="false">IF($S228="OK",1,0)</f>
        <v>0</v>
      </c>
      <c r="U228" s="26" t="str">
        <f aca="false">IF($B228="","",IF($P228=0,"A COMPLETER : "&amp;IF(ISNA(MATCH($B228,ST_ID,0)),"ID ST valide; ","")&amp;IF(OR(NOT(ISNUMBER($F228)),$F228&lt;=0),"QUANTITE &gt; 0; ","")&amp;IF($J228="","EMPL. DESTINATION; ",""),IF($S228="BLOQUE","Envoi parent en anomalie ("&amp;$R228&amp;") : corriger l'onglet SOUS_TRAITANCE.",IF(AND($E228&lt;&gt;"",ISNA(MATCH($E228,LOT_KEY,0))),"Creer la fiche du lot resultat dans l'onglet LOTS.",""))))</f>
        <v/>
      </c>
      <c r="V228" s="31" t="str">
        <f aca="false">IF($B228="","",IF($C228&lt;&gt;"",$C228,IFERROR(INDEX(ST_DATERET,MATCH($B228,ST_ID,0)),"")))</f>
        <v/>
      </c>
      <c r="W228" s="26" t="str">
        <f aca="false">IF($P228=0,"",IF($L228=R_LOT,IF($N228&lt;&gt;R_LOT,$N228,""),IF($N228=R_LOT,$L228,"")))</f>
        <v/>
      </c>
      <c r="X228" s="26" t="str">
        <f aca="false">IF($W228="","",IF(COUNTIF($W$4:$W227,$W228)&gt;0,"",COUNT($X$4:$X227)+1))</f>
        <v/>
      </c>
      <c r="Y228" s="26" t="n">
        <f aca="false">IF($P228=0,0,IF(OR($L228=R_LOT,$N228=R_LOT),1,0))</f>
        <v>0</v>
      </c>
      <c r="Z228" s="26" t="str">
        <f aca="false">IF($Y228=0,"",COUNTIF($Y$5:$Y228,1))</f>
        <v/>
      </c>
    </row>
    <row r="229" customFormat="false" ht="15" hidden="false" customHeight="false" outlineLevel="0" collapsed="false">
      <c r="A229" s="26" t="str">
        <f aca="false">IF($B229="","","RES-"&amp;TEXT(ROW()-4,"000"))</f>
        <v/>
      </c>
      <c r="B229" s="24"/>
      <c r="C229" s="25"/>
      <c r="D229" s="24"/>
      <c r="E229" s="24"/>
      <c r="F229" s="29"/>
      <c r="G229" s="24"/>
      <c r="H229" s="24"/>
      <c r="I229" s="24"/>
      <c r="J229" s="24"/>
      <c r="K229" s="24"/>
      <c r="L229" s="26" t="str">
        <f aca="false">IF($B229="","",IFERROR(INDEX(ST_LOT,MATCH($B229,ST_ID,0)),""))</f>
        <v/>
      </c>
      <c r="M229" s="26" t="str">
        <f aca="false">IF($B229="","",IFERROR(INDEX(ST_STRAIT,MATCH($B229,ST_ID,0)),""))</f>
        <v/>
      </c>
      <c r="N229" s="26" t="str">
        <f aca="false">IF($B229="","",IF($E229="",$L229,$E229))</f>
        <v/>
      </c>
      <c r="O229" s="26" t="str">
        <f aca="false">IF($J229="","",IFERROR(INDEX(EMPL_CLASSE,MATCH($J229,EMPL_KEY,0)),"?"))</f>
        <v/>
      </c>
      <c r="P229" s="28" t="n">
        <f aca="false">IF($B229="",0,IF(OR(ISNA(MATCH($B229,ST_ID,0)),NOT(ISNUMBER($F229)),$F229&lt;=0,$J229="",$N229=""),0,1))</f>
        <v>0</v>
      </c>
      <c r="Q229" s="27" t="n">
        <f aca="false">IF($P229=0,0,$F229)</f>
        <v>0</v>
      </c>
      <c r="R229" s="26" t="str">
        <f aca="false">IF($B229="","",IFERROR(INDEX(ST_STATUT,MATCH($B229,ST_ID,0)),""))</f>
        <v/>
      </c>
      <c r="S229" s="26" t="str">
        <f aca="false">IF($B229="","",IF($P229=0,"DONNEES MANQUANTES",IF(OR($R229="DONNEES MANQUANTES",$R229="STOCK INSUFFISANT",$R229="EMPLACEMENT INCOHERENT",$R229="BLOQUE"),"BLOQUE","OK")))</f>
        <v/>
      </c>
      <c r="T229" s="28" t="n">
        <f aca="false">IF($S229="OK",1,0)</f>
        <v>0</v>
      </c>
      <c r="U229" s="26" t="str">
        <f aca="false">IF($B229="","",IF($P229=0,"A COMPLETER : "&amp;IF(ISNA(MATCH($B229,ST_ID,0)),"ID ST valide; ","")&amp;IF(OR(NOT(ISNUMBER($F229)),$F229&lt;=0),"QUANTITE &gt; 0; ","")&amp;IF($J229="","EMPL. DESTINATION; ",""),IF($S229="BLOQUE","Envoi parent en anomalie ("&amp;$R229&amp;") : corriger l'onglet SOUS_TRAITANCE.",IF(AND($E229&lt;&gt;"",ISNA(MATCH($E229,LOT_KEY,0))),"Creer la fiche du lot resultat dans l'onglet LOTS.",""))))</f>
        <v/>
      </c>
      <c r="V229" s="31" t="str">
        <f aca="false">IF($B229="","",IF($C229&lt;&gt;"",$C229,IFERROR(INDEX(ST_DATERET,MATCH($B229,ST_ID,0)),"")))</f>
        <v/>
      </c>
      <c r="W229" s="26" t="str">
        <f aca="false">IF($P229=0,"",IF($L229=R_LOT,IF($N229&lt;&gt;R_LOT,$N229,""),IF($N229=R_LOT,$L229,"")))</f>
        <v/>
      </c>
      <c r="X229" s="26" t="str">
        <f aca="false">IF($W229="","",IF(COUNTIF($W$4:$W228,$W229)&gt;0,"",COUNT($X$4:$X228)+1))</f>
        <v/>
      </c>
      <c r="Y229" s="26" t="n">
        <f aca="false">IF($P229=0,0,IF(OR($L229=R_LOT,$N229=R_LOT),1,0))</f>
        <v>0</v>
      </c>
      <c r="Z229" s="26" t="str">
        <f aca="false">IF($Y229=0,"",COUNTIF($Y$5:$Y229,1))</f>
        <v/>
      </c>
    </row>
    <row r="230" customFormat="false" ht="15" hidden="false" customHeight="false" outlineLevel="0" collapsed="false">
      <c r="A230" s="26" t="str">
        <f aca="false">IF($B230="","","RES-"&amp;TEXT(ROW()-4,"000"))</f>
        <v/>
      </c>
      <c r="B230" s="24"/>
      <c r="C230" s="25"/>
      <c r="D230" s="24"/>
      <c r="E230" s="24"/>
      <c r="F230" s="29"/>
      <c r="G230" s="24"/>
      <c r="H230" s="24"/>
      <c r="I230" s="24"/>
      <c r="J230" s="24"/>
      <c r="K230" s="24"/>
      <c r="L230" s="26" t="str">
        <f aca="false">IF($B230="","",IFERROR(INDEX(ST_LOT,MATCH($B230,ST_ID,0)),""))</f>
        <v/>
      </c>
      <c r="M230" s="26" t="str">
        <f aca="false">IF($B230="","",IFERROR(INDEX(ST_STRAIT,MATCH($B230,ST_ID,0)),""))</f>
        <v/>
      </c>
      <c r="N230" s="26" t="str">
        <f aca="false">IF($B230="","",IF($E230="",$L230,$E230))</f>
        <v/>
      </c>
      <c r="O230" s="26" t="str">
        <f aca="false">IF($J230="","",IFERROR(INDEX(EMPL_CLASSE,MATCH($J230,EMPL_KEY,0)),"?"))</f>
        <v/>
      </c>
      <c r="P230" s="28" t="n">
        <f aca="false">IF($B230="",0,IF(OR(ISNA(MATCH($B230,ST_ID,0)),NOT(ISNUMBER($F230)),$F230&lt;=0,$J230="",$N230=""),0,1))</f>
        <v>0</v>
      </c>
      <c r="Q230" s="27" t="n">
        <f aca="false">IF($P230=0,0,$F230)</f>
        <v>0</v>
      </c>
      <c r="R230" s="26" t="str">
        <f aca="false">IF($B230="","",IFERROR(INDEX(ST_STATUT,MATCH($B230,ST_ID,0)),""))</f>
        <v/>
      </c>
      <c r="S230" s="26" t="str">
        <f aca="false">IF($B230="","",IF($P230=0,"DONNEES MANQUANTES",IF(OR($R230="DONNEES MANQUANTES",$R230="STOCK INSUFFISANT",$R230="EMPLACEMENT INCOHERENT",$R230="BLOQUE"),"BLOQUE","OK")))</f>
        <v/>
      </c>
      <c r="T230" s="28" t="n">
        <f aca="false">IF($S230="OK",1,0)</f>
        <v>0</v>
      </c>
      <c r="U230" s="26" t="str">
        <f aca="false">IF($B230="","",IF($P230=0,"A COMPLETER : "&amp;IF(ISNA(MATCH($B230,ST_ID,0)),"ID ST valide; ","")&amp;IF(OR(NOT(ISNUMBER($F230)),$F230&lt;=0),"QUANTITE &gt; 0; ","")&amp;IF($J230="","EMPL. DESTINATION; ",""),IF($S230="BLOQUE","Envoi parent en anomalie ("&amp;$R230&amp;") : corriger l'onglet SOUS_TRAITANCE.",IF(AND($E230&lt;&gt;"",ISNA(MATCH($E230,LOT_KEY,0))),"Creer la fiche du lot resultat dans l'onglet LOTS.",""))))</f>
        <v/>
      </c>
      <c r="V230" s="31" t="str">
        <f aca="false">IF($B230="","",IF($C230&lt;&gt;"",$C230,IFERROR(INDEX(ST_DATERET,MATCH($B230,ST_ID,0)),"")))</f>
        <v/>
      </c>
      <c r="W230" s="26" t="str">
        <f aca="false">IF($P230=0,"",IF($L230=R_LOT,IF($N230&lt;&gt;R_LOT,$N230,""),IF($N230=R_LOT,$L230,"")))</f>
        <v/>
      </c>
      <c r="X230" s="26" t="str">
        <f aca="false">IF($W230="","",IF(COUNTIF($W$4:$W229,$W230)&gt;0,"",COUNT($X$4:$X229)+1))</f>
        <v/>
      </c>
      <c r="Y230" s="26" t="n">
        <f aca="false">IF($P230=0,0,IF(OR($L230=R_LOT,$N230=R_LOT),1,0))</f>
        <v>0</v>
      </c>
      <c r="Z230" s="26" t="str">
        <f aca="false">IF($Y230=0,"",COUNTIF($Y$5:$Y230,1))</f>
        <v/>
      </c>
    </row>
    <row r="231" customFormat="false" ht="15" hidden="false" customHeight="false" outlineLevel="0" collapsed="false">
      <c r="A231" s="26" t="str">
        <f aca="false">IF($B231="","","RES-"&amp;TEXT(ROW()-4,"000"))</f>
        <v/>
      </c>
      <c r="B231" s="24"/>
      <c r="C231" s="25"/>
      <c r="D231" s="24"/>
      <c r="E231" s="24"/>
      <c r="F231" s="29"/>
      <c r="G231" s="24"/>
      <c r="H231" s="24"/>
      <c r="I231" s="24"/>
      <c r="J231" s="24"/>
      <c r="K231" s="24"/>
      <c r="L231" s="26" t="str">
        <f aca="false">IF($B231="","",IFERROR(INDEX(ST_LOT,MATCH($B231,ST_ID,0)),""))</f>
        <v/>
      </c>
      <c r="M231" s="26" t="str">
        <f aca="false">IF($B231="","",IFERROR(INDEX(ST_STRAIT,MATCH($B231,ST_ID,0)),""))</f>
        <v/>
      </c>
      <c r="N231" s="26" t="str">
        <f aca="false">IF($B231="","",IF($E231="",$L231,$E231))</f>
        <v/>
      </c>
      <c r="O231" s="26" t="str">
        <f aca="false">IF($J231="","",IFERROR(INDEX(EMPL_CLASSE,MATCH($J231,EMPL_KEY,0)),"?"))</f>
        <v/>
      </c>
      <c r="P231" s="28" t="n">
        <f aca="false">IF($B231="",0,IF(OR(ISNA(MATCH($B231,ST_ID,0)),NOT(ISNUMBER($F231)),$F231&lt;=0,$J231="",$N231=""),0,1))</f>
        <v>0</v>
      </c>
      <c r="Q231" s="27" t="n">
        <f aca="false">IF($P231=0,0,$F231)</f>
        <v>0</v>
      </c>
      <c r="R231" s="26" t="str">
        <f aca="false">IF($B231="","",IFERROR(INDEX(ST_STATUT,MATCH($B231,ST_ID,0)),""))</f>
        <v/>
      </c>
      <c r="S231" s="26" t="str">
        <f aca="false">IF($B231="","",IF($P231=0,"DONNEES MANQUANTES",IF(OR($R231="DONNEES MANQUANTES",$R231="STOCK INSUFFISANT",$R231="EMPLACEMENT INCOHERENT",$R231="BLOQUE"),"BLOQUE","OK")))</f>
        <v/>
      </c>
      <c r="T231" s="28" t="n">
        <f aca="false">IF($S231="OK",1,0)</f>
        <v>0</v>
      </c>
      <c r="U231" s="26" t="str">
        <f aca="false">IF($B231="","",IF($P231=0,"A COMPLETER : "&amp;IF(ISNA(MATCH($B231,ST_ID,0)),"ID ST valide; ","")&amp;IF(OR(NOT(ISNUMBER($F231)),$F231&lt;=0),"QUANTITE &gt; 0; ","")&amp;IF($J231="","EMPL. DESTINATION; ",""),IF($S231="BLOQUE","Envoi parent en anomalie ("&amp;$R231&amp;") : corriger l'onglet SOUS_TRAITANCE.",IF(AND($E231&lt;&gt;"",ISNA(MATCH($E231,LOT_KEY,0))),"Creer la fiche du lot resultat dans l'onglet LOTS.",""))))</f>
        <v/>
      </c>
      <c r="V231" s="31" t="str">
        <f aca="false">IF($B231="","",IF($C231&lt;&gt;"",$C231,IFERROR(INDEX(ST_DATERET,MATCH($B231,ST_ID,0)),"")))</f>
        <v/>
      </c>
      <c r="W231" s="26" t="str">
        <f aca="false">IF($P231=0,"",IF($L231=R_LOT,IF($N231&lt;&gt;R_LOT,$N231,""),IF($N231=R_LOT,$L231,"")))</f>
        <v/>
      </c>
      <c r="X231" s="26" t="str">
        <f aca="false">IF($W231="","",IF(COUNTIF($W$4:$W230,$W231)&gt;0,"",COUNT($X$4:$X230)+1))</f>
        <v/>
      </c>
      <c r="Y231" s="26" t="n">
        <f aca="false">IF($P231=0,0,IF(OR($L231=R_LOT,$N231=R_LOT),1,0))</f>
        <v>0</v>
      </c>
      <c r="Z231" s="26" t="str">
        <f aca="false">IF($Y231=0,"",COUNTIF($Y$5:$Y231,1))</f>
        <v/>
      </c>
    </row>
    <row r="232" customFormat="false" ht="15" hidden="false" customHeight="false" outlineLevel="0" collapsed="false">
      <c r="A232" s="26" t="str">
        <f aca="false">IF($B232="","","RES-"&amp;TEXT(ROW()-4,"000"))</f>
        <v/>
      </c>
      <c r="B232" s="24"/>
      <c r="C232" s="25"/>
      <c r="D232" s="24"/>
      <c r="E232" s="24"/>
      <c r="F232" s="29"/>
      <c r="G232" s="24"/>
      <c r="H232" s="24"/>
      <c r="I232" s="24"/>
      <c r="J232" s="24"/>
      <c r="K232" s="24"/>
      <c r="L232" s="26" t="str">
        <f aca="false">IF($B232="","",IFERROR(INDEX(ST_LOT,MATCH($B232,ST_ID,0)),""))</f>
        <v/>
      </c>
      <c r="M232" s="26" t="str">
        <f aca="false">IF($B232="","",IFERROR(INDEX(ST_STRAIT,MATCH($B232,ST_ID,0)),""))</f>
        <v/>
      </c>
      <c r="N232" s="26" t="str">
        <f aca="false">IF($B232="","",IF($E232="",$L232,$E232))</f>
        <v/>
      </c>
      <c r="O232" s="26" t="str">
        <f aca="false">IF($J232="","",IFERROR(INDEX(EMPL_CLASSE,MATCH($J232,EMPL_KEY,0)),"?"))</f>
        <v/>
      </c>
      <c r="P232" s="28" t="n">
        <f aca="false">IF($B232="",0,IF(OR(ISNA(MATCH($B232,ST_ID,0)),NOT(ISNUMBER($F232)),$F232&lt;=0,$J232="",$N232=""),0,1))</f>
        <v>0</v>
      </c>
      <c r="Q232" s="27" t="n">
        <f aca="false">IF($P232=0,0,$F232)</f>
        <v>0</v>
      </c>
      <c r="R232" s="26" t="str">
        <f aca="false">IF($B232="","",IFERROR(INDEX(ST_STATUT,MATCH($B232,ST_ID,0)),""))</f>
        <v/>
      </c>
      <c r="S232" s="26" t="str">
        <f aca="false">IF($B232="","",IF($P232=0,"DONNEES MANQUANTES",IF(OR($R232="DONNEES MANQUANTES",$R232="STOCK INSUFFISANT",$R232="EMPLACEMENT INCOHERENT",$R232="BLOQUE"),"BLOQUE","OK")))</f>
        <v/>
      </c>
      <c r="T232" s="28" t="n">
        <f aca="false">IF($S232="OK",1,0)</f>
        <v>0</v>
      </c>
      <c r="U232" s="26" t="str">
        <f aca="false">IF($B232="","",IF($P232=0,"A COMPLETER : "&amp;IF(ISNA(MATCH($B232,ST_ID,0)),"ID ST valide; ","")&amp;IF(OR(NOT(ISNUMBER($F232)),$F232&lt;=0),"QUANTITE &gt; 0; ","")&amp;IF($J232="","EMPL. DESTINATION; ",""),IF($S232="BLOQUE","Envoi parent en anomalie ("&amp;$R232&amp;") : corriger l'onglet SOUS_TRAITANCE.",IF(AND($E232&lt;&gt;"",ISNA(MATCH($E232,LOT_KEY,0))),"Creer la fiche du lot resultat dans l'onglet LOTS.",""))))</f>
        <v/>
      </c>
      <c r="V232" s="31" t="str">
        <f aca="false">IF($B232="","",IF($C232&lt;&gt;"",$C232,IFERROR(INDEX(ST_DATERET,MATCH($B232,ST_ID,0)),"")))</f>
        <v/>
      </c>
      <c r="W232" s="26" t="str">
        <f aca="false">IF($P232=0,"",IF($L232=R_LOT,IF($N232&lt;&gt;R_LOT,$N232,""),IF($N232=R_LOT,$L232,"")))</f>
        <v/>
      </c>
      <c r="X232" s="26" t="str">
        <f aca="false">IF($W232="","",IF(COUNTIF($W$4:$W231,$W232)&gt;0,"",COUNT($X$4:$X231)+1))</f>
        <v/>
      </c>
      <c r="Y232" s="26" t="n">
        <f aca="false">IF($P232=0,0,IF(OR($L232=R_LOT,$N232=R_LOT),1,0))</f>
        <v>0</v>
      </c>
      <c r="Z232" s="26" t="str">
        <f aca="false">IF($Y232=0,"",COUNTIF($Y$5:$Y232,1))</f>
        <v/>
      </c>
    </row>
    <row r="233" customFormat="false" ht="15" hidden="false" customHeight="false" outlineLevel="0" collapsed="false">
      <c r="A233" s="26" t="str">
        <f aca="false">IF($B233="","","RES-"&amp;TEXT(ROW()-4,"000"))</f>
        <v/>
      </c>
      <c r="B233" s="24"/>
      <c r="C233" s="25"/>
      <c r="D233" s="24"/>
      <c r="E233" s="24"/>
      <c r="F233" s="29"/>
      <c r="G233" s="24"/>
      <c r="H233" s="24"/>
      <c r="I233" s="24"/>
      <c r="J233" s="24"/>
      <c r="K233" s="24"/>
      <c r="L233" s="26" t="str">
        <f aca="false">IF($B233="","",IFERROR(INDEX(ST_LOT,MATCH($B233,ST_ID,0)),""))</f>
        <v/>
      </c>
      <c r="M233" s="26" t="str">
        <f aca="false">IF($B233="","",IFERROR(INDEX(ST_STRAIT,MATCH($B233,ST_ID,0)),""))</f>
        <v/>
      </c>
      <c r="N233" s="26" t="str">
        <f aca="false">IF($B233="","",IF($E233="",$L233,$E233))</f>
        <v/>
      </c>
      <c r="O233" s="26" t="str">
        <f aca="false">IF($J233="","",IFERROR(INDEX(EMPL_CLASSE,MATCH($J233,EMPL_KEY,0)),"?"))</f>
        <v/>
      </c>
      <c r="P233" s="28" t="n">
        <f aca="false">IF($B233="",0,IF(OR(ISNA(MATCH($B233,ST_ID,0)),NOT(ISNUMBER($F233)),$F233&lt;=0,$J233="",$N233=""),0,1))</f>
        <v>0</v>
      </c>
      <c r="Q233" s="27" t="n">
        <f aca="false">IF($P233=0,0,$F233)</f>
        <v>0</v>
      </c>
      <c r="R233" s="26" t="str">
        <f aca="false">IF($B233="","",IFERROR(INDEX(ST_STATUT,MATCH($B233,ST_ID,0)),""))</f>
        <v/>
      </c>
      <c r="S233" s="26" t="str">
        <f aca="false">IF($B233="","",IF($P233=0,"DONNEES MANQUANTES",IF(OR($R233="DONNEES MANQUANTES",$R233="STOCK INSUFFISANT",$R233="EMPLACEMENT INCOHERENT",$R233="BLOQUE"),"BLOQUE","OK")))</f>
        <v/>
      </c>
      <c r="T233" s="28" t="n">
        <f aca="false">IF($S233="OK",1,0)</f>
        <v>0</v>
      </c>
      <c r="U233" s="26" t="str">
        <f aca="false">IF($B233="","",IF($P233=0,"A COMPLETER : "&amp;IF(ISNA(MATCH($B233,ST_ID,0)),"ID ST valide; ","")&amp;IF(OR(NOT(ISNUMBER($F233)),$F233&lt;=0),"QUANTITE &gt; 0; ","")&amp;IF($J233="","EMPL. DESTINATION; ",""),IF($S233="BLOQUE","Envoi parent en anomalie ("&amp;$R233&amp;") : corriger l'onglet SOUS_TRAITANCE.",IF(AND($E233&lt;&gt;"",ISNA(MATCH($E233,LOT_KEY,0))),"Creer la fiche du lot resultat dans l'onglet LOTS.",""))))</f>
        <v/>
      </c>
      <c r="V233" s="31" t="str">
        <f aca="false">IF($B233="","",IF($C233&lt;&gt;"",$C233,IFERROR(INDEX(ST_DATERET,MATCH($B233,ST_ID,0)),"")))</f>
        <v/>
      </c>
      <c r="W233" s="26" t="str">
        <f aca="false">IF($P233=0,"",IF($L233=R_LOT,IF($N233&lt;&gt;R_LOT,$N233,""),IF($N233=R_LOT,$L233,"")))</f>
        <v/>
      </c>
      <c r="X233" s="26" t="str">
        <f aca="false">IF($W233="","",IF(COUNTIF($W$4:$W232,$W233)&gt;0,"",COUNT($X$4:$X232)+1))</f>
        <v/>
      </c>
      <c r="Y233" s="26" t="n">
        <f aca="false">IF($P233=0,0,IF(OR($L233=R_LOT,$N233=R_LOT),1,0))</f>
        <v>0</v>
      </c>
      <c r="Z233" s="26" t="str">
        <f aca="false">IF($Y233=0,"",COUNTIF($Y$5:$Y233,1))</f>
        <v/>
      </c>
    </row>
    <row r="234" customFormat="false" ht="15" hidden="false" customHeight="false" outlineLevel="0" collapsed="false">
      <c r="A234" s="26" t="str">
        <f aca="false">IF($B234="","","RES-"&amp;TEXT(ROW()-4,"000"))</f>
        <v/>
      </c>
      <c r="B234" s="24"/>
      <c r="C234" s="25"/>
      <c r="D234" s="24"/>
      <c r="E234" s="24"/>
      <c r="F234" s="29"/>
      <c r="G234" s="24"/>
      <c r="H234" s="24"/>
      <c r="I234" s="24"/>
      <c r="J234" s="24"/>
      <c r="K234" s="24"/>
      <c r="L234" s="26" t="str">
        <f aca="false">IF($B234="","",IFERROR(INDEX(ST_LOT,MATCH($B234,ST_ID,0)),""))</f>
        <v/>
      </c>
      <c r="M234" s="26" t="str">
        <f aca="false">IF($B234="","",IFERROR(INDEX(ST_STRAIT,MATCH($B234,ST_ID,0)),""))</f>
        <v/>
      </c>
      <c r="N234" s="26" t="str">
        <f aca="false">IF($B234="","",IF($E234="",$L234,$E234))</f>
        <v/>
      </c>
      <c r="O234" s="26" t="str">
        <f aca="false">IF($J234="","",IFERROR(INDEX(EMPL_CLASSE,MATCH($J234,EMPL_KEY,0)),"?"))</f>
        <v/>
      </c>
      <c r="P234" s="28" t="n">
        <f aca="false">IF($B234="",0,IF(OR(ISNA(MATCH($B234,ST_ID,0)),NOT(ISNUMBER($F234)),$F234&lt;=0,$J234="",$N234=""),0,1))</f>
        <v>0</v>
      </c>
      <c r="Q234" s="27" t="n">
        <f aca="false">IF($P234=0,0,$F234)</f>
        <v>0</v>
      </c>
      <c r="R234" s="26" t="str">
        <f aca="false">IF($B234="","",IFERROR(INDEX(ST_STATUT,MATCH($B234,ST_ID,0)),""))</f>
        <v/>
      </c>
      <c r="S234" s="26" t="str">
        <f aca="false">IF($B234="","",IF($P234=0,"DONNEES MANQUANTES",IF(OR($R234="DONNEES MANQUANTES",$R234="STOCK INSUFFISANT",$R234="EMPLACEMENT INCOHERENT",$R234="BLOQUE"),"BLOQUE","OK")))</f>
        <v/>
      </c>
      <c r="T234" s="28" t="n">
        <f aca="false">IF($S234="OK",1,0)</f>
        <v>0</v>
      </c>
      <c r="U234" s="26" t="str">
        <f aca="false">IF($B234="","",IF($P234=0,"A COMPLETER : "&amp;IF(ISNA(MATCH($B234,ST_ID,0)),"ID ST valide; ","")&amp;IF(OR(NOT(ISNUMBER($F234)),$F234&lt;=0),"QUANTITE &gt; 0; ","")&amp;IF($J234="","EMPL. DESTINATION; ",""),IF($S234="BLOQUE","Envoi parent en anomalie ("&amp;$R234&amp;") : corriger l'onglet SOUS_TRAITANCE.",IF(AND($E234&lt;&gt;"",ISNA(MATCH($E234,LOT_KEY,0))),"Creer la fiche du lot resultat dans l'onglet LOTS.",""))))</f>
        <v/>
      </c>
      <c r="V234" s="31" t="str">
        <f aca="false">IF($B234="","",IF($C234&lt;&gt;"",$C234,IFERROR(INDEX(ST_DATERET,MATCH($B234,ST_ID,0)),"")))</f>
        <v/>
      </c>
      <c r="W234" s="26" t="str">
        <f aca="false">IF($P234=0,"",IF($L234=R_LOT,IF($N234&lt;&gt;R_LOT,$N234,""),IF($N234=R_LOT,$L234,"")))</f>
        <v/>
      </c>
      <c r="X234" s="26" t="str">
        <f aca="false">IF($W234="","",IF(COUNTIF($W$4:$W233,$W234)&gt;0,"",COUNT($X$4:$X233)+1))</f>
        <v/>
      </c>
      <c r="Y234" s="26" t="n">
        <f aca="false">IF($P234=0,0,IF(OR($L234=R_LOT,$N234=R_LOT),1,0))</f>
        <v>0</v>
      </c>
      <c r="Z234" s="26" t="str">
        <f aca="false">IF($Y234=0,"",COUNTIF($Y$5:$Y234,1))</f>
        <v/>
      </c>
    </row>
    <row r="235" customFormat="false" ht="15" hidden="false" customHeight="false" outlineLevel="0" collapsed="false">
      <c r="A235" s="26" t="str">
        <f aca="false">IF($B235="","","RES-"&amp;TEXT(ROW()-4,"000"))</f>
        <v/>
      </c>
      <c r="B235" s="24"/>
      <c r="C235" s="25"/>
      <c r="D235" s="24"/>
      <c r="E235" s="24"/>
      <c r="F235" s="29"/>
      <c r="G235" s="24"/>
      <c r="H235" s="24"/>
      <c r="I235" s="24"/>
      <c r="J235" s="24"/>
      <c r="K235" s="24"/>
      <c r="L235" s="26" t="str">
        <f aca="false">IF($B235="","",IFERROR(INDEX(ST_LOT,MATCH($B235,ST_ID,0)),""))</f>
        <v/>
      </c>
      <c r="M235" s="26" t="str">
        <f aca="false">IF($B235="","",IFERROR(INDEX(ST_STRAIT,MATCH($B235,ST_ID,0)),""))</f>
        <v/>
      </c>
      <c r="N235" s="26" t="str">
        <f aca="false">IF($B235="","",IF($E235="",$L235,$E235))</f>
        <v/>
      </c>
      <c r="O235" s="26" t="str">
        <f aca="false">IF($J235="","",IFERROR(INDEX(EMPL_CLASSE,MATCH($J235,EMPL_KEY,0)),"?"))</f>
        <v/>
      </c>
      <c r="P235" s="28" t="n">
        <f aca="false">IF($B235="",0,IF(OR(ISNA(MATCH($B235,ST_ID,0)),NOT(ISNUMBER($F235)),$F235&lt;=0,$J235="",$N235=""),0,1))</f>
        <v>0</v>
      </c>
      <c r="Q235" s="27" t="n">
        <f aca="false">IF($P235=0,0,$F235)</f>
        <v>0</v>
      </c>
      <c r="R235" s="26" t="str">
        <f aca="false">IF($B235="","",IFERROR(INDEX(ST_STATUT,MATCH($B235,ST_ID,0)),""))</f>
        <v/>
      </c>
      <c r="S235" s="26" t="str">
        <f aca="false">IF($B235="","",IF($P235=0,"DONNEES MANQUANTES",IF(OR($R235="DONNEES MANQUANTES",$R235="STOCK INSUFFISANT",$R235="EMPLACEMENT INCOHERENT",$R235="BLOQUE"),"BLOQUE","OK")))</f>
        <v/>
      </c>
      <c r="T235" s="28" t="n">
        <f aca="false">IF($S235="OK",1,0)</f>
        <v>0</v>
      </c>
      <c r="U235" s="26" t="str">
        <f aca="false">IF($B235="","",IF($P235=0,"A COMPLETER : "&amp;IF(ISNA(MATCH($B235,ST_ID,0)),"ID ST valide; ","")&amp;IF(OR(NOT(ISNUMBER($F235)),$F235&lt;=0),"QUANTITE &gt; 0; ","")&amp;IF($J235="","EMPL. DESTINATION; ",""),IF($S235="BLOQUE","Envoi parent en anomalie ("&amp;$R235&amp;") : corriger l'onglet SOUS_TRAITANCE.",IF(AND($E235&lt;&gt;"",ISNA(MATCH($E235,LOT_KEY,0))),"Creer la fiche du lot resultat dans l'onglet LOTS.",""))))</f>
        <v/>
      </c>
      <c r="V235" s="31" t="str">
        <f aca="false">IF($B235="","",IF($C235&lt;&gt;"",$C235,IFERROR(INDEX(ST_DATERET,MATCH($B235,ST_ID,0)),"")))</f>
        <v/>
      </c>
      <c r="W235" s="26" t="str">
        <f aca="false">IF($P235=0,"",IF($L235=R_LOT,IF($N235&lt;&gt;R_LOT,$N235,""),IF($N235=R_LOT,$L235,"")))</f>
        <v/>
      </c>
      <c r="X235" s="26" t="str">
        <f aca="false">IF($W235="","",IF(COUNTIF($W$4:$W234,$W235)&gt;0,"",COUNT($X$4:$X234)+1))</f>
        <v/>
      </c>
      <c r="Y235" s="26" t="n">
        <f aca="false">IF($P235=0,0,IF(OR($L235=R_LOT,$N235=R_LOT),1,0))</f>
        <v>0</v>
      </c>
      <c r="Z235" s="26" t="str">
        <f aca="false">IF($Y235=0,"",COUNTIF($Y$5:$Y235,1))</f>
        <v/>
      </c>
    </row>
    <row r="236" customFormat="false" ht="15" hidden="false" customHeight="false" outlineLevel="0" collapsed="false">
      <c r="A236" s="26" t="str">
        <f aca="false">IF($B236="","","RES-"&amp;TEXT(ROW()-4,"000"))</f>
        <v/>
      </c>
      <c r="B236" s="24"/>
      <c r="C236" s="25"/>
      <c r="D236" s="24"/>
      <c r="E236" s="24"/>
      <c r="F236" s="29"/>
      <c r="G236" s="24"/>
      <c r="H236" s="24"/>
      <c r="I236" s="24"/>
      <c r="J236" s="24"/>
      <c r="K236" s="24"/>
      <c r="L236" s="26" t="str">
        <f aca="false">IF($B236="","",IFERROR(INDEX(ST_LOT,MATCH($B236,ST_ID,0)),""))</f>
        <v/>
      </c>
      <c r="M236" s="26" t="str">
        <f aca="false">IF($B236="","",IFERROR(INDEX(ST_STRAIT,MATCH($B236,ST_ID,0)),""))</f>
        <v/>
      </c>
      <c r="N236" s="26" t="str">
        <f aca="false">IF($B236="","",IF($E236="",$L236,$E236))</f>
        <v/>
      </c>
      <c r="O236" s="26" t="str">
        <f aca="false">IF($J236="","",IFERROR(INDEX(EMPL_CLASSE,MATCH($J236,EMPL_KEY,0)),"?"))</f>
        <v/>
      </c>
      <c r="P236" s="28" t="n">
        <f aca="false">IF($B236="",0,IF(OR(ISNA(MATCH($B236,ST_ID,0)),NOT(ISNUMBER($F236)),$F236&lt;=0,$J236="",$N236=""),0,1))</f>
        <v>0</v>
      </c>
      <c r="Q236" s="27" t="n">
        <f aca="false">IF($P236=0,0,$F236)</f>
        <v>0</v>
      </c>
      <c r="R236" s="26" t="str">
        <f aca="false">IF($B236="","",IFERROR(INDEX(ST_STATUT,MATCH($B236,ST_ID,0)),""))</f>
        <v/>
      </c>
      <c r="S236" s="26" t="str">
        <f aca="false">IF($B236="","",IF($P236=0,"DONNEES MANQUANTES",IF(OR($R236="DONNEES MANQUANTES",$R236="STOCK INSUFFISANT",$R236="EMPLACEMENT INCOHERENT",$R236="BLOQUE"),"BLOQUE","OK")))</f>
        <v/>
      </c>
      <c r="T236" s="28" t="n">
        <f aca="false">IF($S236="OK",1,0)</f>
        <v>0</v>
      </c>
      <c r="U236" s="26" t="str">
        <f aca="false">IF($B236="","",IF($P236=0,"A COMPLETER : "&amp;IF(ISNA(MATCH($B236,ST_ID,0)),"ID ST valide; ","")&amp;IF(OR(NOT(ISNUMBER($F236)),$F236&lt;=0),"QUANTITE &gt; 0; ","")&amp;IF($J236="","EMPL. DESTINATION; ",""),IF($S236="BLOQUE","Envoi parent en anomalie ("&amp;$R236&amp;") : corriger l'onglet SOUS_TRAITANCE.",IF(AND($E236&lt;&gt;"",ISNA(MATCH($E236,LOT_KEY,0))),"Creer la fiche du lot resultat dans l'onglet LOTS.",""))))</f>
        <v/>
      </c>
      <c r="V236" s="31" t="str">
        <f aca="false">IF($B236="","",IF($C236&lt;&gt;"",$C236,IFERROR(INDEX(ST_DATERET,MATCH($B236,ST_ID,0)),"")))</f>
        <v/>
      </c>
      <c r="W236" s="26" t="str">
        <f aca="false">IF($P236=0,"",IF($L236=R_LOT,IF($N236&lt;&gt;R_LOT,$N236,""),IF($N236=R_LOT,$L236,"")))</f>
        <v/>
      </c>
      <c r="X236" s="26" t="str">
        <f aca="false">IF($W236="","",IF(COUNTIF($W$4:$W235,$W236)&gt;0,"",COUNT($X$4:$X235)+1))</f>
        <v/>
      </c>
      <c r="Y236" s="26" t="n">
        <f aca="false">IF($P236=0,0,IF(OR($L236=R_LOT,$N236=R_LOT),1,0))</f>
        <v>0</v>
      </c>
      <c r="Z236" s="26" t="str">
        <f aca="false">IF($Y236=0,"",COUNTIF($Y$5:$Y236,1))</f>
        <v/>
      </c>
    </row>
    <row r="237" customFormat="false" ht="15" hidden="false" customHeight="false" outlineLevel="0" collapsed="false">
      <c r="A237" s="26" t="str">
        <f aca="false">IF($B237="","","RES-"&amp;TEXT(ROW()-4,"000"))</f>
        <v/>
      </c>
      <c r="B237" s="24"/>
      <c r="C237" s="25"/>
      <c r="D237" s="24"/>
      <c r="E237" s="24"/>
      <c r="F237" s="29"/>
      <c r="G237" s="24"/>
      <c r="H237" s="24"/>
      <c r="I237" s="24"/>
      <c r="J237" s="24"/>
      <c r="K237" s="24"/>
      <c r="L237" s="26" t="str">
        <f aca="false">IF($B237="","",IFERROR(INDEX(ST_LOT,MATCH($B237,ST_ID,0)),""))</f>
        <v/>
      </c>
      <c r="M237" s="26" t="str">
        <f aca="false">IF($B237="","",IFERROR(INDEX(ST_STRAIT,MATCH($B237,ST_ID,0)),""))</f>
        <v/>
      </c>
      <c r="N237" s="26" t="str">
        <f aca="false">IF($B237="","",IF($E237="",$L237,$E237))</f>
        <v/>
      </c>
      <c r="O237" s="26" t="str">
        <f aca="false">IF($J237="","",IFERROR(INDEX(EMPL_CLASSE,MATCH($J237,EMPL_KEY,0)),"?"))</f>
        <v/>
      </c>
      <c r="P237" s="28" t="n">
        <f aca="false">IF($B237="",0,IF(OR(ISNA(MATCH($B237,ST_ID,0)),NOT(ISNUMBER($F237)),$F237&lt;=0,$J237="",$N237=""),0,1))</f>
        <v>0</v>
      </c>
      <c r="Q237" s="27" t="n">
        <f aca="false">IF($P237=0,0,$F237)</f>
        <v>0</v>
      </c>
      <c r="R237" s="26" t="str">
        <f aca="false">IF($B237="","",IFERROR(INDEX(ST_STATUT,MATCH($B237,ST_ID,0)),""))</f>
        <v/>
      </c>
      <c r="S237" s="26" t="str">
        <f aca="false">IF($B237="","",IF($P237=0,"DONNEES MANQUANTES",IF(OR($R237="DONNEES MANQUANTES",$R237="STOCK INSUFFISANT",$R237="EMPLACEMENT INCOHERENT",$R237="BLOQUE"),"BLOQUE","OK")))</f>
        <v/>
      </c>
      <c r="T237" s="28" t="n">
        <f aca="false">IF($S237="OK",1,0)</f>
        <v>0</v>
      </c>
      <c r="U237" s="26" t="str">
        <f aca="false">IF($B237="","",IF($P237=0,"A COMPLETER : "&amp;IF(ISNA(MATCH($B237,ST_ID,0)),"ID ST valide; ","")&amp;IF(OR(NOT(ISNUMBER($F237)),$F237&lt;=0),"QUANTITE &gt; 0; ","")&amp;IF($J237="","EMPL. DESTINATION; ",""),IF($S237="BLOQUE","Envoi parent en anomalie ("&amp;$R237&amp;") : corriger l'onglet SOUS_TRAITANCE.",IF(AND($E237&lt;&gt;"",ISNA(MATCH($E237,LOT_KEY,0))),"Creer la fiche du lot resultat dans l'onglet LOTS.",""))))</f>
        <v/>
      </c>
      <c r="V237" s="31" t="str">
        <f aca="false">IF($B237="","",IF($C237&lt;&gt;"",$C237,IFERROR(INDEX(ST_DATERET,MATCH($B237,ST_ID,0)),"")))</f>
        <v/>
      </c>
      <c r="W237" s="26" t="str">
        <f aca="false">IF($P237=0,"",IF($L237=R_LOT,IF($N237&lt;&gt;R_LOT,$N237,""),IF($N237=R_LOT,$L237,"")))</f>
        <v/>
      </c>
      <c r="X237" s="26" t="str">
        <f aca="false">IF($W237="","",IF(COUNTIF($W$4:$W236,$W237)&gt;0,"",COUNT($X$4:$X236)+1))</f>
        <v/>
      </c>
      <c r="Y237" s="26" t="n">
        <f aca="false">IF($P237=0,0,IF(OR($L237=R_LOT,$N237=R_LOT),1,0))</f>
        <v>0</v>
      </c>
      <c r="Z237" s="26" t="str">
        <f aca="false">IF($Y237=0,"",COUNTIF($Y$5:$Y237,1))</f>
        <v/>
      </c>
    </row>
    <row r="238" customFormat="false" ht="15" hidden="false" customHeight="false" outlineLevel="0" collapsed="false">
      <c r="A238" s="26" t="str">
        <f aca="false">IF($B238="","","RES-"&amp;TEXT(ROW()-4,"000"))</f>
        <v/>
      </c>
      <c r="B238" s="24"/>
      <c r="C238" s="25"/>
      <c r="D238" s="24"/>
      <c r="E238" s="24"/>
      <c r="F238" s="29"/>
      <c r="G238" s="24"/>
      <c r="H238" s="24"/>
      <c r="I238" s="24"/>
      <c r="J238" s="24"/>
      <c r="K238" s="24"/>
      <c r="L238" s="26" t="str">
        <f aca="false">IF($B238="","",IFERROR(INDEX(ST_LOT,MATCH($B238,ST_ID,0)),""))</f>
        <v/>
      </c>
      <c r="M238" s="26" t="str">
        <f aca="false">IF($B238="","",IFERROR(INDEX(ST_STRAIT,MATCH($B238,ST_ID,0)),""))</f>
        <v/>
      </c>
      <c r="N238" s="26" t="str">
        <f aca="false">IF($B238="","",IF($E238="",$L238,$E238))</f>
        <v/>
      </c>
      <c r="O238" s="26" t="str">
        <f aca="false">IF($J238="","",IFERROR(INDEX(EMPL_CLASSE,MATCH($J238,EMPL_KEY,0)),"?"))</f>
        <v/>
      </c>
      <c r="P238" s="28" t="n">
        <f aca="false">IF($B238="",0,IF(OR(ISNA(MATCH($B238,ST_ID,0)),NOT(ISNUMBER($F238)),$F238&lt;=0,$J238="",$N238=""),0,1))</f>
        <v>0</v>
      </c>
      <c r="Q238" s="27" t="n">
        <f aca="false">IF($P238=0,0,$F238)</f>
        <v>0</v>
      </c>
      <c r="R238" s="26" t="str">
        <f aca="false">IF($B238="","",IFERROR(INDEX(ST_STATUT,MATCH($B238,ST_ID,0)),""))</f>
        <v/>
      </c>
      <c r="S238" s="26" t="str">
        <f aca="false">IF($B238="","",IF($P238=0,"DONNEES MANQUANTES",IF(OR($R238="DONNEES MANQUANTES",$R238="STOCK INSUFFISANT",$R238="EMPLACEMENT INCOHERENT",$R238="BLOQUE"),"BLOQUE","OK")))</f>
        <v/>
      </c>
      <c r="T238" s="28" t="n">
        <f aca="false">IF($S238="OK",1,0)</f>
        <v>0</v>
      </c>
      <c r="U238" s="26" t="str">
        <f aca="false">IF($B238="","",IF($P238=0,"A COMPLETER : "&amp;IF(ISNA(MATCH($B238,ST_ID,0)),"ID ST valide; ","")&amp;IF(OR(NOT(ISNUMBER($F238)),$F238&lt;=0),"QUANTITE &gt; 0; ","")&amp;IF($J238="","EMPL. DESTINATION; ",""),IF($S238="BLOQUE","Envoi parent en anomalie ("&amp;$R238&amp;") : corriger l'onglet SOUS_TRAITANCE.",IF(AND($E238&lt;&gt;"",ISNA(MATCH($E238,LOT_KEY,0))),"Creer la fiche du lot resultat dans l'onglet LOTS.",""))))</f>
        <v/>
      </c>
      <c r="V238" s="31" t="str">
        <f aca="false">IF($B238="","",IF($C238&lt;&gt;"",$C238,IFERROR(INDEX(ST_DATERET,MATCH($B238,ST_ID,0)),"")))</f>
        <v/>
      </c>
      <c r="W238" s="26" t="str">
        <f aca="false">IF($P238=0,"",IF($L238=R_LOT,IF($N238&lt;&gt;R_LOT,$N238,""),IF($N238=R_LOT,$L238,"")))</f>
        <v/>
      </c>
      <c r="X238" s="26" t="str">
        <f aca="false">IF($W238="","",IF(COUNTIF($W$4:$W237,$W238)&gt;0,"",COUNT($X$4:$X237)+1))</f>
        <v/>
      </c>
      <c r="Y238" s="26" t="n">
        <f aca="false">IF($P238=0,0,IF(OR($L238=R_LOT,$N238=R_LOT),1,0))</f>
        <v>0</v>
      </c>
      <c r="Z238" s="26" t="str">
        <f aca="false">IF($Y238=0,"",COUNTIF($Y$5:$Y238,1))</f>
        <v/>
      </c>
    </row>
    <row r="239" customFormat="false" ht="15" hidden="false" customHeight="false" outlineLevel="0" collapsed="false">
      <c r="A239" s="26" t="str">
        <f aca="false">IF($B239="","","RES-"&amp;TEXT(ROW()-4,"000"))</f>
        <v/>
      </c>
      <c r="B239" s="24"/>
      <c r="C239" s="25"/>
      <c r="D239" s="24"/>
      <c r="E239" s="24"/>
      <c r="F239" s="29"/>
      <c r="G239" s="24"/>
      <c r="H239" s="24"/>
      <c r="I239" s="24"/>
      <c r="J239" s="24"/>
      <c r="K239" s="24"/>
      <c r="L239" s="26" t="str">
        <f aca="false">IF($B239="","",IFERROR(INDEX(ST_LOT,MATCH($B239,ST_ID,0)),""))</f>
        <v/>
      </c>
      <c r="M239" s="26" t="str">
        <f aca="false">IF($B239="","",IFERROR(INDEX(ST_STRAIT,MATCH($B239,ST_ID,0)),""))</f>
        <v/>
      </c>
      <c r="N239" s="26" t="str">
        <f aca="false">IF($B239="","",IF($E239="",$L239,$E239))</f>
        <v/>
      </c>
      <c r="O239" s="26" t="str">
        <f aca="false">IF($J239="","",IFERROR(INDEX(EMPL_CLASSE,MATCH($J239,EMPL_KEY,0)),"?"))</f>
        <v/>
      </c>
      <c r="P239" s="28" t="n">
        <f aca="false">IF($B239="",0,IF(OR(ISNA(MATCH($B239,ST_ID,0)),NOT(ISNUMBER($F239)),$F239&lt;=0,$J239="",$N239=""),0,1))</f>
        <v>0</v>
      </c>
      <c r="Q239" s="27" t="n">
        <f aca="false">IF($P239=0,0,$F239)</f>
        <v>0</v>
      </c>
      <c r="R239" s="26" t="str">
        <f aca="false">IF($B239="","",IFERROR(INDEX(ST_STATUT,MATCH($B239,ST_ID,0)),""))</f>
        <v/>
      </c>
      <c r="S239" s="26" t="str">
        <f aca="false">IF($B239="","",IF($P239=0,"DONNEES MANQUANTES",IF(OR($R239="DONNEES MANQUANTES",$R239="STOCK INSUFFISANT",$R239="EMPLACEMENT INCOHERENT",$R239="BLOQUE"),"BLOQUE","OK")))</f>
        <v/>
      </c>
      <c r="T239" s="28" t="n">
        <f aca="false">IF($S239="OK",1,0)</f>
        <v>0</v>
      </c>
      <c r="U239" s="26" t="str">
        <f aca="false">IF($B239="","",IF($P239=0,"A COMPLETER : "&amp;IF(ISNA(MATCH($B239,ST_ID,0)),"ID ST valide; ","")&amp;IF(OR(NOT(ISNUMBER($F239)),$F239&lt;=0),"QUANTITE &gt; 0; ","")&amp;IF($J239="","EMPL. DESTINATION; ",""),IF($S239="BLOQUE","Envoi parent en anomalie ("&amp;$R239&amp;") : corriger l'onglet SOUS_TRAITANCE.",IF(AND($E239&lt;&gt;"",ISNA(MATCH($E239,LOT_KEY,0))),"Creer la fiche du lot resultat dans l'onglet LOTS.",""))))</f>
        <v/>
      </c>
      <c r="V239" s="31" t="str">
        <f aca="false">IF($B239="","",IF($C239&lt;&gt;"",$C239,IFERROR(INDEX(ST_DATERET,MATCH($B239,ST_ID,0)),"")))</f>
        <v/>
      </c>
      <c r="W239" s="26" t="str">
        <f aca="false">IF($P239=0,"",IF($L239=R_LOT,IF($N239&lt;&gt;R_LOT,$N239,""),IF($N239=R_LOT,$L239,"")))</f>
        <v/>
      </c>
      <c r="X239" s="26" t="str">
        <f aca="false">IF($W239="","",IF(COUNTIF($W$4:$W238,$W239)&gt;0,"",COUNT($X$4:$X238)+1))</f>
        <v/>
      </c>
      <c r="Y239" s="26" t="n">
        <f aca="false">IF($P239=0,0,IF(OR($L239=R_LOT,$N239=R_LOT),1,0))</f>
        <v>0</v>
      </c>
      <c r="Z239" s="26" t="str">
        <f aca="false">IF($Y239=0,"",COUNTIF($Y$5:$Y239,1))</f>
        <v/>
      </c>
    </row>
    <row r="240" customFormat="false" ht="15" hidden="false" customHeight="false" outlineLevel="0" collapsed="false">
      <c r="A240" s="26" t="str">
        <f aca="false">IF($B240="","","RES-"&amp;TEXT(ROW()-4,"000"))</f>
        <v/>
      </c>
      <c r="B240" s="24"/>
      <c r="C240" s="25"/>
      <c r="D240" s="24"/>
      <c r="E240" s="24"/>
      <c r="F240" s="29"/>
      <c r="G240" s="24"/>
      <c r="H240" s="24"/>
      <c r="I240" s="24"/>
      <c r="J240" s="24"/>
      <c r="K240" s="24"/>
      <c r="L240" s="26" t="str">
        <f aca="false">IF($B240="","",IFERROR(INDEX(ST_LOT,MATCH($B240,ST_ID,0)),""))</f>
        <v/>
      </c>
      <c r="M240" s="26" t="str">
        <f aca="false">IF($B240="","",IFERROR(INDEX(ST_STRAIT,MATCH($B240,ST_ID,0)),""))</f>
        <v/>
      </c>
      <c r="N240" s="26" t="str">
        <f aca="false">IF($B240="","",IF($E240="",$L240,$E240))</f>
        <v/>
      </c>
      <c r="O240" s="26" t="str">
        <f aca="false">IF($J240="","",IFERROR(INDEX(EMPL_CLASSE,MATCH($J240,EMPL_KEY,0)),"?"))</f>
        <v/>
      </c>
      <c r="P240" s="28" t="n">
        <f aca="false">IF($B240="",0,IF(OR(ISNA(MATCH($B240,ST_ID,0)),NOT(ISNUMBER($F240)),$F240&lt;=0,$J240="",$N240=""),0,1))</f>
        <v>0</v>
      </c>
      <c r="Q240" s="27" t="n">
        <f aca="false">IF($P240=0,0,$F240)</f>
        <v>0</v>
      </c>
      <c r="R240" s="26" t="str">
        <f aca="false">IF($B240="","",IFERROR(INDEX(ST_STATUT,MATCH($B240,ST_ID,0)),""))</f>
        <v/>
      </c>
      <c r="S240" s="26" t="str">
        <f aca="false">IF($B240="","",IF($P240=0,"DONNEES MANQUANTES",IF(OR($R240="DONNEES MANQUANTES",$R240="STOCK INSUFFISANT",$R240="EMPLACEMENT INCOHERENT",$R240="BLOQUE"),"BLOQUE","OK")))</f>
        <v/>
      </c>
      <c r="T240" s="28" t="n">
        <f aca="false">IF($S240="OK",1,0)</f>
        <v>0</v>
      </c>
      <c r="U240" s="26" t="str">
        <f aca="false">IF($B240="","",IF($P240=0,"A COMPLETER : "&amp;IF(ISNA(MATCH($B240,ST_ID,0)),"ID ST valide; ","")&amp;IF(OR(NOT(ISNUMBER($F240)),$F240&lt;=0),"QUANTITE &gt; 0; ","")&amp;IF($J240="","EMPL. DESTINATION; ",""),IF($S240="BLOQUE","Envoi parent en anomalie ("&amp;$R240&amp;") : corriger l'onglet SOUS_TRAITANCE.",IF(AND($E240&lt;&gt;"",ISNA(MATCH($E240,LOT_KEY,0))),"Creer la fiche du lot resultat dans l'onglet LOTS.",""))))</f>
        <v/>
      </c>
      <c r="V240" s="31" t="str">
        <f aca="false">IF($B240="","",IF($C240&lt;&gt;"",$C240,IFERROR(INDEX(ST_DATERET,MATCH($B240,ST_ID,0)),"")))</f>
        <v/>
      </c>
      <c r="W240" s="26" t="str">
        <f aca="false">IF($P240=0,"",IF($L240=R_LOT,IF($N240&lt;&gt;R_LOT,$N240,""),IF($N240=R_LOT,$L240,"")))</f>
        <v/>
      </c>
      <c r="X240" s="26" t="str">
        <f aca="false">IF($W240="","",IF(COUNTIF($W$4:$W239,$W240)&gt;0,"",COUNT($X$4:$X239)+1))</f>
        <v/>
      </c>
      <c r="Y240" s="26" t="n">
        <f aca="false">IF($P240=0,0,IF(OR($L240=R_LOT,$N240=R_LOT),1,0))</f>
        <v>0</v>
      </c>
      <c r="Z240" s="26" t="str">
        <f aca="false">IF($Y240=0,"",COUNTIF($Y$5:$Y240,1))</f>
        <v/>
      </c>
    </row>
    <row r="241" customFormat="false" ht="15" hidden="false" customHeight="false" outlineLevel="0" collapsed="false">
      <c r="A241" s="26" t="str">
        <f aca="false">IF($B241="","","RES-"&amp;TEXT(ROW()-4,"000"))</f>
        <v/>
      </c>
      <c r="B241" s="24"/>
      <c r="C241" s="25"/>
      <c r="D241" s="24"/>
      <c r="E241" s="24"/>
      <c r="F241" s="29"/>
      <c r="G241" s="24"/>
      <c r="H241" s="24"/>
      <c r="I241" s="24"/>
      <c r="J241" s="24"/>
      <c r="K241" s="24"/>
      <c r="L241" s="26" t="str">
        <f aca="false">IF($B241="","",IFERROR(INDEX(ST_LOT,MATCH($B241,ST_ID,0)),""))</f>
        <v/>
      </c>
      <c r="M241" s="26" t="str">
        <f aca="false">IF($B241="","",IFERROR(INDEX(ST_STRAIT,MATCH($B241,ST_ID,0)),""))</f>
        <v/>
      </c>
      <c r="N241" s="26" t="str">
        <f aca="false">IF($B241="","",IF($E241="",$L241,$E241))</f>
        <v/>
      </c>
      <c r="O241" s="26" t="str">
        <f aca="false">IF($J241="","",IFERROR(INDEX(EMPL_CLASSE,MATCH($J241,EMPL_KEY,0)),"?"))</f>
        <v/>
      </c>
      <c r="P241" s="28" t="n">
        <f aca="false">IF($B241="",0,IF(OR(ISNA(MATCH($B241,ST_ID,0)),NOT(ISNUMBER($F241)),$F241&lt;=0,$J241="",$N241=""),0,1))</f>
        <v>0</v>
      </c>
      <c r="Q241" s="27" t="n">
        <f aca="false">IF($P241=0,0,$F241)</f>
        <v>0</v>
      </c>
      <c r="R241" s="26" t="str">
        <f aca="false">IF($B241="","",IFERROR(INDEX(ST_STATUT,MATCH($B241,ST_ID,0)),""))</f>
        <v/>
      </c>
      <c r="S241" s="26" t="str">
        <f aca="false">IF($B241="","",IF($P241=0,"DONNEES MANQUANTES",IF(OR($R241="DONNEES MANQUANTES",$R241="STOCK INSUFFISANT",$R241="EMPLACEMENT INCOHERENT",$R241="BLOQUE"),"BLOQUE","OK")))</f>
        <v/>
      </c>
      <c r="T241" s="28" t="n">
        <f aca="false">IF($S241="OK",1,0)</f>
        <v>0</v>
      </c>
      <c r="U241" s="26" t="str">
        <f aca="false">IF($B241="","",IF($P241=0,"A COMPLETER : "&amp;IF(ISNA(MATCH($B241,ST_ID,0)),"ID ST valide; ","")&amp;IF(OR(NOT(ISNUMBER($F241)),$F241&lt;=0),"QUANTITE &gt; 0; ","")&amp;IF($J241="","EMPL. DESTINATION; ",""),IF($S241="BLOQUE","Envoi parent en anomalie ("&amp;$R241&amp;") : corriger l'onglet SOUS_TRAITANCE.",IF(AND($E241&lt;&gt;"",ISNA(MATCH($E241,LOT_KEY,0))),"Creer la fiche du lot resultat dans l'onglet LOTS.",""))))</f>
        <v/>
      </c>
      <c r="V241" s="31" t="str">
        <f aca="false">IF($B241="","",IF($C241&lt;&gt;"",$C241,IFERROR(INDEX(ST_DATERET,MATCH($B241,ST_ID,0)),"")))</f>
        <v/>
      </c>
      <c r="W241" s="26" t="str">
        <f aca="false">IF($P241=0,"",IF($L241=R_LOT,IF($N241&lt;&gt;R_LOT,$N241,""),IF($N241=R_LOT,$L241,"")))</f>
        <v/>
      </c>
      <c r="X241" s="26" t="str">
        <f aca="false">IF($W241="","",IF(COUNTIF($W$4:$W240,$W241)&gt;0,"",COUNT($X$4:$X240)+1))</f>
        <v/>
      </c>
      <c r="Y241" s="26" t="n">
        <f aca="false">IF($P241=0,0,IF(OR($L241=R_LOT,$N241=R_LOT),1,0))</f>
        <v>0</v>
      </c>
      <c r="Z241" s="26" t="str">
        <f aca="false">IF($Y241=0,"",COUNTIF($Y$5:$Y241,1))</f>
        <v/>
      </c>
    </row>
    <row r="242" customFormat="false" ht="15" hidden="false" customHeight="false" outlineLevel="0" collapsed="false">
      <c r="A242" s="26" t="str">
        <f aca="false">IF($B242="","","RES-"&amp;TEXT(ROW()-4,"000"))</f>
        <v/>
      </c>
      <c r="B242" s="24"/>
      <c r="C242" s="25"/>
      <c r="D242" s="24"/>
      <c r="E242" s="24"/>
      <c r="F242" s="29"/>
      <c r="G242" s="24"/>
      <c r="H242" s="24"/>
      <c r="I242" s="24"/>
      <c r="J242" s="24"/>
      <c r="K242" s="24"/>
      <c r="L242" s="26" t="str">
        <f aca="false">IF($B242="","",IFERROR(INDEX(ST_LOT,MATCH($B242,ST_ID,0)),""))</f>
        <v/>
      </c>
      <c r="M242" s="26" t="str">
        <f aca="false">IF($B242="","",IFERROR(INDEX(ST_STRAIT,MATCH($B242,ST_ID,0)),""))</f>
        <v/>
      </c>
      <c r="N242" s="26" t="str">
        <f aca="false">IF($B242="","",IF($E242="",$L242,$E242))</f>
        <v/>
      </c>
      <c r="O242" s="26" t="str">
        <f aca="false">IF($J242="","",IFERROR(INDEX(EMPL_CLASSE,MATCH($J242,EMPL_KEY,0)),"?"))</f>
        <v/>
      </c>
      <c r="P242" s="28" t="n">
        <f aca="false">IF($B242="",0,IF(OR(ISNA(MATCH($B242,ST_ID,0)),NOT(ISNUMBER($F242)),$F242&lt;=0,$J242="",$N242=""),0,1))</f>
        <v>0</v>
      </c>
      <c r="Q242" s="27" t="n">
        <f aca="false">IF($P242=0,0,$F242)</f>
        <v>0</v>
      </c>
      <c r="R242" s="26" t="str">
        <f aca="false">IF($B242="","",IFERROR(INDEX(ST_STATUT,MATCH($B242,ST_ID,0)),""))</f>
        <v/>
      </c>
      <c r="S242" s="26" t="str">
        <f aca="false">IF($B242="","",IF($P242=0,"DONNEES MANQUANTES",IF(OR($R242="DONNEES MANQUANTES",$R242="STOCK INSUFFISANT",$R242="EMPLACEMENT INCOHERENT",$R242="BLOQUE"),"BLOQUE","OK")))</f>
        <v/>
      </c>
      <c r="T242" s="28" t="n">
        <f aca="false">IF($S242="OK",1,0)</f>
        <v>0</v>
      </c>
      <c r="U242" s="26" t="str">
        <f aca="false">IF($B242="","",IF($P242=0,"A COMPLETER : "&amp;IF(ISNA(MATCH($B242,ST_ID,0)),"ID ST valide; ","")&amp;IF(OR(NOT(ISNUMBER($F242)),$F242&lt;=0),"QUANTITE &gt; 0; ","")&amp;IF($J242="","EMPL. DESTINATION; ",""),IF($S242="BLOQUE","Envoi parent en anomalie ("&amp;$R242&amp;") : corriger l'onglet SOUS_TRAITANCE.",IF(AND($E242&lt;&gt;"",ISNA(MATCH($E242,LOT_KEY,0))),"Creer la fiche du lot resultat dans l'onglet LOTS.",""))))</f>
        <v/>
      </c>
      <c r="V242" s="31" t="str">
        <f aca="false">IF($B242="","",IF($C242&lt;&gt;"",$C242,IFERROR(INDEX(ST_DATERET,MATCH($B242,ST_ID,0)),"")))</f>
        <v/>
      </c>
      <c r="W242" s="26" t="str">
        <f aca="false">IF($P242=0,"",IF($L242=R_LOT,IF($N242&lt;&gt;R_LOT,$N242,""),IF($N242=R_LOT,$L242,"")))</f>
        <v/>
      </c>
      <c r="X242" s="26" t="str">
        <f aca="false">IF($W242="","",IF(COUNTIF($W$4:$W241,$W242)&gt;0,"",COUNT($X$4:$X241)+1))</f>
        <v/>
      </c>
      <c r="Y242" s="26" t="n">
        <f aca="false">IF($P242=0,0,IF(OR($L242=R_LOT,$N242=R_LOT),1,0))</f>
        <v>0</v>
      </c>
      <c r="Z242" s="26" t="str">
        <f aca="false">IF($Y242=0,"",COUNTIF($Y$5:$Y242,1))</f>
        <v/>
      </c>
    </row>
    <row r="243" customFormat="false" ht="15" hidden="false" customHeight="false" outlineLevel="0" collapsed="false">
      <c r="A243" s="26" t="str">
        <f aca="false">IF($B243="","","RES-"&amp;TEXT(ROW()-4,"000"))</f>
        <v/>
      </c>
      <c r="B243" s="24"/>
      <c r="C243" s="25"/>
      <c r="D243" s="24"/>
      <c r="E243" s="24"/>
      <c r="F243" s="29"/>
      <c r="G243" s="24"/>
      <c r="H243" s="24"/>
      <c r="I243" s="24"/>
      <c r="J243" s="24"/>
      <c r="K243" s="24"/>
      <c r="L243" s="26" t="str">
        <f aca="false">IF($B243="","",IFERROR(INDEX(ST_LOT,MATCH($B243,ST_ID,0)),""))</f>
        <v/>
      </c>
      <c r="M243" s="26" t="str">
        <f aca="false">IF($B243="","",IFERROR(INDEX(ST_STRAIT,MATCH($B243,ST_ID,0)),""))</f>
        <v/>
      </c>
      <c r="N243" s="26" t="str">
        <f aca="false">IF($B243="","",IF($E243="",$L243,$E243))</f>
        <v/>
      </c>
      <c r="O243" s="26" t="str">
        <f aca="false">IF($J243="","",IFERROR(INDEX(EMPL_CLASSE,MATCH($J243,EMPL_KEY,0)),"?"))</f>
        <v/>
      </c>
      <c r="P243" s="28" t="n">
        <f aca="false">IF($B243="",0,IF(OR(ISNA(MATCH($B243,ST_ID,0)),NOT(ISNUMBER($F243)),$F243&lt;=0,$J243="",$N243=""),0,1))</f>
        <v>0</v>
      </c>
      <c r="Q243" s="27" t="n">
        <f aca="false">IF($P243=0,0,$F243)</f>
        <v>0</v>
      </c>
      <c r="R243" s="26" t="str">
        <f aca="false">IF($B243="","",IFERROR(INDEX(ST_STATUT,MATCH($B243,ST_ID,0)),""))</f>
        <v/>
      </c>
      <c r="S243" s="26" t="str">
        <f aca="false">IF($B243="","",IF($P243=0,"DONNEES MANQUANTES",IF(OR($R243="DONNEES MANQUANTES",$R243="STOCK INSUFFISANT",$R243="EMPLACEMENT INCOHERENT",$R243="BLOQUE"),"BLOQUE","OK")))</f>
        <v/>
      </c>
      <c r="T243" s="28" t="n">
        <f aca="false">IF($S243="OK",1,0)</f>
        <v>0</v>
      </c>
      <c r="U243" s="26" t="str">
        <f aca="false">IF($B243="","",IF($P243=0,"A COMPLETER : "&amp;IF(ISNA(MATCH($B243,ST_ID,0)),"ID ST valide; ","")&amp;IF(OR(NOT(ISNUMBER($F243)),$F243&lt;=0),"QUANTITE &gt; 0; ","")&amp;IF($J243="","EMPL. DESTINATION; ",""),IF($S243="BLOQUE","Envoi parent en anomalie ("&amp;$R243&amp;") : corriger l'onglet SOUS_TRAITANCE.",IF(AND($E243&lt;&gt;"",ISNA(MATCH($E243,LOT_KEY,0))),"Creer la fiche du lot resultat dans l'onglet LOTS.",""))))</f>
        <v/>
      </c>
      <c r="V243" s="31" t="str">
        <f aca="false">IF($B243="","",IF($C243&lt;&gt;"",$C243,IFERROR(INDEX(ST_DATERET,MATCH($B243,ST_ID,0)),"")))</f>
        <v/>
      </c>
      <c r="W243" s="26" t="str">
        <f aca="false">IF($P243=0,"",IF($L243=R_LOT,IF($N243&lt;&gt;R_LOT,$N243,""),IF($N243=R_LOT,$L243,"")))</f>
        <v/>
      </c>
      <c r="X243" s="26" t="str">
        <f aca="false">IF($W243="","",IF(COUNTIF($W$4:$W242,$W243)&gt;0,"",COUNT($X$4:$X242)+1))</f>
        <v/>
      </c>
      <c r="Y243" s="26" t="n">
        <f aca="false">IF($P243=0,0,IF(OR($L243=R_LOT,$N243=R_LOT),1,0))</f>
        <v>0</v>
      </c>
      <c r="Z243" s="26" t="str">
        <f aca="false">IF($Y243=0,"",COUNTIF($Y$5:$Y243,1))</f>
        <v/>
      </c>
    </row>
    <row r="244" customFormat="false" ht="15" hidden="false" customHeight="false" outlineLevel="0" collapsed="false">
      <c r="A244" s="26" t="str">
        <f aca="false">IF($B244="","","RES-"&amp;TEXT(ROW()-4,"000"))</f>
        <v/>
      </c>
      <c r="B244" s="24"/>
      <c r="C244" s="25"/>
      <c r="D244" s="24"/>
      <c r="E244" s="24"/>
      <c r="F244" s="29"/>
      <c r="G244" s="24"/>
      <c r="H244" s="24"/>
      <c r="I244" s="24"/>
      <c r="J244" s="24"/>
      <c r="K244" s="24"/>
      <c r="L244" s="26" t="str">
        <f aca="false">IF($B244="","",IFERROR(INDEX(ST_LOT,MATCH($B244,ST_ID,0)),""))</f>
        <v/>
      </c>
      <c r="M244" s="26" t="str">
        <f aca="false">IF($B244="","",IFERROR(INDEX(ST_STRAIT,MATCH($B244,ST_ID,0)),""))</f>
        <v/>
      </c>
      <c r="N244" s="26" t="str">
        <f aca="false">IF($B244="","",IF($E244="",$L244,$E244))</f>
        <v/>
      </c>
      <c r="O244" s="26" t="str">
        <f aca="false">IF($J244="","",IFERROR(INDEX(EMPL_CLASSE,MATCH($J244,EMPL_KEY,0)),"?"))</f>
        <v/>
      </c>
      <c r="P244" s="28" t="n">
        <f aca="false">IF($B244="",0,IF(OR(ISNA(MATCH($B244,ST_ID,0)),NOT(ISNUMBER($F244)),$F244&lt;=0,$J244="",$N244=""),0,1))</f>
        <v>0</v>
      </c>
      <c r="Q244" s="27" t="n">
        <f aca="false">IF($P244=0,0,$F244)</f>
        <v>0</v>
      </c>
      <c r="R244" s="26" t="str">
        <f aca="false">IF($B244="","",IFERROR(INDEX(ST_STATUT,MATCH($B244,ST_ID,0)),""))</f>
        <v/>
      </c>
      <c r="S244" s="26" t="str">
        <f aca="false">IF($B244="","",IF($P244=0,"DONNEES MANQUANTES",IF(OR($R244="DONNEES MANQUANTES",$R244="STOCK INSUFFISANT",$R244="EMPLACEMENT INCOHERENT",$R244="BLOQUE"),"BLOQUE","OK")))</f>
        <v/>
      </c>
      <c r="T244" s="28" t="n">
        <f aca="false">IF($S244="OK",1,0)</f>
        <v>0</v>
      </c>
      <c r="U244" s="26" t="str">
        <f aca="false">IF($B244="","",IF($P244=0,"A COMPLETER : "&amp;IF(ISNA(MATCH($B244,ST_ID,0)),"ID ST valide; ","")&amp;IF(OR(NOT(ISNUMBER($F244)),$F244&lt;=0),"QUANTITE &gt; 0; ","")&amp;IF($J244="","EMPL. DESTINATION; ",""),IF($S244="BLOQUE","Envoi parent en anomalie ("&amp;$R244&amp;") : corriger l'onglet SOUS_TRAITANCE.",IF(AND($E244&lt;&gt;"",ISNA(MATCH($E244,LOT_KEY,0))),"Creer la fiche du lot resultat dans l'onglet LOTS.",""))))</f>
        <v/>
      </c>
      <c r="V244" s="31" t="str">
        <f aca="false">IF($B244="","",IF($C244&lt;&gt;"",$C244,IFERROR(INDEX(ST_DATERET,MATCH($B244,ST_ID,0)),"")))</f>
        <v/>
      </c>
      <c r="W244" s="26" t="str">
        <f aca="false">IF($P244=0,"",IF($L244=R_LOT,IF($N244&lt;&gt;R_LOT,$N244,""),IF($N244=R_LOT,$L244,"")))</f>
        <v/>
      </c>
      <c r="X244" s="26" t="str">
        <f aca="false">IF($W244="","",IF(COUNTIF($W$4:$W243,$W244)&gt;0,"",COUNT($X$4:$X243)+1))</f>
        <v/>
      </c>
      <c r="Y244" s="26" t="n">
        <f aca="false">IF($P244=0,0,IF(OR($L244=R_LOT,$N244=R_LOT),1,0))</f>
        <v>0</v>
      </c>
      <c r="Z244" s="26" t="str">
        <f aca="false">IF($Y244=0,"",COUNTIF($Y$5:$Y244,1))</f>
        <v/>
      </c>
    </row>
    <row r="245" customFormat="false" ht="15" hidden="false" customHeight="false" outlineLevel="0" collapsed="false">
      <c r="A245" s="26" t="str">
        <f aca="false">IF($B245="","","RES-"&amp;TEXT(ROW()-4,"000"))</f>
        <v/>
      </c>
      <c r="B245" s="24"/>
      <c r="C245" s="25"/>
      <c r="D245" s="24"/>
      <c r="E245" s="24"/>
      <c r="F245" s="29"/>
      <c r="G245" s="24"/>
      <c r="H245" s="24"/>
      <c r="I245" s="24"/>
      <c r="J245" s="24"/>
      <c r="K245" s="24"/>
      <c r="L245" s="26" t="str">
        <f aca="false">IF($B245="","",IFERROR(INDEX(ST_LOT,MATCH($B245,ST_ID,0)),""))</f>
        <v/>
      </c>
      <c r="M245" s="26" t="str">
        <f aca="false">IF($B245="","",IFERROR(INDEX(ST_STRAIT,MATCH($B245,ST_ID,0)),""))</f>
        <v/>
      </c>
      <c r="N245" s="26" t="str">
        <f aca="false">IF($B245="","",IF($E245="",$L245,$E245))</f>
        <v/>
      </c>
      <c r="O245" s="26" t="str">
        <f aca="false">IF($J245="","",IFERROR(INDEX(EMPL_CLASSE,MATCH($J245,EMPL_KEY,0)),"?"))</f>
        <v/>
      </c>
      <c r="P245" s="28" t="n">
        <f aca="false">IF($B245="",0,IF(OR(ISNA(MATCH($B245,ST_ID,0)),NOT(ISNUMBER($F245)),$F245&lt;=0,$J245="",$N245=""),0,1))</f>
        <v>0</v>
      </c>
      <c r="Q245" s="27" t="n">
        <f aca="false">IF($P245=0,0,$F245)</f>
        <v>0</v>
      </c>
      <c r="R245" s="26" t="str">
        <f aca="false">IF($B245="","",IFERROR(INDEX(ST_STATUT,MATCH($B245,ST_ID,0)),""))</f>
        <v/>
      </c>
      <c r="S245" s="26" t="str">
        <f aca="false">IF($B245="","",IF($P245=0,"DONNEES MANQUANTES",IF(OR($R245="DONNEES MANQUANTES",$R245="STOCK INSUFFISANT",$R245="EMPLACEMENT INCOHERENT",$R245="BLOQUE"),"BLOQUE","OK")))</f>
        <v/>
      </c>
      <c r="T245" s="28" t="n">
        <f aca="false">IF($S245="OK",1,0)</f>
        <v>0</v>
      </c>
      <c r="U245" s="26" t="str">
        <f aca="false">IF($B245="","",IF($P245=0,"A COMPLETER : "&amp;IF(ISNA(MATCH($B245,ST_ID,0)),"ID ST valide; ","")&amp;IF(OR(NOT(ISNUMBER($F245)),$F245&lt;=0),"QUANTITE &gt; 0; ","")&amp;IF($J245="","EMPL. DESTINATION; ",""),IF($S245="BLOQUE","Envoi parent en anomalie ("&amp;$R245&amp;") : corriger l'onglet SOUS_TRAITANCE.",IF(AND($E245&lt;&gt;"",ISNA(MATCH($E245,LOT_KEY,0))),"Creer la fiche du lot resultat dans l'onglet LOTS.",""))))</f>
        <v/>
      </c>
      <c r="V245" s="31" t="str">
        <f aca="false">IF($B245="","",IF($C245&lt;&gt;"",$C245,IFERROR(INDEX(ST_DATERET,MATCH($B245,ST_ID,0)),"")))</f>
        <v/>
      </c>
      <c r="W245" s="26" t="str">
        <f aca="false">IF($P245=0,"",IF($L245=R_LOT,IF($N245&lt;&gt;R_LOT,$N245,""),IF($N245=R_LOT,$L245,"")))</f>
        <v/>
      </c>
      <c r="X245" s="26" t="str">
        <f aca="false">IF($W245="","",IF(COUNTIF($W$4:$W244,$W245)&gt;0,"",COUNT($X$4:$X244)+1))</f>
        <v/>
      </c>
      <c r="Y245" s="26" t="n">
        <f aca="false">IF($P245=0,0,IF(OR($L245=R_LOT,$N245=R_LOT),1,0))</f>
        <v>0</v>
      </c>
      <c r="Z245" s="26" t="str">
        <f aca="false">IF($Y245=0,"",COUNTIF($Y$5:$Y245,1))</f>
        <v/>
      </c>
    </row>
    <row r="246" customFormat="false" ht="15" hidden="false" customHeight="false" outlineLevel="0" collapsed="false">
      <c r="A246" s="26" t="str">
        <f aca="false">IF($B246="","","RES-"&amp;TEXT(ROW()-4,"000"))</f>
        <v/>
      </c>
      <c r="B246" s="24"/>
      <c r="C246" s="25"/>
      <c r="D246" s="24"/>
      <c r="E246" s="24"/>
      <c r="F246" s="29"/>
      <c r="G246" s="24"/>
      <c r="H246" s="24"/>
      <c r="I246" s="24"/>
      <c r="J246" s="24"/>
      <c r="K246" s="24"/>
      <c r="L246" s="26" t="str">
        <f aca="false">IF($B246="","",IFERROR(INDEX(ST_LOT,MATCH($B246,ST_ID,0)),""))</f>
        <v/>
      </c>
      <c r="M246" s="26" t="str">
        <f aca="false">IF($B246="","",IFERROR(INDEX(ST_STRAIT,MATCH($B246,ST_ID,0)),""))</f>
        <v/>
      </c>
      <c r="N246" s="26" t="str">
        <f aca="false">IF($B246="","",IF($E246="",$L246,$E246))</f>
        <v/>
      </c>
      <c r="O246" s="26" t="str">
        <f aca="false">IF($J246="","",IFERROR(INDEX(EMPL_CLASSE,MATCH($J246,EMPL_KEY,0)),"?"))</f>
        <v/>
      </c>
      <c r="P246" s="28" t="n">
        <f aca="false">IF($B246="",0,IF(OR(ISNA(MATCH($B246,ST_ID,0)),NOT(ISNUMBER($F246)),$F246&lt;=0,$J246="",$N246=""),0,1))</f>
        <v>0</v>
      </c>
      <c r="Q246" s="27" t="n">
        <f aca="false">IF($P246=0,0,$F246)</f>
        <v>0</v>
      </c>
      <c r="R246" s="26" t="str">
        <f aca="false">IF($B246="","",IFERROR(INDEX(ST_STATUT,MATCH($B246,ST_ID,0)),""))</f>
        <v/>
      </c>
      <c r="S246" s="26" t="str">
        <f aca="false">IF($B246="","",IF($P246=0,"DONNEES MANQUANTES",IF(OR($R246="DONNEES MANQUANTES",$R246="STOCK INSUFFISANT",$R246="EMPLACEMENT INCOHERENT",$R246="BLOQUE"),"BLOQUE","OK")))</f>
        <v/>
      </c>
      <c r="T246" s="28" t="n">
        <f aca="false">IF($S246="OK",1,0)</f>
        <v>0</v>
      </c>
      <c r="U246" s="26" t="str">
        <f aca="false">IF($B246="","",IF($P246=0,"A COMPLETER : "&amp;IF(ISNA(MATCH($B246,ST_ID,0)),"ID ST valide; ","")&amp;IF(OR(NOT(ISNUMBER($F246)),$F246&lt;=0),"QUANTITE &gt; 0; ","")&amp;IF($J246="","EMPL. DESTINATION; ",""),IF($S246="BLOQUE","Envoi parent en anomalie ("&amp;$R246&amp;") : corriger l'onglet SOUS_TRAITANCE.",IF(AND($E246&lt;&gt;"",ISNA(MATCH($E246,LOT_KEY,0))),"Creer la fiche du lot resultat dans l'onglet LOTS.",""))))</f>
        <v/>
      </c>
      <c r="V246" s="31" t="str">
        <f aca="false">IF($B246="","",IF($C246&lt;&gt;"",$C246,IFERROR(INDEX(ST_DATERET,MATCH($B246,ST_ID,0)),"")))</f>
        <v/>
      </c>
      <c r="W246" s="26" t="str">
        <f aca="false">IF($P246=0,"",IF($L246=R_LOT,IF($N246&lt;&gt;R_LOT,$N246,""),IF($N246=R_LOT,$L246,"")))</f>
        <v/>
      </c>
      <c r="X246" s="26" t="str">
        <f aca="false">IF($W246="","",IF(COUNTIF($W$4:$W245,$W246)&gt;0,"",COUNT($X$4:$X245)+1))</f>
        <v/>
      </c>
      <c r="Y246" s="26" t="n">
        <f aca="false">IF($P246=0,0,IF(OR($L246=R_LOT,$N246=R_LOT),1,0))</f>
        <v>0</v>
      </c>
      <c r="Z246" s="26" t="str">
        <f aca="false">IF($Y246=0,"",COUNTIF($Y$5:$Y246,1))</f>
        <v/>
      </c>
    </row>
    <row r="247" customFormat="false" ht="15" hidden="false" customHeight="false" outlineLevel="0" collapsed="false">
      <c r="A247" s="26" t="str">
        <f aca="false">IF($B247="","","RES-"&amp;TEXT(ROW()-4,"000"))</f>
        <v/>
      </c>
      <c r="B247" s="24"/>
      <c r="C247" s="25"/>
      <c r="D247" s="24"/>
      <c r="E247" s="24"/>
      <c r="F247" s="29"/>
      <c r="G247" s="24"/>
      <c r="H247" s="24"/>
      <c r="I247" s="24"/>
      <c r="J247" s="24"/>
      <c r="K247" s="24"/>
      <c r="L247" s="26" t="str">
        <f aca="false">IF($B247="","",IFERROR(INDEX(ST_LOT,MATCH($B247,ST_ID,0)),""))</f>
        <v/>
      </c>
      <c r="M247" s="26" t="str">
        <f aca="false">IF($B247="","",IFERROR(INDEX(ST_STRAIT,MATCH($B247,ST_ID,0)),""))</f>
        <v/>
      </c>
      <c r="N247" s="26" t="str">
        <f aca="false">IF($B247="","",IF($E247="",$L247,$E247))</f>
        <v/>
      </c>
      <c r="O247" s="26" t="str">
        <f aca="false">IF($J247="","",IFERROR(INDEX(EMPL_CLASSE,MATCH($J247,EMPL_KEY,0)),"?"))</f>
        <v/>
      </c>
      <c r="P247" s="28" t="n">
        <f aca="false">IF($B247="",0,IF(OR(ISNA(MATCH($B247,ST_ID,0)),NOT(ISNUMBER($F247)),$F247&lt;=0,$J247="",$N247=""),0,1))</f>
        <v>0</v>
      </c>
      <c r="Q247" s="27" t="n">
        <f aca="false">IF($P247=0,0,$F247)</f>
        <v>0</v>
      </c>
      <c r="R247" s="26" t="str">
        <f aca="false">IF($B247="","",IFERROR(INDEX(ST_STATUT,MATCH($B247,ST_ID,0)),""))</f>
        <v/>
      </c>
      <c r="S247" s="26" t="str">
        <f aca="false">IF($B247="","",IF($P247=0,"DONNEES MANQUANTES",IF(OR($R247="DONNEES MANQUANTES",$R247="STOCK INSUFFISANT",$R247="EMPLACEMENT INCOHERENT",$R247="BLOQUE"),"BLOQUE","OK")))</f>
        <v/>
      </c>
      <c r="T247" s="28" t="n">
        <f aca="false">IF($S247="OK",1,0)</f>
        <v>0</v>
      </c>
      <c r="U247" s="26" t="str">
        <f aca="false">IF($B247="","",IF($P247=0,"A COMPLETER : "&amp;IF(ISNA(MATCH($B247,ST_ID,0)),"ID ST valide; ","")&amp;IF(OR(NOT(ISNUMBER($F247)),$F247&lt;=0),"QUANTITE &gt; 0; ","")&amp;IF($J247="","EMPL. DESTINATION; ",""),IF($S247="BLOQUE","Envoi parent en anomalie ("&amp;$R247&amp;") : corriger l'onglet SOUS_TRAITANCE.",IF(AND($E247&lt;&gt;"",ISNA(MATCH($E247,LOT_KEY,0))),"Creer la fiche du lot resultat dans l'onglet LOTS.",""))))</f>
        <v/>
      </c>
      <c r="V247" s="31" t="str">
        <f aca="false">IF($B247="","",IF($C247&lt;&gt;"",$C247,IFERROR(INDEX(ST_DATERET,MATCH($B247,ST_ID,0)),"")))</f>
        <v/>
      </c>
      <c r="W247" s="26" t="str">
        <f aca="false">IF($P247=0,"",IF($L247=R_LOT,IF($N247&lt;&gt;R_LOT,$N247,""),IF($N247=R_LOT,$L247,"")))</f>
        <v/>
      </c>
      <c r="X247" s="26" t="str">
        <f aca="false">IF($W247="","",IF(COUNTIF($W$4:$W246,$W247)&gt;0,"",COUNT($X$4:$X246)+1))</f>
        <v/>
      </c>
      <c r="Y247" s="26" t="n">
        <f aca="false">IF($P247=0,0,IF(OR($L247=R_LOT,$N247=R_LOT),1,0))</f>
        <v>0</v>
      </c>
      <c r="Z247" s="26" t="str">
        <f aca="false">IF($Y247=0,"",COUNTIF($Y$5:$Y247,1))</f>
        <v/>
      </c>
    </row>
    <row r="248" customFormat="false" ht="15" hidden="false" customHeight="false" outlineLevel="0" collapsed="false">
      <c r="A248" s="26" t="str">
        <f aca="false">IF($B248="","","RES-"&amp;TEXT(ROW()-4,"000"))</f>
        <v/>
      </c>
      <c r="B248" s="24"/>
      <c r="C248" s="25"/>
      <c r="D248" s="24"/>
      <c r="E248" s="24"/>
      <c r="F248" s="29"/>
      <c r="G248" s="24"/>
      <c r="H248" s="24"/>
      <c r="I248" s="24"/>
      <c r="J248" s="24"/>
      <c r="K248" s="24"/>
      <c r="L248" s="26" t="str">
        <f aca="false">IF($B248="","",IFERROR(INDEX(ST_LOT,MATCH($B248,ST_ID,0)),""))</f>
        <v/>
      </c>
      <c r="M248" s="26" t="str">
        <f aca="false">IF($B248="","",IFERROR(INDEX(ST_STRAIT,MATCH($B248,ST_ID,0)),""))</f>
        <v/>
      </c>
      <c r="N248" s="26" t="str">
        <f aca="false">IF($B248="","",IF($E248="",$L248,$E248))</f>
        <v/>
      </c>
      <c r="O248" s="26" t="str">
        <f aca="false">IF($J248="","",IFERROR(INDEX(EMPL_CLASSE,MATCH($J248,EMPL_KEY,0)),"?"))</f>
        <v/>
      </c>
      <c r="P248" s="28" t="n">
        <f aca="false">IF($B248="",0,IF(OR(ISNA(MATCH($B248,ST_ID,0)),NOT(ISNUMBER($F248)),$F248&lt;=0,$J248="",$N248=""),0,1))</f>
        <v>0</v>
      </c>
      <c r="Q248" s="27" t="n">
        <f aca="false">IF($P248=0,0,$F248)</f>
        <v>0</v>
      </c>
      <c r="R248" s="26" t="str">
        <f aca="false">IF($B248="","",IFERROR(INDEX(ST_STATUT,MATCH($B248,ST_ID,0)),""))</f>
        <v/>
      </c>
      <c r="S248" s="26" t="str">
        <f aca="false">IF($B248="","",IF($P248=0,"DONNEES MANQUANTES",IF(OR($R248="DONNEES MANQUANTES",$R248="STOCK INSUFFISANT",$R248="EMPLACEMENT INCOHERENT",$R248="BLOQUE"),"BLOQUE","OK")))</f>
        <v/>
      </c>
      <c r="T248" s="28" t="n">
        <f aca="false">IF($S248="OK",1,0)</f>
        <v>0</v>
      </c>
      <c r="U248" s="26" t="str">
        <f aca="false">IF($B248="","",IF($P248=0,"A COMPLETER : "&amp;IF(ISNA(MATCH($B248,ST_ID,0)),"ID ST valide; ","")&amp;IF(OR(NOT(ISNUMBER($F248)),$F248&lt;=0),"QUANTITE &gt; 0; ","")&amp;IF($J248="","EMPL. DESTINATION; ",""),IF($S248="BLOQUE","Envoi parent en anomalie ("&amp;$R248&amp;") : corriger l'onglet SOUS_TRAITANCE.",IF(AND($E248&lt;&gt;"",ISNA(MATCH($E248,LOT_KEY,0))),"Creer la fiche du lot resultat dans l'onglet LOTS.",""))))</f>
        <v/>
      </c>
      <c r="V248" s="31" t="str">
        <f aca="false">IF($B248="","",IF($C248&lt;&gt;"",$C248,IFERROR(INDEX(ST_DATERET,MATCH($B248,ST_ID,0)),"")))</f>
        <v/>
      </c>
      <c r="W248" s="26" t="str">
        <f aca="false">IF($P248=0,"",IF($L248=R_LOT,IF($N248&lt;&gt;R_LOT,$N248,""),IF($N248=R_LOT,$L248,"")))</f>
        <v/>
      </c>
      <c r="X248" s="26" t="str">
        <f aca="false">IF($W248="","",IF(COUNTIF($W$4:$W247,$W248)&gt;0,"",COUNT($X$4:$X247)+1))</f>
        <v/>
      </c>
      <c r="Y248" s="26" t="n">
        <f aca="false">IF($P248=0,0,IF(OR($L248=R_LOT,$N248=R_LOT),1,0))</f>
        <v>0</v>
      </c>
      <c r="Z248" s="26" t="str">
        <f aca="false">IF($Y248=0,"",COUNTIF($Y$5:$Y248,1))</f>
        <v/>
      </c>
    </row>
    <row r="249" customFormat="false" ht="15" hidden="false" customHeight="false" outlineLevel="0" collapsed="false">
      <c r="A249" s="26" t="str">
        <f aca="false">IF($B249="","","RES-"&amp;TEXT(ROW()-4,"000"))</f>
        <v/>
      </c>
      <c r="B249" s="24"/>
      <c r="C249" s="25"/>
      <c r="D249" s="24"/>
      <c r="E249" s="24"/>
      <c r="F249" s="29"/>
      <c r="G249" s="24"/>
      <c r="H249" s="24"/>
      <c r="I249" s="24"/>
      <c r="J249" s="24"/>
      <c r="K249" s="24"/>
      <c r="L249" s="26" t="str">
        <f aca="false">IF($B249="","",IFERROR(INDEX(ST_LOT,MATCH($B249,ST_ID,0)),""))</f>
        <v/>
      </c>
      <c r="M249" s="26" t="str">
        <f aca="false">IF($B249="","",IFERROR(INDEX(ST_STRAIT,MATCH($B249,ST_ID,0)),""))</f>
        <v/>
      </c>
      <c r="N249" s="26" t="str">
        <f aca="false">IF($B249="","",IF($E249="",$L249,$E249))</f>
        <v/>
      </c>
      <c r="O249" s="26" t="str">
        <f aca="false">IF($J249="","",IFERROR(INDEX(EMPL_CLASSE,MATCH($J249,EMPL_KEY,0)),"?"))</f>
        <v/>
      </c>
      <c r="P249" s="28" t="n">
        <f aca="false">IF($B249="",0,IF(OR(ISNA(MATCH($B249,ST_ID,0)),NOT(ISNUMBER($F249)),$F249&lt;=0,$J249="",$N249=""),0,1))</f>
        <v>0</v>
      </c>
      <c r="Q249" s="27" t="n">
        <f aca="false">IF($P249=0,0,$F249)</f>
        <v>0</v>
      </c>
      <c r="R249" s="26" t="str">
        <f aca="false">IF($B249="","",IFERROR(INDEX(ST_STATUT,MATCH($B249,ST_ID,0)),""))</f>
        <v/>
      </c>
      <c r="S249" s="26" t="str">
        <f aca="false">IF($B249="","",IF($P249=0,"DONNEES MANQUANTES",IF(OR($R249="DONNEES MANQUANTES",$R249="STOCK INSUFFISANT",$R249="EMPLACEMENT INCOHERENT",$R249="BLOQUE"),"BLOQUE","OK")))</f>
        <v/>
      </c>
      <c r="T249" s="28" t="n">
        <f aca="false">IF($S249="OK",1,0)</f>
        <v>0</v>
      </c>
      <c r="U249" s="26" t="str">
        <f aca="false">IF($B249="","",IF($P249=0,"A COMPLETER : "&amp;IF(ISNA(MATCH($B249,ST_ID,0)),"ID ST valide; ","")&amp;IF(OR(NOT(ISNUMBER($F249)),$F249&lt;=0),"QUANTITE &gt; 0; ","")&amp;IF($J249="","EMPL. DESTINATION; ",""),IF($S249="BLOQUE","Envoi parent en anomalie ("&amp;$R249&amp;") : corriger l'onglet SOUS_TRAITANCE.",IF(AND($E249&lt;&gt;"",ISNA(MATCH($E249,LOT_KEY,0))),"Creer la fiche du lot resultat dans l'onglet LOTS.",""))))</f>
        <v/>
      </c>
      <c r="V249" s="31" t="str">
        <f aca="false">IF($B249="","",IF($C249&lt;&gt;"",$C249,IFERROR(INDEX(ST_DATERET,MATCH($B249,ST_ID,0)),"")))</f>
        <v/>
      </c>
      <c r="W249" s="26" t="str">
        <f aca="false">IF($P249=0,"",IF($L249=R_LOT,IF($N249&lt;&gt;R_LOT,$N249,""),IF($N249=R_LOT,$L249,"")))</f>
        <v/>
      </c>
      <c r="X249" s="26" t="str">
        <f aca="false">IF($W249="","",IF(COUNTIF($W$4:$W248,$W249)&gt;0,"",COUNT($X$4:$X248)+1))</f>
        <v/>
      </c>
      <c r="Y249" s="26" t="n">
        <f aca="false">IF($P249=0,0,IF(OR($L249=R_LOT,$N249=R_LOT),1,0))</f>
        <v>0</v>
      </c>
      <c r="Z249" s="26" t="str">
        <f aca="false">IF($Y249=0,"",COUNTIF($Y$5:$Y249,1))</f>
        <v/>
      </c>
    </row>
    <row r="250" customFormat="false" ht="15" hidden="false" customHeight="false" outlineLevel="0" collapsed="false">
      <c r="A250" s="26" t="str">
        <f aca="false">IF($B250="","","RES-"&amp;TEXT(ROW()-4,"000"))</f>
        <v/>
      </c>
      <c r="B250" s="24"/>
      <c r="C250" s="25"/>
      <c r="D250" s="24"/>
      <c r="E250" s="24"/>
      <c r="F250" s="29"/>
      <c r="G250" s="24"/>
      <c r="H250" s="24"/>
      <c r="I250" s="24"/>
      <c r="J250" s="24"/>
      <c r="K250" s="24"/>
      <c r="L250" s="26" t="str">
        <f aca="false">IF($B250="","",IFERROR(INDEX(ST_LOT,MATCH($B250,ST_ID,0)),""))</f>
        <v/>
      </c>
      <c r="M250" s="26" t="str">
        <f aca="false">IF($B250="","",IFERROR(INDEX(ST_STRAIT,MATCH($B250,ST_ID,0)),""))</f>
        <v/>
      </c>
      <c r="N250" s="26" t="str">
        <f aca="false">IF($B250="","",IF($E250="",$L250,$E250))</f>
        <v/>
      </c>
      <c r="O250" s="26" t="str">
        <f aca="false">IF($J250="","",IFERROR(INDEX(EMPL_CLASSE,MATCH($J250,EMPL_KEY,0)),"?"))</f>
        <v/>
      </c>
      <c r="P250" s="28" t="n">
        <f aca="false">IF($B250="",0,IF(OR(ISNA(MATCH($B250,ST_ID,0)),NOT(ISNUMBER($F250)),$F250&lt;=0,$J250="",$N250=""),0,1))</f>
        <v>0</v>
      </c>
      <c r="Q250" s="27" t="n">
        <f aca="false">IF($P250=0,0,$F250)</f>
        <v>0</v>
      </c>
      <c r="R250" s="26" t="str">
        <f aca="false">IF($B250="","",IFERROR(INDEX(ST_STATUT,MATCH($B250,ST_ID,0)),""))</f>
        <v/>
      </c>
      <c r="S250" s="26" t="str">
        <f aca="false">IF($B250="","",IF($P250=0,"DONNEES MANQUANTES",IF(OR($R250="DONNEES MANQUANTES",$R250="STOCK INSUFFISANT",$R250="EMPLACEMENT INCOHERENT",$R250="BLOQUE"),"BLOQUE","OK")))</f>
        <v/>
      </c>
      <c r="T250" s="28" t="n">
        <f aca="false">IF($S250="OK",1,0)</f>
        <v>0</v>
      </c>
      <c r="U250" s="26" t="str">
        <f aca="false">IF($B250="","",IF($P250=0,"A COMPLETER : "&amp;IF(ISNA(MATCH($B250,ST_ID,0)),"ID ST valide; ","")&amp;IF(OR(NOT(ISNUMBER($F250)),$F250&lt;=0),"QUANTITE &gt; 0; ","")&amp;IF($J250="","EMPL. DESTINATION; ",""),IF($S250="BLOQUE","Envoi parent en anomalie ("&amp;$R250&amp;") : corriger l'onglet SOUS_TRAITANCE.",IF(AND($E250&lt;&gt;"",ISNA(MATCH($E250,LOT_KEY,0))),"Creer la fiche du lot resultat dans l'onglet LOTS.",""))))</f>
        <v/>
      </c>
      <c r="V250" s="31" t="str">
        <f aca="false">IF($B250="","",IF($C250&lt;&gt;"",$C250,IFERROR(INDEX(ST_DATERET,MATCH($B250,ST_ID,0)),"")))</f>
        <v/>
      </c>
      <c r="W250" s="26" t="str">
        <f aca="false">IF($P250=0,"",IF($L250=R_LOT,IF($N250&lt;&gt;R_LOT,$N250,""),IF($N250=R_LOT,$L250,"")))</f>
        <v/>
      </c>
      <c r="X250" s="26" t="str">
        <f aca="false">IF($W250="","",IF(COUNTIF($W$4:$W249,$W250)&gt;0,"",COUNT($X$4:$X249)+1))</f>
        <v/>
      </c>
      <c r="Y250" s="26" t="n">
        <f aca="false">IF($P250=0,0,IF(OR($L250=R_LOT,$N250=R_LOT),1,0))</f>
        <v>0</v>
      </c>
      <c r="Z250" s="26" t="str">
        <f aca="false">IF($Y250=0,"",COUNTIF($Y$5:$Y250,1))</f>
        <v/>
      </c>
    </row>
    <row r="251" customFormat="false" ht="15" hidden="false" customHeight="false" outlineLevel="0" collapsed="false">
      <c r="A251" s="26" t="str">
        <f aca="false">IF($B251="","","RES-"&amp;TEXT(ROW()-4,"000"))</f>
        <v/>
      </c>
      <c r="B251" s="24"/>
      <c r="C251" s="25"/>
      <c r="D251" s="24"/>
      <c r="E251" s="24"/>
      <c r="F251" s="29"/>
      <c r="G251" s="24"/>
      <c r="H251" s="24"/>
      <c r="I251" s="24"/>
      <c r="J251" s="24"/>
      <c r="K251" s="24"/>
      <c r="L251" s="26" t="str">
        <f aca="false">IF($B251="","",IFERROR(INDEX(ST_LOT,MATCH($B251,ST_ID,0)),""))</f>
        <v/>
      </c>
      <c r="M251" s="26" t="str">
        <f aca="false">IF($B251="","",IFERROR(INDEX(ST_STRAIT,MATCH($B251,ST_ID,0)),""))</f>
        <v/>
      </c>
      <c r="N251" s="26" t="str">
        <f aca="false">IF($B251="","",IF($E251="",$L251,$E251))</f>
        <v/>
      </c>
      <c r="O251" s="26" t="str">
        <f aca="false">IF($J251="","",IFERROR(INDEX(EMPL_CLASSE,MATCH($J251,EMPL_KEY,0)),"?"))</f>
        <v/>
      </c>
      <c r="P251" s="28" t="n">
        <f aca="false">IF($B251="",0,IF(OR(ISNA(MATCH($B251,ST_ID,0)),NOT(ISNUMBER($F251)),$F251&lt;=0,$J251="",$N251=""),0,1))</f>
        <v>0</v>
      </c>
      <c r="Q251" s="27" t="n">
        <f aca="false">IF($P251=0,0,$F251)</f>
        <v>0</v>
      </c>
      <c r="R251" s="26" t="str">
        <f aca="false">IF($B251="","",IFERROR(INDEX(ST_STATUT,MATCH($B251,ST_ID,0)),""))</f>
        <v/>
      </c>
      <c r="S251" s="26" t="str">
        <f aca="false">IF($B251="","",IF($P251=0,"DONNEES MANQUANTES",IF(OR($R251="DONNEES MANQUANTES",$R251="STOCK INSUFFISANT",$R251="EMPLACEMENT INCOHERENT",$R251="BLOQUE"),"BLOQUE","OK")))</f>
        <v/>
      </c>
      <c r="T251" s="28" t="n">
        <f aca="false">IF($S251="OK",1,0)</f>
        <v>0</v>
      </c>
      <c r="U251" s="26" t="str">
        <f aca="false">IF($B251="","",IF($P251=0,"A COMPLETER : "&amp;IF(ISNA(MATCH($B251,ST_ID,0)),"ID ST valide; ","")&amp;IF(OR(NOT(ISNUMBER($F251)),$F251&lt;=0),"QUANTITE &gt; 0; ","")&amp;IF($J251="","EMPL. DESTINATION; ",""),IF($S251="BLOQUE","Envoi parent en anomalie ("&amp;$R251&amp;") : corriger l'onglet SOUS_TRAITANCE.",IF(AND($E251&lt;&gt;"",ISNA(MATCH($E251,LOT_KEY,0))),"Creer la fiche du lot resultat dans l'onglet LOTS.",""))))</f>
        <v/>
      </c>
      <c r="V251" s="31" t="str">
        <f aca="false">IF($B251="","",IF($C251&lt;&gt;"",$C251,IFERROR(INDEX(ST_DATERET,MATCH($B251,ST_ID,0)),"")))</f>
        <v/>
      </c>
      <c r="W251" s="26" t="str">
        <f aca="false">IF($P251=0,"",IF($L251=R_LOT,IF($N251&lt;&gt;R_LOT,$N251,""),IF($N251=R_LOT,$L251,"")))</f>
        <v/>
      </c>
      <c r="X251" s="26" t="str">
        <f aca="false">IF($W251="","",IF(COUNTIF($W$4:$W250,$W251)&gt;0,"",COUNT($X$4:$X250)+1))</f>
        <v/>
      </c>
      <c r="Y251" s="26" t="n">
        <f aca="false">IF($P251=0,0,IF(OR($L251=R_LOT,$N251=R_LOT),1,0))</f>
        <v>0</v>
      </c>
      <c r="Z251" s="26" t="str">
        <f aca="false">IF($Y251=0,"",COUNTIF($Y$5:$Y251,1))</f>
        <v/>
      </c>
    </row>
    <row r="252" customFormat="false" ht="15" hidden="false" customHeight="false" outlineLevel="0" collapsed="false">
      <c r="A252" s="26" t="str">
        <f aca="false">IF($B252="","","RES-"&amp;TEXT(ROW()-4,"000"))</f>
        <v/>
      </c>
      <c r="B252" s="24"/>
      <c r="C252" s="25"/>
      <c r="D252" s="24"/>
      <c r="E252" s="24"/>
      <c r="F252" s="29"/>
      <c r="G252" s="24"/>
      <c r="H252" s="24"/>
      <c r="I252" s="24"/>
      <c r="J252" s="24"/>
      <c r="K252" s="24"/>
      <c r="L252" s="26" t="str">
        <f aca="false">IF($B252="","",IFERROR(INDEX(ST_LOT,MATCH($B252,ST_ID,0)),""))</f>
        <v/>
      </c>
      <c r="M252" s="26" t="str">
        <f aca="false">IF($B252="","",IFERROR(INDEX(ST_STRAIT,MATCH($B252,ST_ID,0)),""))</f>
        <v/>
      </c>
      <c r="N252" s="26" t="str">
        <f aca="false">IF($B252="","",IF($E252="",$L252,$E252))</f>
        <v/>
      </c>
      <c r="O252" s="26" t="str">
        <f aca="false">IF($J252="","",IFERROR(INDEX(EMPL_CLASSE,MATCH($J252,EMPL_KEY,0)),"?"))</f>
        <v/>
      </c>
      <c r="P252" s="28" t="n">
        <f aca="false">IF($B252="",0,IF(OR(ISNA(MATCH($B252,ST_ID,0)),NOT(ISNUMBER($F252)),$F252&lt;=0,$J252="",$N252=""),0,1))</f>
        <v>0</v>
      </c>
      <c r="Q252" s="27" t="n">
        <f aca="false">IF($P252=0,0,$F252)</f>
        <v>0</v>
      </c>
      <c r="R252" s="26" t="str">
        <f aca="false">IF($B252="","",IFERROR(INDEX(ST_STATUT,MATCH($B252,ST_ID,0)),""))</f>
        <v/>
      </c>
      <c r="S252" s="26" t="str">
        <f aca="false">IF($B252="","",IF($P252=0,"DONNEES MANQUANTES",IF(OR($R252="DONNEES MANQUANTES",$R252="STOCK INSUFFISANT",$R252="EMPLACEMENT INCOHERENT",$R252="BLOQUE"),"BLOQUE","OK")))</f>
        <v/>
      </c>
      <c r="T252" s="28" t="n">
        <f aca="false">IF($S252="OK",1,0)</f>
        <v>0</v>
      </c>
      <c r="U252" s="26" t="str">
        <f aca="false">IF($B252="","",IF($P252=0,"A COMPLETER : "&amp;IF(ISNA(MATCH($B252,ST_ID,0)),"ID ST valide; ","")&amp;IF(OR(NOT(ISNUMBER($F252)),$F252&lt;=0),"QUANTITE &gt; 0; ","")&amp;IF($J252="","EMPL. DESTINATION; ",""),IF($S252="BLOQUE","Envoi parent en anomalie ("&amp;$R252&amp;") : corriger l'onglet SOUS_TRAITANCE.",IF(AND($E252&lt;&gt;"",ISNA(MATCH($E252,LOT_KEY,0))),"Creer la fiche du lot resultat dans l'onglet LOTS.",""))))</f>
        <v/>
      </c>
      <c r="V252" s="31" t="str">
        <f aca="false">IF($B252="","",IF($C252&lt;&gt;"",$C252,IFERROR(INDEX(ST_DATERET,MATCH($B252,ST_ID,0)),"")))</f>
        <v/>
      </c>
      <c r="W252" s="26" t="str">
        <f aca="false">IF($P252=0,"",IF($L252=R_LOT,IF($N252&lt;&gt;R_LOT,$N252,""),IF($N252=R_LOT,$L252,"")))</f>
        <v/>
      </c>
      <c r="X252" s="26" t="str">
        <f aca="false">IF($W252="","",IF(COUNTIF($W$4:$W251,$W252)&gt;0,"",COUNT($X$4:$X251)+1))</f>
        <v/>
      </c>
      <c r="Y252" s="26" t="n">
        <f aca="false">IF($P252=0,0,IF(OR($L252=R_LOT,$N252=R_LOT),1,0))</f>
        <v>0</v>
      </c>
      <c r="Z252" s="26" t="str">
        <f aca="false">IF($Y252=0,"",COUNTIF($Y$5:$Y252,1))</f>
        <v/>
      </c>
    </row>
    <row r="253" customFormat="false" ht="15" hidden="false" customHeight="false" outlineLevel="0" collapsed="false">
      <c r="A253" s="26" t="str">
        <f aca="false">IF($B253="","","RES-"&amp;TEXT(ROW()-4,"000"))</f>
        <v/>
      </c>
      <c r="B253" s="24"/>
      <c r="C253" s="25"/>
      <c r="D253" s="24"/>
      <c r="E253" s="24"/>
      <c r="F253" s="29"/>
      <c r="G253" s="24"/>
      <c r="H253" s="24"/>
      <c r="I253" s="24"/>
      <c r="J253" s="24"/>
      <c r="K253" s="24"/>
      <c r="L253" s="26" t="str">
        <f aca="false">IF($B253="","",IFERROR(INDEX(ST_LOT,MATCH($B253,ST_ID,0)),""))</f>
        <v/>
      </c>
      <c r="M253" s="26" t="str">
        <f aca="false">IF($B253="","",IFERROR(INDEX(ST_STRAIT,MATCH($B253,ST_ID,0)),""))</f>
        <v/>
      </c>
      <c r="N253" s="26" t="str">
        <f aca="false">IF($B253="","",IF($E253="",$L253,$E253))</f>
        <v/>
      </c>
      <c r="O253" s="26" t="str">
        <f aca="false">IF($J253="","",IFERROR(INDEX(EMPL_CLASSE,MATCH($J253,EMPL_KEY,0)),"?"))</f>
        <v/>
      </c>
      <c r="P253" s="28" t="n">
        <f aca="false">IF($B253="",0,IF(OR(ISNA(MATCH($B253,ST_ID,0)),NOT(ISNUMBER($F253)),$F253&lt;=0,$J253="",$N253=""),0,1))</f>
        <v>0</v>
      </c>
      <c r="Q253" s="27" t="n">
        <f aca="false">IF($P253=0,0,$F253)</f>
        <v>0</v>
      </c>
      <c r="R253" s="26" t="str">
        <f aca="false">IF($B253="","",IFERROR(INDEX(ST_STATUT,MATCH($B253,ST_ID,0)),""))</f>
        <v/>
      </c>
      <c r="S253" s="26" t="str">
        <f aca="false">IF($B253="","",IF($P253=0,"DONNEES MANQUANTES",IF(OR($R253="DONNEES MANQUANTES",$R253="STOCK INSUFFISANT",$R253="EMPLACEMENT INCOHERENT",$R253="BLOQUE"),"BLOQUE","OK")))</f>
        <v/>
      </c>
      <c r="T253" s="28" t="n">
        <f aca="false">IF($S253="OK",1,0)</f>
        <v>0</v>
      </c>
      <c r="U253" s="26" t="str">
        <f aca="false">IF($B253="","",IF($P253=0,"A COMPLETER : "&amp;IF(ISNA(MATCH($B253,ST_ID,0)),"ID ST valide; ","")&amp;IF(OR(NOT(ISNUMBER($F253)),$F253&lt;=0),"QUANTITE &gt; 0; ","")&amp;IF($J253="","EMPL. DESTINATION; ",""),IF($S253="BLOQUE","Envoi parent en anomalie ("&amp;$R253&amp;") : corriger l'onglet SOUS_TRAITANCE.",IF(AND($E253&lt;&gt;"",ISNA(MATCH($E253,LOT_KEY,0))),"Creer la fiche du lot resultat dans l'onglet LOTS.",""))))</f>
        <v/>
      </c>
      <c r="V253" s="31" t="str">
        <f aca="false">IF($B253="","",IF($C253&lt;&gt;"",$C253,IFERROR(INDEX(ST_DATERET,MATCH($B253,ST_ID,0)),"")))</f>
        <v/>
      </c>
      <c r="W253" s="26" t="str">
        <f aca="false">IF($P253=0,"",IF($L253=R_LOT,IF($N253&lt;&gt;R_LOT,$N253,""),IF($N253=R_LOT,$L253,"")))</f>
        <v/>
      </c>
      <c r="X253" s="26" t="str">
        <f aca="false">IF($W253="","",IF(COUNTIF($W$4:$W252,$W253)&gt;0,"",COUNT($X$4:$X252)+1))</f>
        <v/>
      </c>
      <c r="Y253" s="26" t="n">
        <f aca="false">IF($P253=0,0,IF(OR($L253=R_LOT,$N253=R_LOT),1,0))</f>
        <v>0</v>
      </c>
      <c r="Z253" s="26" t="str">
        <f aca="false">IF($Y253=0,"",COUNTIF($Y$5:$Y253,1))</f>
        <v/>
      </c>
    </row>
    <row r="254" customFormat="false" ht="15" hidden="false" customHeight="false" outlineLevel="0" collapsed="false">
      <c r="A254" s="26" t="str">
        <f aca="false">IF($B254="","","RES-"&amp;TEXT(ROW()-4,"000"))</f>
        <v/>
      </c>
      <c r="B254" s="24"/>
      <c r="C254" s="25"/>
      <c r="D254" s="24"/>
      <c r="E254" s="24"/>
      <c r="F254" s="29"/>
      <c r="G254" s="24"/>
      <c r="H254" s="24"/>
      <c r="I254" s="24"/>
      <c r="J254" s="24"/>
      <c r="K254" s="24"/>
      <c r="L254" s="26" t="str">
        <f aca="false">IF($B254="","",IFERROR(INDEX(ST_LOT,MATCH($B254,ST_ID,0)),""))</f>
        <v/>
      </c>
      <c r="M254" s="26" t="str">
        <f aca="false">IF($B254="","",IFERROR(INDEX(ST_STRAIT,MATCH($B254,ST_ID,0)),""))</f>
        <v/>
      </c>
      <c r="N254" s="26" t="str">
        <f aca="false">IF($B254="","",IF($E254="",$L254,$E254))</f>
        <v/>
      </c>
      <c r="O254" s="26" t="str">
        <f aca="false">IF($J254="","",IFERROR(INDEX(EMPL_CLASSE,MATCH($J254,EMPL_KEY,0)),"?"))</f>
        <v/>
      </c>
      <c r="P254" s="28" t="n">
        <f aca="false">IF($B254="",0,IF(OR(ISNA(MATCH($B254,ST_ID,0)),NOT(ISNUMBER($F254)),$F254&lt;=0,$J254="",$N254=""),0,1))</f>
        <v>0</v>
      </c>
      <c r="Q254" s="27" t="n">
        <f aca="false">IF($P254=0,0,$F254)</f>
        <v>0</v>
      </c>
      <c r="R254" s="26" t="str">
        <f aca="false">IF($B254="","",IFERROR(INDEX(ST_STATUT,MATCH($B254,ST_ID,0)),""))</f>
        <v/>
      </c>
      <c r="S254" s="26" t="str">
        <f aca="false">IF($B254="","",IF($P254=0,"DONNEES MANQUANTES",IF(OR($R254="DONNEES MANQUANTES",$R254="STOCK INSUFFISANT",$R254="EMPLACEMENT INCOHERENT",$R254="BLOQUE"),"BLOQUE","OK")))</f>
        <v/>
      </c>
      <c r="T254" s="28" t="n">
        <f aca="false">IF($S254="OK",1,0)</f>
        <v>0</v>
      </c>
      <c r="U254" s="26" t="str">
        <f aca="false">IF($B254="","",IF($P254=0,"A COMPLETER : "&amp;IF(ISNA(MATCH($B254,ST_ID,0)),"ID ST valide; ","")&amp;IF(OR(NOT(ISNUMBER($F254)),$F254&lt;=0),"QUANTITE &gt; 0; ","")&amp;IF($J254="","EMPL. DESTINATION; ",""),IF($S254="BLOQUE","Envoi parent en anomalie ("&amp;$R254&amp;") : corriger l'onglet SOUS_TRAITANCE.",IF(AND($E254&lt;&gt;"",ISNA(MATCH($E254,LOT_KEY,0))),"Creer la fiche du lot resultat dans l'onglet LOTS.",""))))</f>
        <v/>
      </c>
      <c r="V254" s="31" t="str">
        <f aca="false">IF($B254="","",IF($C254&lt;&gt;"",$C254,IFERROR(INDEX(ST_DATERET,MATCH($B254,ST_ID,0)),"")))</f>
        <v/>
      </c>
      <c r="W254" s="26" t="str">
        <f aca="false">IF($P254=0,"",IF($L254=R_LOT,IF($N254&lt;&gt;R_LOT,$N254,""),IF($N254=R_LOT,$L254,"")))</f>
        <v/>
      </c>
      <c r="X254" s="26" t="str">
        <f aca="false">IF($W254="","",IF(COUNTIF($W$4:$W253,$W254)&gt;0,"",COUNT($X$4:$X253)+1))</f>
        <v/>
      </c>
      <c r="Y254" s="26" t="n">
        <f aca="false">IF($P254=0,0,IF(OR($L254=R_LOT,$N254=R_LOT),1,0))</f>
        <v>0</v>
      </c>
      <c r="Z254" s="26" t="str">
        <f aca="false">IF($Y254=0,"",COUNTIF($Y$5:$Y254,1))</f>
        <v/>
      </c>
    </row>
    <row r="255" customFormat="false" ht="15" hidden="false" customHeight="false" outlineLevel="0" collapsed="false">
      <c r="A255" s="26" t="str">
        <f aca="false">IF($B255="","","RES-"&amp;TEXT(ROW()-4,"000"))</f>
        <v/>
      </c>
      <c r="B255" s="24"/>
      <c r="C255" s="25"/>
      <c r="D255" s="24"/>
      <c r="E255" s="24"/>
      <c r="F255" s="29"/>
      <c r="G255" s="24"/>
      <c r="H255" s="24"/>
      <c r="I255" s="24"/>
      <c r="J255" s="24"/>
      <c r="K255" s="24"/>
      <c r="L255" s="26" t="str">
        <f aca="false">IF($B255="","",IFERROR(INDEX(ST_LOT,MATCH($B255,ST_ID,0)),""))</f>
        <v/>
      </c>
      <c r="M255" s="26" t="str">
        <f aca="false">IF($B255="","",IFERROR(INDEX(ST_STRAIT,MATCH($B255,ST_ID,0)),""))</f>
        <v/>
      </c>
      <c r="N255" s="26" t="str">
        <f aca="false">IF($B255="","",IF($E255="",$L255,$E255))</f>
        <v/>
      </c>
      <c r="O255" s="26" t="str">
        <f aca="false">IF($J255="","",IFERROR(INDEX(EMPL_CLASSE,MATCH($J255,EMPL_KEY,0)),"?"))</f>
        <v/>
      </c>
      <c r="P255" s="28" t="n">
        <f aca="false">IF($B255="",0,IF(OR(ISNA(MATCH($B255,ST_ID,0)),NOT(ISNUMBER($F255)),$F255&lt;=0,$J255="",$N255=""),0,1))</f>
        <v>0</v>
      </c>
      <c r="Q255" s="27" t="n">
        <f aca="false">IF($P255=0,0,$F255)</f>
        <v>0</v>
      </c>
      <c r="R255" s="26" t="str">
        <f aca="false">IF($B255="","",IFERROR(INDEX(ST_STATUT,MATCH($B255,ST_ID,0)),""))</f>
        <v/>
      </c>
      <c r="S255" s="26" t="str">
        <f aca="false">IF($B255="","",IF($P255=0,"DONNEES MANQUANTES",IF(OR($R255="DONNEES MANQUANTES",$R255="STOCK INSUFFISANT",$R255="EMPLACEMENT INCOHERENT",$R255="BLOQUE"),"BLOQUE","OK")))</f>
        <v/>
      </c>
      <c r="T255" s="28" t="n">
        <f aca="false">IF($S255="OK",1,0)</f>
        <v>0</v>
      </c>
      <c r="U255" s="26" t="str">
        <f aca="false">IF($B255="","",IF($P255=0,"A COMPLETER : "&amp;IF(ISNA(MATCH($B255,ST_ID,0)),"ID ST valide; ","")&amp;IF(OR(NOT(ISNUMBER($F255)),$F255&lt;=0),"QUANTITE &gt; 0; ","")&amp;IF($J255="","EMPL. DESTINATION; ",""),IF($S255="BLOQUE","Envoi parent en anomalie ("&amp;$R255&amp;") : corriger l'onglet SOUS_TRAITANCE.",IF(AND($E255&lt;&gt;"",ISNA(MATCH($E255,LOT_KEY,0))),"Creer la fiche du lot resultat dans l'onglet LOTS.",""))))</f>
        <v/>
      </c>
      <c r="V255" s="31" t="str">
        <f aca="false">IF($B255="","",IF($C255&lt;&gt;"",$C255,IFERROR(INDEX(ST_DATERET,MATCH($B255,ST_ID,0)),"")))</f>
        <v/>
      </c>
      <c r="W255" s="26" t="str">
        <f aca="false">IF($P255=0,"",IF($L255=R_LOT,IF($N255&lt;&gt;R_LOT,$N255,""),IF($N255=R_LOT,$L255,"")))</f>
        <v/>
      </c>
      <c r="X255" s="26" t="str">
        <f aca="false">IF($W255="","",IF(COUNTIF($W$4:$W254,$W255)&gt;0,"",COUNT($X$4:$X254)+1))</f>
        <v/>
      </c>
      <c r="Y255" s="26" t="n">
        <f aca="false">IF($P255=0,0,IF(OR($L255=R_LOT,$N255=R_LOT),1,0))</f>
        <v>0</v>
      </c>
      <c r="Z255" s="26" t="str">
        <f aca="false">IF($Y255=0,"",COUNTIF($Y$5:$Y255,1))</f>
        <v/>
      </c>
    </row>
    <row r="256" customFormat="false" ht="15" hidden="false" customHeight="false" outlineLevel="0" collapsed="false">
      <c r="A256" s="26" t="str">
        <f aca="false">IF($B256="","","RES-"&amp;TEXT(ROW()-4,"000"))</f>
        <v/>
      </c>
      <c r="B256" s="24"/>
      <c r="C256" s="25"/>
      <c r="D256" s="24"/>
      <c r="E256" s="24"/>
      <c r="F256" s="29"/>
      <c r="G256" s="24"/>
      <c r="H256" s="24"/>
      <c r="I256" s="24"/>
      <c r="J256" s="24"/>
      <c r="K256" s="24"/>
      <c r="L256" s="26" t="str">
        <f aca="false">IF($B256="","",IFERROR(INDEX(ST_LOT,MATCH($B256,ST_ID,0)),""))</f>
        <v/>
      </c>
      <c r="M256" s="26" t="str">
        <f aca="false">IF($B256="","",IFERROR(INDEX(ST_STRAIT,MATCH($B256,ST_ID,0)),""))</f>
        <v/>
      </c>
      <c r="N256" s="26" t="str">
        <f aca="false">IF($B256="","",IF($E256="",$L256,$E256))</f>
        <v/>
      </c>
      <c r="O256" s="26" t="str">
        <f aca="false">IF($J256="","",IFERROR(INDEX(EMPL_CLASSE,MATCH($J256,EMPL_KEY,0)),"?"))</f>
        <v/>
      </c>
      <c r="P256" s="28" t="n">
        <f aca="false">IF($B256="",0,IF(OR(ISNA(MATCH($B256,ST_ID,0)),NOT(ISNUMBER($F256)),$F256&lt;=0,$J256="",$N256=""),0,1))</f>
        <v>0</v>
      </c>
      <c r="Q256" s="27" t="n">
        <f aca="false">IF($P256=0,0,$F256)</f>
        <v>0</v>
      </c>
      <c r="R256" s="26" t="str">
        <f aca="false">IF($B256="","",IFERROR(INDEX(ST_STATUT,MATCH($B256,ST_ID,0)),""))</f>
        <v/>
      </c>
      <c r="S256" s="26" t="str">
        <f aca="false">IF($B256="","",IF($P256=0,"DONNEES MANQUANTES",IF(OR($R256="DONNEES MANQUANTES",$R256="STOCK INSUFFISANT",$R256="EMPLACEMENT INCOHERENT",$R256="BLOQUE"),"BLOQUE","OK")))</f>
        <v/>
      </c>
      <c r="T256" s="28" t="n">
        <f aca="false">IF($S256="OK",1,0)</f>
        <v>0</v>
      </c>
      <c r="U256" s="26" t="str">
        <f aca="false">IF($B256="","",IF($P256=0,"A COMPLETER : "&amp;IF(ISNA(MATCH($B256,ST_ID,0)),"ID ST valide; ","")&amp;IF(OR(NOT(ISNUMBER($F256)),$F256&lt;=0),"QUANTITE &gt; 0; ","")&amp;IF($J256="","EMPL. DESTINATION; ",""),IF($S256="BLOQUE","Envoi parent en anomalie ("&amp;$R256&amp;") : corriger l'onglet SOUS_TRAITANCE.",IF(AND($E256&lt;&gt;"",ISNA(MATCH($E256,LOT_KEY,0))),"Creer la fiche du lot resultat dans l'onglet LOTS.",""))))</f>
        <v/>
      </c>
      <c r="V256" s="31" t="str">
        <f aca="false">IF($B256="","",IF($C256&lt;&gt;"",$C256,IFERROR(INDEX(ST_DATERET,MATCH($B256,ST_ID,0)),"")))</f>
        <v/>
      </c>
      <c r="W256" s="26" t="str">
        <f aca="false">IF($P256=0,"",IF($L256=R_LOT,IF($N256&lt;&gt;R_LOT,$N256,""),IF($N256=R_LOT,$L256,"")))</f>
        <v/>
      </c>
      <c r="X256" s="26" t="str">
        <f aca="false">IF($W256="","",IF(COUNTIF($W$4:$W255,$W256)&gt;0,"",COUNT($X$4:$X255)+1))</f>
        <v/>
      </c>
      <c r="Y256" s="26" t="n">
        <f aca="false">IF($P256=0,0,IF(OR($L256=R_LOT,$N256=R_LOT),1,0))</f>
        <v>0</v>
      </c>
      <c r="Z256" s="26" t="str">
        <f aca="false">IF($Y256=0,"",COUNTIF($Y$5:$Y256,1))</f>
        <v/>
      </c>
    </row>
    <row r="257" customFormat="false" ht="15" hidden="false" customHeight="false" outlineLevel="0" collapsed="false">
      <c r="A257" s="26" t="str">
        <f aca="false">IF($B257="","","RES-"&amp;TEXT(ROW()-4,"000"))</f>
        <v/>
      </c>
      <c r="B257" s="24"/>
      <c r="C257" s="25"/>
      <c r="D257" s="24"/>
      <c r="E257" s="24"/>
      <c r="F257" s="29"/>
      <c r="G257" s="24"/>
      <c r="H257" s="24"/>
      <c r="I257" s="24"/>
      <c r="J257" s="24"/>
      <c r="K257" s="24"/>
      <c r="L257" s="26" t="str">
        <f aca="false">IF($B257="","",IFERROR(INDEX(ST_LOT,MATCH($B257,ST_ID,0)),""))</f>
        <v/>
      </c>
      <c r="M257" s="26" t="str">
        <f aca="false">IF($B257="","",IFERROR(INDEX(ST_STRAIT,MATCH($B257,ST_ID,0)),""))</f>
        <v/>
      </c>
      <c r="N257" s="26" t="str">
        <f aca="false">IF($B257="","",IF($E257="",$L257,$E257))</f>
        <v/>
      </c>
      <c r="O257" s="26" t="str">
        <f aca="false">IF($J257="","",IFERROR(INDEX(EMPL_CLASSE,MATCH($J257,EMPL_KEY,0)),"?"))</f>
        <v/>
      </c>
      <c r="P257" s="28" t="n">
        <f aca="false">IF($B257="",0,IF(OR(ISNA(MATCH($B257,ST_ID,0)),NOT(ISNUMBER($F257)),$F257&lt;=0,$J257="",$N257=""),0,1))</f>
        <v>0</v>
      </c>
      <c r="Q257" s="27" t="n">
        <f aca="false">IF($P257=0,0,$F257)</f>
        <v>0</v>
      </c>
      <c r="R257" s="26" t="str">
        <f aca="false">IF($B257="","",IFERROR(INDEX(ST_STATUT,MATCH($B257,ST_ID,0)),""))</f>
        <v/>
      </c>
      <c r="S257" s="26" t="str">
        <f aca="false">IF($B257="","",IF($P257=0,"DONNEES MANQUANTES",IF(OR($R257="DONNEES MANQUANTES",$R257="STOCK INSUFFISANT",$R257="EMPLACEMENT INCOHERENT",$R257="BLOQUE"),"BLOQUE","OK")))</f>
        <v/>
      </c>
      <c r="T257" s="28" t="n">
        <f aca="false">IF($S257="OK",1,0)</f>
        <v>0</v>
      </c>
      <c r="U257" s="26" t="str">
        <f aca="false">IF($B257="","",IF($P257=0,"A COMPLETER : "&amp;IF(ISNA(MATCH($B257,ST_ID,0)),"ID ST valide; ","")&amp;IF(OR(NOT(ISNUMBER($F257)),$F257&lt;=0),"QUANTITE &gt; 0; ","")&amp;IF($J257="","EMPL. DESTINATION; ",""),IF($S257="BLOQUE","Envoi parent en anomalie ("&amp;$R257&amp;") : corriger l'onglet SOUS_TRAITANCE.",IF(AND($E257&lt;&gt;"",ISNA(MATCH($E257,LOT_KEY,0))),"Creer la fiche du lot resultat dans l'onglet LOTS.",""))))</f>
        <v/>
      </c>
      <c r="V257" s="31" t="str">
        <f aca="false">IF($B257="","",IF($C257&lt;&gt;"",$C257,IFERROR(INDEX(ST_DATERET,MATCH($B257,ST_ID,0)),"")))</f>
        <v/>
      </c>
      <c r="W257" s="26" t="str">
        <f aca="false">IF($P257=0,"",IF($L257=R_LOT,IF($N257&lt;&gt;R_LOT,$N257,""),IF($N257=R_LOT,$L257,"")))</f>
        <v/>
      </c>
      <c r="X257" s="26" t="str">
        <f aca="false">IF($W257="","",IF(COUNTIF($W$4:$W256,$W257)&gt;0,"",COUNT($X$4:$X256)+1))</f>
        <v/>
      </c>
      <c r="Y257" s="26" t="n">
        <f aca="false">IF($P257=0,0,IF(OR($L257=R_LOT,$N257=R_LOT),1,0))</f>
        <v>0</v>
      </c>
      <c r="Z257" s="26" t="str">
        <f aca="false">IF($Y257=0,"",COUNTIF($Y$5:$Y257,1))</f>
        <v/>
      </c>
    </row>
    <row r="258" customFormat="false" ht="15" hidden="false" customHeight="false" outlineLevel="0" collapsed="false">
      <c r="A258" s="26" t="str">
        <f aca="false">IF($B258="","","RES-"&amp;TEXT(ROW()-4,"000"))</f>
        <v/>
      </c>
      <c r="B258" s="24"/>
      <c r="C258" s="25"/>
      <c r="D258" s="24"/>
      <c r="E258" s="24"/>
      <c r="F258" s="29"/>
      <c r="G258" s="24"/>
      <c r="H258" s="24"/>
      <c r="I258" s="24"/>
      <c r="J258" s="24"/>
      <c r="K258" s="24"/>
      <c r="L258" s="26" t="str">
        <f aca="false">IF($B258="","",IFERROR(INDEX(ST_LOT,MATCH($B258,ST_ID,0)),""))</f>
        <v/>
      </c>
      <c r="M258" s="26" t="str">
        <f aca="false">IF($B258="","",IFERROR(INDEX(ST_STRAIT,MATCH($B258,ST_ID,0)),""))</f>
        <v/>
      </c>
      <c r="N258" s="26" t="str">
        <f aca="false">IF($B258="","",IF($E258="",$L258,$E258))</f>
        <v/>
      </c>
      <c r="O258" s="26" t="str">
        <f aca="false">IF($J258="","",IFERROR(INDEX(EMPL_CLASSE,MATCH($J258,EMPL_KEY,0)),"?"))</f>
        <v/>
      </c>
      <c r="P258" s="28" t="n">
        <f aca="false">IF($B258="",0,IF(OR(ISNA(MATCH($B258,ST_ID,0)),NOT(ISNUMBER($F258)),$F258&lt;=0,$J258="",$N258=""),0,1))</f>
        <v>0</v>
      </c>
      <c r="Q258" s="27" t="n">
        <f aca="false">IF($P258=0,0,$F258)</f>
        <v>0</v>
      </c>
      <c r="R258" s="26" t="str">
        <f aca="false">IF($B258="","",IFERROR(INDEX(ST_STATUT,MATCH($B258,ST_ID,0)),""))</f>
        <v/>
      </c>
      <c r="S258" s="26" t="str">
        <f aca="false">IF($B258="","",IF($P258=0,"DONNEES MANQUANTES",IF(OR($R258="DONNEES MANQUANTES",$R258="STOCK INSUFFISANT",$R258="EMPLACEMENT INCOHERENT",$R258="BLOQUE"),"BLOQUE","OK")))</f>
        <v/>
      </c>
      <c r="T258" s="28" t="n">
        <f aca="false">IF($S258="OK",1,0)</f>
        <v>0</v>
      </c>
      <c r="U258" s="26" t="str">
        <f aca="false">IF($B258="","",IF($P258=0,"A COMPLETER : "&amp;IF(ISNA(MATCH($B258,ST_ID,0)),"ID ST valide; ","")&amp;IF(OR(NOT(ISNUMBER($F258)),$F258&lt;=0),"QUANTITE &gt; 0; ","")&amp;IF($J258="","EMPL. DESTINATION; ",""),IF($S258="BLOQUE","Envoi parent en anomalie ("&amp;$R258&amp;") : corriger l'onglet SOUS_TRAITANCE.",IF(AND($E258&lt;&gt;"",ISNA(MATCH($E258,LOT_KEY,0))),"Creer la fiche du lot resultat dans l'onglet LOTS.",""))))</f>
        <v/>
      </c>
      <c r="V258" s="31" t="str">
        <f aca="false">IF($B258="","",IF($C258&lt;&gt;"",$C258,IFERROR(INDEX(ST_DATERET,MATCH($B258,ST_ID,0)),"")))</f>
        <v/>
      </c>
      <c r="W258" s="26" t="str">
        <f aca="false">IF($P258=0,"",IF($L258=R_LOT,IF($N258&lt;&gt;R_LOT,$N258,""),IF($N258=R_LOT,$L258,"")))</f>
        <v/>
      </c>
      <c r="X258" s="26" t="str">
        <f aca="false">IF($W258="","",IF(COUNTIF($W$4:$W257,$W258)&gt;0,"",COUNT($X$4:$X257)+1))</f>
        <v/>
      </c>
      <c r="Y258" s="26" t="n">
        <f aca="false">IF($P258=0,0,IF(OR($L258=R_LOT,$N258=R_LOT),1,0))</f>
        <v>0</v>
      </c>
      <c r="Z258" s="26" t="str">
        <f aca="false">IF($Y258=0,"",COUNTIF($Y$5:$Y258,1))</f>
        <v/>
      </c>
    </row>
    <row r="259" customFormat="false" ht="15" hidden="false" customHeight="false" outlineLevel="0" collapsed="false">
      <c r="A259" s="26" t="str">
        <f aca="false">IF($B259="","","RES-"&amp;TEXT(ROW()-4,"000"))</f>
        <v/>
      </c>
      <c r="B259" s="24"/>
      <c r="C259" s="25"/>
      <c r="D259" s="24"/>
      <c r="E259" s="24"/>
      <c r="F259" s="29"/>
      <c r="G259" s="24"/>
      <c r="H259" s="24"/>
      <c r="I259" s="24"/>
      <c r="J259" s="24"/>
      <c r="K259" s="24"/>
      <c r="L259" s="26" t="str">
        <f aca="false">IF($B259="","",IFERROR(INDEX(ST_LOT,MATCH($B259,ST_ID,0)),""))</f>
        <v/>
      </c>
      <c r="M259" s="26" t="str">
        <f aca="false">IF($B259="","",IFERROR(INDEX(ST_STRAIT,MATCH($B259,ST_ID,0)),""))</f>
        <v/>
      </c>
      <c r="N259" s="26" t="str">
        <f aca="false">IF($B259="","",IF($E259="",$L259,$E259))</f>
        <v/>
      </c>
      <c r="O259" s="26" t="str">
        <f aca="false">IF($J259="","",IFERROR(INDEX(EMPL_CLASSE,MATCH($J259,EMPL_KEY,0)),"?"))</f>
        <v/>
      </c>
      <c r="P259" s="28" t="n">
        <f aca="false">IF($B259="",0,IF(OR(ISNA(MATCH($B259,ST_ID,0)),NOT(ISNUMBER($F259)),$F259&lt;=0,$J259="",$N259=""),0,1))</f>
        <v>0</v>
      </c>
      <c r="Q259" s="27" t="n">
        <f aca="false">IF($P259=0,0,$F259)</f>
        <v>0</v>
      </c>
      <c r="R259" s="26" t="str">
        <f aca="false">IF($B259="","",IFERROR(INDEX(ST_STATUT,MATCH($B259,ST_ID,0)),""))</f>
        <v/>
      </c>
      <c r="S259" s="26" t="str">
        <f aca="false">IF($B259="","",IF($P259=0,"DONNEES MANQUANTES",IF(OR($R259="DONNEES MANQUANTES",$R259="STOCK INSUFFISANT",$R259="EMPLACEMENT INCOHERENT",$R259="BLOQUE"),"BLOQUE","OK")))</f>
        <v/>
      </c>
      <c r="T259" s="28" t="n">
        <f aca="false">IF($S259="OK",1,0)</f>
        <v>0</v>
      </c>
      <c r="U259" s="26" t="str">
        <f aca="false">IF($B259="","",IF($P259=0,"A COMPLETER : "&amp;IF(ISNA(MATCH($B259,ST_ID,0)),"ID ST valide; ","")&amp;IF(OR(NOT(ISNUMBER($F259)),$F259&lt;=0),"QUANTITE &gt; 0; ","")&amp;IF($J259="","EMPL. DESTINATION; ",""),IF($S259="BLOQUE","Envoi parent en anomalie ("&amp;$R259&amp;") : corriger l'onglet SOUS_TRAITANCE.",IF(AND($E259&lt;&gt;"",ISNA(MATCH($E259,LOT_KEY,0))),"Creer la fiche du lot resultat dans l'onglet LOTS.",""))))</f>
        <v/>
      </c>
      <c r="V259" s="31" t="str">
        <f aca="false">IF($B259="","",IF($C259&lt;&gt;"",$C259,IFERROR(INDEX(ST_DATERET,MATCH($B259,ST_ID,0)),"")))</f>
        <v/>
      </c>
      <c r="W259" s="26" t="str">
        <f aca="false">IF($P259=0,"",IF($L259=R_LOT,IF($N259&lt;&gt;R_LOT,$N259,""),IF($N259=R_LOT,$L259,"")))</f>
        <v/>
      </c>
      <c r="X259" s="26" t="str">
        <f aca="false">IF($W259="","",IF(COUNTIF($W$4:$W258,$W259)&gt;0,"",COUNT($X$4:$X258)+1))</f>
        <v/>
      </c>
      <c r="Y259" s="26" t="n">
        <f aca="false">IF($P259=0,0,IF(OR($L259=R_LOT,$N259=R_LOT),1,0))</f>
        <v>0</v>
      </c>
      <c r="Z259" s="26" t="str">
        <f aca="false">IF($Y259=0,"",COUNTIF($Y$5:$Y259,1))</f>
        <v/>
      </c>
    </row>
    <row r="260" customFormat="false" ht="15" hidden="false" customHeight="false" outlineLevel="0" collapsed="false">
      <c r="A260" s="26" t="str">
        <f aca="false">IF($B260="","","RES-"&amp;TEXT(ROW()-4,"000"))</f>
        <v/>
      </c>
      <c r="B260" s="24"/>
      <c r="C260" s="25"/>
      <c r="D260" s="24"/>
      <c r="E260" s="24"/>
      <c r="F260" s="29"/>
      <c r="G260" s="24"/>
      <c r="H260" s="24"/>
      <c r="I260" s="24"/>
      <c r="J260" s="24"/>
      <c r="K260" s="24"/>
      <c r="L260" s="26" t="str">
        <f aca="false">IF($B260="","",IFERROR(INDEX(ST_LOT,MATCH($B260,ST_ID,0)),""))</f>
        <v/>
      </c>
      <c r="M260" s="26" t="str">
        <f aca="false">IF($B260="","",IFERROR(INDEX(ST_STRAIT,MATCH($B260,ST_ID,0)),""))</f>
        <v/>
      </c>
      <c r="N260" s="26" t="str">
        <f aca="false">IF($B260="","",IF($E260="",$L260,$E260))</f>
        <v/>
      </c>
      <c r="O260" s="26" t="str">
        <f aca="false">IF($J260="","",IFERROR(INDEX(EMPL_CLASSE,MATCH($J260,EMPL_KEY,0)),"?"))</f>
        <v/>
      </c>
      <c r="P260" s="28" t="n">
        <f aca="false">IF($B260="",0,IF(OR(ISNA(MATCH($B260,ST_ID,0)),NOT(ISNUMBER($F260)),$F260&lt;=0,$J260="",$N260=""),0,1))</f>
        <v>0</v>
      </c>
      <c r="Q260" s="27" t="n">
        <f aca="false">IF($P260=0,0,$F260)</f>
        <v>0</v>
      </c>
      <c r="R260" s="26" t="str">
        <f aca="false">IF($B260="","",IFERROR(INDEX(ST_STATUT,MATCH($B260,ST_ID,0)),""))</f>
        <v/>
      </c>
      <c r="S260" s="26" t="str">
        <f aca="false">IF($B260="","",IF($P260=0,"DONNEES MANQUANTES",IF(OR($R260="DONNEES MANQUANTES",$R260="STOCK INSUFFISANT",$R260="EMPLACEMENT INCOHERENT",$R260="BLOQUE"),"BLOQUE","OK")))</f>
        <v/>
      </c>
      <c r="T260" s="28" t="n">
        <f aca="false">IF($S260="OK",1,0)</f>
        <v>0</v>
      </c>
      <c r="U260" s="26" t="str">
        <f aca="false">IF($B260="","",IF($P260=0,"A COMPLETER : "&amp;IF(ISNA(MATCH($B260,ST_ID,0)),"ID ST valide; ","")&amp;IF(OR(NOT(ISNUMBER($F260)),$F260&lt;=0),"QUANTITE &gt; 0; ","")&amp;IF($J260="","EMPL. DESTINATION; ",""),IF($S260="BLOQUE","Envoi parent en anomalie ("&amp;$R260&amp;") : corriger l'onglet SOUS_TRAITANCE.",IF(AND($E260&lt;&gt;"",ISNA(MATCH($E260,LOT_KEY,0))),"Creer la fiche du lot resultat dans l'onglet LOTS.",""))))</f>
        <v/>
      </c>
      <c r="V260" s="31" t="str">
        <f aca="false">IF($B260="","",IF($C260&lt;&gt;"",$C260,IFERROR(INDEX(ST_DATERET,MATCH($B260,ST_ID,0)),"")))</f>
        <v/>
      </c>
      <c r="W260" s="26" t="str">
        <f aca="false">IF($P260=0,"",IF($L260=R_LOT,IF($N260&lt;&gt;R_LOT,$N260,""),IF($N260=R_LOT,$L260,"")))</f>
        <v/>
      </c>
      <c r="X260" s="26" t="str">
        <f aca="false">IF($W260="","",IF(COUNTIF($W$4:$W259,$W260)&gt;0,"",COUNT($X$4:$X259)+1))</f>
        <v/>
      </c>
      <c r="Y260" s="26" t="n">
        <f aca="false">IF($P260=0,0,IF(OR($L260=R_LOT,$N260=R_LOT),1,0))</f>
        <v>0</v>
      </c>
      <c r="Z260" s="26" t="str">
        <f aca="false">IF($Y260=0,"",COUNTIF($Y$5:$Y260,1))</f>
        <v/>
      </c>
    </row>
    <row r="261" customFormat="false" ht="15" hidden="false" customHeight="false" outlineLevel="0" collapsed="false">
      <c r="A261" s="26" t="str">
        <f aca="false">IF($B261="","","RES-"&amp;TEXT(ROW()-4,"000"))</f>
        <v/>
      </c>
      <c r="B261" s="24"/>
      <c r="C261" s="25"/>
      <c r="D261" s="24"/>
      <c r="E261" s="24"/>
      <c r="F261" s="29"/>
      <c r="G261" s="24"/>
      <c r="H261" s="24"/>
      <c r="I261" s="24"/>
      <c r="J261" s="24"/>
      <c r="K261" s="24"/>
      <c r="L261" s="26" t="str">
        <f aca="false">IF($B261="","",IFERROR(INDEX(ST_LOT,MATCH($B261,ST_ID,0)),""))</f>
        <v/>
      </c>
      <c r="M261" s="26" t="str">
        <f aca="false">IF($B261="","",IFERROR(INDEX(ST_STRAIT,MATCH($B261,ST_ID,0)),""))</f>
        <v/>
      </c>
      <c r="N261" s="26" t="str">
        <f aca="false">IF($B261="","",IF($E261="",$L261,$E261))</f>
        <v/>
      </c>
      <c r="O261" s="26" t="str">
        <f aca="false">IF($J261="","",IFERROR(INDEX(EMPL_CLASSE,MATCH($J261,EMPL_KEY,0)),"?"))</f>
        <v/>
      </c>
      <c r="P261" s="28" t="n">
        <f aca="false">IF($B261="",0,IF(OR(ISNA(MATCH($B261,ST_ID,0)),NOT(ISNUMBER($F261)),$F261&lt;=0,$J261="",$N261=""),0,1))</f>
        <v>0</v>
      </c>
      <c r="Q261" s="27" t="n">
        <f aca="false">IF($P261=0,0,$F261)</f>
        <v>0</v>
      </c>
      <c r="R261" s="26" t="str">
        <f aca="false">IF($B261="","",IFERROR(INDEX(ST_STATUT,MATCH($B261,ST_ID,0)),""))</f>
        <v/>
      </c>
      <c r="S261" s="26" t="str">
        <f aca="false">IF($B261="","",IF($P261=0,"DONNEES MANQUANTES",IF(OR($R261="DONNEES MANQUANTES",$R261="STOCK INSUFFISANT",$R261="EMPLACEMENT INCOHERENT",$R261="BLOQUE"),"BLOQUE","OK")))</f>
        <v/>
      </c>
      <c r="T261" s="28" t="n">
        <f aca="false">IF($S261="OK",1,0)</f>
        <v>0</v>
      </c>
      <c r="U261" s="26" t="str">
        <f aca="false">IF($B261="","",IF($P261=0,"A COMPLETER : "&amp;IF(ISNA(MATCH($B261,ST_ID,0)),"ID ST valide; ","")&amp;IF(OR(NOT(ISNUMBER($F261)),$F261&lt;=0),"QUANTITE &gt; 0; ","")&amp;IF($J261="","EMPL. DESTINATION; ",""),IF($S261="BLOQUE","Envoi parent en anomalie ("&amp;$R261&amp;") : corriger l'onglet SOUS_TRAITANCE.",IF(AND($E261&lt;&gt;"",ISNA(MATCH($E261,LOT_KEY,0))),"Creer la fiche du lot resultat dans l'onglet LOTS.",""))))</f>
        <v/>
      </c>
      <c r="V261" s="31" t="str">
        <f aca="false">IF($B261="","",IF($C261&lt;&gt;"",$C261,IFERROR(INDEX(ST_DATERET,MATCH($B261,ST_ID,0)),"")))</f>
        <v/>
      </c>
      <c r="W261" s="26" t="str">
        <f aca="false">IF($P261=0,"",IF($L261=R_LOT,IF($N261&lt;&gt;R_LOT,$N261,""),IF($N261=R_LOT,$L261,"")))</f>
        <v/>
      </c>
      <c r="X261" s="26" t="str">
        <f aca="false">IF($W261="","",IF(COUNTIF($W$4:$W260,$W261)&gt;0,"",COUNT($X$4:$X260)+1))</f>
        <v/>
      </c>
      <c r="Y261" s="26" t="n">
        <f aca="false">IF($P261=0,0,IF(OR($L261=R_LOT,$N261=R_LOT),1,0))</f>
        <v>0</v>
      </c>
      <c r="Z261" s="26" t="str">
        <f aca="false">IF($Y261=0,"",COUNTIF($Y$5:$Y261,1))</f>
        <v/>
      </c>
    </row>
    <row r="262" customFormat="false" ht="15" hidden="false" customHeight="false" outlineLevel="0" collapsed="false">
      <c r="A262" s="26" t="str">
        <f aca="false">IF($B262="","","RES-"&amp;TEXT(ROW()-4,"000"))</f>
        <v/>
      </c>
      <c r="B262" s="24"/>
      <c r="C262" s="25"/>
      <c r="D262" s="24"/>
      <c r="E262" s="24"/>
      <c r="F262" s="29"/>
      <c r="G262" s="24"/>
      <c r="H262" s="24"/>
      <c r="I262" s="24"/>
      <c r="J262" s="24"/>
      <c r="K262" s="24"/>
      <c r="L262" s="26" t="str">
        <f aca="false">IF($B262="","",IFERROR(INDEX(ST_LOT,MATCH($B262,ST_ID,0)),""))</f>
        <v/>
      </c>
      <c r="M262" s="26" t="str">
        <f aca="false">IF($B262="","",IFERROR(INDEX(ST_STRAIT,MATCH($B262,ST_ID,0)),""))</f>
        <v/>
      </c>
      <c r="N262" s="26" t="str">
        <f aca="false">IF($B262="","",IF($E262="",$L262,$E262))</f>
        <v/>
      </c>
      <c r="O262" s="26" t="str">
        <f aca="false">IF($J262="","",IFERROR(INDEX(EMPL_CLASSE,MATCH($J262,EMPL_KEY,0)),"?"))</f>
        <v/>
      </c>
      <c r="P262" s="28" t="n">
        <f aca="false">IF($B262="",0,IF(OR(ISNA(MATCH($B262,ST_ID,0)),NOT(ISNUMBER($F262)),$F262&lt;=0,$J262="",$N262=""),0,1))</f>
        <v>0</v>
      </c>
      <c r="Q262" s="27" t="n">
        <f aca="false">IF($P262=0,0,$F262)</f>
        <v>0</v>
      </c>
      <c r="R262" s="26" t="str">
        <f aca="false">IF($B262="","",IFERROR(INDEX(ST_STATUT,MATCH($B262,ST_ID,0)),""))</f>
        <v/>
      </c>
      <c r="S262" s="26" t="str">
        <f aca="false">IF($B262="","",IF($P262=0,"DONNEES MANQUANTES",IF(OR($R262="DONNEES MANQUANTES",$R262="STOCK INSUFFISANT",$R262="EMPLACEMENT INCOHERENT",$R262="BLOQUE"),"BLOQUE","OK")))</f>
        <v/>
      </c>
      <c r="T262" s="28" t="n">
        <f aca="false">IF($S262="OK",1,0)</f>
        <v>0</v>
      </c>
      <c r="U262" s="26" t="str">
        <f aca="false">IF($B262="","",IF($P262=0,"A COMPLETER : "&amp;IF(ISNA(MATCH($B262,ST_ID,0)),"ID ST valide; ","")&amp;IF(OR(NOT(ISNUMBER($F262)),$F262&lt;=0),"QUANTITE &gt; 0; ","")&amp;IF($J262="","EMPL. DESTINATION; ",""),IF($S262="BLOQUE","Envoi parent en anomalie ("&amp;$R262&amp;") : corriger l'onglet SOUS_TRAITANCE.",IF(AND($E262&lt;&gt;"",ISNA(MATCH($E262,LOT_KEY,0))),"Creer la fiche du lot resultat dans l'onglet LOTS.",""))))</f>
        <v/>
      </c>
      <c r="V262" s="31" t="str">
        <f aca="false">IF($B262="","",IF($C262&lt;&gt;"",$C262,IFERROR(INDEX(ST_DATERET,MATCH($B262,ST_ID,0)),"")))</f>
        <v/>
      </c>
      <c r="W262" s="26" t="str">
        <f aca="false">IF($P262=0,"",IF($L262=R_LOT,IF($N262&lt;&gt;R_LOT,$N262,""),IF($N262=R_LOT,$L262,"")))</f>
        <v/>
      </c>
      <c r="X262" s="26" t="str">
        <f aca="false">IF($W262="","",IF(COUNTIF($W$4:$W261,$W262)&gt;0,"",COUNT($X$4:$X261)+1))</f>
        <v/>
      </c>
      <c r="Y262" s="26" t="n">
        <f aca="false">IF($P262=0,0,IF(OR($L262=R_LOT,$N262=R_LOT),1,0))</f>
        <v>0</v>
      </c>
      <c r="Z262" s="26" t="str">
        <f aca="false">IF($Y262=0,"",COUNTIF($Y$5:$Y262,1))</f>
        <v/>
      </c>
    </row>
    <row r="263" customFormat="false" ht="15" hidden="false" customHeight="false" outlineLevel="0" collapsed="false">
      <c r="A263" s="26" t="str">
        <f aca="false">IF($B263="","","RES-"&amp;TEXT(ROW()-4,"000"))</f>
        <v/>
      </c>
      <c r="B263" s="24"/>
      <c r="C263" s="25"/>
      <c r="D263" s="24"/>
      <c r="E263" s="24"/>
      <c r="F263" s="29"/>
      <c r="G263" s="24"/>
      <c r="H263" s="24"/>
      <c r="I263" s="24"/>
      <c r="J263" s="24"/>
      <c r="K263" s="24"/>
      <c r="L263" s="26" t="str">
        <f aca="false">IF($B263="","",IFERROR(INDEX(ST_LOT,MATCH($B263,ST_ID,0)),""))</f>
        <v/>
      </c>
      <c r="M263" s="26" t="str">
        <f aca="false">IF($B263="","",IFERROR(INDEX(ST_STRAIT,MATCH($B263,ST_ID,0)),""))</f>
        <v/>
      </c>
      <c r="N263" s="26" t="str">
        <f aca="false">IF($B263="","",IF($E263="",$L263,$E263))</f>
        <v/>
      </c>
      <c r="O263" s="26" t="str">
        <f aca="false">IF($J263="","",IFERROR(INDEX(EMPL_CLASSE,MATCH($J263,EMPL_KEY,0)),"?"))</f>
        <v/>
      </c>
      <c r="P263" s="28" t="n">
        <f aca="false">IF($B263="",0,IF(OR(ISNA(MATCH($B263,ST_ID,0)),NOT(ISNUMBER($F263)),$F263&lt;=0,$J263="",$N263=""),0,1))</f>
        <v>0</v>
      </c>
      <c r="Q263" s="27" t="n">
        <f aca="false">IF($P263=0,0,$F263)</f>
        <v>0</v>
      </c>
      <c r="R263" s="26" t="str">
        <f aca="false">IF($B263="","",IFERROR(INDEX(ST_STATUT,MATCH($B263,ST_ID,0)),""))</f>
        <v/>
      </c>
      <c r="S263" s="26" t="str">
        <f aca="false">IF($B263="","",IF($P263=0,"DONNEES MANQUANTES",IF(OR($R263="DONNEES MANQUANTES",$R263="STOCK INSUFFISANT",$R263="EMPLACEMENT INCOHERENT",$R263="BLOQUE"),"BLOQUE","OK")))</f>
        <v/>
      </c>
      <c r="T263" s="28" t="n">
        <f aca="false">IF($S263="OK",1,0)</f>
        <v>0</v>
      </c>
      <c r="U263" s="26" t="str">
        <f aca="false">IF($B263="","",IF($P263=0,"A COMPLETER : "&amp;IF(ISNA(MATCH($B263,ST_ID,0)),"ID ST valide; ","")&amp;IF(OR(NOT(ISNUMBER($F263)),$F263&lt;=0),"QUANTITE &gt; 0; ","")&amp;IF($J263="","EMPL. DESTINATION; ",""),IF($S263="BLOQUE","Envoi parent en anomalie ("&amp;$R263&amp;") : corriger l'onglet SOUS_TRAITANCE.",IF(AND($E263&lt;&gt;"",ISNA(MATCH($E263,LOT_KEY,0))),"Creer la fiche du lot resultat dans l'onglet LOTS.",""))))</f>
        <v/>
      </c>
      <c r="V263" s="31" t="str">
        <f aca="false">IF($B263="","",IF($C263&lt;&gt;"",$C263,IFERROR(INDEX(ST_DATERET,MATCH($B263,ST_ID,0)),"")))</f>
        <v/>
      </c>
      <c r="W263" s="26" t="str">
        <f aca="false">IF($P263=0,"",IF($L263=R_LOT,IF($N263&lt;&gt;R_LOT,$N263,""),IF($N263=R_LOT,$L263,"")))</f>
        <v/>
      </c>
      <c r="X263" s="26" t="str">
        <f aca="false">IF($W263="","",IF(COUNTIF($W$4:$W262,$W263)&gt;0,"",COUNT($X$4:$X262)+1))</f>
        <v/>
      </c>
      <c r="Y263" s="26" t="n">
        <f aca="false">IF($P263=0,0,IF(OR($L263=R_LOT,$N263=R_LOT),1,0))</f>
        <v>0</v>
      </c>
      <c r="Z263" s="26" t="str">
        <f aca="false">IF($Y263=0,"",COUNTIF($Y$5:$Y263,1))</f>
        <v/>
      </c>
    </row>
    <row r="264" customFormat="false" ht="15" hidden="false" customHeight="false" outlineLevel="0" collapsed="false">
      <c r="A264" s="26" t="str">
        <f aca="false">IF($B264="","","RES-"&amp;TEXT(ROW()-4,"000"))</f>
        <v/>
      </c>
      <c r="B264" s="24"/>
      <c r="C264" s="25"/>
      <c r="D264" s="24"/>
      <c r="E264" s="24"/>
      <c r="F264" s="29"/>
      <c r="G264" s="24"/>
      <c r="H264" s="24"/>
      <c r="I264" s="24"/>
      <c r="J264" s="24"/>
      <c r="K264" s="24"/>
      <c r="L264" s="26" t="str">
        <f aca="false">IF($B264="","",IFERROR(INDEX(ST_LOT,MATCH($B264,ST_ID,0)),""))</f>
        <v/>
      </c>
      <c r="M264" s="26" t="str">
        <f aca="false">IF($B264="","",IFERROR(INDEX(ST_STRAIT,MATCH($B264,ST_ID,0)),""))</f>
        <v/>
      </c>
      <c r="N264" s="26" t="str">
        <f aca="false">IF($B264="","",IF($E264="",$L264,$E264))</f>
        <v/>
      </c>
      <c r="O264" s="26" t="str">
        <f aca="false">IF($J264="","",IFERROR(INDEX(EMPL_CLASSE,MATCH($J264,EMPL_KEY,0)),"?"))</f>
        <v/>
      </c>
      <c r="P264" s="28" t="n">
        <f aca="false">IF($B264="",0,IF(OR(ISNA(MATCH($B264,ST_ID,0)),NOT(ISNUMBER($F264)),$F264&lt;=0,$J264="",$N264=""),0,1))</f>
        <v>0</v>
      </c>
      <c r="Q264" s="27" t="n">
        <f aca="false">IF($P264=0,0,$F264)</f>
        <v>0</v>
      </c>
      <c r="R264" s="26" t="str">
        <f aca="false">IF($B264="","",IFERROR(INDEX(ST_STATUT,MATCH($B264,ST_ID,0)),""))</f>
        <v/>
      </c>
      <c r="S264" s="26" t="str">
        <f aca="false">IF($B264="","",IF($P264=0,"DONNEES MANQUANTES",IF(OR($R264="DONNEES MANQUANTES",$R264="STOCK INSUFFISANT",$R264="EMPLACEMENT INCOHERENT",$R264="BLOQUE"),"BLOQUE","OK")))</f>
        <v/>
      </c>
      <c r="T264" s="28" t="n">
        <f aca="false">IF($S264="OK",1,0)</f>
        <v>0</v>
      </c>
      <c r="U264" s="26" t="str">
        <f aca="false">IF($B264="","",IF($P264=0,"A COMPLETER : "&amp;IF(ISNA(MATCH($B264,ST_ID,0)),"ID ST valide; ","")&amp;IF(OR(NOT(ISNUMBER($F264)),$F264&lt;=0),"QUANTITE &gt; 0; ","")&amp;IF($J264="","EMPL. DESTINATION; ",""),IF($S264="BLOQUE","Envoi parent en anomalie ("&amp;$R264&amp;") : corriger l'onglet SOUS_TRAITANCE.",IF(AND($E264&lt;&gt;"",ISNA(MATCH($E264,LOT_KEY,0))),"Creer la fiche du lot resultat dans l'onglet LOTS.",""))))</f>
        <v/>
      </c>
      <c r="V264" s="31" t="str">
        <f aca="false">IF($B264="","",IF($C264&lt;&gt;"",$C264,IFERROR(INDEX(ST_DATERET,MATCH($B264,ST_ID,0)),"")))</f>
        <v/>
      </c>
      <c r="W264" s="26" t="str">
        <f aca="false">IF($P264=0,"",IF($L264=R_LOT,IF($N264&lt;&gt;R_LOT,$N264,""),IF($N264=R_LOT,$L264,"")))</f>
        <v/>
      </c>
      <c r="X264" s="26" t="str">
        <f aca="false">IF($W264="","",IF(COUNTIF($W$4:$W263,$W264)&gt;0,"",COUNT($X$4:$X263)+1))</f>
        <v/>
      </c>
      <c r="Y264" s="26" t="n">
        <f aca="false">IF($P264=0,0,IF(OR($L264=R_LOT,$N264=R_LOT),1,0))</f>
        <v>0</v>
      </c>
      <c r="Z264" s="26" t="str">
        <f aca="false">IF($Y264=0,"",COUNTIF($Y$5:$Y264,1))</f>
        <v/>
      </c>
    </row>
    <row r="265" customFormat="false" ht="15" hidden="false" customHeight="false" outlineLevel="0" collapsed="false">
      <c r="A265" s="26" t="str">
        <f aca="false">IF($B265="","","RES-"&amp;TEXT(ROW()-4,"000"))</f>
        <v/>
      </c>
      <c r="B265" s="24"/>
      <c r="C265" s="25"/>
      <c r="D265" s="24"/>
      <c r="E265" s="24"/>
      <c r="F265" s="29"/>
      <c r="G265" s="24"/>
      <c r="H265" s="24"/>
      <c r="I265" s="24"/>
      <c r="J265" s="24"/>
      <c r="K265" s="24"/>
      <c r="L265" s="26" t="str">
        <f aca="false">IF($B265="","",IFERROR(INDEX(ST_LOT,MATCH($B265,ST_ID,0)),""))</f>
        <v/>
      </c>
      <c r="M265" s="26" t="str">
        <f aca="false">IF($B265="","",IFERROR(INDEX(ST_STRAIT,MATCH($B265,ST_ID,0)),""))</f>
        <v/>
      </c>
      <c r="N265" s="26" t="str">
        <f aca="false">IF($B265="","",IF($E265="",$L265,$E265))</f>
        <v/>
      </c>
      <c r="O265" s="26" t="str">
        <f aca="false">IF($J265="","",IFERROR(INDEX(EMPL_CLASSE,MATCH($J265,EMPL_KEY,0)),"?"))</f>
        <v/>
      </c>
      <c r="P265" s="28" t="n">
        <f aca="false">IF($B265="",0,IF(OR(ISNA(MATCH($B265,ST_ID,0)),NOT(ISNUMBER($F265)),$F265&lt;=0,$J265="",$N265=""),0,1))</f>
        <v>0</v>
      </c>
      <c r="Q265" s="27" t="n">
        <f aca="false">IF($P265=0,0,$F265)</f>
        <v>0</v>
      </c>
      <c r="R265" s="26" t="str">
        <f aca="false">IF($B265="","",IFERROR(INDEX(ST_STATUT,MATCH($B265,ST_ID,0)),""))</f>
        <v/>
      </c>
      <c r="S265" s="26" t="str">
        <f aca="false">IF($B265="","",IF($P265=0,"DONNEES MANQUANTES",IF(OR($R265="DONNEES MANQUANTES",$R265="STOCK INSUFFISANT",$R265="EMPLACEMENT INCOHERENT",$R265="BLOQUE"),"BLOQUE","OK")))</f>
        <v/>
      </c>
      <c r="T265" s="28" t="n">
        <f aca="false">IF($S265="OK",1,0)</f>
        <v>0</v>
      </c>
      <c r="U265" s="26" t="str">
        <f aca="false">IF($B265="","",IF($P265=0,"A COMPLETER : "&amp;IF(ISNA(MATCH($B265,ST_ID,0)),"ID ST valide; ","")&amp;IF(OR(NOT(ISNUMBER($F265)),$F265&lt;=0),"QUANTITE &gt; 0; ","")&amp;IF($J265="","EMPL. DESTINATION; ",""),IF($S265="BLOQUE","Envoi parent en anomalie ("&amp;$R265&amp;") : corriger l'onglet SOUS_TRAITANCE.",IF(AND($E265&lt;&gt;"",ISNA(MATCH($E265,LOT_KEY,0))),"Creer la fiche du lot resultat dans l'onglet LOTS.",""))))</f>
        <v/>
      </c>
      <c r="V265" s="31" t="str">
        <f aca="false">IF($B265="","",IF($C265&lt;&gt;"",$C265,IFERROR(INDEX(ST_DATERET,MATCH($B265,ST_ID,0)),"")))</f>
        <v/>
      </c>
      <c r="W265" s="26" t="str">
        <f aca="false">IF($P265=0,"",IF($L265=R_LOT,IF($N265&lt;&gt;R_LOT,$N265,""),IF($N265=R_LOT,$L265,"")))</f>
        <v/>
      </c>
      <c r="X265" s="26" t="str">
        <f aca="false">IF($W265="","",IF(COUNTIF($W$4:$W264,$W265)&gt;0,"",COUNT($X$4:$X264)+1))</f>
        <v/>
      </c>
      <c r="Y265" s="26" t="n">
        <f aca="false">IF($P265=0,0,IF(OR($L265=R_LOT,$N265=R_LOT),1,0))</f>
        <v>0</v>
      </c>
      <c r="Z265" s="26" t="str">
        <f aca="false">IF($Y265=0,"",COUNTIF($Y$5:$Y265,1))</f>
        <v/>
      </c>
    </row>
    <row r="266" customFormat="false" ht="15" hidden="false" customHeight="false" outlineLevel="0" collapsed="false">
      <c r="A266" s="26" t="str">
        <f aca="false">IF($B266="","","RES-"&amp;TEXT(ROW()-4,"000"))</f>
        <v/>
      </c>
      <c r="B266" s="24"/>
      <c r="C266" s="25"/>
      <c r="D266" s="24"/>
      <c r="E266" s="24"/>
      <c r="F266" s="29"/>
      <c r="G266" s="24"/>
      <c r="H266" s="24"/>
      <c r="I266" s="24"/>
      <c r="J266" s="24"/>
      <c r="K266" s="24"/>
      <c r="L266" s="26" t="str">
        <f aca="false">IF($B266="","",IFERROR(INDEX(ST_LOT,MATCH($B266,ST_ID,0)),""))</f>
        <v/>
      </c>
      <c r="M266" s="26" t="str">
        <f aca="false">IF($B266="","",IFERROR(INDEX(ST_STRAIT,MATCH($B266,ST_ID,0)),""))</f>
        <v/>
      </c>
      <c r="N266" s="26" t="str">
        <f aca="false">IF($B266="","",IF($E266="",$L266,$E266))</f>
        <v/>
      </c>
      <c r="O266" s="26" t="str">
        <f aca="false">IF($J266="","",IFERROR(INDEX(EMPL_CLASSE,MATCH($J266,EMPL_KEY,0)),"?"))</f>
        <v/>
      </c>
      <c r="P266" s="28" t="n">
        <f aca="false">IF($B266="",0,IF(OR(ISNA(MATCH($B266,ST_ID,0)),NOT(ISNUMBER($F266)),$F266&lt;=0,$J266="",$N266=""),0,1))</f>
        <v>0</v>
      </c>
      <c r="Q266" s="27" t="n">
        <f aca="false">IF($P266=0,0,$F266)</f>
        <v>0</v>
      </c>
      <c r="R266" s="26" t="str">
        <f aca="false">IF($B266="","",IFERROR(INDEX(ST_STATUT,MATCH($B266,ST_ID,0)),""))</f>
        <v/>
      </c>
      <c r="S266" s="26" t="str">
        <f aca="false">IF($B266="","",IF($P266=0,"DONNEES MANQUANTES",IF(OR($R266="DONNEES MANQUANTES",$R266="STOCK INSUFFISANT",$R266="EMPLACEMENT INCOHERENT",$R266="BLOQUE"),"BLOQUE","OK")))</f>
        <v/>
      </c>
      <c r="T266" s="28" t="n">
        <f aca="false">IF($S266="OK",1,0)</f>
        <v>0</v>
      </c>
      <c r="U266" s="26" t="str">
        <f aca="false">IF($B266="","",IF($P266=0,"A COMPLETER : "&amp;IF(ISNA(MATCH($B266,ST_ID,0)),"ID ST valide; ","")&amp;IF(OR(NOT(ISNUMBER($F266)),$F266&lt;=0),"QUANTITE &gt; 0; ","")&amp;IF($J266="","EMPL. DESTINATION; ",""),IF($S266="BLOQUE","Envoi parent en anomalie ("&amp;$R266&amp;") : corriger l'onglet SOUS_TRAITANCE.",IF(AND($E266&lt;&gt;"",ISNA(MATCH($E266,LOT_KEY,0))),"Creer la fiche du lot resultat dans l'onglet LOTS.",""))))</f>
        <v/>
      </c>
      <c r="V266" s="31" t="str">
        <f aca="false">IF($B266="","",IF($C266&lt;&gt;"",$C266,IFERROR(INDEX(ST_DATERET,MATCH($B266,ST_ID,0)),"")))</f>
        <v/>
      </c>
      <c r="W266" s="26" t="str">
        <f aca="false">IF($P266=0,"",IF($L266=R_LOT,IF($N266&lt;&gt;R_LOT,$N266,""),IF($N266=R_LOT,$L266,"")))</f>
        <v/>
      </c>
      <c r="X266" s="26" t="str">
        <f aca="false">IF($W266="","",IF(COUNTIF($W$4:$W265,$W266)&gt;0,"",COUNT($X$4:$X265)+1))</f>
        <v/>
      </c>
      <c r="Y266" s="26" t="n">
        <f aca="false">IF($P266=0,0,IF(OR($L266=R_LOT,$N266=R_LOT),1,0))</f>
        <v>0</v>
      </c>
      <c r="Z266" s="26" t="str">
        <f aca="false">IF($Y266=0,"",COUNTIF($Y$5:$Y266,1))</f>
        <v/>
      </c>
    </row>
    <row r="267" customFormat="false" ht="15" hidden="false" customHeight="false" outlineLevel="0" collapsed="false">
      <c r="A267" s="26" t="str">
        <f aca="false">IF($B267="","","RES-"&amp;TEXT(ROW()-4,"000"))</f>
        <v/>
      </c>
      <c r="B267" s="24"/>
      <c r="C267" s="25"/>
      <c r="D267" s="24"/>
      <c r="E267" s="24"/>
      <c r="F267" s="29"/>
      <c r="G267" s="24"/>
      <c r="H267" s="24"/>
      <c r="I267" s="24"/>
      <c r="J267" s="24"/>
      <c r="K267" s="24"/>
      <c r="L267" s="26" t="str">
        <f aca="false">IF($B267="","",IFERROR(INDEX(ST_LOT,MATCH($B267,ST_ID,0)),""))</f>
        <v/>
      </c>
      <c r="M267" s="26" t="str">
        <f aca="false">IF($B267="","",IFERROR(INDEX(ST_STRAIT,MATCH($B267,ST_ID,0)),""))</f>
        <v/>
      </c>
      <c r="N267" s="26" t="str">
        <f aca="false">IF($B267="","",IF($E267="",$L267,$E267))</f>
        <v/>
      </c>
      <c r="O267" s="26" t="str">
        <f aca="false">IF($J267="","",IFERROR(INDEX(EMPL_CLASSE,MATCH($J267,EMPL_KEY,0)),"?"))</f>
        <v/>
      </c>
      <c r="P267" s="28" t="n">
        <f aca="false">IF($B267="",0,IF(OR(ISNA(MATCH($B267,ST_ID,0)),NOT(ISNUMBER($F267)),$F267&lt;=0,$J267="",$N267=""),0,1))</f>
        <v>0</v>
      </c>
      <c r="Q267" s="27" t="n">
        <f aca="false">IF($P267=0,0,$F267)</f>
        <v>0</v>
      </c>
      <c r="R267" s="26" t="str">
        <f aca="false">IF($B267="","",IFERROR(INDEX(ST_STATUT,MATCH($B267,ST_ID,0)),""))</f>
        <v/>
      </c>
      <c r="S267" s="26" t="str">
        <f aca="false">IF($B267="","",IF($P267=0,"DONNEES MANQUANTES",IF(OR($R267="DONNEES MANQUANTES",$R267="STOCK INSUFFISANT",$R267="EMPLACEMENT INCOHERENT",$R267="BLOQUE"),"BLOQUE","OK")))</f>
        <v/>
      </c>
      <c r="T267" s="28" t="n">
        <f aca="false">IF($S267="OK",1,0)</f>
        <v>0</v>
      </c>
      <c r="U267" s="26" t="str">
        <f aca="false">IF($B267="","",IF($P267=0,"A COMPLETER : "&amp;IF(ISNA(MATCH($B267,ST_ID,0)),"ID ST valide; ","")&amp;IF(OR(NOT(ISNUMBER($F267)),$F267&lt;=0),"QUANTITE &gt; 0; ","")&amp;IF($J267="","EMPL. DESTINATION; ",""),IF($S267="BLOQUE","Envoi parent en anomalie ("&amp;$R267&amp;") : corriger l'onglet SOUS_TRAITANCE.",IF(AND($E267&lt;&gt;"",ISNA(MATCH($E267,LOT_KEY,0))),"Creer la fiche du lot resultat dans l'onglet LOTS.",""))))</f>
        <v/>
      </c>
      <c r="V267" s="31" t="str">
        <f aca="false">IF($B267="","",IF($C267&lt;&gt;"",$C267,IFERROR(INDEX(ST_DATERET,MATCH($B267,ST_ID,0)),"")))</f>
        <v/>
      </c>
      <c r="W267" s="26" t="str">
        <f aca="false">IF($P267=0,"",IF($L267=R_LOT,IF($N267&lt;&gt;R_LOT,$N267,""),IF($N267=R_LOT,$L267,"")))</f>
        <v/>
      </c>
      <c r="X267" s="26" t="str">
        <f aca="false">IF($W267="","",IF(COUNTIF($W$4:$W266,$W267)&gt;0,"",COUNT($X$4:$X266)+1))</f>
        <v/>
      </c>
      <c r="Y267" s="26" t="n">
        <f aca="false">IF($P267=0,0,IF(OR($L267=R_LOT,$N267=R_LOT),1,0))</f>
        <v>0</v>
      </c>
      <c r="Z267" s="26" t="str">
        <f aca="false">IF($Y267=0,"",COUNTIF($Y$5:$Y267,1))</f>
        <v/>
      </c>
    </row>
    <row r="268" customFormat="false" ht="15" hidden="false" customHeight="false" outlineLevel="0" collapsed="false">
      <c r="A268" s="26" t="str">
        <f aca="false">IF($B268="","","RES-"&amp;TEXT(ROW()-4,"000"))</f>
        <v/>
      </c>
      <c r="B268" s="24"/>
      <c r="C268" s="25"/>
      <c r="D268" s="24"/>
      <c r="E268" s="24"/>
      <c r="F268" s="29"/>
      <c r="G268" s="24"/>
      <c r="H268" s="24"/>
      <c r="I268" s="24"/>
      <c r="J268" s="24"/>
      <c r="K268" s="24"/>
      <c r="L268" s="26" t="str">
        <f aca="false">IF($B268="","",IFERROR(INDEX(ST_LOT,MATCH($B268,ST_ID,0)),""))</f>
        <v/>
      </c>
      <c r="M268" s="26" t="str">
        <f aca="false">IF($B268="","",IFERROR(INDEX(ST_STRAIT,MATCH($B268,ST_ID,0)),""))</f>
        <v/>
      </c>
      <c r="N268" s="26" t="str">
        <f aca="false">IF($B268="","",IF($E268="",$L268,$E268))</f>
        <v/>
      </c>
      <c r="O268" s="26" t="str">
        <f aca="false">IF($J268="","",IFERROR(INDEX(EMPL_CLASSE,MATCH($J268,EMPL_KEY,0)),"?"))</f>
        <v/>
      </c>
      <c r="P268" s="28" t="n">
        <f aca="false">IF($B268="",0,IF(OR(ISNA(MATCH($B268,ST_ID,0)),NOT(ISNUMBER($F268)),$F268&lt;=0,$J268="",$N268=""),0,1))</f>
        <v>0</v>
      </c>
      <c r="Q268" s="27" t="n">
        <f aca="false">IF($P268=0,0,$F268)</f>
        <v>0</v>
      </c>
      <c r="R268" s="26" t="str">
        <f aca="false">IF($B268="","",IFERROR(INDEX(ST_STATUT,MATCH($B268,ST_ID,0)),""))</f>
        <v/>
      </c>
      <c r="S268" s="26" t="str">
        <f aca="false">IF($B268="","",IF($P268=0,"DONNEES MANQUANTES",IF(OR($R268="DONNEES MANQUANTES",$R268="STOCK INSUFFISANT",$R268="EMPLACEMENT INCOHERENT",$R268="BLOQUE"),"BLOQUE","OK")))</f>
        <v/>
      </c>
      <c r="T268" s="28" t="n">
        <f aca="false">IF($S268="OK",1,0)</f>
        <v>0</v>
      </c>
      <c r="U268" s="26" t="str">
        <f aca="false">IF($B268="","",IF($P268=0,"A COMPLETER : "&amp;IF(ISNA(MATCH($B268,ST_ID,0)),"ID ST valide; ","")&amp;IF(OR(NOT(ISNUMBER($F268)),$F268&lt;=0),"QUANTITE &gt; 0; ","")&amp;IF($J268="","EMPL. DESTINATION; ",""),IF($S268="BLOQUE","Envoi parent en anomalie ("&amp;$R268&amp;") : corriger l'onglet SOUS_TRAITANCE.",IF(AND($E268&lt;&gt;"",ISNA(MATCH($E268,LOT_KEY,0))),"Creer la fiche du lot resultat dans l'onglet LOTS.",""))))</f>
        <v/>
      </c>
      <c r="V268" s="31" t="str">
        <f aca="false">IF($B268="","",IF($C268&lt;&gt;"",$C268,IFERROR(INDEX(ST_DATERET,MATCH($B268,ST_ID,0)),"")))</f>
        <v/>
      </c>
      <c r="W268" s="26" t="str">
        <f aca="false">IF($P268=0,"",IF($L268=R_LOT,IF($N268&lt;&gt;R_LOT,$N268,""),IF($N268=R_LOT,$L268,"")))</f>
        <v/>
      </c>
      <c r="X268" s="26" t="str">
        <f aca="false">IF($W268="","",IF(COUNTIF($W$4:$W267,$W268)&gt;0,"",COUNT($X$4:$X267)+1))</f>
        <v/>
      </c>
      <c r="Y268" s="26" t="n">
        <f aca="false">IF($P268=0,0,IF(OR($L268=R_LOT,$N268=R_LOT),1,0))</f>
        <v>0</v>
      </c>
      <c r="Z268" s="26" t="str">
        <f aca="false">IF($Y268=0,"",COUNTIF($Y$5:$Y268,1))</f>
        <v/>
      </c>
    </row>
    <row r="269" customFormat="false" ht="15" hidden="false" customHeight="false" outlineLevel="0" collapsed="false">
      <c r="A269" s="26" t="str">
        <f aca="false">IF($B269="","","RES-"&amp;TEXT(ROW()-4,"000"))</f>
        <v/>
      </c>
      <c r="B269" s="24"/>
      <c r="C269" s="25"/>
      <c r="D269" s="24"/>
      <c r="E269" s="24"/>
      <c r="F269" s="29"/>
      <c r="G269" s="24"/>
      <c r="H269" s="24"/>
      <c r="I269" s="24"/>
      <c r="J269" s="24"/>
      <c r="K269" s="24"/>
      <c r="L269" s="26" t="str">
        <f aca="false">IF($B269="","",IFERROR(INDEX(ST_LOT,MATCH($B269,ST_ID,0)),""))</f>
        <v/>
      </c>
      <c r="M269" s="26" t="str">
        <f aca="false">IF($B269="","",IFERROR(INDEX(ST_STRAIT,MATCH($B269,ST_ID,0)),""))</f>
        <v/>
      </c>
      <c r="N269" s="26" t="str">
        <f aca="false">IF($B269="","",IF($E269="",$L269,$E269))</f>
        <v/>
      </c>
      <c r="O269" s="26" t="str">
        <f aca="false">IF($J269="","",IFERROR(INDEX(EMPL_CLASSE,MATCH($J269,EMPL_KEY,0)),"?"))</f>
        <v/>
      </c>
      <c r="P269" s="28" t="n">
        <f aca="false">IF($B269="",0,IF(OR(ISNA(MATCH($B269,ST_ID,0)),NOT(ISNUMBER($F269)),$F269&lt;=0,$J269="",$N269=""),0,1))</f>
        <v>0</v>
      </c>
      <c r="Q269" s="27" t="n">
        <f aca="false">IF($P269=0,0,$F269)</f>
        <v>0</v>
      </c>
      <c r="R269" s="26" t="str">
        <f aca="false">IF($B269="","",IFERROR(INDEX(ST_STATUT,MATCH($B269,ST_ID,0)),""))</f>
        <v/>
      </c>
      <c r="S269" s="26" t="str">
        <f aca="false">IF($B269="","",IF($P269=0,"DONNEES MANQUANTES",IF(OR($R269="DONNEES MANQUANTES",$R269="STOCK INSUFFISANT",$R269="EMPLACEMENT INCOHERENT",$R269="BLOQUE"),"BLOQUE","OK")))</f>
        <v/>
      </c>
      <c r="T269" s="28" t="n">
        <f aca="false">IF($S269="OK",1,0)</f>
        <v>0</v>
      </c>
      <c r="U269" s="26" t="str">
        <f aca="false">IF($B269="","",IF($P269=0,"A COMPLETER : "&amp;IF(ISNA(MATCH($B269,ST_ID,0)),"ID ST valide; ","")&amp;IF(OR(NOT(ISNUMBER($F269)),$F269&lt;=0),"QUANTITE &gt; 0; ","")&amp;IF($J269="","EMPL. DESTINATION; ",""),IF($S269="BLOQUE","Envoi parent en anomalie ("&amp;$R269&amp;") : corriger l'onglet SOUS_TRAITANCE.",IF(AND($E269&lt;&gt;"",ISNA(MATCH($E269,LOT_KEY,0))),"Creer la fiche du lot resultat dans l'onglet LOTS.",""))))</f>
        <v/>
      </c>
      <c r="V269" s="31" t="str">
        <f aca="false">IF($B269="","",IF($C269&lt;&gt;"",$C269,IFERROR(INDEX(ST_DATERET,MATCH($B269,ST_ID,0)),"")))</f>
        <v/>
      </c>
      <c r="W269" s="26" t="str">
        <f aca="false">IF($P269=0,"",IF($L269=R_LOT,IF($N269&lt;&gt;R_LOT,$N269,""),IF($N269=R_LOT,$L269,"")))</f>
        <v/>
      </c>
      <c r="X269" s="26" t="str">
        <f aca="false">IF($W269="","",IF(COUNTIF($W$4:$W268,$W269)&gt;0,"",COUNT($X$4:$X268)+1))</f>
        <v/>
      </c>
      <c r="Y269" s="26" t="n">
        <f aca="false">IF($P269=0,0,IF(OR($L269=R_LOT,$N269=R_LOT),1,0))</f>
        <v>0</v>
      </c>
      <c r="Z269" s="26" t="str">
        <f aca="false">IF($Y269=0,"",COUNTIF($Y$5:$Y269,1))</f>
        <v/>
      </c>
    </row>
    <row r="270" customFormat="false" ht="15" hidden="false" customHeight="false" outlineLevel="0" collapsed="false">
      <c r="A270" s="26" t="str">
        <f aca="false">IF($B270="","","RES-"&amp;TEXT(ROW()-4,"000"))</f>
        <v/>
      </c>
      <c r="B270" s="24"/>
      <c r="C270" s="25"/>
      <c r="D270" s="24"/>
      <c r="E270" s="24"/>
      <c r="F270" s="29"/>
      <c r="G270" s="24"/>
      <c r="H270" s="24"/>
      <c r="I270" s="24"/>
      <c r="J270" s="24"/>
      <c r="K270" s="24"/>
      <c r="L270" s="26" t="str">
        <f aca="false">IF($B270="","",IFERROR(INDEX(ST_LOT,MATCH($B270,ST_ID,0)),""))</f>
        <v/>
      </c>
      <c r="M270" s="26" t="str">
        <f aca="false">IF($B270="","",IFERROR(INDEX(ST_STRAIT,MATCH($B270,ST_ID,0)),""))</f>
        <v/>
      </c>
      <c r="N270" s="26" t="str">
        <f aca="false">IF($B270="","",IF($E270="",$L270,$E270))</f>
        <v/>
      </c>
      <c r="O270" s="26" t="str">
        <f aca="false">IF($J270="","",IFERROR(INDEX(EMPL_CLASSE,MATCH($J270,EMPL_KEY,0)),"?"))</f>
        <v/>
      </c>
      <c r="P270" s="28" t="n">
        <f aca="false">IF($B270="",0,IF(OR(ISNA(MATCH($B270,ST_ID,0)),NOT(ISNUMBER($F270)),$F270&lt;=0,$J270="",$N270=""),0,1))</f>
        <v>0</v>
      </c>
      <c r="Q270" s="27" t="n">
        <f aca="false">IF($P270=0,0,$F270)</f>
        <v>0</v>
      </c>
      <c r="R270" s="26" t="str">
        <f aca="false">IF($B270="","",IFERROR(INDEX(ST_STATUT,MATCH($B270,ST_ID,0)),""))</f>
        <v/>
      </c>
      <c r="S270" s="26" t="str">
        <f aca="false">IF($B270="","",IF($P270=0,"DONNEES MANQUANTES",IF(OR($R270="DONNEES MANQUANTES",$R270="STOCK INSUFFISANT",$R270="EMPLACEMENT INCOHERENT",$R270="BLOQUE"),"BLOQUE","OK")))</f>
        <v/>
      </c>
      <c r="T270" s="28" t="n">
        <f aca="false">IF($S270="OK",1,0)</f>
        <v>0</v>
      </c>
      <c r="U270" s="26" t="str">
        <f aca="false">IF($B270="","",IF($P270=0,"A COMPLETER : "&amp;IF(ISNA(MATCH($B270,ST_ID,0)),"ID ST valide; ","")&amp;IF(OR(NOT(ISNUMBER($F270)),$F270&lt;=0),"QUANTITE &gt; 0; ","")&amp;IF($J270="","EMPL. DESTINATION; ",""),IF($S270="BLOQUE","Envoi parent en anomalie ("&amp;$R270&amp;") : corriger l'onglet SOUS_TRAITANCE.",IF(AND($E270&lt;&gt;"",ISNA(MATCH($E270,LOT_KEY,0))),"Creer la fiche du lot resultat dans l'onglet LOTS.",""))))</f>
        <v/>
      </c>
      <c r="V270" s="31" t="str">
        <f aca="false">IF($B270="","",IF($C270&lt;&gt;"",$C270,IFERROR(INDEX(ST_DATERET,MATCH($B270,ST_ID,0)),"")))</f>
        <v/>
      </c>
      <c r="W270" s="26" t="str">
        <f aca="false">IF($P270=0,"",IF($L270=R_LOT,IF($N270&lt;&gt;R_LOT,$N270,""),IF($N270=R_LOT,$L270,"")))</f>
        <v/>
      </c>
      <c r="X270" s="26" t="str">
        <f aca="false">IF($W270="","",IF(COUNTIF($W$4:$W269,$W270)&gt;0,"",COUNT($X$4:$X269)+1))</f>
        <v/>
      </c>
      <c r="Y270" s="26" t="n">
        <f aca="false">IF($P270=0,0,IF(OR($L270=R_LOT,$N270=R_LOT),1,0))</f>
        <v>0</v>
      </c>
      <c r="Z270" s="26" t="str">
        <f aca="false">IF($Y270=0,"",COUNTIF($Y$5:$Y270,1))</f>
        <v/>
      </c>
    </row>
    <row r="271" customFormat="false" ht="15" hidden="false" customHeight="false" outlineLevel="0" collapsed="false">
      <c r="A271" s="26" t="str">
        <f aca="false">IF($B271="","","RES-"&amp;TEXT(ROW()-4,"000"))</f>
        <v/>
      </c>
      <c r="B271" s="24"/>
      <c r="C271" s="25"/>
      <c r="D271" s="24"/>
      <c r="E271" s="24"/>
      <c r="F271" s="29"/>
      <c r="G271" s="24"/>
      <c r="H271" s="24"/>
      <c r="I271" s="24"/>
      <c r="J271" s="24"/>
      <c r="K271" s="24"/>
      <c r="L271" s="26" t="str">
        <f aca="false">IF($B271="","",IFERROR(INDEX(ST_LOT,MATCH($B271,ST_ID,0)),""))</f>
        <v/>
      </c>
      <c r="M271" s="26" t="str">
        <f aca="false">IF($B271="","",IFERROR(INDEX(ST_STRAIT,MATCH($B271,ST_ID,0)),""))</f>
        <v/>
      </c>
      <c r="N271" s="26" t="str">
        <f aca="false">IF($B271="","",IF($E271="",$L271,$E271))</f>
        <v/>
      </c>
      <c r="O271" s="26" t="str">
        <f aca="false">IF($J271="","",IFERROR(INDEX(EMPL_CLASSE,MATCH($J271,EMPL_KEY,0)),"?"))</f>
        <v/>
      </c>
      <c r="P271" s="28" t="n">
        <f aca="false">IF($B271="",0,IF(OR(ISNA(MATCH($B271,ST_ID,0)),NOT(ISNUMBER($F271)),$F271&lt;=0,$J271="",$N271=""),0,1))</f>
        <v>0</v>
      </c>
      <c r="Q271" s="27" t="n">
        <f aca="false">IF($P271=0,0,$F271)</f>
        <v>0</v>
      </c>
      <c r="R271" s="26" t="str">
        <f aca="false">IF($B271="","",IFERROR(INDEX(ST_STATUT,MATCH($B271,ST_ID,0)),""))</f>
        <v/>
      </c>
      <c r="S271" s="26" t="str">
        <f aca="false">IF($B271="","",IF($P271=0,"DONNEES MANQUANTES",IF(OR($R271="DONNEES MANQUANTES",$R271="STOCK INSUFFISANT",$R271="EMPLACEMENT INCOHERENT",$R271="BLOQUE"),"BLOQUE","OK")))</f>
        <v/>
      </c>
      <c r="T271" s="28" t="n">
        <f aca="false">IF($S271="OK",1,0)</f>
        <v>0</v>
      </c>
      <c r="U271" s="26" t="str">
        <f aca="false">IF($B271="","",IF($P271=0,"A COMPLETER : "&amp;IF(ISNA(MATCH($B271,ST_ID,0)),"ID ST valide; ","")&amp;IF(OR(NOT(ISNUMBER($F271)),$F271&lt;=0),"QUANTITE &gt; 0; ","")&amp;IF($J271="","EMPL. DESTINATION; ",""),IF($S271="BLOQUE","Envoi parent en anomalie ("&amp;$R271&amp;") : corriger l'onglet SOUS_TRAITANCE.",IF(AND($E271&lt;&gt;"",ISNA(MATCH($E271,LOT_KEY,0))),"Creer la fiche du lot resultat dans l'onglet LOTS.",""))))</f>
        <v/>
      </c>
      <c r="V271" s="31" t="str">
        <f aca="false">IF($B271="","",IF($C271&lt;&gt;"",$C271,IFERROR(INDEX(ST_DATERET,MATCH($B271,ST_ID,0)),"")))</f>
        <v/>
      </c>
      <c r="W271" s="26" t="str">
        <f aca="false">IF($P271=0,"",IF($L271=R_LOT,IF($N271&lt;&gt;R_LOT,$N271,""),IF($N271=R_LOT,$L271,"")))</f>
        <v/>
      </c>
      <c r="X271" s="26" t="str">
        <f aca="false">IF($W271="","",IF(COUNTIF($W$4:$W270,$W271)&gt;0,"",COUNT($X$4:$X270)+1))</f>
        <v/>
      </c>
      <c r="Y271" s="26" t="n">
        <f aca="false">IF($P271=0,0,IF(OR($L271=R_LOT,$N271=R_LOT),1,0))</f>
        <v>0</v>
      </c>
      <c r="Z271" s="26" t="str">
        <f aca="false">IF($Y271=0,"",COUNTIF($Y$5:$Y271,1))</f>
        <v/>
      </c>
    </row>
    <row r="272" customFormat="false" ht="15" hidden="false" customHeight="false" outlineLevel="0" collapsed="false">
      <c r="A272" s="26" t="str">
        <f aca="false">IF($B272="","","RES-"&amp;TEXT(ROW()-4,"000"))</f>
        <v/>
      </c>
      <c r="B272" s="24"/>
      <c r="C272" s="25"/>
      <c r="D272" s="24"/>
      <c r="E272" s="24"/>
      <c r="F272" s="29"/>
      <c r="G272" s="24"/>
      <c r="H272" s="24"/>
      <c r="I272" s="24"/>
      <c r="J272" s="24"/>
      <c r="K272" s="24"/>
      <c r="L272" s="26" t="str">
        <f aca="false">IF($B272="","",IFERROR(INDEX(ST_LOT,MATCH($B272,ST_ID,0)),""))</f>
        <v/>
      </c>
      <c r="M272" s="26" t="str">
        <f aca="false">IF($B272="","",IFERROR(INDEX(ST_STRAIT,MATCH($B272,ST_ID,0)),""))</f>
        <v/>
      </c>
      <c r="N272" s="26" t="str">
        <f aca="false">IF($B272="","",IF($E272="",$L272,$E272))</f>
        <v/>
      </c>
      <c r="O272" s="26" t="str">
        <f aca="false">IF($J272="","",IFERROR(INDEX(EMPL_CLASSE,MATCH($J272,EMPL_KEY,0)),"?"))</f>
        <v/>
      </c>
      <c r="P272" s="28" t="n">
        <f aca="false">IF($B272="",0,IF(OR(ISNA(MATCH($B272,ST_ID,0)),NOT(ISNUMBER($F272)),$F272&lt;=0,$J272="",$N272=""),0,1))</f>
        <v>0</v>
      </c>
      <c r="Q272" s="27" t="n">
        <f aca="false">IF($P272=0,0,$F272)</f>
        <v>0</v>
      </c>
      <c r="R272" s="26" t="str">
        <f aca="false">IF($B272="","",IFERROR(INDEX(ST_STATUT,MATCH($B272,ST_ID,0)),""))</f>
        <v/>
      </c>
      <c r="S272" s="26" t="str">
        <f aca="false">IF($B272="","",IF($P272=0,"DONNEES MANQUANTES",IF(OR($R272="DONNEES MANQUANTES",$R272="STOCK INSUFFISANT",$R272="EMPLACEMENT INCOHERENT",$R272="BLOQUE"),"BLOQUE","OK")))</f>
        <v/>
      </c>
      <c r="T272" s="28" t="n">
        <f aca="false">IF($S272="OK",1,0)</f>
        <v>0</v>
      </c>
      <c r="U272" s="26" t="str">
        <f aca="false">IF($B272="","",IF($P272=0,"A COMPLETER : "&amp;IF(ISNA(MATCH($B272,ST_ID,0)),"ID ST valide; ","")&amp;IF(OR(NOT(ISNUMBER($F272)),$F272&lt;=0),"QUANTITE &gt; 0; ","")&amp;IF($J272="","EMPL. DESTINATION; ",""),IF($S272="BLOQUE","Envoi parent en anomalie ("&amp;$R272&amp;") : corriger l'onglet SOUS_TRAITANCE.",IF(AND($E272&lt;&gt;"",ISNA(MATCH($E272,LOT_KEY,0))),"Creer la fiche du lot resultat dans l'onglet LOTS.",""))))</f>
        <v/>
      </c>
      <c r="V272" s="31" t="str">
        <f aca="false">IF($B272="","",IF($C272&lt;&gt;"",$C272,IFERROR(INDEX(ST_DATERET,MATCH($B272,ST_ID,0)),"")))</f>
        <v/>
      </c>
      <c r="W272" s="26" t="str">
        <f aca="false">IF($P272=0,"",IF($L272=R_LOT,IF($N272&lt;&gt;R_LOT,$N272,""),IF($N272=R_LOT,$L272,"")))</f>
        <v/>
      </c>
      <c r="X272" s="26" t="str">
        <f aca="false">IF($W272="","",IF(COUNTIF($W$4:$W271,$W272)&gt;0,"",COUNT($X$4:$X271)+1))</f>
        <v/>
      </c>
      <c r="Y272" s="26" t="n">
        <f aca="false">IF($P272=0,0,IF(OR($L272=R_LOT,$N272=R_LOT),1,0))</f>
        <v>0</v>
      </c>
      <c r="Z272" s="26" t="str">
        <f aca="false">IF($Y272=0,"",COUNTIF($Y$5:$Y272,1))</f>
        <v/>
      </c>
    </row>
    <row r="273" customFormat="false" ht="15" hidden="false" customHeight="false" outlineLevel="0" collapsed="false">
      <c r="A273" s="26" t="str">
        <f aca="false">IF($B273="","","RES-"&amp;TEXT(ROW()-4,"000"))</f>
        <v/>
      </c>
      <c r="B273" s="24"/>
      <c r="C273" s="25"/>
      <c r="D273" s="24"/>
      <c r="E273" s="24"/>
      <c r="F273" s="29"/>
      <c r="G273" s="24"/>
      <c r="H273" s="24"/>
      <c r="I273" s="24"/>
      <c r="J273" s="24"/>
      <c r="K273" s="24"/>
      <c r="L273" s="26" t="str">
        <f aca="false">IF($B273="","",IFERROR(INDEX(ST_LOT,MATCH($B273,ST_ID,0)),""))</f>
        <v/>
      </c>
      <c r="M273" s="26" t="str">
        <f aca="false">IF($B273="","",IFERROR(INDEX(ST_STRAIT,MATCH($B273,ST_ID,0)),""))</f>
        <v/>
      </c>
      <c r="N273" s="26" t="str">
        <f aca="false">IF($B273="","",IF($E273="",$L273,$E273))</f>
        <v/>
      </c>
      <c r="O273" s="26" t="str">
        <f aca="false">IF($J273="","",IFERROR(INDEX(EMPL_CLASSE,MATCH($J273,EMPL_KEY,0)),"?"))</f>
        <v/>
      </c>
      <c r="P273" s="28" t="n">
        <f aca="false">IF($B273="",0,IF(OR(ISNA(MATCH($B273,ST_ID,0)),NOT(ISNUMBER($F273)),$F273&lt;=0,$J273="",$N273=""),0,1))</f>
        <v>0</v>
      </c>
      <c r="Q273" s="27" t="n">
        <f aca="false">IF($P273=0,0,$F273)</f>
        <v>0</v>
      </c>
      <c r="R273" s="26" t="str">
        <f aca="false">IF($B273="","",IFERROR(INDEX(ST_STATUT,MATCH($B273,ST_ID,0)),""))</f>
        <v/>
      </c>
      <c r="S273" s="26" t="str">
        <f aca="false">IF($B273="","",IF($P273=0,"DONNEES MANQUANTES",IF(OR($R273="DONNEES MANQUANTES",$R273="STOCK INSUFFISANT",$R273="EMPLACEMENT INCOHERENT",$R273="BLOQUE"),"BLOQUE","OK")))</f>
        <v/>
      </c>
      <c r="T273" s="28" t="n">
        <f aca="false">IF($S273="OK",1,0)</f>
        <v>0</v>
      </c>
      <c r="U273" s="26" t="str">
        <f aca="false">IF($B273="","",IF($P273=0,"A COMPLETER : "&amp;IF(ISNA(MATCH($B273,ST_ID,0)),"ID ST valide; ","")&amp;IF(OR(NOT(ISNUMBER($F273)),$F273&lt;=0),"QUANTITE &gt; 0; ","")&amp;IF($J273="","EMPL. DESTINATION; ",""),IF($S273="BLOQUE","Envoi parent en anomalie ("&amp;$R273&amp;") : corriger l'onglet SOUS_TRAITANCE.",IF(AND($E273&lt;&gt;"",ISNA(MATCH($E273,LOT_KEY,0))),"Creer la fiche du lot resultat dans l'onglet LOTS.",""))))</f>
        <v/>
      </c>
      <c r="V273" s="31" t="str">
        <f aca="false">IF($B273="","",IF($C273&lt;&gt;"",$C273,IFERROR(INDEX(ST_DATERET,MATCH($B273,ST_ID,0)),"")))</f>
        <v/>
      </c>
      <c r="W273" s="26" t="str">
        <f aca="false">IF($P273=0,"",IF($L273=R_LOT,IF($N273&lt;&gt;R_LOT,$N273,""),IF($N273=R_LOT,$L273,"")))</f>
        <v/>
      </c>
      <c r="X273" s="26" t="str">
        <f aca="false">IF($W273="","",IF(COUNTIF($W$4:$W272,$W273)&gt;0,"",COUNT($X$4:$X272)+1))</f>
        <v/>
      </c>
      <c r="Y273" s="26" t="n">
        <f aca="false">IF($P273=0,0,IF(OR($L273=R_LOT,$N273=R_LOT),1,0))</f>
        <v>0</v>
      </c>
      <c r="Z273" s="26" t="str">
        <f aca="false">IF($Y273=0,"",COUNTIF($Y$5:$Y273,1))</f>
        <v/>
      </c>
    </row>
    <row r="274" customFormat="false" ht="15" hidden="false" customHeight="false" outlineLevel="0" collapsed="false">
      <c r="A274" s="26" t="str">
        <f aca="false">IF($B274="","","RES-"&amp;TEXT(ROW()-4,"000"))</f>
        <v/>
      </c>
      <c r="B274" s="24"/>
      <c r="C274" s="25"/>
      <c r="D274" s="24"/>
      <c r="E274" s="24"/>
      <c r="F274" s="29"/>
      <c r="G274" s="24"/>
      <c r="H274" s="24"/>
      <c r="I274" s="24"/>
      <c r="J274" s="24"/>
      <c r="K274" s="24"/>
      <c r="L274" s="26" t="str">
        <f aca="false">IF($B274="","",IFERROR(INDEX(ST_LOT,MATCH($B274,ST_ID,0)),""))</f>
        <v/>
      </c>
      <c r="M274" s="26" t="str">
        <f aca="false">IF($B274="","",IFERROR(INDEX(ST_STRAIT,MATCH($B274,ST_ID,0)),""))</f>
        <v/>
      </c>
      <c r="N274" s="26" t="str">
        <f aca="false">IF($B274="","",IF($E274="",$L274,$E274))</f>
        <v/>
      </c>
      <c r="O274" s="26" t="str">
        <f aca="false">IF($J274="","",IFERROR(INDEX(EMPL_CLASSE,MATCH($J274,EMPL_KEY,0)),"?"))</f>
        <v/>
      </c>
      <c r="P274" s="28" t="n">
        <f aca="false">IF($B274="",0,IF(OR(ISNA(MATCH($B274,ST_ID,0)),NOT(ISNUMBER($F274)),$F274&lt;=0,$J274="",$N274=""),0,1))</f>
        <v>0</v>
      </c>
      <c r="Q274" s="27" t="n">
        <f aca="false">IF($P274=0,0,$F274)</f>
        <v>0</v>
      </c>
      <c r="R274" s="26" t="str">
        <f aca="false">IF($B274="","",IFERROR(INDEX(ST_STATUT,MATCH($B274,ST_ID,0)),""))</f>
        <v/>
      </c>
      <c r="S274" s="26" t="str">
        <f aca="false">IF($B274="","",IF($P274=0,"DONNEES MANQUANTES",IF(OR($R274="DONNEES MANQUANTES",$R274="STOCK INSUFFISANT",$R274="EMPLACEMENT INCOHERENT",$R274="BLOQUE"),"BLOQUE","OK")))</f>
        <v/>
      </c>
      <c r="T274" s="28" t="n">
        <f aca="false">IF($S274="OK",1,0)</f>
        <v>0</v>
      </c>
      <c r="U274" s="26" t="str">
        <f aca="false">IF($B274="","",IF($P274=0,"A COMPLETER : "&amp;IF(ISNA(MATCH($B274,ST_ID,0)),"ID ST valide; ","")&amp;IF(OR(NOT(ISNUMBER($F274)),$F274&lt;=0),"QUANTITE &gt; 0; ","")&amp;IF($J274="","EMPL. DESTINATION; ",""),IF($S274="BLOQUE","Envoi parent en anomalie ("&amp;$R274&amp;") : corriger l'onglet SOUS_TRAITANCE.",IF(AND($E274&lt;&gt;"",ISNA(MATCH($E274,LOT_KEY,0))),"Creer la fiche du lot resultat dans l'onglet LOTS.",""))))</f>
        <v/>
      </c>
      <c r="V274" s="31" t="str">
        <f aca="false">IF($B274="","",IF($C274&lt;&gt;"",$C274,IFERROR(INDEX(ST_DATERET,MATCH($B274,ST_ID,0)),"")))</f>
        <v/>
      </c>
      <c r="W274" s="26" t="str">
        <f aca="false">IF($P274=0,"",IF($L274=R_LOT,IF($N274&lt;&gt;R_LOT,$N274,""),IF($N274=R_LOT,$L274,"")))</f>
        <v/>
      </c>
      <c r="X274" s="26" t="str">
        <f aca="false">IF($W274="","",IF(COUNTIF($W$4:$W273,$W274)&gt;0,"",COUNT($X$4:$X273)+1))</f>
        <v/>
      </c>
      <c r="Y274" s="26" t="n">
        <f aca="false">IF($P274=0,0,IF(OR($L274=R_LOT,$N274=R_LOT),1,0))</f>
        <v>0</v>
      </c>
      <c r="Z274" s="26" t="str">
        <f aca="false">IF($Y274=0,"",COUNTIF($Y$5:$Y274,1))</f>
        <v/>
      </c>
    </row>
    <row r="275" customFormat="false" ht="15" hidden="false" customHeight="false" outlineLevel="0" collapsed="false">
      <c r="A275" s="26" t="str">
        <f aca="false">IF($B275="","","RES-"&amp;TEXT(ROW()-4,"000"))</f>
        <v/>
      </c>
      <c r="B275" s="24"/>
      <c r="C275" s="25"/>
      <c r="D275" s="24"/>
      <c r="E275" s="24"/>
      <c r="F275" s="29"/>
      <c r="G275" s="24"/>
      <c r="H275" s="24"/>
      <c r="I275" s="24"/>
      <c r="J275" s="24"/>
      <c r="K275" s="24"/>
      <c r="L275" s="26" t="str">
        <f aca="false">IF($B275="","",IFERROR(INDEX(ST_LOT,MATCH($B275,ST_ID,0)),""))</f>
        <v/>
      </c>
      <c r="M275" s="26" t="str">
        <f aca="false">IF($B275="","",IFERROR(INDEX(ST_STRAIT,MATCH($B275,ST_ID,0)),""))</f>
        <v/>
      </c>
      <c r="N275" s="26" t="str">
        <f aca="false">IF($B275="","",IF($E275="",$L275,$E275))</f>
        <v/>
      </c>
      <c r="O275" s="26" t="str">
        <f aca="false">IF($J275="","",IFERROR(INDEX(EMPL_CLASSE,MATCH($J275,EMPL_KEY,0)),"?"))</f>
        <v/>
      </c>
      <c r="P275" s="28" t="n">
        <f aca="false">IF($B275="",0,IF(OR(ISNA(MATCH($B275,ST_ID,0)),NOT(ISNUMBER($F275)),$F275&lt;=0,$J275="",$N275=""),0,1))</f>
        <v>0</v>
      </c>
      <c r="Q275" s="27" t="n">
        <f aca="false">IF($P275=0,0,$F275)</f>
        <v>0</v>
      </c>
      <c r="R275" s="26" t="str">
        <f aca="false">IF($B275="","",IFERROR(INDEX(ST_STATUT,MATCH($B275,ST_ID,0)),""))</f>
        <v/>
      </c>
      <c r="S275" s="26" t="str">
        <f aca="false">IF($B275="","",IF($P275=0,"DONNEES MANQUANTES",IF(OR($R275="DONNEES MANQUANTES",$R275="STOCK INSUFFISANT",$R275="EMPLACEMENT INCOHERENT",$R275="BLOQUE"),"BLOQUE","OK")))</f>
        <v/>
      </c>
      <c r="T275" s="28" t="n">
        <f aca="false">IF($S275="OK",1,0)</f>
        <v>0</v>
      </c>
      <c r="U275" s="26" t="str">
        <f aca="false">IF($B275="","",IF($P275=0,"A COMPLETER : "&amp;IF(ISNA(MATCH($B275,ST_ID,0)),"ID ST valide; ","")&amp;IF(OR(NOT(ISNUMBER($F275)),$F275&lt;=0),"QUANTITE &gt; 0; ","")&amp;IF($J275="","EMPL. DESTINATION; ",""),IF($S275="BLOQUE","Envoi parent en anomalie ("&amp;$R275&amp;") : corriger l'onglet SOUS_TRAITANCE.",IF(AND($E275&lt;&gt;"",ISNA(MATCH($E275,LOT_KEY,0))),"Creer la fiche du lot resultat dans l'onglet LOTS.",""))))</f>
        <v/>
      </c>
      <c r="V275" s="31" t="str">
        <f aca="false">IF($B275="","",IF($C275&lt;&gt;"",$C275,IFERROR(INDEX(ST_DATERET,MATCH($B275,ST_ID,0)),"")))</f>
        <v/>
      </c>
      <c r="W275" s="26" t="str">
        <f aca="false">IF($P275=0,"",IF($L275=R_LOT,IF($N275&lt;&gt;R_LOT,$N275,""),IF($N275=R_LOT,$L275,"")))</f>
        <v/>
      </c>
      <c r="X275" s="26" t="str">
        <f aca="false">IF($W275="","",IF(COUNTIF($W$4:$W274,$W275)&gt;0,"",COUNT($X$4:$X274)+1))</f>
        <v/>
      </c>
      <c r="Y275" s="26" t="n">
        <f aca="false">IF($P275=0,0,IF(OR($L275=R_LOT,$N275=R_LOT),1,0))</f>
        <v>0</v>
      </c>
      <c r="Z275" s="26" t="str">
        <f aca="false">IF($Y275=0,"",COUNTIF($Y$5:$Y275,1))</f>
        <v/>
      </c>
    </row>
    <row r="276" customFormat="false" ht="15" hidden="false" customHeight="false" outlineLevel="0" collapsed="false">
      <c r="A276" s="26" t="str">
        <f aca="false">IF($B276="","","RES-"&amp;TEXT(ROW()-4,"000"))</f>
        <v/>
      </c>
      <c r="B276" s="24"/>
      <c r="C276" s="25"/>
      <c r="D276" s="24"/>
      <c r="E276" s="24"/>
      <c r="F276" s="29"/>
      <c r="G276" s="24"/>
      <c r="H276" s="24"/>
      <c r="I276" s="24"/>
      <c r="J276" s="24"/>
      <c r="K276" s="24"/>
      <c r="L276" s="26" t="str">
        <f aca="false">IF($B276="","",IFERROR(INDEX(ST_LOT,MATCH($B276,ST_ID,0)),""))</f>
        <v/>
      </c>
      <c r="M276" s="26" t="str">
        <f aca="false">IF($B276="","",IFERROR(INDEX(ST_STRAIT,MATCH($B276,ST_ID,0)),""))</f>
        <v/>
      </c>
      <c r="N276" s="26" t="str">
        <f aca="false">IF($B276="","",IF($E276="",$L276,$E276))</f>
        <v/>
      </c>
      <c r="O276" s="26" t="str">
        <f aca="false">IF($J276="","",IFERROR(INDEX(EMPL_CLASSE,MATCH($J276,EMPL_KEY,0)),"?"))</f>
        <v/>
      </c>
      <c r="P276" s="28" t="n">
        <f aca="false">IF($B276="",0,IF(OR(ISNA(MATCH($B276,ST_ID,0)),NOT(ISNUMBER($F276)),$F276&lt;=0,$J276="",$N276=""),0,1))</f>
        <v>0</v>
      </c>
      <c r="Q276" s="27" t="n">
        <f aca="false">IF($P276=0,0,$F276)</f>
        <v>0</v>
      </c>
      <c r="R276" s="26" t="str">
        <f aca="false">IF($B276="","",IFERROR(INDEX(ST_STATUT,MATCH($B276,ST_ID,0)),""))</f>
        <v/>
      </c>
      <c r="S276" s="26" t="str">
        <f aca="false">IF($B276="","",IF($P276=0,"DONNEES MANQUANTES",IF(OR($R276="DONNEES MANQUANTES",$R276="STOCK INSUFFISANT",$R276="EMPLACEMENT INCOHERENT",$R276="BLOQUE"),"BLOQUE","OK")))</f>
        <v/>
      </c>
      <c r="T276" s="28" t="n">
        <f aca="false">IF($S276="OK",1,0)</f>
        <v>0</v>
      </c>
      <c r="U276" s="26" t="str">
        <f aca="false">IF($B276="","",IF($P276=0,"A COMPLETER : "&amp;IF(ISNA(MATCH($B276,ST_ID,0)),"ID ST valide; ","")&amp;IF(OR(NOT(ISNUMBER($F276)),$F276&lt;=0),"QUANTITE &gt; 0; ","")&amp;IF($J276="","EMPL. DESTINATION; ",""),IF($S276="BLOQUE","Envoi parent en anomalie ("&amp;$R276&amp;") : corriger l'onglet SOUS_TRAITANCE.",IF(AND($E276&lt;&gt;"",ISNA(MATCH($E276,LOT_KEY,0))),"Creer la fiche du lot resultat dans l'onglet LOTS.",""))))</f>
        <v/>
      </c>
      <c r="V276" s="31" t="str">
        <f aca="false">IF($B276="","",IF($C276&lt;&gt;"",$C276,IFERROR(INDEX(ST_DATERET,MATCH($B276,ST_ID,0)),"")))</f>
        <v/>
      </c>
      <c r="W276" s="26" t="str">
        <f aca="false">IF($P276=0,"",IF($L276=R_LOT,IF($N276&lt;&gt;R_LOT,$N276,""),IF($N276=R_LOT,$L276,"")))</f>
        <v/>
      </c>
      <c r="X276" s="26" t="str">
        <f aca="false">IF($W276="","",IF(COUNTIF($W$4:$W275,$W276)&gt;0,"",COUNT($X$4:$X275)+1))</f>
        <v/>
      </c>
      <c r="Y276" s="26" t="n">
        <f aca="false">IF($P276=0,0,IF(OR($L276=R_LOT,$N276=R_LOT),1,0))</f>
        <v>0</v>
      </c>
      <c r="Z276" s="26" t="str">
        <f aca="false">IF($Y276=0,"",COUNTIF($Y$5:$Y276,1))</f>
        <v/>
      </c>
    </row>
    <row r="277" customFormat="false" ht="15" hidden="false" customHeight="false" outlineLevel="0" collapsed="false">
      <c r="A277" s="26" t="str">
        <f aca="false">IF($B277="","","RES-"&amp;TEXT(ROW()-4,"000"))</f>
        <v/>
      </c>
      <c r="B277" s="24"/>
      <c r="C277" s="25"/>
      <c r="D277" s="24"/>
      <c r="E277" s="24"/>
      <c r="F277" s="29"/>
      <c r="G277" s="24"/>
      <c r="H277" s="24"/>
      <c r="I277" s="24"/>
      <c r="J277" s="24"/>
      <c r="K277" s="24"/>
      <c r="L277" s="26" t="str">
        <f aca="false">IF($B277="","",IFERROR(INDEX(ST_LOT,MATCH($B277,ST_ID,0)),""))</f>
        <v/>
      </c>
      <c r="M277" s="26" t="str">
        <f aca="false">IF($B277="","",IFERROR(INDEX(ST_STRAIT,MATCH($B277,ST_ID,0)),""))</f>
        <v/>
      </c>
      <c r="N277" s="26" t="str">
        <f aca="false">IF($B277="","",IF($E277="",$L277,$E277))</f>
        <v/>
      </c>
      <c r="O277" s="26" t="str">
        <f aca="false">IF($J277="","",IFERROR(INDEX(EMPL_CLASSE,MATCH($J277,EMPL_KEY,0)),"?"))</f>
        <v/>
      </c>
      <c r="P277" s="28" t="n">
        <f aca="false">IF($B277="",0,IF(OR(ISNA(MATCH($B277,ST_ID,0)),NOT(ISNUMBER($F277)),$F277&lt;=0,$J277="",$N277=""),0,1))</f>
        <v>0</v>
      </c>
      <c r="Q277" s="27" t="n">
        <f aca="false">IF($P277=0,0,$F277)</f>
        <v>0</v>
      </c>
      <c r="R277" s="26" t="str">
        <f aca="false">IF($B277="","",IFERROR(INDEX(ST_STATUT,MATCH($B277,ST_ID,0)),""))</f>
        <v/>
      </c>
      <c r="S277" s="26" t="str">
        <f aca="false">IF($B277="","",IF($P277=0,"DONNEES MANQUANTES",IF(OR($R277="DONNEES MANQUANTES",$R277="STOCK INSUFFISANT",$R277="EMPLACEMENT INCOHERENT",$R277="BLOQUE"),"BLOQUE","OK")))</f>
        <v/>
      </c>
      <c r="T277" s="28" t="n">
        <f aca="false">IF($S277="OK",1,0)</f>
        <v>0</v>
      </c>
      <c r="U277" s="26" t="str">
        <f aca="false">IF($B277="","",IF($P277=0,"A COMPLETER : "&amp;IF(ISNA(MATCH($B277,ST_ID,0)),"ID ST valide; ","")&amp;IF(OR(NOT(ISNUMBER($F277)),$F277&lt;=0),"QUANTITE &gt; 0; ","")&amp;IF($J277="","EMPL. DESTINATION; ",""),IF($S277="BLOQUE","Envoi parent en anomalie ("&amp;$R277&amp;") : corriger l'onglet SOUS_TRAITANCE.",IF(AND($E277&lt;&gt;"",ISNA(MATCH($E277,LOT_KEY,0))),"Creer la fiche du lot resultat dans l'onglet LOTS.",""))))</f>
        <v/>
      </c>
      <c r="V277" s="31" t="str">
        <f aca="false">IF($B277="","",IF($C277&lt;&gt;"",$C277,IFERROR(INDEX(ST_DATERET,MATCH($B277,ST_ID,0)),"")))</f>
        <v/>
      </c>
      <c r="W277" s="26" t="str">
        <f aca="false">IF($P277=0,"",IF($L277=R_LOT,IF($N277&lt;&gt;R_LOT,$N277,""),IF($N277=R_LOT,$L277,"")))</f>
        <v/>
      </c>
      <c r="X277" s="26" t="str">
        <f aca="false">IF($W277="","",IF(COUNTIF($W$4:$W276,$W277)&gt;0,"",COUNT($X$4:$X276)+1))</f>
        <v/>
      </c>
      <c r="Y277" s="26" t="n">
        <f aca="false">IF($P277=0,0,IF(OR($L277=R_LOT,$N277=R_LOT),1,0))</f>
        <v>0</v>
      </c>
      <c r="Z277" s="26" t="str">
        <f aca="false">IF($Y277=0,"",COUNTIF($Y$5:$Y277,1))</f>
        <v/>
      </c>
    </row>
    <row r="278" customFormat="false" ht="15" hidden="false" customHeight="false" outlineLevel="0" collapsed="false">
      <c r="A278" s="26" t="str">
        <f aca="false">IF($B278="","","RES-"&amp;TEXT(ROW()-4,"000"))</f>
        <v/>
      </c>
      <c r="B278" s="24"/>
      <c r="C278" s="25"/>
      <c r="D278" s="24"/>
      <c r="E278" s="24"/>
      <c r="F278" s="29"/>
      <c r="G278" s="24"/>
      <c r="H278" s="24"/>
      <c r="I278" s="24"/>
      <c r="J278" s="24"/>
      <c r="K278" s="24"/>
      <c r="L278" s="26" t="str">
        <f aca="false">IF($B278="","",IFERROR(INDEX(ST_LOT,MATCH($B278,ST_ID,0)),""))</f>
        <v/>
      </c>
      <c r="M278" s="26" t="str">
        <f aca="false">IF($B278="","",IFERROR(INDEX(ST_STRAIT,MATCH($B278,ST_ID,0)),""))</f>
        <v/>
      </c>
      <c r="N278" s="26" t="str">
        <f aca="false">IF($B278="","",IF($E278="",$L278,$E278))</f>
        <v/>
      </c>
      <c r="O278" s="26" t="str">
        <f aca="false">IF($J278="","",IFERROR(INDEX(EMPL_CLASSE,MATCH($J278,EMPL_KEY,0)),"?"))</f>
        <v/>
      </c>
      <c r="P278" s="28" t="n">
        <f aca="false">IF($B278="",0,IF(OR(ISNA(MATCH($B278,ST_ID,0)),NOT(ISNUMBER($F278)),$F278&lt;=0,$J278="",$N278=""),0,1))</f>
        <v>0</v>
      </c>
      <c r="Q278" s="27" t="n">
        <f aca="false">IF($P278=0,0,$F278)</f>
        <v>0</v>
      </c>
      <c r="R278" s="26" t="str">
        <f aca="false">IF($B278="","",IFERROR(INDEX(ST_STATUT,MATCH($B278,ST_ID,0)),""))</f>
        <v/>
      </c>
      <c r="S278" s="26" t="str">
        <f aca="false">IF($B278="","",IF($P278=0,"DONNEES MANQUANTES",IF(OR($R278="DONNEES MANQUANTES",$R278="STOCK INSUFFISANT",$R278="EMPLACEMENT INCOHERENT",$R278="BLOQUE"),"BLOQUE","OK")))</f>
        <v/>
      </c>
      <c r="T278" s="28" t="n">
        <f aca="false">IF($S278="OK",1,0)</f>
        <v>0</v>
      </c>
      <c r="U278" s="26" t="str">
        <f aca="false">IF($B278="","",IF($P278=0,"A COMPLETER : "&amp;IF(ISNA(MATCH($B278,ST_ID,0)),"ID ST valide; ","")&amp;IF(OR(NOT(ISNUMBER($F278)),$F278&lt;=0),"QUANTITE &gt; 0; ","")&amp;IF($J278="","EMPL. DESTINATION; ",""),IF($S278="BLOQUE","Envoi parent en anomalie ("&amp;$R278&amp;") : corriger l'onglet SOUS_TRAITANCE.",IF(AND($E278&lt;&gt;"",ISNA(MATCH($E278,LOT_KEY,0))),"Creer la fiche du lot resultat dans l'onglet LOTS.",""))))</f>
        <v/>
      </c>
      <c r="V278" s="31" t="str">
        <f aca="false">IF($B278="","",IF($C278&lt;&gt;"",$C278,IFERROR(INDEX(ST_DATERET,MATCH($B278,ST_ID,0)),"")))</f>
        <v/>
      </c>
      <c r="W278" s="26" t="str">
        <f aca="false">IF($P278=0,"",IF($L278=R_LOT,IF($N278&lt;&gt;R_LOT,$N278,""),IF($N278=R_LOT,$L278,"")))</f>
        <v/>
      </c>
      <c r="X278" s="26" t="str">
        <f aca="false">IF($W278="","",IF(COUNTIF($W$4:$W277,$W278)&gt;0,"",COUNT($X$4:$X277)+1))</f>
        <v/>
      </c>
      <c r="Y278" s="26" t="n">
        <f aca="false">IF($P278=0,0,IF(OR($L278=R_LOT,$N278=R_LOT),1,0))</f>
        <v>0</v>
      </c>
      <c r="Z278" s="26" t="str">
        <f aca="false">IF($Y278=0,"",COUNTIF($Y$5:$Y278,1))</f>
        <v/>
      </c>
    </row>
    <row r="279" customFormat="false" ht="15" hidden="false" customHeight="false" outlineLevel="0" collapsed="false">
      <c r="A279" s="26" t="str">
        <f aca="false">IF($B279="","","RES-"&amp;TEXT(ROW()-4,"000"))</f>
        <v/>
      </c>
      <c r="B279" s="24"/>
      <c r="C279" s="25"/>
      <c r="D279" s="24"/>
      <c r="E279" s="24"/>
      <c r="F279" s="29"/>
      <c r="G279" s="24"/>
      <c r="H279" s="24"/>
      <c r="I279" s="24"/>
      <c r="J279" s="24"/>
      <c r="K279" s="24"/>
      <c r="L279" s="26" t="str">
        <f aca="false">IF($B279="","",IFERROR(INDEX(ST_LOT,MATCH($B279,ST_ID,0)),""))</f>
        <v/>
      </c>
      <c r="M279" s="26" t="str">
        <f aca="false">IF($B279="","",IFERROR(INDEX(ST_STRAIT,MATCH($B279,ST_ID,0)),""))</f>
        <v/>
      </c>
      <c r="N279" s="26" t="str">
        <f aca="false">IF($B279="","",IF($E279="",$L279,$E279))</f>
        <v/>
      </c>
      <c r="O279" s="26" t="str">
        <f aca="false">IF($J279="","",IFERROR(INDEX(EMPL_CLASSE,MATCH($J279,EMPL_KEY,0)),"?"))</f>
        <v/>
      </c>
      <c r="P279" s="28" t="n">
        <f aca="false">IF($B279="",0,IF(OR(ISNA(MATCH($B279,ST_ID,0)),NOT(ISNUMBER($F279)),$F279&lt;=0,$J279="",$N279=""),0,1))</f>
        <v>0</v>
      </c>
      <c r="Q279" s="27" t="n">
        <f aca="false">IF($P279=0,0,$F279)</f>
        <v>0</v>
      </c>
      <c r="R279" s="26" t="str">
        <f aca="false">IF($B279="","",IFERROR(INDEX(ST_STATUT,MATCH($B279,ST_ID,0)),""))</f>
        <v/>
      </c>
      <c r="S279" s="26" t="str">
        <f aca="false">IF($B279="","",IF($P279=0,"DONNEES MANQUANTES",IF(OR($R279="DONNEES MANQUANTES",$R279="STOCK INSUFFISANT",$R279="EMPLACEMENT INCOHERENT",$R279="BLOQUE"),"BLOQUE","OK")))</f>
        <v/>
      </c>
      <c r="T279" s="28" t="n">
        <f aca="false">IF($S279="OK",1,0)</f>
        <v>0</v>
      </c>
      <c r="U279" s="26" t="str">
        <f aca="false">IF($B279="","",IF($P279=0,"A COMPLETER : "&amp;IF(ISNA(MATCH($B279,ST_ID,0)),"ID ST valide; ","")&amp;IF(OR(NOT(ISNUMBER($F279)),$F279&lt;=0),"QUANTITE &gt; 0; ","")&amp;IF($J279="","EMPL. DESTINATION; ",""),IF($S279="BLOQUE","Envoi parent en anomalie ("&amp;$R279&amp;") : corriger l'onglet SOUS_TRAITANCE.",IF(AND($E279&lt;&gt;"",ISNA(MATCH($E279,LOT_KEY,0))),"Creer la fiche du lot resultat dans l'onglet LOTS.",""))))</f>
        <v/>
      </c>
      <c r="V279" s="31" t="str">
        <f aca="false">IF($B279="","",IF($C279&lt;&gt;"",$C279,IFERROR(INDEX(ST_DATERET,MATCH($B279,ST_ID,0)),"")))</f>
        <v/>
      </c>
      <c r="W279" s="26" t="str">
        <f aca="false">IF($P279=0,"",IF($L279=R_LOT,IF($N279&lt;&gt;R_LOT,$N279,""),IF($N279=R_LOT,$L279,"")))</f>
        <v/>
      </c>
      <c r="X279" s="26" t="str">
        <f aca="false">IF($W279="","",IF(COUNTIF($W$4:$W278,$W279)&gt;0,"",COUNT($X$4:$X278)+1))</f>
        <v/>
      </c>
      <c r="Y279" s="26" t="n">
        <f aca="false">IF($P279=0,0,IF(OR($L279=R_LOT,$N279=R_LOT),1,0))</f>
        <v>0</v>
      </c>
      <c r="Z279" s="26" t="str">
        <f aca="false">IF($Y279=0,"",COUNTIF($Y$5:$Y279,1))</f>
        <v/>
      </c>
    </row>
    <row r="280" customFormat="false" ht="15" hidden="false" customHeight="false" outlineLevel="0" collapsed="false">
      <c r="A280" s="26" t="str">
        <f aca="false">IF($B280="","","RES-"&amp;TEXT(ROW()-4,"000"))</f>
        <v/>
      </c>
      <c r="B280" s="24"/>
      <c r="C280" s="25"/>
      <c r="D280" s="24"/>
      <c r="E280" s="24"/>
      <c r="F280" s="29"/>
      <c r="G280" s="24"/>
      <c r="H280" s="24"/>
      <c r="I280" s="24"/>
      <c r="J280" s="24"/>
      <c r="K280" s="24"/>
      <c r="L280" s="26" t="str">
        <f aca="false">IF($B280="","",IFERROR(INDEX(ST_LOT,MATCH($B280,ST_ID,0)),""))</f>
        <v/>
      </c>
      <c r="M280" s="26" t="str">
        <f aca="false">IF($B280="","",IFERROR(INDEX(ST_STRAIT,MATCH($B280,ST_ID,0)),""))</f>
        <v/>
      </c>
      <c r="N280" s="26" t="str">
        <f aca="false">IF($B280="","",IF($E280="",$L280,$E280))</f>
        <v/>
      </c>
      <c r="O280" s="26" t="str">
        <f aca="false">IF($J280="","",IFERROR(INDEX(EMPL_CLASSE,MATCH($J280,EMPL_KEY,0)),"?"))</f>
        <v/>
      </c>
      <c r="P280" s="28" t="n">
        <f aca="false">IF($B280="",0,IF(OR(ISNA(MATCH($B280,ST_ID,0)),NOT(ISNUMBER($F280)),$F280&lt;=0,$J280="",$N280=""),0,1))</f>
        <v>0</v>
      </c>
      <c r="Q280" s="27" t="n">
        <f aca="false">IF($P280=0,0,$F280)</f>
        <v>0</v>
      </c>
      <c r="R280" s="26" t="str">
        <f aca="false">IF($B280="","",IFERROR(INDEX(ST_STATUT,MATCH($B280,ST_ID,0)),""))</f>
        <v/>
      </c>
      <c r="S280" s="26" t="str">
        <f aca="false">IF($B280="","",IF($P280=0,"DONNEES MANQUANTES",IF(OR($R280="DONNEES MANQUANTES",$R280="STOCK INSUFFISANT",$R280="EMPLACEMENT INCOHERENT",$R280="BLOQUE"),"BLOQUE","OK")))</f>
        <v/>
      </c>
      <c r="T280" s="28" t="n">
        <f aca="false">IF($S280="OK",1,0)</f>
        <v>0</v>
      </c>
      <c r="U280" s="26" t="str">
        <f aca="false">IF($B280="","",IF($P280=0,"A COMPLETER : "&amp;IF(ISNA(MATCH($B280,ST_ID,0)),"ID ST valide; ","")&amp;IF(OR(NOT(ISNUMBER($F280)),$F280&lt;=0),"QUANTITE &gt; 0; ","")&amp;IF($J280="","EMPL. DESTINATION; ",""),IF($S280="BLOQUE","Envoi parent en anomalie ("&amp;$R280&amp;") : corriger l'onglet SOUS_TRAITANCE.",IF(AND($E280&lt;&gt;"",ISNA(MATCH($E280,LOT_KEY,0))),"Creer la fiche du lot resultat dans l'onglet LOTS.",""))))</f>
        <v/>
      </c>
      <c r="V280" s="31" t="str">
        <f aca="false">IF($B280="","",IF($C280&lt;&gt;"",$C280,IFERROR(INDEX(ST_DATERET,MATCH($B280,ST_ID,0)),"")))</f>
        <v/>
      </c>
      <c r="W280" s="26" t="str">
        <f aca="false">IF($P280=0,"",IF($L280=R_LOT,IF($N280&lt;&gt;R_LOT,$N280,""),IF($N280=R_LOT,$L280,"")))</f>
        <v/>
      </c>
      <c r="X280" s="26" t="str">
        <f aca="false">IF($W280="","",IF(COUNTIF($W$4:$W279,$W280)&gt;0,"",COUNT($X$4:$X279)+1))</f>
        <v/>
      </c>
      <c r="Y280" s="26" t="n">
        <f aca="false">IF($P280=0,0,IF(OR($L280=R_LOT,$N280=R_LOT),1,0))</f>
        <v>0</v>
      </c>
      <c r="Z280" s="26" t="str">
        <f aca="false">IF($Y280=0,"",COUNTIF($Y$5:$Y280,1))</f>
        <v/>
      </c>
    </row>
    <row r="281" customFormat="false" ht="15" hidden="false" customHeight="false" outlineLevel="0" collapsed="false">
      <c r="A281" s="26" t="str">
        <f aca="false">IF($B281="","","RES-"&amp;TEXT(ROW()-4,"000"))</f>
        <v/>
      </c>
      <c r="B281" s="24"/>
      <c r="C281" s="25"/>
      <c r="D281" s="24"/>
      <c r="E281" s="24"/>
      <c r="F281" s="29"/>
      <c r="G281" s="24"/>
      <c r="H281" s="24"/>
      <c r="I281" s="24"/>
      <c r="J281" s="24"/>
      <c r="K281" s="24"/>
      <c r="L281" s="26" t="str">
        <f aca="false">IF($B281="","",IFERROR(INDEX(ST_LOT,MATCH($B281,ST_ID,0)),""))</f>
        <v/>
      </c>
      <c r="M281" s="26" t="str">
        <f aca="false">IF($B281="","",IFERROR(INDEX(ST_STRAIT,MATCH($B281,ST_ID,0)),""))</f>
        <v/>
      </c>
      <c r="N281" s="26" t="str">
        <f aca="false">IF($B281="","",IF($E281="",$L281,$E281))</f>
        <v/>
      </c>
      <c r="O281" s="26" t="str">
        <f aca="false">IF($J281="","",IFERROR(INDEX(EMPL_CLASSE,MATCH($J281,EMPL_KEY,0)),"?"))</f>
        <v/>
      </c>
      <c r="P281" s="28" t="n">
        <f aca="false">IF($B281="",0,IF(OR(ISNA(MATCH($B281,ST_ID,0)),NOT(ISNUMBER($F281)),$F281&lt;=0,$J281="",$N281=""),0,1))</f>
        <v>0</v>
      </c>
      <c r="Q281" s="27" t="n">
        <f aca="false">IF($P281=0,0,$F281)</f>
        <v>0</v>
      </c>
      <c r="R281" s="26" t="str">
        <f aca="false">IF($B281="","",IFERROR(INDEX(ST_STATUT,MATCH($B281,ST_ID,0)),""))</f>
        <v/>
      </c>
      <c r="S281" s="26" t="str">
        <f aca="false">IF($B281="","",IF($P281=0,"DONNEES MANQUANTES",IF(OR($R281="DONNEES MANQUANTES",$R281="STOCK INSUFFISANT",$R281="EMPLACEMENT INCOHERENT",$R281="BLOQUE"),"BLOQUE","OK")))</f>
        <v/>
      </c>
      <c r="T281" s="28" t="n">
        <f aca="false">IF($S281="OK",1,0)</f>
        <v>0</v>
      </c>
      <c r="U281" s="26" t="str">
        <f aca="false">IF($B281="","",IF($P281=0,"A COMPLETER : "&amp;IF(ISNA(MATCH($B281,ST_ID,0)),"ID ST valide; ","")&amp;IF(OR(NOT(ISNUMBER($F281)),$F281&lt;=0),"QUANTITE &gt; 0; ","")&amp;IF($J281="","EMPL. DESTINATION; ",""),IF($S281="BLOQUE","Envoi parent en anomalie ("&amp;$R281&amp;") : corriger l'onglet SOUS_TRAITANCE.",IF(AND($E281&lt;&gt;"",ISNA(MATCH($E281,LOT_KEY,0))),"Creer la fiche du lot resultat dans l'onglet LOTS.",""))))</f>
        <v/>
      </c>
      <c r="V281" s="31" t="str">
        <f aca="false">IF($B281="","",IF($C281&lt;&gt;"",$C281,IFERROR(INDEX(ST_DATERET,MATCH($B281,ST_ID,0)),"")))</f>
        <v/>
      </c>
      <c r="W281" s="26" t="str">
        <f aca="false">IF($P281=0,"",IF($L281=R_LOT,IF($N281&lt;&gt;R_LOT,$N281,""),IF($N281=R_LOT,$L281,"")))</f>
        <v/>
      </c>
      <c r="X281" s="26" t="str">
        <f aca="false">IF($W281="","",IF(COUNTIF($W$4:$W280,$W281)&gt;0,"",COUNT($X$4:$X280)+1))</f>
        <v/>
      </c>
      <c r="Y281" s="26" t="n">
        <f aca="false">IF($P281=0,0,IF(OR($L281=R_LOT,$N281=R_LOT),1,0))</f>
        <v>0</v>
      </c>
      <c r="Z281" s="26" t="str">
        <f aca="false">IF($Y281=0,"",COUNTIF($Y$5:$Y281,1))</f>
        <v/>
      </c>
    </row>
    <row r="282" customFormat="false" ht="15" hidden="false" customHeight="false" outlineLevel="0" collapsed="false">
      <c r="A282" s="26" t="str">
        <f aca="false">IF($B282="","","RES-"&amp;TEXT(ROW()-4,"000"))</f>
        <v/>
      </c>
      <c r="B282" s="24"/>
      <c r="C282" s="25"/>
      <c r="D282" s="24"/>
      <c r="E282" s="24"/>
      <c r="F282" s="29"/>
      <c r="G282" s="24"/>
      <c r="H282" s="24"/>
      <c r="I282" s="24"/>
      <c r="J282" s="24"/>
      <c r="K282" s="24"/>
      <c r="L282" s="26" t="str">
        <f aca="false">IF($B282="","",IFERROR(INDEX(ST_LOT,MATCH($B282,ST_ID,0)),""))</f>
        <v/>
      </c>
      <c r="M282" s="26" t="str">
        <f aca="false">IF($B282="","",IFERROR(INDEX(ST_STRAIT,MATCH($B282,ST_ID,0)),""))</f>
        <v/>
      </c>
      <c r="N282" s="26" t="str">
        <f aca="false">IF($B282="","",IF($E282="",$L282,$E282))</f>
        <v/>
      </c>
      <c r="O282" s="26" t="str">
        <f aca="false">IF($J282="","",IFERROR(INDEX(EMPL_CLASSE,MATCH($J282,EMPL_KEY,0)),"?"))</f>
        <v/>
      </c>
      <c r="P282" s="28" t="n">
        <f aca="false">IF($B282="",0,IF(OR(ISNA(MATCH($B282,ST_ID,0)),NOT(ISNUMBER($F282)),$F282&lt;=0,$J282="",$N282=""),0,1))</f>
        <v>0</v>
      </c>
      <c r="Q282" s="27" t="n">
        <f aca="false">IF($P282=0,0,$F282)</f>
        <v>0</v>
      </c>
      <c r="R282" s="26" t="str">
        <f aca="false">IF($B282="","",IFERROR(INDEX(ST_STATUT,MATCH($B282,ST_ID,0)),""))</f>
        <v/>
      </c>
      <c r="S282" s="26" t="str">
        <f aca="false">IF($B282="","",IF($P282=0,"DONNEES MANQUANTES",IF(OR($R282="DONNEES MANQUANTES",$R282="STOCK INSUFFISANT",$R282="EMPLACEMENT INCOHERENT",$R282="BLOQUE"),"BLOQUE","OK")))</f>
        <v/>
      </c>
      <c r="T282" s="28" t="n">
        <f aca="false">IF($S282="OK",1,0)</f>
        <v>0</v>
      </c>
      <c r="U282" s="26" t="str">
        <f aca="false">IF($B282="","",IF($P282=0,"A COMPLETER : "&amp;IF(ISNA(MATCH($B282,ST_ID,0)),"ID ST valide; ","")&amp;IF(OR(NOT(ISNUMBER($F282)),$F282&lt;=0),"QUANTITE &gt; 0; ","")&amp;IF($J282="","EMPL. DESTINATION; ",""),IF($S282="BLOQUE","Envoi parent en anomalie ("&amp;$R282&amp;") : corriger l'onglet SOUS_TRAITANCE.",IF(AND($E282&lt;&gt;"",ISNA(MATCH($E282,LOT_KEY,0))),"Creer la fiche du lot resultat dans l'onglet LOTS.",""))))</f>
        <v/>
      </c>
      <c r="V282" s="31" t="str">
        <f aca="false">IF($B282="","",IF($C282&lt;&gt;"",$C282,IFERROR(INDEX(ST_DATERET,MATCH($B282,ST_ID,0)),"")))</f>
        <v/>
      </c>
      <c r="W282" s="26" t="str">
        <f aca="false">IF($P282=0,"",IF($L282=R_LOT,IF($N282&lt;&gt;R_LOT,$N282,""),IF($N282=R_LOT,$L282,"")))</f>
        <v/>
      </c>
      <c r="X282" s="26" t="str">
        <f aca="false">IF($W282="","",IF(COUNTIF($W$4:$W281,$W282)&gt;0,"",COUNT($X$4:$X281)+1))</f>
        <v/>
      </c>
      <c r="Y282" s="26" t="n">
        <f aca="false">IF($P282=0,0,IF(OR($L282=R_LOT,$N282=R_LOT),1,0))</f>
        <v>0</v>
      </c>
      <c r="Z282" s="26" t="str">
        <f aca="false">IF($Y282=0,"",COUNTIF($Y$5:$Y282,1))</f>
        <v/>
      </c>
    </row>
    <row r="283" customFormat="false" ht="15" hidden="false" customHeight="false" outlineLevel="0" collapsed="false">
      <c r="A283" s="26" t="str">
        <f aca="false">IF($B283="","","RES-"&amp;TEXT(ROW()-4,"000"))</f>
        <v/>
      </c>
      <c r="B283" s="24"/>
      <c r="C283" s="25"/>
      <c r="D283" s="24"/>
      <c r="E283" s="24"/>
      <c r="F283" s="29"/>
      <c r="G283" s="24"/>
      <c r="H283" s="24"/>
      <c r="I283" s="24"/>
      <c r="J283" s="24"/>
      <c r="K283" s="24"/>
      <c r="L283" s="26" t="str">
        <f aca="false">IF($B283="","",IFERROR(INDEX(ST_LOT,MATCH($B283,ST_ID,0)),""))</f>
        <v/>
      </c>
      <c r="M283" s="26" t="str">
        <f aca="false">IF($B283="","",IFERROR(INDEX(ST_STRAIT,MATCH($B283,ST_ID,0)),""))</f>
        <v/>
      </c>
      <c r="N283" s="26" t="str">
        <f aca="false">IF($B283="","",IF($E283="",$L283,$E283))</f>
        <v/>
      </c>
      <c r="O283" s="26" t="str">
        <f aca="false">IF($J283="","",IFERROR(INDEX(EMPL_CLASSE,MATCH($J283,EMPL_KEY,0)),"?"))</f>
        <v/>
      </c>
      <c r="P283" s="28" t="n">
        <f aca="false">IF($B283="",0,IF(OR(ISNA(MATCH($B283,ST_ID,0)),NOT(ISNUMBER($F283)),$F283&lt;=0,$J283="",$N283=""),0,1))</f>
        <v>0</v>
      </c>
      <c r="Q283" s="27" t="n">
        <f aca="false">IF($P283=0,0,$F283)</f>
        <v>0</v>
      </c>
      <c r="R283" s="26" t="str">
        <f aca="false">IF($B283="","",IFERROR(INDEX(ST_STATUT,MATCH($B283,ST_ID,0)),""))</f>
        <v/>
      </c>
      <c r="S283" s="26" t="str">
        <f aca="false">IF($B283="","",IF($P283=0,"DONNEES MANQUANTES",IF(OR($R283="DONNEES MANQUANTES",$R283="STOCK INSUFFISANT",$R283="EMPLACEMENT INCOHERENT",$R283="BLOQUE"),"BLOQUE","OK")))</f>
        <v/>
      </c>
      <c r="T283" s="28" t="n">
        <f aca="false">IF($S283="OK",1,0)</f>
        <v>0</v>
      </c>
      <c r="U283" s="26" t="str">
        <f aca="false">IF($B283="","",IF($P283=0,"A COMPLETER : "&amp;IF(ISNA(MATCH($B283,ST_ID,0)),"ID ST valide; ","")&amp;IF(OR(NOT(ISNUMBER($F283)),$F283&lt;=0),"QUANTITE &gt; 0; ","")&amp;IF($J283="","EMPL. DESTINATION; ",""),IF($S283="BLOQUE","Envoi parent en anomalie ("&amp;$R283&amp;") : corriger l'onglet SOUS_TRAITANCE.",IF(AND($E283&lt;&gt;"",ISNA(MATCH($E283,LOT_KEY,0))),"Creer la fiche du lot resultat dans l'onglet LOTS.",""))))</f>
        <v/>
      </c>
      <c r="V283" s="31" t="str">
        <f aca="false">IF($B283="","",IF($C283&lt;&gt;"",$C283,IFERROR(INDEX(ST_DATERET,MATCH($B283,ST_ID,0)),"")))</f>
        <v/>
      </c>
      <c r="W283" s="26" t="str">
        <f aca="false">IF($P283=0,"",IF($L283=R_LOT,IF($N283&lt;&gt;R_LOT,$N283,""),IF($N283=R_LOT,$L283,"")))</f>
        <v/>
      </c>
      <c r="X283" s="26" t="str">
        <f aca="false">IF($W283="","",IF(COUNTIF($W$4:$W282,$W283)&gt;0,"",COUNT($X$4:$X282)+1))</f>
        <v/>
      </c>
      <c r="Y283" s="26" t="n">
        <f aca="false">IF($P283=0,0,IF(OR($L283=R_LOT,$N283=R_LOT),1,0))</f>
        <v>0</v>
      </c>
      <c r="Z283" s="26" t="str">
        <f aca="false">IF($Y283=0,"",COUNTIF($Y$5:$Y283,1))</f>
        <v/>
      </c>
    </row>
    <row r="284" customFormat="false" ht="15" hidden="false" customHeight="false" outlineLevel="0" collapsed="false">
      <c r="A284" s="26" t="str">
        <f aca="false">IF($B284="","","RES-"&amp;TEXT(ROW()-4,"000"))</f>
        <v/>
      </c>
      <c r="B284" s="24"/>
      <c r="C284" s="25"/>
      <c r="D284" s="24"/>
      <c r="E284" s="24"/>
      <c r="F284" s="29"/>
      <c r="G284" s="24"/>
      <c r="H284" s="24"/>
      <c r="I284" s="24"/>
      <c r="J284" s="24"/>
      <c r="K284" s="24"/>
      <c r="L284" s="26" t="str">
        <f aca="false">IF($B284="","",IFERROR(INDEX(ST_LOT,MATCH($B284,ST_ID,0)),""))</f>
        <v/>
      </c>
      <c r="M284" s="26" t="str">
        <f aca="false">IF($B284="","",IFERROR(INDEX(ST_STRAIT,MATCH($B284,ST_ID,0)),""))</f>
        <v/>
      </c>
      <c r="N284" s="26" t="str">
        <f aca="false">IF($B284="","",IF($E284="",$L284,$E284))</f>
        <v/>
      </c>
      <c r="O284" s="26" t="str">
        <f aca="false">IF($J284="","",IFERROR(INDEX(EMPL_CLASSE,MATCH($J284,EMPL_KEY,0)),"?"))</f>
        <v/>
      </c>
      <c r="P284" s="28" t="n">
        <f aca="false">IF($B284="",0,IF(OR(ISNA(MATCH($B284,ST_ID,0)),NOT(ISNUMBER($F284)),$F284&lt;=0,$J284="",$N284=""),0,1))</f>
        <v>0</v>
      </c>
      <c r="Q284" s="27" t="n">
        <f aca="false">IF($P284=0,0,$F284)</f>
        <v>0</v>
      </c>
      <c r="R284" s="26" t="str">
        <f aca="false">IF($B284="","",IFERROR(INDEX(ST_STATUT,MATCH($B284,ST_ID,0)),""))</f>
        <v/>
      </c>
      <c r="S284" s="26" t="str">
        <f aca="false">IF($B284="","",IF($P284=0,"DONNEES MANQUANTES",IF(OR($R284="DONNEES MANQUANTES",$R284="STOCK INSUFFISANT",$R284="EMPLACEMENT INCOHERENT",$R284="BLOQUE"),"BLOQUE","OK")))</f>
        <v/>
      </c>
      <c r="T284" s="28" t="n">
        <f aca="false">IF($S284="OK",1,0)</f>
        <v>0</v>
      </c>
      <c r="U284" s="26" t="str">
        <f aca="false">IF($B284="","",IF($P284=0,"A COMPLETER : "&amp;IF(ISNA(MATCH($B284,ST_ID,0)),"ID ST valide; ","")&amp;IF(OR(NOT(ISNUMBER($F284)),$F284&lt;=0),"QUANTITE &gt; 0; ","")&amp;IF($J284="","EMPL. DESTINATION; ",""),IF($S284="BLOQUE","Envoi parent en anomalie ("&amp;$R284&amp;") : corriger l'onglet SOUS_TRAITANCE.",IF(AND($E284&lt;&gt;"",ISNA(MATCH($E284,LOT_KEY,0))),"Creer la fiche du lot resultat dans l'onglet LOTS.",""))))</f>
        <v/>
      </c>
      <c r="V284" s="31" t="str">
        <f aca="false">IF($B284="","",IF($C284&lt;&gt;"",$C284,IFERROR(INDEX(ST_DATERET,MATCH($B284,ST_ID,0)),"")))</f>
        <v/>
      </c>
      <c r="W284" s="26" t="str">
        <f aca="false">IF($P284=0,"",IF($L284=R_LOT,IF($N284&lt;&gt;R_LOT,$N284,""),IF($N284=R_LOT,$L284,"")))</f>
        <v/>
      </c>
      <c r="X284" s="26" t="str">
        <f aca="false">IF($W284="","",IF(COUNTIF($W$4:$W283,$W284)&gt;0,"",COUNT($X$4:$X283)+1))</f>
        <v/>
      </c>
      <c r="Y284" s="26" t="n">
        <f aca="false">IF($P284=0,0,IF(OR($L284=R_LOT,$N284=R_LOT),1,0))</f>
        <v>0</v>
      </c>
      <c r="Z284" s="26" t="str">
        <f aca="false">IF($Y284=0,"",COUNTIF($Y$5:$Y284,1))</f>
        <v/>
      </c>
    </row>
    <row r="285" customFormat="false" ht="15" hidden="false" customHeight="false" outlineLevel="0" collapsed="false">
      <c r="A285" s="26" t="str">
        <f aca="false">IF($B285="","","RES-"&amp;TEXT(ROW()-4,"000"))</f>
        <v/>
      </c>
      <c r="B285" s="24"/>
      <c r="C285" s="25"/>
      <c r="D285" s="24"/>
      <c r="E285" s="24"/>
      <c r="F285" s="29"/>
      <c r="G285" s="24"/>
      <c r="H285" s="24"/>
      <c r="I285" s="24"/>
      <c r="J285" s="24"/>
      <c r="K285" s="24"/>
      <c r="L285" s="26" t="str">
        <f aca="false">IF($B285="","",IFERROR(INDEX(ST_LOT,MATCH($B285,ST_ID,0)),""))</f>
        <v/>
      </c>
      <c r="M285" s="26" t="str">
        <f aca="false">IF($B285="","",IFERROR(INDEX(ST_STRAIT,MATCH($B285,ST_ID,0)),""))</f>
        <v/>
      </c>
      <c r="N285" s="26" t="str">
        <f aca="false">IF($B285="","",IF($E285="",$L285,$E285))</f>
        <v/>
      </c>
      <c r="O285" s="26" t="str">
        <f aca="false">IF($J285="","",IFERROR(INDEX(EMPL_CLASSE,MATCH($J285,EMPL_KEY,0)),"?"))</f>
        <v/>
      </c>
      <c r="P285" s="28" t="n">
        <f aca="false">IF($B285="",0,IF(OR(ISNA(MATCH($B285,ST_ID,0)),NOT(ISNUMBER($F285)),$F285&lt;=0,$J285="",$N285=""),0,1))</f>
        <v>0</v>
      </c>
      <c r="Q285" s="27" t="n">
        <f aca="false">IF($P285=0,0,$F285)</f>
        <v>0</v>
      </c>
      <c r="R285" s="26" t="str">
        <f aca="false">IF($B285="","",IFERROR(INDEX(ST_STATUT,MATCH($B285,ST_ID,0)),""))</f>
        <v/>
      </c>
      <c r="S285" s="26" t="str">
        <f aca="false">IF($B285="","",IF($P285=0,"DONNEES MANQUANTES",IF(OR($R285="DONNEES MANQUANTES",$R285="STOCK INSUFFISANT",$R285="EMPLACEMENT INCOHERENT",$R285="BLOQUE"),"BLOQUE","OK")))</f>
        <v/>
      </c>
      <c r="T285" s="28" t="n">
        <f aca="false">IF($S285="OK",1,0)</f>
        <v>0</v>
      </c>
      <c r="U285" s="26" t="str">
        <f aca="false">IF($B285="","",IF($P285=0,"A COMPLETER : "&amp;IF(ISNA(MATCH($B285,ST_ID,0)),"ID ST valide; ","")&amp;IF(OR(NOT(ISNUMBER($F285)),$F285&lt;=0),"QUANTITE &gt; 0; ","")&amp;IF($J285="","EMPL. DESTINATION; ",""),IF($S285="BLOQUE","Envoi parent en anomalie ("&amp;$R285&amp;") : corriger l'onglet SOUS_TRAITANCE.",IF(AND($E285&lt;&gt;"",ISNA(MATCH($E285,LOT_KEY,0))),"Creer la fiche du lot resultat dans l'onglet LOTS.",""))))</f>
        <v/>
      </c>
      <c r="V285" s="31" t="str">
        <f aca="false">IF($B285="","",IF($C285&lt;&gt;"",$C285,IFERROR(INDEX(ST_DATERET,MATCH($B285,ST_ID,0)),"")))</f>
        <v/>
      </c>
      <c r="W285" s="26" t="str">
        <f aca="false">IF($P285=0,"",IF($L285=R_LOT,IF($N285&lt;&gt;R_LOT,$N285,""),IF($N285=R_LOT,$L285,"")))</f>
        <v/>
      </c>
      <c r="X285" s="26" t="str">
        <f aca="false">IF($W285="","",IF(COUNTIF($W$4:$W284,$W285)&gt;0,"",COUNT($X$4:$X284)+1))</f>
        <v/>
      </c>
      <c r="Y285" s="26" t="n">
        <f aca="false">IF($P285=0,0,IF(OR($L285=R_LOT,$N285=R_LOT),1,0))</f>
        <v>0</v>
      </c>
      <c r="Z285" s="26" t="str">
        <f aca="false">IF($Y285=0,"",COUNTIF($Y$5:$Y285,1))</f>
        <v/>
      </c>
    </row>
    <row r="286" customFormat="false" ht="15" hidden="false" customHeight="false" outlineLevel="0" collapsed="false">
      <c r="A286" s="26" t="str">
        <f aca="false">IF($B286="","","RES-"&amp;TEXT(ROW()-4,"000"))</f>
        <v/>
      </c>
      <c r="B286" s="24"/>
      <c r="C286" s="25"/>
      <c r="D286" s="24"/>
      <c r="E286" s="24"/>
      <c r="F286" s="29"/>
      <c r="G286" s="24"/>
      <c r="H286" s="24"/>
      <c r="I286" s="24"/>
      <c r="J286" s="24"/>
      <c r="K286" s="24"/>
      <c r="L286" s="26" t="str">
        <f aca="false">IF($B286="","",IFERROR(INDEX(ST_LOT,MATCH($B286,ST_ID,0)),""))</f>
        <v/>
      </c>
      <c r="M286" s="26" t="str">
        <f aca="false">IF($B286="","",IFERROR(INDEX(ST_STRAIT,MATCH($B286,ST_ID,0)),""))</f>
        <v/>
      </c>
      <c r="N286" s="26" t="str">
        <f aca="false">IF($B286="","",IF($E286="",$L286,$E286))</f>
        <v/>
      </c>
      <c r="O286" s="26" t="str">
        <f aca="false">IF($J286="","",IFERROR(INDEX(EMPL_CLASSE,MATCH($J286,EMPL_KEY,0)),"?"))</f>
        <v/>
      </c>
      <c r="P286" s="28" t="n">
        <f aca="false">IF($B286="",0,IF(OR(ISNA(MATCH($B286,ST_ID,0)),NOT(ISNUMBER($F286)),$F286&lt;=0,$J286="",$N286=""),0,1))</f>
        <v>0</v>
      </c>
      <c r="Q286" s="27" t="n">
        <f aca="false">IF($P286=0,0,$F286)</f>
        <v>0</v>
      </c>
      <c r="R286" s="26" t="str">
        <f aca="false">IF($B286="","",IFERROR(INDEX(ST_STATUT,MATCH($B286,ST_ID,0)),""))</f>
        <v/>
      </c>
      <c r="S286" s="26" t="str">
        <f aca="false">IF($B286="","",IF($P286=0,"DONNEES MANQUANTES",IF(OR($R286="DONNEES MANQUANTES",$R286="STOCK INSUFFISANT",$R286="EMPLACEMENT INCOHERENT",$R286="BLOQUE"),"BLOQUE","OK")))</f>
        <v/>
      </c>
      <c r="T286" s="28" t="n">
        <f aca="false">IF($S286="OK",1,0)</f>
        <v>0</v>
      </c>
      <c r="U286" s="26" t="str">
        <f aca="false">IF($B286="","",IF($P286=0,"A COMPLETER : "&amp;IF(ISNA(MATCH($B286,ST_ID,0)),"ID ST valide; ","")&amp;IF(OR(NOT(ISNUMBER($F286)),$F286&lt;=0),"QUANTITE &gt; 0; ","")&amp;IF($J286="","EMPL. DESTINATION; ",""),IF($S286="BLOQUE","Envoi parent en anomalie ("&amp;$R286&amp;") : corriger l'onglet SOUS_TRAITANCE.",IF(AND($E286&lt;&gt;"",ISNA(MATCH($E286,LOT_KEY,0))),"Creer la fiche du lot resultat dans l'onglet LOTS.",""))))</f>
        <v/>
      </c>
      <c r="V286" s="31" t="str">
        <f aca="false">IF($B286="","",IF($C286&lt;&gt;"",$C286,IFERROR(INDEX(ST_DATERET,MATCH($B286,ST_ID,0)),"")))</f>
        <v/>
      </c>
      <c r="W286" s="26" t="str">
        <f aca="false">IF($P286=0,"",IF($L286=R_LOT,IF($N286&lt;&gt;R_LOT,$N286,""),IF($N286=R_LOT,$L286,"")))</f>
        <v/>
      </c>
      <c r="X286" s="26" t="str">
        <f aca="false">IF($W286="","",IF(COUNTIF($W$4:$W285,$W286)&gt;0,"",COUNT($X$4:$X285)+1))</f>
        <v/>
      </c>
      <c r="Y286" s="26" t="n">
        <f aca="false">IF($P286=0,0,IF(OR($L286=R_LOT,$N286=R_LOT),1,0))</f>
        <v>0</v>
      </c>
      <c r="Z286" s="26" t="str">
        <f aca="false">IF($Y286=0,"",COUNTIF($Y$5:$Y286,1))</f>
        <v/>
      </c>
    </row>
    <row r="287" customFormat="false" ht="15" hidden="false" customHeight="false" outlineLevel="0" collapsed="false">
      <c r="A287" s="26" t="str">
        <f aca="false">IF($B287="","","RES-"&amp;TEXT(ROW()-4,"000"))</f>
        <v/>
      </c>
      <c r="B287" s="24"/>
      <c r="C287" s="25"/>
      <c r="D287" s="24"/>
      <c r="E287" s="24"/>
      <c r="F287" s="29"/>
      <c r="G287" s="24"/>
      <c r="H287" s="24"/>
      <c r="I287" s="24"/>
      <c r="J287" s="24"/>
      <c r="K287" s="24"/>
      <c r="L287" s="26" t="str">
        <f aca="false">IF($B287="","",IFERROR(INDEX(ST_LOT,MATCH($B287,ST_ID,0)),""))</f>
        <v/>
      </c>
      <c r="M287" s="26" t="str">
        <f aca="false">IF($B287="","",IFERROR(INDEX(ST_STRAIT,MATCH($B287,ST_ID,0)),""))</f>
        <v/>
      </c>
      <c r="N287" s="26" t="str">
        <f aca="false">IF($B287="","",IF($E287="",$L287,$E287))</f>
        <v/>
      </c>
      <c r="O287" s="26" t="str">
        <f aca="false">IF($J287="","",IFERROR(INDEX(EMPL_CLASSE,MATCH($J287,EMPL_KEY,0)),"?"))</f>
        <v/>
      </c>
      <c r="P287" s="28" t="n">
        <f aca="false">IF($B287="",0,IF(OR(ISNA(MATCH($B287,ST_ID,0)),NOT(ISNUMBER($F287)),$F287&lt;=0,$J287="",$N287=""),0,1))</f>
        <v>0</v>
      </c>
      <c r="Q287" s="27" t="n">
        <f aca="false">IF($P287=0,0,$F287)</f>
        <v>0</v>
      </c>
      <c r="R287" s="26" t="str">
        <f aca="false">IF($B287="","",IFERROR(INDEX(ST_STATUT,MATCH($B287,ST_ID,0)),""))</f>
        <v/>
      </c>
      <c r="S287" s="26" t="str">
        <f aca="false">IF($B287="","",IF($P287=0,"DONNEES MANQUANTES",IF(OR($R287="DONNEES MANQUANTES",$R287="STOCK INSUFFISANT",$R287="EMPLACEMENT INCOHERENT",$R287="BLOQUE"),"BLOQUE","OK")))</f>
        <v/>
      </c>
      <c r="T287" s="28" t="n">
        <f aca="false">IF($S287="OK",1,0)</f>
        <v>0</v>
      </c>
      <c r="U287" s="26" t="str">
        <f aca="false">IF($B287="","",IF($P287=0,"A COMPLETER : "&amp;IF(ISNA(MATCH($B287,ST_ID,0)),"ID ST valide; ","")&amp;IF(OR(NOT(ISNUMBER($F287)),$F287&lt;=0),"QUANTITE &gt; 0; ","")&amp;IF($J287="","EMPL. DESTINATION; ",""),IF($S287="BLOQUE","Envoi parent en anomalie ("&amp;$R287&amp;") : corriger l'onglet SOUS_TRAITANCE.",IF(AND($E287&lt;&gt;"",ISNA(MATCH($E287,LOT_KEY,0))),"Creer la fiche du lot resultat dans l'onglet LOTS.",""))))</f>
        <v/>
      </c>
      <c r="V287" s="31" t="str">
        <f aca="false">IF($B287="","",IF($C287&lt;&gt;"",$C287,IFERROR(INDEX(ST_DATERET,MATCH($B287,ST_ID,0)),"")))</f>
        <v/>
      </c>
      <c r="W287" s="26" t="str">
        <f aca="false">IF($P287=0,"",IF($L287=R_LOT,IF($N287&lt;&gt;R_LOT,$N287,""),IF($N287=R_LOT,$L287,"")))</f>
        <v/>
      </c>
      <c r="X287" s="26" t="str">
        <f aca="false">IF($W287="","",IF(COUNTIF($W$4:$W286,$W287)&gt;0,"",COUNT($X$4:$X286)+1))</f>
        <v/>
      </c>
      <c r="Y287" s="26" t="n">
        <f aca="false">IF($P287=0,0,IF(OR($L287=R_LOT,$N287=R_LOT),1,0))</f>
        <v>0</v>
      </c>
      <c r="Z287" s="26" t="str">
        <f aca="false">IF($Y287=0,"",COUNTIF($Y$5:$Y287,1))</f>
        <v/>
      </c>
    </row>
    <row r="288" customFormat="false" ht="15" hidden="false" customHeight="false" outlineLevel="0" collapsed="false">
      <c r="A288" s="26" t="str">
        <f aca="false">IF($B288="","","RES-"&amp;TEXT(ROW()-4,"000"))</f>
        <v/>
      </c>
      <c r="B288" s="24"/>
      <c r="C288" s="25"/>
      <c r="D288" s="24"/>
      <c r="E288" s="24"/>
      <c r="F288" s="29"/>
      <c r="G288" s="24"/>
      <c r="H288" s="24"/>
      <c r="I288" s="24"/>
      <c r="J288" s="24"/>
      <c r="K288" s="24"/>
      <c r="L288" s="26" t="str">
        <f aca="false">IF($B288="","",IFERROR(INDEX(ST_LOT,MATCH($B288,ST_ID,0)),""))</f>
        <v/>
      </c>
      <c r="M288" s="26" t="str">
        <f aca="false">IF($B288="","",IFERROR(INDEX(ST_STRAIT,MATCH($B288,ST_ID,0)),""))</f>
        <v/>
      </c>
      <c r="N288" s="26" t="str">
        <f aca="false">IF($B288="","",IF($E288="",$L288,$E288))</f>
        <v/>
      </c>
      <c r="O288" s="26" t="str">
        <f aca="false">IF($J288="","",IFERROR(INDEX(EMPL_CLASSE,MATCH($J288,EMPL_KEY,0)),"?"))</f>
        <v/>
      </c>
      <c r="P288" s="28" t="n">
        <f aca="false">IF($B288="",0,IF(OR(ISNA(MATCH($B288,ST_ID,0)),NOT(ISNUMBER($F288)),$F288&lt;=0,$J288="",$N288=""),0,1))</f>
        <v>0</v>
      </c>
      <c r="Q288" s="27" t="n">
        <f aca="false">IF($P288=0,0,$F288)</f>
        <v>0</v>
      </c>
      <c r="R288" s="26" t="str">
        <f aca="false">IF($B288="","",IFERROR(INDEX(ST_STATUT,MATCH($B288,ST_ID,0)),""))</f>
        <v/>
      </c>
      <c r="S288" s="26" t="str">
        <f aca="false">IF($B288="","",IF($P288=0,"DONNEES MANQUANTES",IF(OR($R288="DONNEES MANQUANTES",$R288="STOCK INSUFFISANT",$R288="EMPLACEMENT INCOHERENT",$R288="BLOQUE"),"BLOQUE","OK")))</f>
        <v/>
      </c>
      <c r="T288" s="28" t="n">
        <f aca="false">IF($S288="OK",1,0)</f>
        <v>0</v>
      </c>
      <c r="U288" s="26" t="str">
        <f aca="false">IF($B288="","",IF($P288=0,"A COMPLETER : "&amp;IF(ISNA(MATCH($B288,ST_ID,0)),"ID ST valide; ","")&amp;IF(OR(NOT(ISNUMBER($F288)),$F288&lt;=0),"QUANTITE &gt; 0; ","")&amp;IF($J288="","EMPL. DESTINATION; ",""),IF($S288="BLOQUE","Envoi parent en anomalie ("&amp;$R288&amp;") : corriger l'onglet SOUS_TRAITANCE.",IF(AND($E288&lt;&gt;"",ISNA(MATCH($E288,LOT_KEY,0))),"Creer la fiche du lot resultat dans l'onglet LOTS.",""))))</f>
        <v/>
      </c>
      <c r="V288" s="31" t="str">
        <f aca="false">IF($B288="","",IF($C288&lt;&gt;"",$C288,IFERROR(INDEX(ST_DATERET,MATCH($B288,ST_ID,0)),"")))</f>
        <v/>
      </c>
      <c r="W288" s="26" t="str">
        <f aca="false">IF($P288=0,"",IF($L288=R_LOT,IF($N288&lt;&gt;R_LOT,$N288,""),IF($N288=R_LOT,$L288,"")))</f>
        <v/>
      </c>
      <c r="X288" s="26" t="str">
        <f aca="false">IF($W288="","",IF(COUNTIF($W$4:$W287,$W288)&gt;0,"",COUNT($X$4:$X287)+1))</f>
        <v/>
      </c>
      <c r="Y288" s="26" t="n">
        <f aca="false">IF($P288=0,0,IF(OR($L288=R_LOT,$N288=R_LOT),1,0))</f>
        <v>0</v>
      </c>
      <c r="Z288" s="26" t="str">
        <f aca="false">IF($Y288=0,"",COUNTIF($Y$5:$Y288,1))</f>
        <v/>
      </c>
    </row>
    <row r="289" customFormat="false" ht="15" hidden="false" customHeight="false" outlineLevel="0" collapsed="false">
      <c r="A289" s="26" t="str">
        <f aca="false">IF($B289="","","RES-"&amp;TEXT(ROW()-4,"000"))</f>
        <v/>
      </c>
      <c r="B289" s="24"/>
      <c r="C289" s="25"/>
      <c r="D289" s="24"/>
      <c r="E289" s="24"/>
      <c r="F289" s="29"/>
      <c r="G289" s="24"/>
      <c r="H289" s="24"/>
      <c r="I289" s="24"/>
      <c r="J289" s="24"/>
      <c r="K289" s="24"/>
      <c r="L289" s="26" t="str">
        <f aca="false">IF($B289="","",IFERROR(INDEX(ST_LOT,MATCH($B289,ST_ID,0)),""))</f>
        <v/>
      </c>
      <c r="M289" s="26" t="str">
        <f aca="false">IF($B289="","",IFERROR(INDEX(ST_STRAIT,MATCH($B289,ST_ID,0)),""))</f>
        <v/>
      </c>
      <c r="N289" s="26" t="str">
        <f aca="false">IF($B289="","",IF($E289="",$L289,$E289))</f>
        <v/>
      </c>
      <c r="O289" s="26" t="str">
        <f aca="false">IF($J289="","",IFERROR(INDEX(EMPL_CLASSE,MATCH($J289,EMPL_KEY,0)),"?"))</f>
        <v/>
      </c>
      <c r="P289" s="28" t="n">
        <f aca="false">IF($B289="",0,IF(OR(ISNA(MATCH($B289,ST_ID,0)),NOT(ISNUMBER($F289)),$F289&lt;=0,$J289="",$N289=""),0,1))</f>
        <v>0</v>
      </c>
      <c r="Q289" s="27" t="n">
        <f aca="false">IF($P289=0,0,$F289)</f>
        <v>0</v>
      </c>
      <c r="R289" s="26" t="str">
        <f aca="false">IF($B289="","",IFERROR(INDEX(ST_STATUT,MATCH($B289,ST_ID,0)),""))</f>
        <v/>
      </c>
      <c r="S289" s="26" t="str">
        <f aca="false">IF($B289="","",IF($P289=0,"DONNEES MANQUANTES",IF(OR($R289="DONNEES MANQUANTES",$R289="STOCK INSUFFISANT",$R289="EMPLACEMENT INCOHERENT",$R289="BLOQUE"),"BLOQUE","OK")))</f>
        <v/>
      </c>
      <c r="T289" s="28" t="n">
        <f aca="false">IF($S289="OK",1,0)</f>
        <v>0</v>
      </c>
      <c r="U289" s="26" t="str">
        <f aca="false">IF($B289="","",IF($P289=0,"A COMPLETER : "&amp;IF(ISNA(MATCH($B289,ST_ID,0)),"ID ST valide; ","")&amp;IF(OR(NOT(ISNUMBER($F289)),$F289&lt;=0),"QUANTITE &gt; 0; ","")&amp;IF($J289="","EMPL. DESTINATION; ",""),IF($S289="BLOQUE","Envoi parent en anomalie ("&amp;$R289&amp;") : corriger l'onglet SOUS_TRAITANCE.",IF(AND($E289&lt;&gt;"",ISNA(MATCH($E289,LOT_KEY,0))),"Creer la fiche du lot resultat dans l'onglet LOTS.",""))))</f>
        <v/>
      </c>
      <c r="V289" s="31" t="str">
        <f aca="false">IF($B289="","",IF($C289&lt;&gt;"",$C289,IFERROR(INDEX(ST_DATERET,MATCH($B289,ST_ID,0)),"")))</f>
        <v/>
      </c>
      <c r="W289" s="26" t="str">
        <f aca="false">IF($P289=0,"",IF($L289=R_LOT,IF($N289&lt;&gt;R_LOT,$N289,""),IF($N289=R_LOT,$L289,"")))</f>
        <v/>
      </c>
      <c r="X289" s="26" t="str">
        <f aca="false">IF($W289="","",IF(COUNTIF($W$4:$W288,$W289)&gt;0,"",COUNT($X$4:$X288)+1))</f>
        <v/>
      </c>
      <c r="Y289" s="26" t="n">
        <f aca="false">IF($P289=0,0,IF(OR($L289=R_LOT,$N289=R_LOT),1,0))</f>
        <v>0</v>
      </c>
      <c r="Z289" s="26" t="str">
        <f aca="false">IF($Y289=0,"",COUNTIF($Y$5:$Y289,1))</f>
        <v/>
      </c>
    </row>
    <row r="290" customFormat="false" ht="15" hidden="false" customHeight="false" outlineLevel="0" collapsed="false">
      <c r="A290" s="26" t="str">
        <f aca="false">IF($B290="","","RES-"&amp;TEXT(ROW()-4,"000"))</f>
        <v/>
      </c>
      <c r="B290" s="24"/>
      <c r="C290" s="25"/>
      <c r="D290" s="24"/>
      <c r="E290" s="24"/>
      <c r="F290" s="29"/>
      <c r="G290" s="24"/>
      <c r="H290" s="24"/>
      <c r="I290" s="24"/>
      <c r="J290" s="24"/>
      <c r="K290" s="24"/>
      <c r="L290" s="26" t="str">
        <f aca="false">IF($B290="","",IFERROR(INDEX(ST_LOT,MATCH($B290,ST_ID,0)),""))</f>
        <v/>
      </c>
      <c r="M290" s="26" t="str">
        <f aca="false">IF($B290="","",IFERROR(INDEX(ST_STRAIT,MATCH($B290,ST_ID,0)),""))</f>
        <v/>
      </c>
      <c r="N290" s="26" t="str">
        <f aca="false">IF($B290="","",IF($E290="",$L290,$E290))</f>
        <v/>
      </c>
      <c r="O290" s="26" t="str">
        <f aca="false">IF($J290="","",IFERROR(INDEX(EMPL_CLASSE,MATCH($J290,EMPL_KEY,0)),"?"))</f>
        <v/>
      </c>
      <c r="P290" s="28" t="n">
        <f aca="false">IF($B290="",0,IF(OR(ISNA(MATCH($B290,ST_ID,0)),NOT(ISNUMBER($F290)),$F290&lt;=0,$J290="",$N290=""),0,1))</f>
        <v>0</v>
      </c>
      <c r="Q290" s="27" t="n">
        <f aca="false">IF($P290=0,0,$F290)</f>
        <v>0</v>
      </c>
      <c r="R290" s="26" t="str">
        <f aca="false">IF($B290="","",IFERROR(INDEX(ST_STATUT,MATCH($B290,ST_ID,0)),""))</f>
        <v/>
      </c>
      <c r="S290" s="26" t="str">
        <f aca="false">IF($B290="","",IF($P290=0,"DONNEES MANQUANTES",IF(OR($R290="DONNEES MANQUANTES",$R290="STOCK INSUFFISANT",$R290="EMPLACEMENT INCOHERENT",$R290="BLOQUE"),"BLOQUE","OK")))</f>
        <v/>
      </c>
      <c r="T290" s="28" t="n">
        <f aca="false">IF($S290="OK",1,0)</f>
        <v>0</v>
      </c>
      <c r="U290" s="26" t="str">
        <f aca="false">IF($B290="","",IF($P290=0,"A COMPLETER : "&amp;IF(ISNA(MATCH($B290,ST_ID,0)),"ID ST valide; ","")&amp;IF(OR(NOT(ISNUMBER($F290)),$F290&lt;=0),"QUANTITE &gt; 0; ","")&amp;IF($J290="","EMPL. DESTINATION; ",""),IF($S290="BLOQUE","Envoi parent en anomalie ("&amp;$R290&amp;") : corriger l'onglet SOUS_TRAITANCE.",IF(AND($E290&lt;&gt;"",ISNA(MATCH($E290,LOT_KEY,0))),"Creer la fiche du lot resultat dans l'onglet LOTS.",""))))</f>
        <v/>
      </c>
      <c r="V290" s="31" t="str">
        <f aca="false">IF($B290="","",IF($C290&lt;&gt;"",$C290,IFERROR(INDEX(ST_DATERET,MATCH($B290,ST_ID,0)),"")))</f>
        <v/>
      </c>
      <c r="W290" s="26" t="str">
        <f aca="false">IF($P290=0,"",IF($L290=R_LOT,IF($N290&lt;&gt;R_LOT,$N290,""),IF($N290=R_LOT,$L290,"")))</f>
        <v/>
      </c>
      <c r="X290" s="26" t="str">
        <f aca="false">IF($W290="","",IF(COUNTIF($W$4:$W289,$W290)&gt;0,"",COUNT($X$4:$X289)+1))</f>
        <v/>
      </c>
      <c r="Y290" s="26" t="n">
        <f aca="false">IF($P290=0,0,IF(OR($L290=R_LOT,$N290=R_LOT),1,0))</f>
        <v>0</v>
      </c>
      <c r="Z290" s="26" t="str">
        <f aca="false">IF($Y290=0,"",COUNTIF($Y$5:$Y290,1))</f>
        <v/>
      </c>
    </row>
    <row r="291" customFormat="false" ht="15" hidden="false" customHeight="false" outlineLevel="0" collapsed="false">
      <c r="A291" s="26" t="str">
        <f aca="false">IF($B291="","","RES-"&amp;TEXT(ROW()-4,"000"))</f>
        <v/>
      </c>
      <c r="B291" s="24"/>
      <c r="C291" s="25"/>
      <c r="D291" s="24"/>
      <c r="E291" s="24"/>
      <c r="F291" s="29"/>
      <c r="G291" s="24"/>
      <c r="H291" s="24"/>
      <c r="I291" s="24"/>
      <c r="J291" s="24"/>
      <c r="K291" s="24"/>
      <c r="L291" s="26" t="str">
        <f aca="false">IF($B291="","",IFERROR(INDEX(ST_LOT,MATCH($B291,ST_ID,0)),""))</f>
        <v/>
      </c>
      <c r="M291" s="26" t="str">
        <f aca="false">IF($B291="","",IFERROR(INDEX(ST_STRAIT,MATCH($B291,ST_ID,0)),""))</f>
        <v/>
      </c>
      <c r="N291" s="26" t="str">
        <f aca="false">IF($B291="","",IF($E291="",$L291,$E291))</f>
        <v/>
      </c>
      <c r="O291" s="26" t="str">
        <f aca="false">IF($J291="","",IFERROR(INDEX(EMPL_CLASSE,MATCH($J291,EMPL_KEY,0)),"?"))</f>
        <v/>
      </c>
      <c r="P291" s="28" t="n">
        <f aca="false">IF($B291="",0,IF(OR(ISNA(MATCH($B291,ST_ID,0)),NOT(ISNUMBER($F291)),$F291&lt;=0,$J291="",$N291=""),0,1))</f>
        <v>0</v>
      </c>
      <c r="Q291" s="27" t="n">
        <f aca="false">IF($P291=0,0,$F291)</f>
        <v>0</v>
      </c>
      <c r="R291" s="26" t="str">
        <f aca="false">IF($B291="","",IFERROR(INDEX(ST_STATUT,MATCH($B291,ST_ID,0)),""))</f>
        <v/>
      </c>
      <c r="S291" s="26" t="str">
        <f aca="false">IF($B291="","",IF($P291=0,"DONNEES MANQUANTES",IF(OR($R291="DONNEES MANQUANTES",$R291="STOCK INSUFFISANT",$R291="EMPLACEMENT INCOHERENT",$R291="BLOQUE"),"BLOQUE","OK")))</f>
        <v/>
      </c>
      <c r="T291" s="28" t="n">
        <f aca="false">IF($S291="OK",1,0)</f>
        <v>0</v>
      </c>
      <c r="U291" s="26" t="str">
        <f aca="false">IF($B291="","",IF($P291=0,"A COMPLETER : "&amp;IF(ISNA(MATCH($B291,ST_ID,0)),"ID ST valide; ","")&amp;IF(OR(NOT(ISNUMBER($F291)),$F291&lt;=0),"QUANTITE &gt; 0; ","")&amp;IF($J291="","EMPL. DESTINATION; ",""),IF($S291="BLOQUE","Envoi parent en anomalie ("&amp;$R291&amp;") : corriger l'onglet SOUS_TRAITANCE.",IF(AND($E291&lt;&gt;"",ISNA(MATCH($E291,LOT_KEY,0))),"Creer la fiche du lot resultat dans l'onglet LOTS.",""))))</f>
        <v/>
      </c>
      <c r="V291" s="31" t="str">
        <f aca="false">IF($B291="","",IF($C291&lt;&gt;"",$C291,IFERROR(INDEX(ST_DATERET,MATCH($B291,ST_ID,0)),"")))</f>
        <v/>
      </c>
      <c r="W291" s="26" t="str">
        <f aca="false">IF($P291=0,"",IF($L291=R_LOT,IF($N291&lt;&gt;R_LOT,$N291,""),IF($N291=R_LOT,$L291,"")))</f>
        <v/>
      </c>
      <c r="X291" s="26" t="str">
        <f aca="false">IF($W291="","",IF(COUNTIF($W$4:$W290,$W291)&gt;0,"",COUNT($X$4:$X290)+1))</f>
        <v/>
      </c>
      <c r="Y291" s="26" t="n">
        <f aca="false">IF($P291=0,0,IF(OR($L291=R_LOT,$N291=R_LOT),1,0))</f>
        <v>0</v>
      </c>
      <c r="Z291" s="26" t="str">
        <f aca="false">IF($Y291=0,"",COUNTIF($Y$5:$Y291,1))</f>
        <v/>
      </c>
    </row>
    <row r="292" customFormat="false" ht="15" hidden="false" customHeight="false" outlineLevel="0" collapsed="false">
      <c r="A292" s="26" t="str">
        <f aca="false">IF($B292="","","RES-"&amp;TEXT(ROW()-4,"000"))</f>
        <v/>
      </c>
      <c r="B292" s="24"/>
      <c r="C292" s="25"/>
      <c r="D292" s="24"/>
      <c r="E292" s="24"/>
      <c r="F292" s="29"/>
      <c r="G292" s="24"/>
      <c r="H292" s="24"/>
      <c r="I292" s="24"/>
      <c r="J292" s="24"/>
      <c r="K292" s="24"/>
      <c r="L292" s="26" t="str">
        <f aca="false">IF($B292="","",IFERROR(INDEX(ST_LOT,MATCH($B292,ST_ID,0)),""))</f>
        <v/>
      </c>
      <c r="M292" s="26" t="str">
        <f aca="false">IF($B292="","",IFERROR(INDEX(ST_STRAIT,MATCH($B292,ST_ID,0)),""))</f>
        <v/>
      </c>
      <c r="N292" s="26" t="str">
        <f aca="false">IF($B292="","",IF($E292="",$L292,$E292))</f>
        <v/>
      </c>
      <c r="O292" s="26" t="str">
        <f aca="false">IF($J292="","",IFERROR(INDEX(EMPL_CLASSE,MATCH($J292,EMPL_KEY,0)),"?"))</f>
        <v/>
      </c>
      <c r="P292" s="28" t="n">
        <f aca="false">IF($B292="",0,IF(OR(ISNA(MATCH($B292,ST_ID,0)),NOT(ISNUMBER($F292)),$F292&lt;=0,$J292="",$N292=""),0,1))</f>
        <v>0</v>
      </c>
      <c r="Q292" s="27" t="n">
        <f aca="false">IF($P292=0,0,$F292)</f>
        <v>0</v>
      </c>
      <c r="R292" s="26" t="str">
        <f aca="false">IF($B292="","",IFERROR(INDEX(ST_STATUT,MATCH($B292,ST_ID,0)),""))</f>
        <v/>
      </c>
      <c r="S292" s="26" t="str">
        <f aca="false">IF($B292="","",IF($P292=0,"DONNEES MANQUANTES",IF(OR($R292="DONNEES MANQUANTES",$R292="STOCK INSUFFISANT",$R292="EMPLACEMENT INCOHERENT",$R292="BLOQUE"),"BLOQUE","OK")))</f>
        <v/>
      </c>
      <c r="T292" s="28" t="n">
        <f aca="false">IF($S292="OK",1,0)</f>
        <v>0</v>
      </c>
      <c r="U292" s="26" t="str">
        <f aca="false">IF($B292="","",IF($P292=0,"A COMPLETER : "&amp;IF(ISNA(MATCH($B292,ST_ID,0)),"ID ST valide; ","")&amp;IF(OR(NOT(ISNUMBER($F292)),$F292&lt;=0),"QUANTITE &gt; 0; ","")&amp;IF($J292="","EMPL. DESTINATION; ",""),IF($S292="BLOQUE","Envoi parent en anomalie ("&amp;$R292&amp;") : corriger l'onglet SOUS_TRAITANCE.",IF(AND($E292&lt;&gt;"",ISNA(MATCH($E292,LOT_KEY,0))),"Creer la fiche du lot resultat dans l'onglet LOTS.",""))))</f>
        <v/>
      </c>
      <c r="V292" s="31" t="str">
        <f aca="false">IF($B292="","",IF($C292&lt;&gt;"",$C292,IFERROR(INDEX(ST_DATERET,MATCH($B292,ST_ID,0)),"")))</f>
        <v/>
      </c>
      <c r="W292" s="26" t="str">
        <f aca="false">IF($P292=0,"",IF($L292=R_LOT,IF($N292&lt;&gt;R_LOT,$N292,""),IF($N292=R_LOT,$L292,"")))</f>
        <v/>
      </c>
      <c r="X292" s="26" t="str">
        <f aca="false">IF($W292="","",IF(COUNTIF($W$4:$W291,$W292)&gt;0,"",COUNT($X$4:$X291)+1))</f>
        <v/>
      </c>
      <c r="Y292" s="26" t="n">
        <f aca="false">IF($P292=0,0,IF(OR($L292=R_LOT,$N292=R_LOT),1,0))</f>
        <v>0</v>
      </c>
      <c r="Z292" s="26" t="str">
        <f aca="false">IF($Y292=0,"",COUNTIF($Y$5:$Y292,1))</f>
        <v/>
      </c>
    </row>
    <row r="293" customFormat="false" ht="15" hidden="false" customHeight="false" outlineLevel="0" collapsed="false">
      <c r="A293" s="26" t="str">
        <f aca="false">IF($B293="","","RES-"&amp;TEXT(ROW()-4,"000"))</f>
        <v/>
      </c>
      <c r="B293" s="24"/>
      <c r="C293" s="25"/>
      <c r="D293" s="24"/>
      <c r="E293" s="24"/>
      <c r="F293" s="29"/>
      <c r="G293" s="24"/>
      <c r="H293" s="24"/>
      <c r="I293" s="24"/>
      <c r="J293" s="24"/>
      <c r="K293" s="24"/>
      <c r="L293" s="26" t="str">
        <f aca="false">IF($B293="","",IFERROR(INDEX(ST_LOT,MATCH($B293,ST_ID,0)),""))</f>
        <v/>
      </c>
      <c r="M293" s="26" t="str">
        <f aca="false">IF($B293="","",IFERROR(INDEX(ST_STRAIT,MATCH($B293,ST_ID,0)),""))</f>
        <v/>
      </c>
      <c r="N293" s="26" t="str">
        <f aca="false">IF($B293="","",IF($E293="",$L293,$E293))</f>
        <v/>
      </c>
      <c r="O293" s="26" t="str">
        <f aca="false">IF($J293="","",IFERROR(INDEX(EMPL_CLASSE,MATCH($J293,EMPL_KEY,0)),"?"))</f>
        <v/>
      </c>
      <c r="P293" s="28" t="n">
        <f aca="false">IF($B293="",0,IF(OR(ISNA(MATCH($B293,ST_ID,0)),NOT(ISNUMBER($F293)),$F293&lt;=0,$J293="",$N293=""),0,1))</f>
        <v>0</v>
      </c>
      <c r="Q293" s="27" t="n">
        <f aca="false">IF($P293=0,0,$F293)</f>
        <v>0</v>
      </c>
      <c r="R293" s="26" t="str">
        <f aca="false">IF($B293="","",IFERROR(INDEX(ST_STATUT,MATCH($B293,ST_ID,0)),""))</f>
        <v/>
      </c>
      <c r="S293" s="26" t="str">
        <f aca="false">IF($B293="","",IF($P293=0,"DONNEES MANQUANTES",IF(OR($R293="DONNEES MANQUANTES",$R293="STOCK INSUFFISANT",$R293="EMPLACEMENT INCOHERENT",$R293="BLOQUE"),"BLOQUE","OK")))</f>
        <v/>
      </c>
      <c r="T293" s="28" t="n">
        <f aca="false">IF($S293="OK",1,0)</f>
        <v>0</v>
      </c>
      <c r="U293" s="26" t="str">
        <f aca="false">IF($B293="","",IF($P293=0,"A COMPLETER : "&amp;IF(ISNA(MATCH($B293,ST_ID,0)),"ID ST valide; ","")&amp;IF(OR(NOT(ISNUMBER($F293)),$F293&lt;=0),"QUANTITE &gt; 0; ","")&amp;IF($J293="","EMPL. DESTINATION; ",""),IF($S293="BLOQUE","Envoi parent en anomalie ("&amp;$R293&amp;") : corriger l'onglet SOUS_TRAITANCE.",IF(AND($E293&lt;&gt;"",ISNA(MATCH($E293,LOT_KEY,0))),"Creer la fiche du lot resultat dans l'onglet LOTS.",""))))</f>
        <v/>
      </c>
      <c r="V293" s="31" t="str">
        <f aca="false">IF($B293="","",IF($C293&lt;&gt;"",$C293,IFERROR(INDEX(ST_DATERET,MATCH($B293,ST_ID,0)),"")))</f>
        <v/>
      </c>
      <c r="W293" s="26" t="str">
        <f aca="false">IF($P293=0,"",IF($L293=R_LOT,IF($N293&lt;&gt;R_LOT,$N293,""),IF($N293=R_LOT,$L293,"")))</f>
        <v/>
      </c>
      <c r="X293" s="26" t="str">
        <f aca="false">IF($W293="","",IF(COUNTIF($W$4:$W292,$W293)&gt;0,"",COUNT($X$4:$X292)+1))</f>
        <v/>
      </c>
      <c r="Y293" s="26" t="n">
        <f aca="false">IF($P293=0,0,IF(OR($L293=R_LOT,$N293=R_LOT),1,0))</f>
        <v>0</v>
      </c>
      <c r="Z293" s="26" t="str">
        <f aca="false">IF($Y293=0,"",COUNTIF($Y$5:$Y293,1))</f>
        <v/>
      </c>
    </row>
    <row r="294" customFormat="false" ht="15" hidden="false" customHeight="false" outlineLevel="0" collapsed="false">
      <c r="A294" s="26" t="str">
        <f aca="false">IF($B294="","","RES-"&amp;TEXT(ROW()-4,"000"))</f>
        <v/>
      </c>
      <c r="B294" s="24"/>
      <c r="C294" s="25"/>
      <c r="D294" s="24"/>
      <c r="E294" s="24"/>
      <c r="F294" s="29"/>
      <c r="G294" s="24"/>
      <c r="H294" s="24"/>
      <c r="I294" s="24"/>
      <c r="J294" s="24"/>
      <c r="K294" s="24"/>
      <c r="L294" s="26" t="str">
        <f aca="false">IF($B294="","",IFERROR(INDEX(ST_LOT,MATCH($B294,ST_ID,0)),""))</f>
        <v/>
      </c>
      <c r="M294" s="26" t="str">
        <f aca="false">IF($B294="","",IFERROR(INDEX(ST_STRAIT,MATCH($B294,ST_ID,0)),""))</f>
        <v/>
      </c>
      <c r="N294" s="26" t="str">
        <f aca="false">IF($B294="","",IF($E294="",$L294,$E294))</f>
        <v/>
      </c>
      <c r="O294" s="26" t="str">
        <f aca="false">IF($J294="","",IFERROR(INDEX(EMPL_CLASSE,MATCH($J294,EMPL_KEY,0)),"?"))</f>
        <v/>
      </c>
      <c r="P294" s="28" t="n">
        <f aca="false">IF($B294="",0,IF(OR(ISNA(MATCH($B294,ST_ID,0)),NOT(ISNUMBER($F294)),$F294&lt;=0,$J294="",$N294=""),0,1))</f>
        <v>0</v>
      </c>
      <c r="Q294" s="27" t="n">
        <f aca="false">IF($P294=0,0,$F294)</f>
        <v>0</v>
      </c>
      <c r="R294" s="26" t="str">
        <f aca="false">IF($B294="","",IFERROR(INDEX(ST_STATUT,MATCH($B294,ST_ID,0)),""))</f>
        <v/>
      </c>
      <c r="S294" s="26" t="str">
        <f aca="false">IF($B294="","",IF($P294=0,"DONNEES MANQUANTES",IF(OR($R294="DONNEES MANQUANTES",$R294="STOCK INSUFFISANT",$R294="EMPLACEMENT INCOHERENT",$R294="BLOQUE"),"BLOQUE","OK")))</f>
        <v/>
      </c>
      <c r="T294" s="28" t="n">
        <f aca="false">IF($S294="OK",1,0)</f>
        <v>0</v>
      </c>
      <c r="U294" s="26" t="str">
        <f aca="false">IF($B294="","",IF($P294=0,"A COMPLETER : "&amp;IF(ISNA(MATCH($B294,ST_ID,0)),"ID ST valide; ","")&amp;IF(OR(NOT(ISNUMBER($F294)),$F294&lt;=0),"QUANTITE &gt; 0; ","")&amp;IF($J294="","EMPL. DESTINATION; ",""),IF($S294="BLOQUE","Envoi parent en anomalie ("&amp;$R294&amp;") : corriger l'onglet SOUS_TRAITANCE.",IF(AND($E294&lt;&gt;"",ISNA(MATCH($E294,LOT_KEY,0))),"Creer la fiche du lot resultat dans l'onglet LOTS.",""))))</f>
        <v/>
      </c>
      <c r="V294" s="31" t="str">
        <f aca="false">IF($B294="","",IF($C294&lt;&gt;"",$C294,IFERROR(INDEX(ST_DATERET,MATCH($B294,ST_ID,0)),"")))</f>
        <v/>
      </c>
      <c r="W294" s="26" t="str">
        <f aca="false">IF($P294=0,"",IF($L294=R_LOT,IF($N294&lt;&gt;R_LOT,$N294,""),IF($N294=R_LOT,$L294,"")))</f>
        <v/>
      </c>
      <c r="X294" s="26" t="str">
        <f aca="false">IF($W294="","",IF(COUNTIF($W$4:$W293,$W294)&gt;0,"",COUNT($X$4:$X293)+1))</f>
        <v/>
      </c>
      <c r="Y294" s="26" t="n">
        <f aca="false">IF($P294=0,0,IF(OR($L294=R_LOT,$N294=R_LOT),1,0))</f>
        <v>0</v>
      </c>
      <c r="Z294" s="26" t="str">
        <f aca="false">IF($Y294=0,"",COUNTIF($Y$5:$Y294,1))</f>
        <v/>
      </c>
    </row>
    <row r="295" customFormat="false" ht="15" hidden="false" customHeight="false" outlineLevel="0" collapsed="false">
      <c r="A295" s="26" t="str">
        <f aca="false">IF($B295="","","RES-"&amp;TEXT(ROW()-4,"000"))</f>
        <v/>
      </c>
      <c r="B295" s="24"/>
      <c r="C295" s="25"/>
      <c r="D295" s="24"/>
      <c r="E295" s="24"/>
      <c r="F295" s="29"/>
      <c r="G295" s="24"/>
      <c r="H295" s="24"/>
      <c r="I295" s="24"/>
      <c r="J295" s="24"/>
      <c r="K295" s="24"/>
      <c r="L295" s="26" t="str">
        <f aca="false">IF($B295="","",IFERROR(INDEX(ST_LOT,MATCH($B295,ST_ID,0)),""))</f>
        <v/>
      </c>
      <c r="M295" s="26" t="str">
        <f aca="false">IF($B295="","",IFERROR(INDEX(ST_STRAIT,MATCH($B295,ST_ID,0)),""))</f>
        <v/>
      </c>
      <c r="N295" s="26" t="str">
        <f aca="false">IF($B295="","",IF($E295="",$L295,$E295))</f>
        <v/>
      </c>
      <c r="O295" s="26" t="str">
        <f aca="false">IF($J295="","",IFERROR(INDEX(EMPL_CLASSE,MATCH($J295,EMPL_KEY,0)),"?"))</f>
        <v/>
      </c>
      <c r="P295" s="28" t="n">
        <f aca="false">IF($B295="",0,IF(OR(ISNA(MATCH($B295,ST_ID,0)),NOT(ISNUMBER($F295)),$F295&lt;=0,$J295="",$N295=""),0,1))</f>
        <v>0</v>
      </c>
      <c r="Q295" s="27" t="n">
        <f aca="false">IF($P295=0,0,$F295)</f>
        <v>0</v>
      </c>
      <c r="R295" s="26" t="str">
        <f aca="false">IF($B295="","",IFERROR(INDEX(ST_STATUT,MATCH($B295,ST_ID,0)),""))</f>
        <v/>
      </c>
      <c r="S295" s="26" t="str">
        <f aca="false">IF($B295="","",IF($P295=0,"DONNEES MANQUANTES",IF(OR($R295="DONNEES MANQUANTES",$R295="STOCK INSUFFISANT",$R295="EMPLACEMENT INCOHERENT",$R295="BLOQUE"),"BLOQUE","OK")))</f>
        <v/>
      </c>
      <c r="T295" s="28" t="n">
        <f aca="false">IF($S295="OK",1,0)</f>
        <v>0</v>
      </c>
      <c r="U295" s="26" t="str">
        <f aca="false">IF($B295="","",IF($P295=0,"A COMPLETER : "&amp;IF(ISNA(MATCH($B295,ST_ID,0)),"ID ST valide; ","")&amp;IF(OR(NOT(ISNUMBER($F295)),$F295&lt;=0),"QUANTITE &gt; 0; ","")&amp;IF($J295="","EMPL. DESTINATION; ",""),IF($S295="BLOQUE","Envoi parent en anomalie ("&amp;$R295&amp;") : corriger l'onglet SOUS_TRAITANCE.",IF(AND($E295&lt;&gt;"",ISNA(MATCH($E295,LOT_KEY,0))),"Creer la fiche du lot resultat dans l'onglet LOTS.",""))))</f>
        <v/>
      </c>
      <c r="V295" s="31" t="str">
        <f aca="false">IF($B295="","",IF($C295&lt;&gt;"",$C295,IFERROR(INDEX(ST_DATERET,MATCH($B295,ST_ID,0)),"")))</f>
        <v/>
      </c>
      <c r="W295" s="26" t="str">
        <f aca="false">IF($P295=0,"",IF($L295=R_LOT,IF($N295&lt;&gt;R_LOT,$N295,""),IF($N295=R_LOT,$L295,"")))</f>
        <v/>
      </c>
      <c r="X295" s="26" t="str">
        <f aca="false">IF($W295="","",IF(COUNTIF($W$4:$W294,$W295)&gt;0,"",COUNT($X$4:$X294)+1))</f>
        <v/>
      </c>
      <c r="Y295" s="26" t="n">
        <f aca="false">IF($P295=0,0,IF(OR($L295=R_LOT,$N295=R_LOT),1,0))</f>
        <v>0</v>
      </c>
      <c r="Z295" s="26" t="str">
        <f aca="false">IF($Y295=0,"",COUNTIF($Y$5:$Y295,1))</f>
        <v/>
      </c>
    </row>
    <row r="296" customFormat="false" ht="15" hidden="false" customHeight="false" outlineLevel="0" collapsed="false">
      <c r="A296" s="26" t="str">
        <f aca="false">IF($B296="","","RES-"&amp;TEXT(ROW()-4,"000"))</f>
        <v/>
      </c>
      <c r="B296" s="24"/>
      <c r="C296" s="25"/>
      <c r="D296" s="24"/>
      <c r="E296" s="24"/>
      <c r="F296" s="29"/>
      <c r="G296" s="24"/>
      <c r="H296" s="24"/>
      <c r="I296" s="24"/>
      <c r="J296" s="24"/>
      <c r="K296" s="24"/>
      <c r="L296" s="26" t="str">
        <f aca="false">IF($B296="","",IFERROR(INDEX(ST_LOT,MATCH($B296,ST_ID,0)),""))</f>
        <v/>
      </c>
      <c r="M296" s="26" t="str">
        <f aca="false">IF($B296="","",IFERROR(INDEX(ST_STRAIT,MATCH($B296,ST_ID,0)),""))</f>
        <v/>
      </c>
      <c r="N296" s="26" t="str">
        <f aca="false">IF($B296="","",IF($E296="",$L296,$E296))</f>
        <v/>
      </c>
      <c r="O296" s="26" t="str">
        <f aca="false">IF($J296="","",IFERROR(INDEX(EMPL_CLASSE,MATCH($J296,EMPL_KEY,0)),"?"))</f>
        <v/>
      </c>
      <c r="P296" s="28" t="n">
        <f aca="false">IF($B296="",0,IF(OR(ISNA(MATCH($B296,ST_ID,0)),NOT(ISNUMBER($F296)),$F296&lt;=0,$J296="",$N296=""),0,1))</f>
        <v>0</v>
      </c>
      <c r="Q296" s="27" t="n">
        <f aca="false">IF($P296=0,0,$F296)</f>
        <v>0</v>
      </c>
      <c r="R296" s="26" t="str">
        <f aca="false">IF($B296="","",IFERROR(INDEX(ST_STATUT,MATCH($B296,ST_ID,0)),""))</f>
        <v/>
      </c>
      <c r="S296" s="26" t="str">
        <f aca="false">IF($B296="","",IF($P296=0,"DONNEES MANQUANTES",IF(OR($R296="DONNEES MANQUANTES",$R296="STOCK INSUFFISANT",$R296="EMPLACEMENT INCOHERENT",$R296="BLOQUE"),"BLOQUE","OK")))</f>
        <v/>
      </c>
      <c r="T296" s="28" t="n">
        <f aca="false">IF($S296="OK",1,0)</f>
        <v>0</v>
      </c>
      <c r="U296" s="26" t="str">
        <f aca="false">IF($B296="","",IF($P296=0,"A COMPLETER : "&amp;IF(ISNA(MATCH($B296,ST_ID,0)),"ID ST valide; ","")&amp;IF(OR(NOT(ISNUMBER($F296)),$F296&lt;=0),"QUANTITE &gt; 0; ","")&amp;IF($J296="","EMPL. DESTINATION; ",""),IF($S296="BLOQUE","Envoi parent en anomalie ("&amp;$R296&amp;") : corriger l'onglet SOUS_TRAITANCE.",IF(AND($E296&lt;&gt;"",ISNA(MATCH($E296,LOT_KEY,0))),"Creer la fiche du lot resultat dans l'onglet LOTS.",""))))</f>
        <v/>
      </c>
      <c r="V296" s="31" t="str">
        <f aca="false">IF($B296="","",IF($C296&lt;&gt;"",$C296,IFERROR(INDEX(ST_DATERET,MATCH($B296,ST_ID,0)),"")))</f>
        <v/>
      </c>
      <c r="W296" s="26" t="str">
        <f aca="false">IF($P296=0,"",IF($L296=R_LOT,IF($N296&lt;&gt;R_LOT,$N296,""),IF($N296=R_LOT,$L296,"")))</f>
        <v/>
      </c>
      <c r="X296" s="26" t="str">
        <f aca="false">IF($W296="","",IF(COUNTIF($W$4:$W295,$W296)&gt;0,"",COUNT($X$4:$X295)+1))</f>
        <v/>
      </c>
      <c r="Y296" s="26" t="n">
        <f aca="false">IF($P296=0,0,IF(OR($L296=R_LOT,$N296=R_LOT),1,0))</f>
        <v>0</v>
      </c>
      <c r="Z296" s="26" t="str">
        <f aca="false">IF($Y296=0,"",COUNTIF($Y$5:$Y296,1))</f>
        <v/>
      </c>
    </row>
    <row r="297" customFormat="false" ht="15" hidden="false" customHeight="false" outlineLevel="0" collapsed="false">
      <c r="A297" s="26" t="str">
        <f aca="false">IF($B297="","","RES-"&amp;TEXT(ROW()-4,"000"))</f>
        <v/>
      </c>
      <c r="B297" s="24"/>
      <c r="C297" s="25"/>
      <c r="D297" s="24"/>
      <c r="E297" s="24"/>
      <c r="F297" s="29"/>
      <c r="G297" s="24"/>
      <c r="H297" s="24"/>
      <c r="I297" s="24"/>
      <c r="J297" s="24"/>
      <c r="K297" s="24"/>
      <c r="L297" s="26" t="str">
        <f aca="false">IF($B297="","",IFERROR(INDEX(ST_LOT,MATCH($B297,ST_ID,0)),""))</f>
        <v/>
      </c>
      <c r="M297" s="26" t="str">
        <f aca="false">IF($B297="","",IFERROR(INDEX(ST_STRAIT,MATCH($B297,ST_ID,0)),""))</f>
        <v/>
      </c>
      <c r="N297" s="26" t="str">
        <f aca="false">IF($B297="","",IF($E297="",$L297,$E297))</f>
        <v/>
      </c>
      <c r="O297" s="26" t="str">
        <f aca="false">IF($J297="","",IFERROR(INDEX(EMPL_CLASSE,MATCH($J297,EMPL_KEY,0)),"?"))</f>
        <v/>
      </c>
      <c r="P297" s="28" t="n">
        <f aca="false">IF($B297="",0,IF(OR(ISNA(MATCH($B297,ST_ID,0)),NOT(ISNUMBER($F297)),$F297&lt;=0,$J297="",$N297=""),0,1))</f>
        <v>0</v>
      </c>
      <c r="Q297" s="27" t="n">
        <f aca="false">IF($P297=0,0,$F297)</f>
        <v>0</v>
      </c>
      <c r="R297" s="26" t="str">
        <f aca="false">IF($B297="","",IFERROR(INDEX(ST_STATUT,MATCH($B297,ST_ID,0)),""))</f>
        <v/>
      </c>
      <c r="S297" s="26" t="str">
        <f aca="false">IF($B297="","",IF($P297=0,"DONNEES MANQUANTES",IF(OR($R297="DONNEES MANQUANTES",$R297="STOCK INSUFFISANT",$R297="EMPLACEMENT INCOHERENT",$R297="BLOQUE"),"BLOQUE","OK")))</f>
        <v/>
      </c>
      <c r="T297" s="28" t="n">
        <f aca="false">IF($S297="OK",1,0)</f>
        <v>0</v>
      </c>
      <c r="U297" s="26" t="str">
        <f aca="false">IF($B297="","",IF($P297=0,"A COMPLETER : "&amp;IF(ISNA(MATCH($B297,ST_ID,0)),"ID ST valide; ","")&amp;IF(OR(NOT(ISNUMBER($F297)),$F297&lt;=0),"QUANTITE &gt; 0; ","")&amp;IF($J297="","EMPL. DESTINATION; ",""),IF($S297="BLOQUE","Envoi parent en anomalie ("&amp;$R297&amp;") : corriger l'onglet SOUS_TRAITANCE.",IF(AND($E297&lt;&gt;"",ISNA(MATCH($E297,LOT_KEY,0))),"Creer la fiche du lot resultat dans l'onglet LOTS.",""))))</f>
        <v/>
      </c>
      <c r="V297" s="31" t="str">
        <f aca="false">IF($B297="","",IF($C297&lt;&gt;"",$C297,IFERROR(INDEX(ST_DATERET,MATCH($B297,ST_ID,0)),"")))</f>
        <v/>
      </c>
      <c r="W297" s="26" t="str">
        <f aca="false">IF($P297=0,"",IF($L297=R_LOT,IF($N297&lt;&gt;R_LOT,$N297,""),IF($N297=R_LOT,$L297,"")))</f>
        <v/>
      </c>
      <c r="X297" s="26" t="str">
        <f aca="false">IF($W297="","",IF(COUNTIF($W$4:$W296,$W297)&gt;0,"",COUNT($X$4:$X296)+1))</f>
        <v/>
      </c>
      <c r="Y297" s="26" t="n">
        <f aca="false">IF($P297=0,0,IF(OR($L297=R_LOT,$N297=R_LOT),1,0))</f>
        <v>0</v>
      </c>
      <c r="Z297" s="26" t="str">
        <f aca="false">IF($Y297=0,"",COUNTIF($Y$5:$Y297,1))</f>
        <v/>
      </c>
    </row>
    <row r="298" customFormat="false" ht="15" hidden="false" customHeight="false" outlineLevel="0" collapsed="false">
      <c r="A298" s="26" t="str">
        <f aca="false">IF($B298="","","RES-"&amp;TEXT(ROW()-4,"000"))</f>
        <v/>
      </c>
      <c r="B298" s="24"/>
      <c r="C298" s="25"/>
      <c r="D298" s="24"/>
      <c r="E298" s="24"/>
      <c r="F298" s="29"/>
      <c r="G298" s="24"/>
      <c r="H298" s="24"/>
      <c r="I298" s="24"/>
      <c r="J298" s="24"/>
      <c r="K298" s="24"/>
      <c r="L298" s="26" t="str">
        <f aca="false">IF($B298="","",IFERROR(INDEX(ST_LOT,MATCH($B298,ST_ID,0)),""))</f>
        <v/>
      </c>
      <c r="M298" s="26" t="str">
        <f aca="false">IF($B298="","",IFERROR(INDEX(ST_STRAIT,MATCH($B298,ST_ID,0)),""))</f>
        <v/>
      </c>
      <c r="N298" s="26" t="str">
        <f aca="false">IF($B298="","",IF($E298="",$L298,$E298))</f>
        <v/>
      </c>
      <c r="O298" s="26" t="str">
        <f aca="false">IF($J298="","",IFERROR(INDEX(EMPL_CLASSE,MATCH($J298,EMPL_KEY,0)),"?"))</f>
        <v/>
      </c>
      <c r="P298" s="28" t="n">
        <f aca="false">IF($B298="",0,IF(OR(ISNA(MATCH($B298,ST_ID,0)),NOT(ISNUMBER($F298)),$F298&lt;=0,$J298="",$N298=""),0,1))</f>
        <v>0</v>
      </c>
      <c r="Q298" s="27" t="n">
        <f aca="false">IF($P298=0,0,$F298)</f>
        <v>0</v>
      </c>
      <c r="R298" s="26" t="str">
        <f aca="false">IF($B298="","",IFERROR(INDEX(ST_STATUT,MATCH($B298,ST_ID,0)),""))</f>
        <v/>
      </c>
      <c r="S298" s="26" t="str">
        <f aca="false">IF($B298="","",IF($P298=0,"DONNEES MANQUANTES",IF(OR($R298="DONNEES MANQUANTES",$R298="STOCK INSUFFISANT",$R298="EMPLACEMENT INCOHERENT",$R298="BLOQUE"),"BLOQUE","OK")))</f>
        <v/>
      </c>
      <c r="T298" s="28" t="n">
        <f aca="false">IF($S298="OK",1,0)</f>
        <v>0</v>
      </c>
      <c r="U298" s="26" t="str">
        <f aca="false">IF($B298="","",IF($P298=0,"A COMPLETER : "&amp;IF(ISNA(MATCH($B298,ST_ID,0)),"ID ST valide; ","")&amp;IF(OR(NOT(ISNUMBER($F298)),$F298&lt;=0),"QUANTITE &gt; 0; ","")&amp;IF($J298="","EMPL. DESTINATION; ",""),IF($S298="BLOQUE","Envoi parent en anomalie ("&amp;$R298&amp;") : corriger l'onglet SOUS_TRAITANCE.",IF(AND($E298&lt;&gt;"",ISNA(MATCH($E298,LOT_KEY,0))),"Creer la fiche du lot resultat dans l'onglet LOTS.",""))))</f>
        <v/>
      </c>
      <c r="V298" s="31" t="str">
        <f aca="false">IF($B298="","",IF($C298&lt;&gt;"",$C298,IFERROR(INDEX(ST_DATERET,MATCH($B298,ST_ID,0)),"")))</f>
        <v/>
      </c>
      <c r="W298" s="26" t="str">
        <f aca="false">IF($P298=0,"",IF($L298=R_LOT,IF($N298&lt;&gt;R_LOT,$N298,""),IF($N298=R_LOT,$L298,"")))</f>
        <v/>
      </c>
      <c r="X298" s="26" t="str">
        <f aca="false">IF($W298="","",IF(COUNTIF($W$4:$W297,$W298)&gt;0,"",COUNT($X$4:$X297)+1))</f>
        <v/>
      </c>
      <c r="Y298" s="26" t="n">
        <f aca="false">IF($P298=0,0,IF(OR($L298=R_LOT,$N298=R_LOT),1,0))</f>
        <v>0</v>
      </c>
      <c r="Z298" s="26" t="str">
        <f aca="false">IF($Y298=0,"",COUNTIF($Y$5:$Y298,1))</f>
        <v/>
      </c>
    </row>
    <row r="299" customFormat="false" ht="15" hidden="false" customHeight="false" outlineLevel="0" collapsed="false">
      <c r="A299" s="26" t="str">
        <f aca="false">IF($B299="","","RES-"&amp;TEXT(ROW()-4,"000"))</f>
        <v/>
      </c>
      <c r="B299" s="24"/>
      <c r="C299" s="25"/>
      <c r="D299" s="24"/>
      <c r="E299" s="24"/>
      <c r="F299" s="29"/>
      <c r="G299" s="24"/>
      <c r="H299" s="24"/>
      <c r="I299" s="24"/>
      <c r="J299" s="24"/>
      <c r="K299" s="24"/>
      <c r="L299" s="26" t="str">
        <f aca="false">IF($B299="","",IFERROR(INDEX(ST_LOT,MATCH($B299,ST_ID,0)),""))</f>
        <v/>
      </c>
      <c r="M299" s="26" t="str">
        <f aca="false">IF($B299="","",IFERROR(INDEX(ST_STRAIT,MATCH($B299,ST_ID,0)),""))</f>
        <v/>
      </c>
      <c r="N299" s="26" t="str">
        <f aca="false">IF($B299="","",IF($E299="",$L299,$E299))</f>
        <v/>
      </c>
      <c r="O299" s="26" t="str">
        <f aca="false">IF($J299="","",IFERROR(INDEX(EMPL_CLASSE,MATCH($J299,EMPL_KEY,0)),"?"))</f>
        <v/>
      </c>
      <c r="P299" s="28" t="n">
        <f aca="false">IF($B299="",0,IF(OR(ISNA(MATCH($B299,ST_ID,0)),NOT(ISNUMBER($F299)),$F299&lt;=0,$J299="",$N299=""),0,1))</f>
        <v>0</v>
      </c>
      <c r="Q299" s="27" t="n">
        <f aca="false">IF($P299=0,0,$F299)</f>
        <v>0</v>
      </c>
      <c r="R299" s="26" t="str">
        <f aca="false">IF($B299="","",IFERROR(INDEX(ST_STATUT,MATCH($B299,ST_ID,0)),""))</f>
        <v/>
      </c>
      <c r="S299" s="26" t="str">
        <f aca="false">IF($B299="","",IF($P299=0,"DONNEES MANQUANTES",IF(OR($R299="DONNEES MANQUANTES",$R299="STOCK INSUFFISANT",$R299="EMPLACEMENT INCOHERENT",$R299="BLOQUE"),"BLOQUE","OK")))</f>
        <v/>
      </c>
      <c r="T299" s="28" t="n">
        <f aca="false">IF($S299="OK",1,0)</f>
        <v>0</v>
      </c>
      <c r="U299" s="26" t="str">
        <f aca="false">IF($B299="","",IF($P299=0,"A COMPLETER : "&amp;IF(ISNA(MATCH($B299,ST_ID,0)),"ID ST valide; ","")&amp;IF(OR(NOT(ISNUMBER($F299)),$F299&lt;=0),"QUANTITE &gt; 0; ","")&amp;IF($J299="","EMPL. DESTINATION; ",""),IF($S299="BLOQUE","Envoi parent en anomalie ("&amp;$R299&amp;") : corriger l'onglet SOUS_TRAITANCE.",IF(AND($E299&lt;&gt;"",ISNA(MATCH($E299,LOT_KEY,0))),"Creer la fiche du lot resultat dans l'onglet LOTS.",""))))</f>
        <v/>
      </c>
      <c r="V299" s="31" t="str">
        <f aca="false">IF($B299="","",IF($C299&lt;&gt;"",$C299,IFERROR(INDEX(ST_DATERET,MATCH($B299,ST_ID,0)),"")))</f>
        <v/>
      </c>
      <c r="W299" s="26" t="str">
        <f aca="false">IF($P299=0,"",IF($L299=R_LOT,IF($N299&lt;&gt;R_LOT,$N299,""),IF($N299=R_LOT,$L299,"")))</f>
        <v/>
      </c>
      <c r="X299" s="26" t="str">
        <f aca="false">IF($W299="","",IF(COUNTIF($W$4:$W298,$W299)&gt;0,"",COUNT($X$4:$X298)+1))</f>
        <v/>
      </c>
      <c r="Y299" s="26" t="n">
        <f aca="false">IF($P299=0,0,IF(OR($L299=R_LOT,$N299=R_LOT),1,0))</f>
        <v>0</v>
      </c>
      <c r="Z299" s="26" t="str">
        <f aca="false">IF($Y299=0,"",COUNTIF($Y$5:$Y299,1))</f>
        <v/>
      </c>
    </row>
    <row r="300" customFormat="false" ht="15" hidden="false" customHeight="false" outlineLevel="0" collapsed="false">
      <c r="A300" s="26" t="str">
        <f aca="false">IF($B300="","","RES-"&amp;TEXT(ROW()-4,"000"))</f>
        <v/>
      </c>
      <c r="B300" s="24"/>
      <c r="C300" s="25"/>
      <c r="D300" s="24"/>
      <c r="E300" s="24"/>
      <c r="F300" s="29"/>
      <c r="G300" s="24"/>
      <c r="H300" s="24"/>
      <c r="I300" s="24"/>
      <c r="J300" s="24"/>
      <c r="K300" s="24"/>
      <c r="L300" s="26" t="str">
        <f aca="false">IF($B300="","",IFERROR(INDEX(ST_LOT,MATCH($B300,ST_ID,0)),""))</f>
        <v/>
      </c>
      <c r="M300" s="26" t="str">
        <f aca="false">IF($B300="","",IFERROR(INDEX(ST_STRAIT,MATCH($B300,ST_ID,0)),""))</f>
        <v/>
      </c>
      <c r="N300" s="26" t="str">
        <f aca="false">IF($B300="","",IF($E300="",$L300,$E300))</f>
        <v/>
      </c>
      <c r="O300" s="26" t="str">
        <f aca="false">IF($J300="","",IFERROR(INDEX(EMPL_CLASSE,MATCH($J300,EMPL_KEY,0)),"?"))</f>
        <v/>
      </c>
      <c r="P300" s="28" t="n">
        <f aca="false">IF($B300="",0,IF(OR(ISNA(MATCH($B300,ST_ID,0)),NOT(ISNUMBER($F300)),$F300&lt;=0,$J300="",$N300=""),0,1))</f>
        <v>0</v>
      </c>
      <c r="Q300" s="27" t="n">
        <f aca="false">IF($P300=0,0,$F300)</f>
        <v>0</v>
      </c>
      <c r="R300" s="26" t="str">
        <f aca="false">IF($B300="","",IFERROR(INDEX(ST_STATUT,MATCH($B300,ST_ID,0)),""))</f>
        <v/>
      </c>
      <c r="S300" s="26" t="str">
        <f aca="false">IF($B300="","",IF($P300=0,"DONNEES MANQUANTES",IF(OR($R300="DONNEES MANQUANTES",$R300="STOCK INSUFFISANT",$R300="EMPLACEMENT INCOHERENT",$R300="BLOQUE"),"BLOQUE","OK")))</f>
        <v/>
      </c>
      <c r="T300" s="28" t="n">
        <f aca="false">IF($S300="OK",1,0)</f>
        <v>0</v>
      </c>
      <c r="U300" s="26" t="str">
        <f aca="false">IF($B300="","",IF($P300=0,"A COMPLETER : "&amp;IF(ISNA(MATCH($B300,ST_ID,0)),"ID ST valide; ","")&amp;IF(OR(NOT(ISNUMBER($F300)),$F300&lt;=0),"QUANTITE &gt; 0; ","")&amp;IF($J300="","EMPL. DESTINATION; ",""),IF($S300="BLOQUE","Envoi parent en anomalie ("&amp;$R300&amp;") : corriger l'onglet SOUS_TRAITANCE.",IF(AND($E300&lt;&gt;"",ISNA(MATCH($E300,LOT_KEY,0))),"Creer la fiche du lot resultat dans l'onglet LOTS.",""))))</f>
        <v/>
      </c>
      <c r="V300" s="31" t="str">
        <f aca="false">IF($B300="","",IF($C300&lt;&gt;"",$C300,IFERROR(INDEX(ST_DATERET,MATCH($B300,ST_ID,0)),"")))</f>
        <v/>
      </c>
      <c r="W300" s="26" t="str">
        <f aca="false">IF($P300=0,"",IF($L300=R_LOT,IF($N300&lt;&gt;R_LOT,$N300,""),IF($N300=R_LOT,$L300,"")))</f>
        <v/>
      </c>
      <c r="X300" s="26" t="str">
        <f aca="false">IF($W300="","",IF(COUNTIF($W$4:$W299,$W300)&gt;0,"",COUNT($X$4:$X299)+1))</f>
        <v/>
      </c>
      <c r="Y300" s="26" t="n">
        <f aca="false">IF($P300=0,0,IF(OR($L300=R_LOT,$N300=R_LOT),1,0))</f>
        <v>0</v>
      </c>
      <c r="Z300" s="26" t="str">
        <f aca="false">IF($Y300=0,"",COUNTIF($Y$5:$Y300,1))</f>
        <v/>
      </c>
    </row>
    <row r="301" customFormat="false" ht="15" hidden="false" customHeight="false" outlineLevel="0" collapsed="false">
      <c r="A301" s="26" t="str">
        <f aca="false">IF($B301="","","RES-"&amp;TEXT(ROW()-4,"000"))</f>
        <v/>
      </c>
      <c r="B301" s="24"/>
      <c r="C301" s="25"/>
      <c r="D301" s="24"/>
      <c r="E301" s="24"/>
      <c r="F301" s="29"/>
      <c r="G301" s="24"/>
      <c r="H301" s="24"/>
      <c r="I301" s="24"/>
      <c r="J301" s="24"/>
      <c r="K301" s="24"/>
      <c r="L301" s="26" t="str">
        <f aca="false">IF($B301="","",IFERROR(INDEX(ST_LOT,MATCH($B301,ST_ID,0)),""))</f>
        <v/>
      </c>
      <c r="M301" s="26" t="str">
        <f aca="false">IF($B301="","",IFERROR(INDEX(ST_STRAIT,MATCH($B301,ST_ID,0)),""))</f>
        <v/>
      </c>
      <c r="N301" s="26" t="str">
        <f aca="false">IF($B301="","",IF($E301="",$L301,$E301))</f>
        <v/>
      </c>
      <c r="O301" s="26" t="str">
        <f aca="false">IF($J301="","",IFERROR(INDEX(EMPL_CLASSE,MATCH($J301,EMPL_KEY,0)),"?"))</f>
        <v/>
      </c>
      <c r="P301" s="28" t="n">
        <f aca="false">IF($B301="",0,IF(OR(ISNA(MATCH($B301,ST_ID,0)),NOT(ISNUMBER($F301)),$F301&lt;=0,$J301="",$N301=""),0,1))</f>
        <v>0</v>
      </c>
      <c r="Q301" s="27" t="n">
        <f aca="false">IF($P301=0,0,$F301)</f>
        <v>0</v>
      </c>
      <c r="R301" s="26" t="str">
        <f aca="false">IF($B301="","",IFERROR(INDEX(ST_STATUT,MATCH($B301,ST_ID,0)),""))</f>
        <v/>
      </c>
      <c r="S301" s="26" t="str">
        <f aca="false">IF($B301="","",IF($P301=0,"DONNEES MANQUANTES",IF(OR($R301="DONNEES MANQUANTES",$R301="STOCK INSUFFISANT",$R301="EMPLACEMENT INCOHERENT",$R301="BLOQUE"),"BLOQUE","OK")))</f>
        <v/>
      </c>
      <c r="T301" s="28" t="n">
        <f aca="false">IF($S301="OK",1,0)</f>
        <v>0</v>
      </c>
      <c r="U301" s="26" t="str">
        <f aca="false">IF($B301="","",IF($P301=0,"A COMPLETER : "&amp;IF(ISNA(MATCH($B301,ST_ID,0)),"ID ST valide; ","")&amp;IF(OR(NOT(ISNUMBER($F301)),$F301&lt;=0),"QUANTITE &gt; 0; ","")&amp;IF($J301="","EMPL. DESTINATION; ",""),IF($S301="BLOQUE","Envoi parent en anomalie ("&amp;$R301&amp;") : corriger l'onglet SOUS_TRAITANCE.",IF(AND($E301&lt;&gt;"",ISNA(MATCH($E301,LOT_KEY,0))),"Creer la fiche du lot resultat dans l'onglet LOTS.",""))))</f>
        <v/>
      </c>
      <c r="V301" s="31" t="str">
        <f aca="false">IF($B301="","",IF($C301&lt;&gt;"",$C301,IFERROR(INDEX(ST_DATERET,MATCH($B301,ST_ID,0)),"")))</f>
        <v/>
      </c>
      <c r="W301" s="26" t="str">
        <f aca="false">IF($P301=0,"",IF($L301=R_LOT,IF($N301&lt;&gt;R_LOT,$N301,""),IF($N301=R_LOT,$L301,"")))</f>
        <v/>
      </c>
      <c r="X301" s="26" t="str">
        <f aca="false">IF($W301="","",IF(COUNTIF($W$4:$W300,$W301)&gt;0,"",COUNT($X$4:$X300)+1))</f>
        <v/>
      </c>
      <c r="Y301" s="26" t="n">
        <f aca="false">IF($P301=0,0,IF(OR($L301=R_LOT,$N301=R_LOT),1,0))</f>
        <v>0</v>
      </c>
      <c r="Z301" s="26" t="str">
        <f aca="false">IF($Y301=0,"",COUNTIF($Y$5:$Y301,1))</f>
        <v/>
      </c>
    </row>
    <row r="302" customFormat="false" ht="15" hidden="false" customHeight="false" outlineLevel="0" collapsed="false">
      <c r="A302" s="26" t="str">
        <f aca="false">IF($B302="","","RES-"&amp;TEXT(ROW()-4,"000"))</f>
        <v/>
      </c>
      <c r="B302" s="24"/>
      <c r="C302" s="25"/>
      <c r="D302" s="24"/>
      <c r="E302" s="24"/>
      <c r="F302" s="29"/>
      <c r="G302" s="24"/>
      <c r="H302" s="24"/>
      <c r="I302" s="24"/>
      <c r="J302" s="24"/>
      <c r="K302" s="24"/>
      <c r="L302" s="26" t="str">
        <f aca="false">IF($B302="","",IFERROR(INDEX(ST_LOT,MATCH($B302,ST_ID,0)),""))</f>
        <v/>
      </c>
      <c r="M302" s="26" t="str">
        <f aca="false">IF($B302="","",IFERROR(INDEX(ST_STRAIT,MATCH($B302,ST_ID,0)),""))</f>
        <v/>
      </c>
      <c r="N302" s="26" t="str">
        <f aca="false">IF($B302="","",IF($E302="",$L302,$E302))</f>
        <v/>
      </c>
      <c r="O302" s="26" t="str">
        <f aca="false">IF($J302="","",IFERROR(INDEX(EMPL_CLASSE,MATCH($J302,EMPL_KEY,0)),"?"))</f>
        <v/>
      </c>
      <c r="P302" s="28" t="n">
        <f aca="false">IF($B302="",0,IF(OR(ISNA(MATCH($B302,ST_ID,0)),NOT(ISNUMBER($F302)),$F302&lt;=0,$J302="",$N302=""),0,1))</f>
        <v>0</v>
      </c>
      <c r="Q302" s="27" t="n">
        <f aca="false">IF($P302=0,0,$F302)</f>
        <v>0</v>
      </c>
      <c r="R302" s="26" t="str">
        <f aca="false">IF($B302="","",IFERROR(INDEX(ST_STATUT,MATCH($B302,ST_ID,0)),""))</f>
        <v/>
      </c>
      <c r="S302" s="26" t="str">
        <f aca="false">IF($B302="","",IF($P302=0,"DONNEES MANQUANTES",IF(OR($R302="DONNEES MANQUANTES",$R302="STOCK INSUFFISANT",$R302="EMPLACEMENT INCOHERENT",$R302="BLOQUE"),"BLOQUE","OK")))</f>
        <v/>
      </c>
      <c r="T302" s="28" t="n">
        <f aca="false">IF($S302="OK",1,0)</f>
        <v>0</v>
      </c>
      <c r="U302" s="26" t="str">
        <f aca="false">IF($B302="","",IF($P302=0,"A COMPLETER : "&amp;IF(ISNA(MATCH($B302,ST_ID,0)),"ID ST valide; ","")&amp;IF(OR(NOT(ISNUMBER($F302)),$F302&lt;=0),"QUANTITE &gt; 0; ","")&amp;IF($J302="","EMPL. DESTINATION; ",""),IF($S302="BLOQUE","Envoi parent en anomalie ("&amp;$R302&amp;") : corriger l'onglet SOUS_TRAITANCE.",IF(AND($E302&lt;&gt;"",ISNA(MATCH($E302,LOT_KEY,0))),"Creer la fiche du lot resultat dans l'onglet LOTS.",""))))</f>
        <v/>
      </c>
      <c r="V302" s="31" t="str">
        <f aca="false">IF($B302="","",IF($C302&lt;&gt;"",$C302,IFERROR(INDEX(ST_DATERET,MATCH($B302,ST_ID,0)),"")))</f>
        <v/>
      </c>
      <c r="W302" s="26" t="str">
        <f aca="false">IF($P302=0,"",IF($L302=R_LOT,IF($N302&lt;&gt;R_LOT,$N302,""),IF($N302=R_LOT,$L302,"")))</f>
        <v/>
      </c>
      <c r="X302" s="26" t="str">
        <f aca="false">IF($W302="","",IF(COUNTIF($W$4:$W301,$W302)&gt;0,"",COUNT($X$4:$X301)+1))</f>
        <v/>
      </c>
      <c r="Y302" s="26" t="n">
        <f aca="false">IF($P302=0,0,IF(OR($L302=R_LOT,$N302=R_LOT),1,0))</f>
        <v>0</v>
      </c>
      <c r="Z302" s="26" t="str">
        <f aca="false">IF($Y302=0,"",COUNTIF($Y$5:$Y302,1))</f>
        <v/>
      </c>
    </row>
    <row r="303" customFormat="false" ht="15" hidden="false" customHeight="false" outlineLevel="0" collapsed="false">
      <c r="A303" s="26" t="str">
        <f aca="false">IF($B303="","","RES-"&amp;TEXT(ROW()-4,"000"))</f>
        <v/>
      </c>
      <c r="B303" s="24"/>
      <c r="C303" s="25"/>
      <c r="D303" s="24"/>
      <c r="E303" s="24"/>
      <c r="F303" s="29"/>
      <c r="G303" s="24"/>
      <c r="H303" s="24"/>
      <c r="I303" s="24"/>
      <c r="J303" s="24"/>
      <c r="K303" s="24"/>
      <c r="L303" s="26" t="str">
        <f aca="false">IF($B303="","",IFERROR(INDEX(ST_LOT,MATCH($B303,ST_ID,0)),""))</f>
        <v/>
      </c>
      <c r="M303" s="26" t="str">
        <f aca="false">IF($B303="","",IFERROR(INDEX(ST_STRAIT,MATCH($B303,ST_ID,0)),""))</f>
        <v/>
      </c>
      <c r="N303" s="26" t="str">
        <f aca="false">IF($B303="","",IF($E303="",$L303,$E303))</f>
        <v/>
      </c>
      <c r="O303" s="26" t="str">
        <f aca="false">IF($J303="","",IFERROR(INDEX(EMPL_CLASSE,MATCH($J303,EMPL_KEY,0)),"?"))</f>
        <v/>
      </c>
      <c r="P303" s="28" t="n">
        <f aca="false">IF($B303="",0,IF(OR(ISNA(MATCH($B303,ST_ID,0)),NOT(ISNUMBER($F303)),$F303&lt;=0,$J303="",$N303=""),0,1))</f>
        <v>0</v>
      </c>
      <c r="Q303" s="27" t="n">
        <f aca="false">IF($P303=0,0,$F303)</f>
        <v>0</v>
      </c>
      <c r="R303" s="26" t="str">
        <f aca="false">IF($B303="","",IFERROR(INDEX(ST_STATUT,MATCH($B303,ST_ID,0)),""))</f>
        <v/>
      </c>
      <c r="S303" s="26" t="str">
        <f aca="false">IF($B303="","",IF($P303=0,"DONNEES MANQUANTES",IF(OR($R303="DONNEES MANQUANTES",$R303="STOCK INSUFFISANT",$R303="EMPLACEMENT INCOHERENT",$R303="BLOQUE"),"BLOQUE","OK")))</f>
        <v/>
      </c>
      <c r="T303" s="28" t="n">
        <f aca="false">IF($S303="OK",1,0)</f>
        <v>0</v>
      </c>
      <c r="U303" s="26" t="str">
        <f aca="false">IF($B303="","",IF($P303=0,"A COMPLETER : "&amp;IF(ISNA(MATCH($B303,ST_ID,0)),"ID ST valide; ","")&amp;IF(OR(NOT(ISNUMBER($F303)),$F303&lt;=0),"QUANTITE &gt; 0; ","")&amp;IF($J303="","EMPL. DESTINATION; ",""),IF($S303="BLOQUE","Envoi parent en anomalie ("&amp;$R303&amp;") : corriger l'onglet SOUS_TRAITANCE.",IF(AND($E303&lt;&gt;"",ISNA(MATCH($E303,LOT_KEY,0))),"Creer la fiche du lot resultat dans l'onglet LOTS.",""))))</f>
        <v/>
      </c>
      <c r="V303" s="31" t="str">
        <f aca="false">IF($B303="","",IF($C303&lt;&gt;"",$C303,IFERROR(INDEX(ST_DATERET,MATCH($B303,ST_ID,0)),"")))</f>
        <v/>
      </c>
      <c r="W303" s="26" t="str">
        <f aca="false">IF($P303=0,"",IF($L303=R_LOT,IF($N303&lt;&gt;R_LOT,$N303,""),IF($N303=R_LOT,$L303,"")))</f>
        <v/>
      </c>
      <c r="X303" s="26" t="str">
        <f aca="false">IF($W303="","",IF(COUNTIF($W$4:$W302,$W303)&gt;0,"",COUNT($X$4:$X302)+1))</f>
        <v/>
      </c>
      <c r="Y303" s="26" t="n">
        <f aca="false">IF($P303=0,0,IF(OR($L303=R_LOT,$N303=R_LOT),1,0))</f>
        <v>0</v>
      </c>
      <c r="Z303" s="26" t="str">
        <f aca="false">IF($Y303=0,"",COUNTIF($Y$5:$Y303,1))</f>
        <v/>
      </c>
    </row>
    <row r="304" customFormat="false" ht="15" hidden="false" customHeight="false" outlineLevel="0" collapsed="false">
      <c r="A304" s="26" t="str">
        <f aca="false">IF($B304="","","RES-"&amp;TEXT(ROW()-4,"000"))</f>
        <v/>
      </c>
      <c r="B304" s="24"/>
      <c r="C304" s="25"/>
      <c r="D304" s="24"/>
      <c r="E304" s="24"/>
      <c r="F304" s="29"/>
      <c r="G304" s="24"/>
      <c r="H304" s="24"/>
      <c r="I304" s="24"/>
      <c r="J304" s="24"/>
      <c r="K304" s="24"/>
      <c r="L304" s="26" t="str">
        <f aca="false">IF($B304="","",IFERROR(INDEX(ST_LOT,MATCH($B304,ST_ID,0)),""))</f>
        <v/>
      </c>
      <c r="M304" s="26" t="str">
        <f aca="false">IF($B304="","",IFERROR(INDEX(ST_STRAIT,MATCH($B304,ST_ID,0)),""))</f>
        <v/>
      </c>
      <c r="N304" s="26" t="str">
        <f aca="false">IF($B304="","",IF($E304="",$L304,$E304))</f>
        <v/>
      </c>
      <c r="O304" s="26" t="str">
        <f aca="false">IF($J304="","",IFERROR(INDEX(EMPL_CLASSE,MATCH($J304,EMPL_KEY,0)),"?"))</f>
        <v/>
      </c>
      <c r="P304" s="28" t="n">
        <f aca="false">IF($B304="",0,IF(OR(ISNA(MATCH($B304,ST_ID,0)),NOT(ISNUMBER($F304)),$F304&lt;=0,$J304="",$N304=""),0,1))</f>
        <v>0</v>
      </c>
      <c r="Q304" s="27" t="n">
        <f aca="false">IF($P304=0,0,$F304)</f>
        <v>0</v>
      </c>
      <c r="R304" s="26" t="str">
        <f aca="false">IF($B304="","",IFERROR(INDEX(ST_STATUT,MATCH($B304,ST_ID,0)),""))</f>
        <v/>
      </c>
      <c r="S304" s="26" t="str">
        <f aca="false">IF($B304="","",IF($P304=0,"DONNEES MANQUANTES",IF(OR($R304="DONNEES MANQUANTES",$R304="STOCK INSUFFISANT",$R304="EMPLACEMENT INCOHERENT",$R304="BLOQUE"),"BLOQUE","OK")))</f>
        <v/>
      </c>
      <c r="T304" s="28" t="n">
        <f aca="false">IF($S304="OK",1,0)</f>
        <v>0</v>
      </c>
      <c r="U304" s="26" t="str">
        <f aca="false">IF($B304="","",IF($P304=0,"A COMPLETER : "&amp;IF(ISNA(MATCH($B304,ST_ID,0)),"ID ST valide; ","")&amp;IF(OR(NOT(ISNUMBER($F304)),$F304&lt;=0),"QUANTITE &gt; 0; ","")&amp;IF($J304="","EMPL. DESTINATION; ",""),IF($S304="BLOQUE","Envoi parent en anomalie ("&amp;$R304&amp;") : corriger l'onglet SOUS_TRAITANCE.",IF(AND($E304&lt;&gt;"",ISNA(MATCH($E304,LOT_KEY,0))),"Creer la fiche du lot resultat dans l'onglet LOTS.",""))))</f>
        <v/>
      </c>
      <c r="V304" s="31" t="str">
        <f aca="false">IF($B304="","",IF($C304&lt;&gt;"",$C304,IFERROR(INDEX(ST_DATERET,MATCH($B304,ST_ID,0)),"")))</f>
        <v/>
      </c>
      <c r="W304" s="26" t="str">
        <f aca="false">IF($P304=0,"",IF($L304=R_LOT,IF($N304&lt;&gt;R_LOT,$N304,""),IF($N304=R_LOT,$L304,"")))</f>
        <v/>
      </c>
      <c r="X304" s="26" t="str">
        <f aca="false">IF($W304="","",IF(COUNTIF($W$4:$W303,$W304)&gt;0,"",COUNT($X$4:$X303)+1))</f>
        <v/>
      </c>
      <c r="Y304" s="26" t="n">
        <f aca="false">IF($P304=0,0,IF(OR($L304=R_LOT,$N304=R_LOT),1,0))</f>
        <v>0</v>
      </c>
      <c r="Z304" s="26" t="str">
        <f aca="false">IF($Y304=0,"",COUNTIF($Y$5:$Y304,1))</f>
        <v/>
      </c>
    </row>
  </sheetData>
  <autoFilter ref="A4:Z304"/>
  <mergeCells count="3">
    <mergeCell ref="A1:Z1"/>
    <mergeCell ref="A2:Z2"/>
    <mergeCell ref="A3:Z3"/>
  </mergeCells>
  <conditionalFormatting sqref="S5:S304">
    <cfRule type="cellIs" priority="2" operator="equal" aboveAverage="0" equalAverage="0" bottom="0" percent="0" rank="0" text="" dxfId="11">
      <formula>"OK"</formula>
    </cfRule>
    <cfRule type="cellIs" priority="3" operator="equal" aboveAverage="0" equalAverage="0" bottom="0" percent="0" rank="0" text="" dxfId="12">
      <formula>"EN COURS"</formula>
    </cfRule>
    <cfRule type="cellIs" priority="4" operator="equal" aboveAverage="0" equalAverage="0" bottom="0" percent="0" rank="0" text="" dxfId="13">
      <formula>"A JUSTIFIER"</formula>
    </cfRule>
    <cfRule type="cellIs" priority="5" operator="equal" aboveAverage="0" equalAverage="0" bottom="0" percent="0" rank="0" text="" dxfId="14">
      <formula>"DONNEES MANQUANTES"</formula>
    </cfRule>
    <cfRule type="cellIs" priority="6" operator="equal" aboveAverage="0" equalAverage="0" bottom="0" percent="0" rank="0" text="" dxfId="15">
      <formula>"STOCK INSUFFISANT"</formula>
    </cfRule>
    <cfRule type="cellIs" priority="7" operator="equal" aboveAverage="0" equalAverage="0" bottom="0" percent="0" rank="0" text="" dxfId="15">
      <formula>"EMPLACEMENT INCOHERENT"</formula>
    </cfRule>
    <cfRule type="cellIs" priority="8" operator="equal" aboveAverage="0" equalAverage="0" bottom="0" percent="0" rank="0" text="" dxfId="15">
      <formula>"BLOQUE"</formula>
    </cfRule>
    <cfRule type="cellIs" priority="9" operator="equal" aboveAverage="0" equalAverage="0" bottom="0" percent="0" rank="0" text="" dxfId="15">
      <formula>"INCOHERENCE"</formula>
    </cfRule>
    <cfRule type="cellIs" priority="10" operator="equal" aboveAverage="0" equalAverage="0" bottom="0" percent="0" rank="0" text="" dxfId="13">
      <formula>"LOT EN DOUBLE"</formula>
    </cfRule>
  </conditionalFormatting>
  <dataValidations count="7">
    <dataValidation allowBlank="true" error="Choisissez une valeur dans la liste deroulante." errorStyle="stop" errorTitle="Valeur non autorisee" operator="greaterThan" showDropDown="false" showErrorMessage="true" showInputMessage="false" sqref="F5:F304" type="decimal">
      <formula1>0</formula1>
      <formula2>0</formula2>
    </dataValidation>
    <dataValidation allowBlank="true" error="Choisissez une valeur dans la liste deroulante." errorStyle="stop" errorTitle="Valeur non autorisee" operator="between" prompt="Choisir l'envoi concerne (onglet SOUS_TRAITANCE)." promptTitle="Aide" showDropDown="false" showErrorMessage="true" showInputMessage="true" sqref="B5:B304" type="list">
      <formula1>L_IDST</formula1>
      <formula2>0</formula2>
    </dataValidation>
    <dataValidation allowBlank="true" errorStyle="stop" operator="between" showDropDown="false" showErrorMessage="false" showInputMessage="false" sqref="D5:D304" type="list">
      <formula1>L_ETAT</formula1>
      <formula2>0</formula2>
    </dataValidation>
    <dataValidation allowBlank="true" error="Choisissez une valeur dans la liste deroulante." errorStyle="stop" errorTitle="Valeur non autorisee" operator="between" prompt="Laisser vide pour conserver le lot source." promptTitle="Aide" showDropDown="false" showErrorMessage="true" showInputMessage="true" sqref="E5:E304" type="list">
      <formula1>L_LOTS</formula1>
      <formula2>0</formula2>
    </dataValidation>
    <dataValidation allowBlank="true" errorStyle="stop" operator="between" showDropDown="false" showErrorMessage="false" showInputMessage="false" sqref="G5:G304" type="list">
      <formula1>L_QUALITE</formula1>
      <formula2>0</formula2>
    </dataValidation>
    <dataValidation allowBlank="true" errorStyle="stop" operator="between" showDropDown="false" showErrorMessage="false" showInputMessage="false" sqref="H5:H304" type="list">
      <formula1>L_MOULE</formula1>
      <formula2>0</formula2>
    </dataValidation>
    <dataValidation allowBlank="true" error="Choisissez une valeur dans la liste deroulante." errorStyle="stop" errorTitle="Valeur non autorisee" operator="between" showDropDown="false" showErrorMessage="true" showInputMessage="false" sqref="J5:J304" type="list">
      <formula1>L_EMPL</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7A8C"/>
    <pageSetUpPr fitToPage="false"/>
  </sheetPr>
  <dimension ref="A1:T2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1"/>
    <col collapsed="false" customWidth="true" hidden="false" outlineLevel="0" max="3" min="3" style="0" width="14"/>
    <col collapsed="false" customWidth="true" hidden="false" outlineLevel="0" max="5" min="4" style="0" width="16"/>
    <col collapsed="false" customWidth="true" hidden="false" outlineLevel="0" max="6" min="6" style="0" width="14"/>
    <col collapsed="false" customWidth="true" hidden="false" outlineLevel="0" max="7" min="7" style="0" width="15"/>
    <col collapsed="false" customWidth="true" hidden="false" outlineLevel="0" max="8" min="8" style="0" width="10"/>
    <col collapsed="false" customWidth="true" hidden="false" outlineLevel="0" max="9" min="9" style="0" width="9"/>
    <col collapsed="false" customWidth="true" hidden="false" outlineLevel="0" max="10" min="10" style="0" width="26"/>
    <col collapsed="false" customWidth="true" hidden="false" outlineLevel="0" max="11" min="11" style="0" width="20"/>
    <col collapsed="false" customWidth="true" hidden="false" outlineLevel="0" max="12" min="12" style="0" width="14"/>
    <col collapsed="false" customWidth="true" hidden="false" outlineLevel="0" max="13" min="13" style="0" width="24"/>
    <col collapsed="false" customWidth="true" hidden="false" outlineLevel="0" max="15" min="14" style="0" width="14"/>
    <col collapsed="false" customWidth="true" hidden="false" outlineLevel="0" max="16" min="16" style="0" width="17"/>
    <col collapsed="false" customWidth="true" hidden="false" outlineLevel="0" max="17" min="17" style="0" width="21"/>
    <col collapsed="false" customWidth="true" hidden="false" outlineLevel="0" max="18" min="18" style="0" width="46"/>
    <col collapsed="false" customWidth="true" hidden="false" outlineLevel="0" max="20" min="19" style="0" width="12"/>
  </cols>
  <sheetData>
    <row r="1" customFormat="false" ht="30" hidden="false" customHeight="true" outlineLevel="0" collapsed="false">
      <c r="A1" s="1" t="s">
        <v>199</v>
      </c>
      <c r="B1" s="1"/>
      <c r="C1" s="1"/>
      <c r="D1" s="1"/>
      <c r="E1" s="1"/>
      <c r="F1" s="1"/>
      <c r="G1" s="1"/>
      <c r="H1" s="1"/>
      <c r="I1" s="1"/>
      <c r="J1" s="1"/>
      <c r="K1" s="1"/>
      <c r="L1" s="1"/>
      <c r="M1" s="1"/>
      <c r="N1" s="1"/>
      <c r="O1" s="1"/>
      <c r="P1" s="1"/>
      <c r="Q1" s="1"/>
      <c r="R1" s="1"/>
      <c r="S1" s="1"/>
      <c r="T1" s="1"/>
    </row>
    <row r="2" customFormat="false" ht="18" hidden="false" customHeight="true" outlineLevel="0" collapsed="false">
      <c r="A2" s="2" t="s">
        <v>200</v>
      </c>
      <c r="B2" s="2"/>
      <c r="C2" s="2"/>
      <c r="D2" s="2"/>
      <c r="E2" s="2"/>
      <c r="F2" s="2"/>
      <c r="G2" s="2"/>
      <c r="H2" s="2"/>
      <c r="I2" s="2"/>
      <c r="J2" s="2"/>
      <c r="K2" s="2"/>
      <c r="L2" s="2"/>
      <c r="M2" s="2"/>
      <c r="N2" s="2"/>
      <c r="O2" s="2"/>
      <c r="P2" s="2"/>
      <c r="Q2" s="2"/>
      <c r="R2" s="2"/>
      <c r="S2" s="2"/>
      <c r="T2" s="2"/>
    </row>
    <row r="3" customFormat="false" ht="19.5" hidden="false" customHeight="true" outlineLevel="0" collapsed="false">
      <c r="A3" s="3" t="s">
        <v>201</v>
      </c>
      <c r="B3" s="3"/>
      <c r="C3" s="3"/>
      <c r="D3" s="3"/>
      <c r="E3" s="3"/>
      <c r="F3" s="3"/>
      <c r="G3" s="3"/>
      <c r="H3" s="3"/>
      <c r="I3" s="3"/>
      <c r="J3" s="3"/>
      <c r="K3" s="3"/>
      <c r="L3" s="3"/>
      <c r="M3" s="3"/>
      <c r="N3" s="3"/>
      <c r="O3" s="3"/>
      <c r="P3" s="3"/>
      <c r="Q3" s="3"/>
      <c r="R3" s="3"/>
      <c r="S3" s="3"/>
      <c r="T3" s="3"/>
    </row>
    <row r="4" customFormat="false" ht="30" hidden="false" customHeight="true" outlineLevel="0" collapsed="false">
      <c r="A4" s="23" t="s">
        <v>202</v>
      </c>
      <c r="B4" s="22" t="s">
        <v>118</v>
      </c>
      <c r="C4" s="22" t="s">
        <v>48</v>
      </c>
      <c r="D4" s="22" t="s">
        <v>203</v>
      </c>
      <c r="E4" s="22" t="s">
        <v>204</v>
      </c>
      <c r="F4" s="22" t="s">
        <v>205</v>
      </c>
      <c r="G4" s="22" t="s">
        <v>206</v>
      </c>
      <c r="H4" s="22" t="s">
        <v>207</v>
      </c>
      <c r="I4" s="22" t="s">
        <v>208</v>
      </c>
      <c r="J4" s="22" t="s">
        <v>209</v>
      </c>
      <c r="K4" s="22" t="s">
        <v>210</v>
      </c>
      <c r="L4" s="22" t="s">
        <v>211</v>
      </c>
      <c r="M4" s="22" t="s">
        <v>59</v>
      </c>
      <c r="N4" s="23" t="s">
        <v>124</v>
      </c>
      <c r="O4" s="23" t="s">
        <v>54</v>
      </c>
      <c r="P4" s="23" t="s">
        <v>212</v>
      </c>
      <c r="Q4" s="23" t="s">
        <v>130</v>
      </c>
      <c r="R4" s="23" t="s">
        <v>213</v>
      </c>
      <c r="S4" s="23" t="s">
        <v>167</v>
      </c>
      <c r="T4" s="23" t="s">
        <v>168</v>
      </c>
    </row>
    <row r="5" customFormat="false" ht="15" hidden="false" customHeight="false" outlineLevel="0" collapsed="false">
      <c r="A5" s="26" t="str">
        <f aca="false">IF($C5="","","QC-"&amp;TEXT(ROW()-4,"000"))</f>
        <v>QC-001</v>
      </c>
      <c r="B5" s="25" t="n">
        <v>46247</v>
      </c>
      <c r="C5" s="24" t="s">
        <v>69</v>
      </c>
      <c r="D5" s="24" t="s">
        <v>134</v>
      </c>
      <c r="E5" s="24" t="s">
        <v>214</v>
      </c>
      <c r="F5" s="32" t="n">
        <v>-19</v>
      </c>
      <c r="G5" s="33" t="n">
        <v>45</v>
      </c>
      <c r="H5" s="24" t="s">
        <v>76</v>
      </c>
      <c r="I5" s="24" t="s">
        <v>77</v>
      </c>
      <c r="J5" s="24" t="s">
        <v>215</v>
      </c>
      <c r="K5" s="24" t="s">
        <v>216</v>
      </c>
      <c r="L5" s="24" t="s">
        <v>217</v>
      </c>
      <c r="M5" s="24" t="s">
        <v>218</v>
      </c>
      <c r="N5" s="26" t="str">
        <f aca="false">IF($C5="","",IFERROR(INDEX(LOT_PRODE,MATCH($C5,LOT_KEY,0)),"LOT NON REFERENCE"))</f>
        <v>SARDINE</v>
      </c>
      <c r="O5" s="26" t="str">
        <f aca="false">IF($C5="","",IFERROR(INDEX(LOT_CONSERVE,MATCH($C5,LOT_KEY,0)),""))</f>
        <v>CONGELE</v>
      </c>
      <c r="P5" s="27" t="n">
        <f aca="false">IF(OR($C5="",$D5=""),"",SUMIFS(MVT_NET,MVT_LOT,$C5,MVT_EMPL,$D5))</f>
        <v>500</v>
      </c>
      <c r="Q5" s="26" t="str">
        <f aca="false">IF($C5="","",IF(OR($B5="",AND($F5="",$G5="",$H5="",$I5="",$J5="",$K5="")),"DONNEES MANQUANTES",IF(AND($D5&lt;&gt;"",$P5&lt;=0),"EMPLACEMENT INCOHERENT","OK")))</f>
        <v>OK</v>
      </c>
      <c r="R5" s="26" t="str">
        <f aca="false">IF($C5="","",IF(AND(ISNUMBER($G5),$G5&gt;P_HIST),"HISTAMINE "&amp;TEXT($G5,"#,##0")&amp;" mg/kg &gt; seuil "&amp;TEXT(P_HIST,"#,##0")&amp;". ","")&amp;IF(AND(ISNUMBER($F5),$O5="CONGELE",$F5&gt;P_TCONG),"TEMPERATURE "&amp;TEXT($F5,"0.0")&amp;" C hors seuil congele. ","")&amp;IF(AND(ISNUMBER($F5),$O5="FRAIS",$F5&gt;P_TFRAIS),"TEMPERATURE "&amp;TEXT($F5,"0.0")&amp;" C hors seuil frais. ","")&amp;IF($Q5="EMPLACEMENT INCOHERENT","Lot absent de cet emplacement : controle conserve, stock inchange. ","")&amp;IF($Q5="DONNEES MANQUANTES","Renseigner la DATE et au moins une mesure. ",""))</f>
        <v/>
      </c>
      <c r="S5" s="28" t="n">
        <f aca="false">IF($C5="",0,IF($C5=R_LOT,1,0))</f>
        <v>1</v>
      </c>
      <c r="T5" s="26" t="n">
        <f aca="false">IF($S5=0,"",COUNTIF($S$5:$S5,1))</f>
        <v>1</v>
      </c>
    </row>
    <row r="6" customFormat="false" ht="15" hidden="false" customHeight="false" outlineLevel="0" collapsed="false">
      <c r="A6" s="26" t="str">
        <f aca="false">IF($C6="","","QC-"&amp;TEXT(ROW()-4,"000"))</f>
        <v>QC-002</v>
      </c>
      <c r="B6" s="25" t="n">
        <v>46248</v>
      </c>
      <c r="C6" s="24" t="s">
        <v>87</v>
      </c>
      <c r="D6" s="24" t="s">
        <v>219</v>
      </c>
      <c r="E6" s="24" t="s">
        <v>214</v>
      </c>
      <c r="F6" s="32" t="n">
        <v>2</v>
      </c>
      <c r="G6" s="33"/>
      <c r="H6" s="24" t="s">
        <v>76</v>
      </c>
      <c r="I6" s="24"/>
      <c r="J6" s="24"/>
      <c r="K6" s="24" t="s">
        <v>216</v>
      </c>
      <c r="L6" s="24" t="s">
        <v>217</v>
      </c>
      <c r="M6" s="24" t="s">
        <v>220</v>
      </c>
      <c r="N6" s="26" t="str">
        <f aca="false">IF($C6="","",IFERROR(INDEX(LOT_PRODE,MATCH($C6,LOT_KEY,0)),"LOT NON REFERENCE"))</f>
        <v>SARDINE</v>
      </c>
      <c r="O6" s="26" t="str">
        <f aca="false">IF($C6="","",IFERROR(INDEX(LOT_CONSERVE,MATCH($C6,LOT_KEY,0)),""))</f>
        <v>FRAIS</v>
      </c>
      <c r="P6" s="27" t="n">
        <f aca="false">IF(OR($C6="",$D6=""),"",SUMIFS(MVT_NET,MVT_LOT,$C6,MVT_EMPL,$D6))</f>
        <v>0</v>
      </c>
      <c r="Q6" s="26" t="str">
        <f aca="false">IF($C6="","",IF(OR($B6="",AND($F6="",$G6="",$H6="",$I6="",$J6="",$K6="")),"DONNEES MANQUANTES",IF(AND($D6&lt;&gt;"",$P6&lt;=0),"EMPLACEMENT INCOHERENT","OK")))</f>
        <v>EMPLACEMENT INCOHERENT</v>
      </c>
      <c r="R6" s="26" t="str">
        <f aca="false">IF($C6="","",IF(AND(ISNUMBER($G6),$G6&gt;P_HIST),"HISTAMINE "&amp;TEXT($G6,"#,##0")&amp;" mg/kg &gt; seuil "&amp;TEXT(P_HIST,"#,##0")&amp;". ","")&amp;IF(AND(ISNUMBER($F6),$O6="CONGELE",$F6&gt;P_TCONG),"TEMPERATURE "&amp;TEXT($F6,"0.0")&amp;" C hors seuil congele. ","")&amp;IF(AND(ISNUMBER($F6),$O6="FRAIS",$F6&gt;P_TFRAIS),"TEMPERATURE "&amp;TEXT($F6,"0.0")&amp;" C hors seuil frais. ","")&amp;IF($Q6="EMPLACEMENT INCOHERENT","Lot absent de cet emplacement : controle conserve, stock inchange. ","")&amp;IF($Q6="DONNEES MANQUANTES","Renseigner la DATE et au moins une mesure. ",""))</f>
        <v>Lot absent de cet emplacement : controle conserve, stock inchange. </v>
      </c>
      <c r="S6" s="28" t="n">
        <f aca="false">IF($C6="",0,IF($C6=R_LOT,1,0))</f>
        <v>0</v>
      </c>
      <c r="T6" s="26" t="str">
        <f aca="false">IF($S6=0,"",COUNTIF($S$5:$S6,1))</f>
        <v/>
      </c>
    </row>
    <row r="7" customFormat="false" ht="15" hidden="false" customHeight="false" outlineLevel="0" collapsed="false">
      <c r="A7" s="26" t="str">
        <f aca="false">IF($C7="","","QC-"&amp;TEXT(ROW()-4,"000"))</f>
        <v>QC-003</v>
      </c>
      <c r="B7" s="25" t="n">
        <v>46250</v>
      </c>
      <c r="C7" s="24" t="s">
        <v>79</v>
      </c>
      <c r="D7" s="24" t="s">
        <v>134</v>
      </c>
      <c r="E7" s="24" t="s">
        <v>133</v>
      </c>
      <c r="F7" s="32" t="n">
        <v>-18</v>
      </c>
      <c r="G7" s="33" t="n">
        <v>180</v>
      </c>
      <c r="H7" s="24" t="s">
        <v>84</v>
      </c>
      <c r="I7" s="24" t="s">
        <v>85</v>
      </c>
      <c r="J7" s="24" t="s">
        <v>221</v>
      </c>
      <c r="K7" s="24" t="s">
        <v>222</v>
      </c>
      <c r="L7" s="24" t="s">
        <v>217</v>
      </c>
      <c r="M7" s="24" t="s">
        <v>223</v>
      </c>
      <c r="N7" s="26" t="str">
        <f aca="false">IF($C7="","",IFERROR(INDEX(LOT_PRODE,MATCH($C7,LOT_KEY,0)),"LOT NON REFERENCE"))</f>
        <v>MAQUEREAU</v>
      </c>
      <c r="O7" s="26" t="str">
        <f aca="false">IF($C7="","",IFERROR(INDEX(LOT_CONSERVE,MATCH($C7,LOT_KEY,0)),""))</f>
        <v>CONGELE</v>
      </c>
      <c r="P7" s="27" t="n">
        <f aca="false">IF(OR($C7="",$D7=""),"",SUMIFS(MVT_NET,MVT_LOT,$C7,MVT_EMPL,$D7))</f>
        <v>800</v>
      </c>
      <c r="Q7" s="26" t="str">
        <f aca="false">IF($C7="","",IF(OR($B7="",AND($F7="",$G7="",$H7="",$I7="",$J7="",$K7="")),"DONNEES MANQUANTES",IF(AND($D7&lt;&gt;"",$P7&lt;=0),"EMPLACEMENT INCOHERENT","OK")))</f>
        <v>OK</v>
      </c>
      <c r="R7" s="26" t="str">
        <f aca="false">IF($C7="","",IF(AND(ISNUMBER($G7),$G7&gt;P_HIST),"HISTAMINE "&amp;TEXT($G7,"#,##0")&amp;" mg/kg &gt; seuil "&amp;TEXT(P_HIST,"#,##0")&amp;". ","")&amp;IF(AND(ISNUMBER($F7),$O7="CONGELE",$F7&gt;P_TCONG),"TEMPERATURE "&amp;TEXT($F7,"0.0")&amp;" C hors seuil congele. ","")&amp;IF(AND(ISNUMBER($F7),$O7="FRAIS",$F7&gt;P_TFRAIS),"TEMPERATURE "&amp;TEXT($F7,"0.0")&amp;" C hors seuil frais. ","")&amp;IF($Q7="EMPLACEMENT INCOHERENT","Lot absent de cet emplacement : controle conserve, stock inchange. ","")&amp;IF($Q7="DONNEES MANQUANTES","Renseigner la DATE et au moins une mesure. ",""))</f>
        <v>HISTAMINE 180 mg/kg &gt; seuil 100. </v>
      </c>
      <c r="S7" s="28" t="n">
        <f aca="false">IF($C7="",0,IF($C7=R_LOT,1,0))</f>
        <v>0</v>
      </c>
      <c r="T7" s="26" t="str">
        <f aca="false">IF($S7=0,"",COUNTIF($S$5:$S7,1))</f>
        <v/>
      </c>
    </row>
    <row r="8" customFormat="false" ht="15" hidden="false" customHeight="false" outlineLevel="0" collapsed="false">
      <c r="A8" s="26" t="str">
        <f aca="false">IF($C8="","","QC-"&amp;TEXT(ROW()-4,"000"))</f>
        <v/>
      </c>
      <c r="B8" s="25"/>
      <c r="C8" s="24"/>
      <c r="D8" s="24"/>
      <c r="E8" s="24"/>
      <c r="F8" s="32"/>
      <c r="G8" s="33"/>
      <c r="H8" s="24"/>
      <c r="I8" s="24"/>
      <c r="J8" s="24"/>
      <c r="K8" s="24"/>
      <c r="L8" s="24"/>
      <c r="M8" s="24"/>
      <c r="N8" s="26" t="str">
        <f aca="false">IF($C8="","",IFERROR(INDEX(LOT_PRODE,MATCH($C8,LOT_KEY,0)),"LOT NON REFERENCE"))</f>
        <v/>
      </c>
      <c r="O8" s="26" t="str">
        <f aca="false">IF($C8="","",IFERROR(INDEX(LOT_CONSERVE,MATCH($C8,LOT_KEY,0)),""))</f>
        <v/>
      </c>
      <c r="P8" s="27" t="str">
        <f aca="false">IF(OR($C8="",$D8=""),"",SUMIFS(MVT_NET,MVT_LOT,$C8,MVT_EMPL,$D8))</f>
        <v/>
      </c>
      <c r="Q8" s="26" t="str">
        <f aca="false">IF($C8="","",IF(OR($B8="",AND($F8="",$G8="",$H8="",$I8="",$J8="",$K8="")),"DONNEES MANQUANTES",IF(AND($D8&lt;&gt;"",$P8&lt;=0),"EMPLACEMENT INCOHERENT","OK")))</f>
        <v/>
      </c>
      <c r="R8" s="26" t="str">
        <f aca="false">IF($C8="","",IF(AND(ISNUMBER($G8),$G8&gt;P_HIST),"HISTAMINE "&amp;TEXT($G8,"#,##0")&amp;" mg/kg &gt; seuil "&amp;TEXT(P_HIST,"#,##0")&amp;". ","")&amp;IF(AND(ISNUMBER($F8),$O8="CONGELE",$F8&gt;P_TCONG),"TEMPERATURE "&amp;TEXT($F8,"0.0")&amp;" C hors seuil congele. ","")&amp;IF(AND(ISNUMBER($F8),$O8="FRAIS",$F8&gt;P_TFRAIS),"TEMPERATURE "&amp;TEXT($F8,"0.0")&amp;" C hors seuil frais. ","")&amp;IF($Q8="EMPLACEMENT INCOHERENT","Lot absent de cet emplacement : controle conserve, stock inchange. ","")&amp;IF($Q8="DONNEES MANQUANTES","Renseigner la DATE et au moins une mesure. ",""))</f>
        <v/>
      </c>
      <c r="S8" s="28" t="n">
        <f aca="false">IF($C8="",0,IF($C8=R_LOT,1,0))</f>
        <v>0</v>
      </c>
      <c r="T8" s="26" t="str">
        <f aca="false">IF($S8=0,"",COUNTIF($S$5:$S8,1))</f>
        <v/>
      </c>
    </row>
    <row r="9" customFormat="false" ht="15" hidden="false" customHeight="false" outlineLevel="0" collapsed="false">
      <c r="A9" s="26" t="str">
        <f aca="false">IF($C9="","","QC-"&amp;TEXT(ROW()-4,"000"))</f>
        <v/>
      </c>
      <c r="B9" s="25"/>
      <c r="C9" s="24"/>
      <c r="D9" s="24"/>
      <c r="E9" s="24"/>
      <c r="F9" s="32"/>
      <c r="G9" s="33"/>
      <c r="H9" s="24"/>
      <c r="I9" s="24"/>
      <c r="J9" s="24"/>
      <c r="K9" s="24"/>
      <c r="L9" s="24"/>
      <c r="M9" s="24"/>
      <c r="N9" s="26" t="str">
        <f aca="false">IF($C9="","",IFERROR(INDEX(LOT_PRODE,MATCH($C9,LOT_KEY,0)),"LOT NON REFERENCE"))</f>
        <v/>
      </c>
      <c r="O9" s="26" t="str">
        <f aca="false">IF($C9="","",IFERROR(INDEX(LOT_CONSERVE,MATCH($C9,LOT_KEY,0)),""))</f>
        <v/>
      </c>
      <c r="P9" s="27" t="str">
        <f aca="false">IF(OR($C9="",$D9=""),"",SUMIFS(MVT_NET,MVT_LOT,$C9,MVT_EMPL,$D9))</f>
        <v/>
      </c>
      <c r="Q9" s="26" t="str">
        <f aca="false">IF($C9="","",IF(OR($B9="",AND($F9="",$G9="",$H9="",$I9="",$J9="",$K9="")),"DONNEES MANQUANTES",IF(AND($D9&lt;&gt;"",$P9&lt;=0),"EMPLACEMENT INCOHERENT","OK")))</f>
        <v/>
      </c>
      <c r="R9" s="26" t="str">
        <f aca="false">IF($C9="","",IF(AND(ISNUMBER($G9),$G9&gt;P_HIST),"HISTAMINE "&amp;TEXT($G9,"#,##0")&amp;" mg/kg &gt; seuil "&amp;TEXT(P_HIST,"#,##0")&amp;". ","")&amp;IF(AND(ISNUMBER($F9),$O9="CONGELE",$F9&gt;P_TCONG),"TEMPERATURE "&amp;TEXT($F9,"0.0")&amp;" C hors seuil congele. ","")&amp;IF(AND(ISNUMBER($F9),$O9="FRAIS",$F9&gt;P_TFRAIS),"TEMPERATURE "&amp;TEXT($F9,"0.0")&amp;" C hors seuil frais. ","")&amp;IF($Q9="EMPLACEMENT INCOHERENT","Lot absent de cet emplacement : controle conserve, stock inchange. ","")&amp;IF($Q9="DONNEES MANQUANTES","Renseigner la DATE et au moins une mesure. ",""))</f>
        <v/>
      </c>
      <c r="S9" s="28" t="n">
        <f aca="false">IF($C9="",0,IF($C9=R_LOT,1,0))</f>
        <v>0</v>
      </c>
      <c r="T9" s="26" t="str">
        <f aca="false">IF($S9=0,"",COUNTIF($S$5:$S9,1))</f>
        <v/>
      </c>
    </row>
    <row r="10" customFormat="false" ht="15" hidden="false" customHeight="false" outlineLevel="0" collapsed="false">
      <c r="A10" s="26" t="str">
        <f aca="false">IF($C10="","","QC-"&amp;TEXT(ROW()-4,"000"))</f>
        <v/>
      </c>
      <c r="B10" s="25"/>
      <c r="C10" s="24"/>
      <c r="D10" s="24"/>
      <c r="E10" s="24"/>
      <c r="F10" s="32"/>
      <c r="G10" s="33"/>
      <c r="H10" s="24"/>
      <c r="I10" s="24"/>
      <c r="J10" s="24"/>
      <c r="K10" s="24"/>
      <c r="L10" s="24"/>
      <c r="M10" s="24"/>
      <c r="N10" s="26" t="str">
        <f aca="false">IF($C10="","",IFERROR(INDEX(LOT_PRODE,MATCH($C10,LOT_KEY,0)),"LOT NON REFERENCE"))</f>
        <v/>
      </c>
      <c r="O10" s="26" t="str">
        <f aca="false">IF($C10="","",IFERROR(INDEX(LOT_CONSERVE,MATCH($C10,LOT_KEY,0)),""))</f>
        <v/>
      </c>
      <c r="P10" s="27" t="str">
        <f aca="false">IF(OR($C10="",$D10=""),"",SUMIFS(MVT_NET,MVT_LOT,$C10,MVT_EMPL,$D10))</f>
        <v/>
      </c>
      <c r="Q10" s="26" t="str">
        <f aca="false">IF($C10="","",IF(OR($B10="",AND($F10="",$G10="",$H10="",$I10="",$J10="",$K10="")),"DONNEES MANQUANTES",IF(AND($D10&lt;&gt;"",$P10&lt;=0),"EMPLACEMENT INCOHERENT","OK")))</f>
        <v/>
      </c>
      <c r="R10" s="26" t="str">
        <f aca="false">IF($C10="","",IF(AND(ISNUMBER($G10),$G10&gt;P_HIST),"HISTAMINE "&amp;TEXT($G10,"#,##0")&amp;" mg/kg &gt; seuil "&amp;TEXT(P_HIST,"#,##0")&amp;". ","")&amp;IF(AND(ISNUMBER($F10),$O10="CONGELE",$F10&gt;P_TCONG),"TEMPERATURE "&amp;TEXT($F10,"0.0")&amp;" C hors seuil congele. ","")&amp;IF(AND(ISNUMBER($F10),$O10="FRAIS",$F10&gt;P_TFRAIS),"TEMPERATURE "&amp;TEXT($F10,"0.0")&amp;" C hors seuil frais. ","")&amp;IF($Q10="EMPLACEMENT INCOHERENT","Lot absent de cet emplacement : controle conserve, stock inchange. ","")&amp;IF($Q10="DONNEES MANQUANTES","Renseigner la DATE et au moins une mesure. ",""))</f>
        <v/>
      </c>
      <c r="S10" s="28" t="n">
        <f aca="false">IF($C10="",0,IF($C10=R_LOT,1,0))</f>
        <v>0</v>
      </c>
      <c r="T10" s="26" t="str">
        <f aca="false">IF($S10=0,"",COUNTIF($S$5:$S10,1))</f>
        <v/>
      </c>
    </row>
    <row r="11" customFormat="false" ht="15" hidden="false" customHeight="false" outlineLevel="0" collapsed="false">
      <c r="A11" s="26" t="str">
        <f aca="false">IF($C11="","","QC-"&amp;TEXT(ROW()-4,"000"))</f>
        <v/>
      </c>
      <c r="B11" s="25"/>
      <c r="C11" s="24"/>
      <c r="D11" s="24"/>
      <c r="E11" s="24"/>
      <c r="F11" s="32"/>
      <c r="G11" s="33"/>
      <c r="H11" s="24"/>
      <c r="I11" s="24"/>
      <c r="J11" s="24"/>
      <c r="K11" s="24"/>
      <c r="L11" s="24"/>
      <c r="M11" s="24"/>
      <c r="N11" s="26" t="str">
        <f aca="false">IF($C11="","",IFERROR(INDEX(LOT_PRODE,MATCH($C11,LOT_KEY,0)),"LOT NON REFERENCE"))</f>
        <v/>
      </c>
      <c r="O11" s="26" t="str">
        <f aca="false">IF($C11="","",IFERROR(INDEX(LOT_CONSERVE,MATCH($C11,LOT_KEY,0)),""))</f>
        <v/>
      </c>
      <c r="P11" s="27" t="str">
        <f aca="false">IF(OR($C11="",$D11=""),"",SUMIFS(MVT_NET,MVT_LOT,$C11,MVT_EMPL,$D11))</f>
        <v/>
      </c>
      <c r="Q11" s="26" t="str">
        <f aca="false">IF($C11="","",IF(OR($B11="",AND($F11="",$G11="",$H11="",$I11="",$J11="",$K11="")),"DONNEES MANQUANTES",IF(AND($D11&lt;&gt;"",$P11&lt;=0),"EMPLACEMENT INCOHERENT","OK")))</f>
        <v/>
      </c>
      <c r="R11" s="26" t="str">
        <f aca="false">IF($C11="","",IF(AND(ISNUMBER($G11),$G11&gt;P_HIST),"HISTAMINE "&amp;TEXT($G11,"#,##0")&amp;" mg/kg &gt; seuil "&amp;TEXT(P_HIST,"#,##0")&amp;". ","")&amp;IF(AND(ISNUMBER($F11),$O11="CONGELE",$F11&gt;P_TCONG),"TEMPERATURE "&amp;TEXT($F11,"0.0")&amp;" C hors seuil congele. ","")&amp;IF(AND(ISNUMBER($F11),$O11="FRAIS",$F11&gt;P_TFRAIS),"TEMPERATURE "&amp;TEXT($F11,"0.0")&amp;" C hors seuil frais. ","")&amp;IF($Q11="EMPLACEMENT INCOHERENT","Lot absent de cet emplacement : controle conserve, stock inchange. ","")&amp;IF($Q11="DONNEES MANQUANTES","Renseigner la DATE et au moins une mesure. ",""))</f>
        <v/>
      </c>
      <c r="S11" s="28" t="n">
        <f aca="false">IF($C11="",0,IF($C11=R_LOT,1,0))</f>
        <v>0</v>
      </c>
      <c r="T11" s="26" t="str">
        <f aca="false">IF($S11=0,"",COUNTIF($S$5:$S11,1))</f>
        <v/>
      </c>
    </row>
    <row r="12" customFormat="false" ht="15" hidden="false" customHeight="false" outlineLevel="0" collapsed="false">
      <c r="A12" s="26" t="str">
        <f aca="false">IF($C12="","","QC-"&amp;TEXT(ROW()-4,"000"))</f>
        <v/>
      </c>
      <c r="B12" s="25"/>
      <c r="C12" s="24"/>
      <c r="D12" s="24"/>
      <c r="E12" s="24"/>
      <c r="F12" s="32"/>
      <c r="G12" s="33"/>
      <c r="H12" s="24"/>
      <c r="I12" s="24"/>
      <c r="J12" s="24"/>
      <c r="K12" s="24"/>
      <c r="L12" s="24"/>
      <c r="M12" s="24"/>
      <c r="N12" s="26" t="str">
        <f aca="false">IF($C12="","",IFERROR(INDEX(LOT_PRODE,MATCH($C12,LOT_KEY,0)),"LOT NON REFERENCE"))</f>
        <v/>
      </c>
      <c r="O12" s="26" t="str">
        <f aca="false">IF($C12="","",IFERROR(INDEX(LOT_CONSERVE,MATCH($C12,LOT_KEY,0)),""))</f>
        <v/>
      </c>
      <c r="P12" s="27" t="str">
        <f aca="false">IF(OR($C12="",$D12=""),"",SUMIFS(MVT_NET,MVT_LOT,$C12,MVT_EMPL,$D12))</f>
        <v/>
      </c>
      <c r="Q12" s="26" t="str">
        <f aca="false">IF($C12="","",IF(OR($B12="",AND($F12="",$G12="",$H12="",$I12="",$J12="",$K12="")),"DONNEES MANQUANTES",IF(AND($D12&lt;&gt;"",$P12&lt;=0),"EMPLACEMENT INCOHERENT","OK")))</f>
        <v/>
      </c>
      <c r="R12" s="26" t="str">
        <f aca="false">IF($C12="","",IF(AND(ISNUMBER($G12),$G12&gt;P_HIST),"HISTAMINE "&amp;TEXT($G12,"#,##0")&amp;" mg/kg &gt; seuil "&amp;TEXT(P_HIST,"#,##0")&amp;". ","")&amp;IF(AND(ISNUMBER($F12),$O12="CONGELE",$F12&gt;P_TCONG),"TEMPERATURE "&amp;TEXT($F12,"0.0")&amp;" C hors seuil congele. ","")&amp;IF(AND(ISNUMBER($F12),$O12="FRAIS",$F12&gt;P_TFRAIS),"TEMPERATURE "&amp;TEXT($F12,"0.0")&amp;" C hors seuil frais. ","")&amp;IF($Q12="EMPLACEMENT INCOHERENT","Lot absent de cet emplacement : controle conserve, stock inchange. ","")&amp;IF($Q12="DONNEES MANQUANTES","Renseigner la DATE et au moins une mesure. ",""))</f>
        <v/>
      </c>
      <c r="S12" s="28" t="n">
        <f aca="false">IF($C12="",0,IF($C12=R_LOT,1,0))</f>
        <v>0</v>
      </c>
      <c r="T12" s="26" t="str">
        <f aca="false">IF($S12=0,"",COUNTIF($S$5:$S12,1))</f>
        <v/>
      </c>
    </row>
    <row r="13" customFormat="false" ht="15" hidden="false" customHeight="false" outlineLevel="0" collapsed="false">
      <c r="A13" s="26" t="str">
        <f aca="false">IF($C13="","","QC-"&amp;TEXT(ROW()-4,"000"))</f>
        <v/>
      </c>
      <c r="B13" s="25"/>
      <c r="C13" s="24"/>
      <c r="D13" s="24"/>
      <c r="E13" s="24"/>
      <c r="F13" s="32"/>
      <c r="G13" s="33"/>
      <c r="H13" s="24"/>
      <c r="I13" s="24"/>
      <c r="J13" s="24"/>
      <c r="K13" s="24"/>
      <c r="L13" s="24"/>
      <c r="M13" s="24"/>
      <c r="N13" s="26" t="str">
        <f aca="false">IF($C13="","",IFERROR(INDEX(LOT_PRODE,MATCH($C13,LOT_KEY,0)),"LOT NON REFERENCE"))</f>
        <v/>
      </c>
      <c r="O13" s="26" t="str">
        <f aca="false">IF($C13="","",IFERROR(INDEX(LOT_CONSERVE,MATCH($C13,LOT_KEY,0)),""))</f>
        <v/>
      </c>
      <c r="P13" s="27" t="str">
        <f aca="false">IF(OR($C13="",$D13=""),"",SUMIFS(MVT_NET,MVT_LOT,$C13,MVT_EMPL,$D13))</f>
        <v/>
      </c>
      <c r="Q13" s="26" t="str">
        <f aca="false">IF($C13="","",IF(OR($B13="",AND($F13="",$G13="",$H13="",$I13="",$J13="",$K13="")),"DONNEES MANQUANTES",IF(AND($D13&lt;&gt;"",$P13&lt;=0),"EMPLACEMENT INCOHERENT","OK")))</f>
        <v/>
      </c>
      <c r="R13" s="26" t="str">
        <f aca="false">IF($C13="","",IF(AND(ISNUMBER($G13),$G13&gt;P_HIST),"HISTAMINE "&amp;TEXT($G13,"#,##0")&amp;" mg/kg &gt; seuil "&amp;TEXT(P_HIST,"#,##0")&amp;". ","")&amp;IF(AND(ISNUMBER($F13),$O13="CONGELE",$F13&gt;P_TCONG),"TEMPERATURE "&amp;TEXT($F13,"0.0")&amp;" C hors seuil congele. ","")&amp;IF(AND(ISNUMBER($F13),$O13="FRAIS",$F13&gt;P_TFRAIS),"TEMPERATURE "&amp;TEXT($F13,"0.0")&amp;" C hors seuil frais. ","")&amp;IF($Q13="EMPLACEMENT INCOHERENT","Lot absent de cet emplacement : controle conserve, stock inchange. ","")&amp;IF($Q13="DONNEES MANQUANTES","Renseigner la DATE et au moins une mesure. ",""))</f>
        <v/>
      </c>
      <c r="S13" s="28" t="n">
        <f aca="false">IF($C13="",0,IF($C13=R_LOT,1,0))</f>
        <v>0</v>
      </c>
      <c r="T13" s="26" t="str">
        <f aca="false">IF($S13=0,"",COUNTIF($S$5:$S13,1))</f>
        <v/>
      </c>
    </row>
    <row r="14" customFormat="false" ht="15" hidden="false" customHeight="false" outlineLevel="0" collapsed="false">
      <c r="A14" s="26" t="str">
        <f aca="false">IF($C14="","","QC-"&amp;TEXT(ROW()-4,"000"))</f>
        <v/>
      </c>
      <c r="B14" s="25"/>
      <c r="C14" s="24"/>
      <c r="D14" s="24"/>
      <c r="E14" s="24"/>
      <c r="F14" s="32"/>
      <c r="G14" s="33"/>
      <c r="H14" s="24"/>
      <c r="I14" s="24"/>
      <c r="J14" s="24"/>
      <c r="K14" s="24"/>
      <c r="L14" s="24"/>
      <c r="M14" s="24"/>
      <c r="N14" s="26" t="str">
        <f aca="false">IF($C14="","",IFERROR(INDEX(LOT_PRODE,MATCH($C14,LOT_KEY,0)),"LOT NON REFERENCE"))</f>
        <v/>
      </c>
      <c r="O14" s="26" t="str">
        <f aca="false">IF($C14="","",IFERROR(INDEX(LOT_CONSERVE,MATCH($C14,LOT_KEY,0)),""))</f>
        <v/>
      </c>
      <c r="P14" s="27" t="str">
        <f aca="false">IF(OR($C14="",$D14=""),"",SUMIFS(MVT_NET,MVT_LOT,$C14,MVT_EMPL,$D14))</f>
        <v/>
      </c>
      <c r="Q14" s="26" t="str">
        <f aca="false">IF($C14="","",IF(OR($B14="",AND($F14="",$G14="",$H14="",$I14="",$J14="",$K14="")),"DONNEES MANQUANTES",IF(AND($D14&lt;&gt;"",$P14&lt;=0),"EMPLACEMENT INCOHERENT","OK")))</f>
        <v/>
      </c>
      <c r="R14" s="26" t="str">
        <f aca="false">IF($C14="","",IF(AND(ISNUMBER($G14),$G14&gt;P_HIST),"HISTAMINE "&amp;TEXT($G14,"#,##0")&amp;" mg/kg &gt; seuil "&amp;TEXT(P_HIST,"#,##0")&amp;". ","")&amp;IF(AND(ISNUMBER($F14),$O14="CONGELE",$F14&gt;P_TCONG),"TEMPERATURE "&amp;TEXT($F14,"0.0")&amp;" C hors seuil congele. ","")&amp;IF(AND(ISNUMBER($F14),$O14="FRAIS",$F14&gt;P_TFRAIS),"TEMPERATURE "&amp;TEXT($F14,"0.0")&amp;" C hors seuil frais. ","")&amp;IF($Q14="EMPLACEMENT INCOHERENT","Lot absent de cet emplacement : controle conserve, stock inchange. ","")&amp;IF($Q14="DONNEES MANQUANTES","Renseigner la DATE et au moins une mesure. ",""))</f>
        <v/>
      </c>
      <c r="S14" s="28" t="n">
        <f aca="false">IF($C14="",0,IF($C14=R_LOT,1,0))</f>
        <v>0</v>
      </c>
      <c r="T14" s="26" t="str">
        <f aca="false">IF($S14=0,"",COUNTIF($S$5:$S14,1))</f>
        <v/>
      </c>
    </row>
    <row r="15" customFormat="false" ht="15" hidden="false" customHeight="false" outlineLevel="0" collapsed="false">
      <c r="A15" s="26" t="str">
        <f aca="false">IF($C15="","","QC-"&amp;TEXT(ROW()-4,"000"))</f>
        <v/>
      </c>
      <c r="B15" s="25"/>
      <c r="C15" s="24"/>
      <c r="D15" s="24"/>
      <c r="E15" s="24"/>
      <c r="F15" s="32"/>
      <c r="G15" s="33"/>
      <c r="H15" s="24"/>
      <c r="I15" s="24"/>
      <c r="J15" s="24"/>
      <c r="K15" s="24"/>
      <c r="L15" s="24"/>
      <c r="M15" s="24"/>
      <c r="N15" s="26" t="str">
        <f aca="false">IF($C15="","",IFERROR(INDEX(LOT_PRODE,MATCH($C15,LOT_KEY,0)),"LOT NON REFERENCE"))</f>
        <v/>
      </c>
      <c r="O15" s="26" t="str">
        <f aca="false">IF($C15="","",IFERROR(INDEX(LOT_CONSERVE,MATCH($C15,LOT_KEY,0)),""))</f>
        <v/>
      </c>
      <c r="P15" s="27" t="str">
        <f aca="false">IF(OR($C15="",$D15=""),"",SUMIFS(MVT_NET,MVT_LOT,$C15,MVT_EMPL,$D15))</f>
        <v/>
      </c>
      <c r="Q15" s="26" t="str">
        <f aca="false">IF($C15="","",IF(OR($B15="",AND($F15="",$G15="",$H15="",$I15="",$J15="",$K15="")),"DONNEES MANQUANTES",IF(AND($D15&lt;&gt;"",$P15&lt;=0),"EMPLACEMENT INCOHERENT","OK")))</f>
        <v/>
      </c>
      <c r="R15" s="26" t="str">
        <f aca="false">IF($C15="","",IF(AND(ISNUMBER($G15),$G15&gt;P_HIST),"HISTAMINE "&amp;TEXT($G15,"#,##0")&amp;" mg/kg &gt; seuil "&amp;TEXT(P_HIST,"#,##0")&amp;". ","")&amp;IF(AND(ISNUMBER($F15),$O15="CONGELE",$F15&gt;P_TCONG),"TEMPERATURE "&amp;TEXT($F15,"0.0")&amp;" C hors seuil congele. ","")&amp;IF(AND(ISNUMBER($F15),$O15="FRAIS",$F15&gt;P_TFRAIS),"TEMPERATURE "&amp;TEXT($F15,"0.0")&amp;" C hors seuil frais. ","")&amp;IF($Q15="EMPLACEMENT INCOHERENT","Lot absent de cet emplacement : controle conserve, stock inchange. ","")&amp;IF($Q15="DONNEES MANQUANTES","Renseigner la DATE et au moins une mesure. ",""))</f>
        <v/>
      </c>
      <c r="S15" s="28" t="n">
        <f aca="false">IF($C15="",0,IF($C15=R_LOT,1,0))</f>
        <v>0</v>
      </c>
      <c r="T15" s="26" t="str">
        <f aca="false">IF($S15=0,"",COUNTIF($S$5:$S15,1))</f>
        <v/>
      </c>
    </row>
    <row r="16" customFormat="false" ht="15" hidden="false" customHeight="false" outlineLevel="0" collapsed="false">
      <c r="A16" s="26" t="str">
        <f aca="false">IF($C16="","","QC-"&amp;TEXT(ROW()-4,"000"))</f>
        <v/>
      </c>
      <c r="B16" s="25"/>
      <c r="C16" s="24"/>
      <c r="D16" s="24"/>
      <c r="E16" s="24"/>
      <c r="F16" s="32"/>
      <c r="G16" s="33"/>
      <c r="H16" s="24"/>
      <c r="I16" s="24"/>
      <c r="J16" s="24"/>
      <c r="K16" s="24"/>
      <c r="L16" s="24"/>
      <c r="M16" s="24"/>
      <c r="N16" s="26" t="str">
        <f aca="false">IF($C16="","",IFERROR(INDEX(LOT_PRODE,MATCH($C16,LOT_KEY,0)),"LOT NON REFERENCE"))</f>
        <v/>
      </c>
      <c r="O16" s="26" t="str">
        <f aca="false">IF($C16="","",IFERROR(INDEX(LOT_CONSERVE,MATCH($C16,LOT_KEY,0)),""))</f>
        <v/>
      </c>
      <c r="P16" s="27" t="str">
        <f aca="false">IF(OR($C16="",$D16=""),"",SUMIFS(MVT_NET,MVT_LOT,$C16,MVT_EMPL,$D16))</f>
        <v/>
      </c>
      <c r="Q16" s="26" t="str">
        <f aca="false">IF($C16="","",IF(OR($B16="",AND($F16="",$G16="",$H16="",$I16="",$J16="",$K16="")),"DONNEES MANQUANTES",IF(AND($D16&lt;&gt;"",$P16&lt;=0),"EMPLACEMENT INCOHERENT","OK")))</f>
        <v/>
      </c>
      <c r="R16" s="26" t="str">
        <f aca="false">IF($C16="","",IF(AND(ISNUMBER($G16),$G16&gt;P_HIST),"HISTAMINE "&amp;TEXT($G16,"#,##0")&amp;" mg/kg &gt; seuil "&amp;TEXT(P_HIST,"#,##0")&amp;". ","")&amp;IF(AND(ISNUMBER($F16),$O16="CONGELE",$F16&gt;P_TCONG),"TEMPERATURE "&amp;TEXT($F16,"0.0")&amp;" C hors seuil congele. ","")&amp;IF(AND(ISNUMBER($F16),$O16="FRAIS",$F16&gt;P_TFRAIS),"TEMPERATURE "&amp;TEXT($F16,"0.0")&amp;" C hors seuil frais. ","")&amp;IF($Q16="EMPLACEMENT INCOHERENT","Lot absent de cet emplacement : controle conserve, stock inchange. ","")&amp;IF($Q16="DONNEES MANQUANTES","Renseigner la DATE et au moins une mesure. ",""))</f>
        <v/>
      </c>
      <c r="S16" s="28" t="n">
        <f aca="false">IF($C16="",0,IF($C16=R_LOT,1,0))</f>
        <v>0</v>
      </c>
      <c r="T16" s="26" t="str">
        <f aca="false">IF($S16=0,"",COUNTIF($S$5:$S16,1))</f>
        <v/>
      </c>
    </row>
    <row r="17" customFormat="false" ht="15" hidden="false" customHeight="false" outlineLevel="0" collapsed="false">
      <c r="A17" s="26" t="str">
        <f aca="false">IF($C17="","","QC-"&amp;TEXT(ROW()-4,"000"))</f>
        <v/>
      </c>
      <c r="B17" s="25"/>
      <c r="C17" s="24"/>
      <c r="D17" s="24"/>
      <c r="E17" s="24"/>
      <c r="F17" s="32"/>
      <c r="G17" s="33"/>
      <c r="H17" s="24"/>
      <c r="I17" s="24"/>
      <c r="J17" s="24"/>
      <c r="K17" s="24"/>
      <c r="L17" s="24"/>
      <c r="M17" s="24"/>
      <c r="N17" s="26" t="str">
        <f aca="false">IF($C17="","",IFERROR(INDEX(LOT_PRODE,MATCH($C17,LOT_KEY,0)),"LOT NON REFERENCE"))</f>
        <v/>
      </c>
      <c r="O17" s="26" t="str">
        <f aca="false">IF($C17="","",IFERROR(INDEX(LOT_CONSERVE,MATCH($C17,LOT_KEY,0)),""))</f>
        <v/>
      </c>
      <c r="P17" s="27" t="str">
        <f aca="false">IF(OR($C17="",$D17=""),"",SUMIFS(MVT_NET,MVT_LOT,$C17,MVT_EMPL,$D17))</f>
        <v/>
      </c>
      <c r="Q17" s="26" t="str">
        <f aca="false">IF($C17="","",IF(OR($B17="",AND($F17="",$G17="",$H17="",$I17="",$J17="",$K17="")),"DONNEES MANQUANTES",IF(AND($D17&lt;&gt;"",$P17&lt;=0),"EMPLACEMENT INCOHERENT","OK")))</f>
        <v/>
      </c>
      <c r="R17" s="26" t="str">
        <f aca="false">IF($C17="","",IF(AND(ISNUMBER($G17),$G17&gt;P_HIST),"HISTAMINE "&amp;TEXT($G17,"#,##0")&amp;" mg/kg &gt; seuil "&amp;TEXT(P_HIST,"#,##0")&amp;". ","")&amp;IF(AND(ISNUMBER($F17),$O17="CONGELE",$F17&gt;P_TCONG),"TEMPERATURE "&amp;TEXT($F17,"0.0")&amp;" C hors seuil congele. ","")&amp;IF(AND(ISNUMBER($F17),$O17="FRAIS",$F17&gt;P_TFRAIS),"TEMPERATURE "&amp;TEXT($F17,"0.0")&amp;" C hors seuil frais. ","")&amp;IF($Q17="EMPLACEMENT INCOHERENT","Lot absent de cet emplacement : controle conserve, stock inchange. ","")&amp;IF($Q17="DONNEES MANQUANTES","Renseigner la DATE et au moins une mesure. ",""))</f>
        <v/>
      </c>
      <c r="S17" s="28" t="n">
        <f aca="false">IF($C17="",0,IF($C17=R_LOT,1,0))</f>
        <v>0</v>
      </c>
      <c r="T17" s="26" t="str">
        <f aca="false">IF($S17=0,"",COUNTIF($S$5:$S17,1))</f>
        <v/>
      </c>
    </row>
    <row r="18" customFormat="false" ht="15" hidden="false" customHeight="false" outlineLevel="0" collapsed="false">
      <c r="A18" s="26" t="str">
        <f aca="false">IF($C18="","","QC-"&amp;TEXT(ROW()-4,"000"))</f>
        <v/>
      </c>
      <c r="B18" s="25"/>
      <c r="C18" s="24"/>
      <c r="D18" s="24"/>
      <c r="E18" s="24"/>
      <c r="F18" s="32"/>
      <c r="G18" s="33"/>
      <c r="H18" s="24"/>
      <c r="I18" s="24"/>
      <c r="J18" s="24"/>
      <c r="K18" s="24"/>
      <c r="L18" s="24"/>
      <c r="M18" s="24"/>
      <c r="N18" s="26" t="str">
        <f aca="false">IF($C18="","",IFERROR(INDEX(LOT_PRODE,MATCH($C18,LOT_KEY,0)),"LOT NON REFERENCE"))</f>
        <v/>
      </c>
      <c r="O18" s="26" t="str">
        <f aca="false">IF($C18="","",IFERROR(INDEX(LOT_CONSERVE,MATCH($C18,LOT_KEY,0)),""))</f>
        <v/>
      </c>
      <c r="P18" s="27" t="str">
        <f aca="false">IF(OR($C18="",$D18=""),"",SUMIFS(MVT_NET,MVT_LOT,$C18,MVT_EMPL,$D18))</f>
        <v/>
      </c>
      <c r="Q18" s="26" t="str">
        <f aca="false">IF($C18="","",IF(OR($B18="",AND($F18="",$G18="",$H18="",$I18="",$J18="",$K18="")),"DONNEES MANQUANTES",IF(AND($D18&lt;&gt;"",$P18&lt;=0),"EMPLACEMENT INCOHERENT","OK")))</f>
        <v/>
      </c>
      <c r="R18" s="26" t="str">
        <f aca="false">IF($C18="","",IF(AND(ISNUMBER($G18),$G18&gt;P_HIST),"HISTAMINE "&amp;TEXT($G18,"#,##0")&amp;" mg/kg &gt; seuil "&amp;TEXT(P_HIST,"#,##0")&amp;". ","")&amp;IF(AND(ISNUMBER($F18),$O18="CONGELE",$F18&gt;P_TCONG),"TEMPERATURE "&amp;TEXT($F18,"0.0")&amp;" C hors seuil congele. ","")&amp;IF(AND(ISNUMBER($F18),$O18="FRAIS",$F18&gt;P_TFRAIS),"TEMPERATURE "&amp;TEXT($F18,"0.0")&amp;" C hors seuil frais. ","")&amp;IF($Q18="EMPLACEMENT INCOHERENT","Lot absent de cet emplacement : controle conserve, stock inchange. ","")&amp;IF($Q18="DONNEES MANQUANTES","Renseigner la DATE et au moins une mesure. ",""))</f>
        <v/>
      </c>
      <c r="S18" s="28" t="n">
        <f aca="false">IF($C18="",0,IF($C18=R_LOT,1,0))</f>
        <v>0</v>
      </c>
      <c r="T18" s="26" t="str">
        <f aca="false">IF($S18=0,"",COUNTIF($S$5:$S18,1))</f>
        <v/>
      </c>
    </row>
    <row r="19" customFormat="false" ht="15" hidden="false" customHeight="false" outlineLevel="0" collapsed="false">
      <c r="A19" s="26" t="str">
        <f aca="false">IF($C19="","","QC-"&amp;TEXT(ROW()-4,"000"))</f>
        <v/>
      </c>
      <c r="B19" s="25"/>
      <c r="C19" s="24"/>
      <c r="D19" s="24"/>
      <c r="E19" s="24"/>
      <c r="F19" s="32"/>
      <c r="G19" s="33"/>
      <c r="H19" s="24"/>
      <c r="I19" s="24"/>
      <c r="J19" s="24"/>
      <c r="K19" s="24"/>
      <c r="L19" s="24"/>
      <c r="M19" s="24"/>
      <c r="N19" s="26" t="str">
        <f aca="false">IF($C19="","",IFERROR(INDEX(LOT_PRODE,MATCH($C19,LOT_KEY,0)),"LOT NON REFERENCE"))</f>
        <v/>
      </c>
      <c r="O19" s="26" t="str">
        <f aca="false">IF($C19="","",IFERROR(INDEX(LOT_CONSERVE,MATCH($C19,LOT_KEY,0)),""))</f>
        <v/>
      </c>
      <c r="P19" s="27" t="str">
        <f aca="false">IF(OR($C19="",$D19=""),"",SUMIFS(MVT_NET,MVT_LOT,$C19,MVT_EMPL,$D19))</f>
        <v/>
      </c>
      <c r="Q19" s="26" t="str">
        <f aca="false">IF($C19="","",IF(OR($B19="",AND($F19="",$G19="",$H19="",$I19="",$J19="",$K19="")),"DONNEES MANQUANTES",IF(AND($D19&lt;&gt;"",$P19&lt;=0),"EMPLACEMENT INCOHERENT","OK")))</f>
        <v/>
      </c>
      <c r="R19" s="26" t="str">
        <f aca="false">IF($C19="","",IF(AND(ISNUMBER($G19),$G19&gt;P_HIST),"HISTAMINE "&amp;TEXT($G19,"#,##0")&amp;" mg/kg &gt; seuil "&amp;TEXT(P_HIST,"#,##0")&amp;". ","")&amp;IF(AND(ISNUMBER($F19),$O19="CONGELE",$F19&gt;P_TCONG),"TEMPERATURE "&amp;TEXT($F19,"0.0")&amp;" C hors seuil congele. ","")&amp;IF(AND(ISNUMBER($F19),$O19="FRAIS",$F19&gt;P_TFRAIS),"TEMPERATURE "&amp;TEXT($F19,"0.0")&amp;" C hors seuil frais. ","")&amp;IF($Q19="EMPLACEMENT INCOHERENT","Lot absent de cet emplacement : controle conserve, stock inchange. ","")&amp;IF($Q19="DONNEES MANQUANTES","Renseigner la DATE et au moins une mesure. ",""))</f>
        <v/>
      </c>
      <c r="S19" s="28" t="n">
        <f aca="false">IF($C19="",0,IF($C19=R_LOT,1,0))</f>
        <v>0</v>
      </c>
      <c r="T19" s="26" t="str">
        <f aca="false">IF($S19=0,"",COUNTIF($S$5:$S19,1))</f>
        <v/>
      </c>
    </row>
    <row r="20" customFormat="false" ht="15" hidden="false" customHeight="false" outlineLevel="0" collapsed="false">
      <c r="A20" s="26" t="str">
        <f aca="false">IF($C20="","","QC-"&amp;TEXT(ROW()-4,"000"))</f>
        <v/>
      </c>
      <c r="B20" s="25"/>
      <c r="C20" s="24"/>
      <c r="D20" s="24"/>
      <c r="E20" s="24"/>
      <c r="F20" s="32"/>
      <c r="G20" s="33"/>
      <c r="H20" s="24"/>
      <c r="I20" s="24"/>
      <c r="J20" s="24"/>
      <c r="K20" s="24"/>
      <c r="L20" s="24"/>
      <c r="M20" s="24"/>
      <c r="N20" s="26" t="str">
        <f aca="false">IF($C20="","",IFERROR(INDEX(LOT_PRODE,MATCH($C20,LOT_KEY,0)),"LOT NON REFERENCE"))</f>
        <v/>
      </c>
      <c r="O20" s="26" t="str">
        <f aca="false">IF($C20="","",IFERROR(INDEX(LOT_CONSERVE,MATCH($C20,LOT_KEY,0)),""))</f>
        <v/>
      </c>
      <c r="P20" s="27" t="str">
        <f aca="false">IF(OR($C20="",$D20=""),"",SUMIFS(MVT_NET,MVT_LOT,$C20,MVT_EMPL,$D20))</f>
        <v/>
      </c>
      <c r="Q20" s="26" t="str">
        <f aca="false">IF($C20="","",IF(OR($B20="",AND($F20="",$G20="",$H20="",$I20="",$J20="",$K20="")),"DONNEES MANQUANTES",IF(AND($D20&lt;&gt;"",$P20&lt;=0),"EMPLACEMENT INCOHERENT","OK")))</f>
        <v/>
      </c>
      <c r="R20" s="26" t="str">
        <f aca="false">IF($C20="","",IF(AND(ISNUMBER($G20),$G20&gt;P_HIST),"HISTAMINE "&amp;TEXT($G20,"#,##0")&amp;" mg/kg &gt; seuil "&amp;TEXT(P_HIST,"#,##0")&amp;". ","")&amp;IF(AND(ISNUMBER($F20),$O20="CONGELE",$F20&gt;P_TCONG),"TEMPERATURE "&amp;TEXT($F20,"0.0")&amp;" C hors seuil congele. ","")&amp;IF(AND(ISNUMBER($F20),$O20="FRAIS",$F20&gt;P_TFRAIS),"TEMPERATURE "&amp;TEXT($F20,"0.0")&amp;" C hors seuil frais. ","")&amp;IF($Q20="EMPLACEMENT INCOHERENT","Lot absent de cet emplacement : controle conserve, stock inchange. ","")&amp;IF($Q20="DONNEES MANQUANTES","Renseigner la DATE et au moins une mesure. ",""))</f>
        <v/>
      </c>
      <c r="S20" s="28" t="n">
        <f aca="false">IF($C20="",0,IF($C20=R_LOT,1,0))</f>
        <v>0</v>
      </c>
      <c r="T20" s="26" t="str">
        <f aca="false">IF($S20=0,"",COUNTIF($S$5:$S20,1))</f>
        <v/>
      </c>
    </row>
    <row r="21" customFormat="false" ht="15" hidden="false" customHeight="false" outlineLevel="0" collapsed="false">
      <c r="A21" s="26" t="str">
        <f aca="false">IF($C21="","","QC-"&amp;TEXT(ROW()-4,"000"))</f>
        <v/>
      </c>
      <c r="B21" s="25"/>
      <c r="C21" s="24"/>
      <c r="D21" s="24"/>
      <c r="E21" s="24"/>
      <c r="F21" s="32"/>
      <c r="G21" s="33"/>
      <c r="H21" s="24"/>
      <c r="I21" s="24"/>
      <c r="J21" s="24"/>
      <c r="K21" s="24"/>
      <c r="L21" s="24"/>
      <c r="M21" s="24"/>
      <c r="N21" s="26" t="str">
        <f aca="false">IF($C21="","",IFERROR(INDEX(LOT_PRODE,MATCH($C21,LOT_KEY,0)),"LOT NON REFERENCE"))</f>
        <v/>
      </c>
      <c r="O21" s="26" t="str">
        <f aca="false">IF($C21="","",IFERROR(INDEX(LOT_CONSERVE,MATCH($C21,LOT_KEY,0)),""))</f>
        <v/>
      </c>
      <c r="P21" s="27" t="str">
        <f aca="false">IF(OR($C21="",$D21=""),"",SUMIFS(MVT_NET,MVT_LOT,$C21,MVT_EMPL,$D21))</f>
        <v/>
      </c>
      <c r="Q21" s="26" t="str">
        <f aca="false">IF($C21="","",IF(OR($B21="",AND($F21="",$G21="",$H21="",$I21="",$J21="",$K21="")),"DONNEES MANQUANTES",IF(AND($D21&lt;&gt;"",$P21&lt;=0),"EMPLACEMENT INCOHERENT","OK")))</f>
        <v/>
      </c>
      <c r="R21" s="26" t="str">
        <f aca="false">IF($C21="","",IF(AND(ISNUMBER($G21),$G21&gt;P_HIST),"HISTAMINE "&amp;TEXT($G21,"#,##0")&amp;" mg/kg &gt; seuil "&amp;TEXT(P_HIST,"#,##0")&amp;". ","")&amp;IF(AND(ISNUMBER($F21),$O21="CONGELE",$F21&gt;P_TCONG),"TEMPERATURE "&amp;TEXT($F21,"0.0")&amp;" C hors seuil congele. ","")&amp;IF(AND(ISNUMBER($F21),$O21="FRAIS",$F21&gt;P_TFRAIS),"TEMPERATURE "&amp;TEXT($F21,"0.0")&amp;" C hors seuil frais. ","")&amp;IF($Q21="EMPLACEMENT INCOHERENT","Lot absent de cet emplacement : controle conserve, stock inchange. ","")&amp;IF($Q21="DONNEES MANQUANTES","Renseigner la DATE et au moins une mesure. ",""))</f>
        <v/>
      </c>
      <c r="S21" s="28" t="n">
        <f aca="false">IF($C21="",0,IF($C21=R_LOT,1,0))</f>
        <v>0</v>
      </c>
      <c r="T21" s="26" t="str">
        <f aca="false">IF($S21=0,"",COUNTIF($S$5:$S21,1))</f>
        <v/>
      </c>
    </row>
    <row r="22" customFormat="false" ht="15" hidden="false" customHeight="false" outlineLevel="0" collapsed="false">
      <c r="A22" s="26" t="str">
        <f aca="false">IF($C22="","","QC-"&amp;TEXT(ROW()-4,"000"))</f>
        <v/>
      </c>
      <c r="B22" s="25"/>
      <c r="C22" s="24"/>
      <c r="D22" s="24"/>
      <c r="E22" s="24"/>
      <c r="F22" s="32"/>
      <c r="G22" s="33"/>
      <c r="H22" s="24"/>
      <c r="I22" s="24"/>
      <c r="J22" s="24"/>
      <c r="K22" s="24"/>
      <c r="L22" s="24"/>
      <c r="M22" s="24"/>
      <c r="N22" s="26" t="str">
        <f aca="false">IF($C22="","",IFERROR(INDEX(LOT_PRODE,MATCH($C22,LOT_KEY,0)),"LOT NON REFERENCE"))</f>
        <v/>
      </c>
      <c r="O22" s="26" t="str">
        <f aca="false">IF($C22="","",IFERROR(INDEX(LOT_CONSERVE,MATCH($C22,LOT_KEY,0)),""))</f>
        <v/>
      </c>
      <c r="P22" s="27" t="str">
        <f aca="false">IF(OR($C22="",$D22=""),"",SUMIFS(MVT_NET,MVT_LOT,$C22,MVT_EMPL,$D22))</f>
        <v/>
      </c>
      <c r="Q22" s="26" t="str">
        <f aca="false">IF($C22="","",IF(OR($B22="",AND($F22="",$G22="",$H22="",$I22="",$J22="",$K22="")),"DONNEES MANQUANTES",IF(AND($D22&lt;&gt;"",$P22&lt;=0),"EMPLACEMENT INCOHERENT","OK")))</f>
        <v/>
      </c>
      <c r="R22" s="26" t="str">
        <f aca="false">IF($C22="","",IF(AND(ISNUMBER($G22),$G22&gt;P_HIST),"HISTAMINE "&amp;TEXT($G22,"#,##0")&amp;" mg/kg &gt; seuil "&amp;TEXT(P_HIST,"#,##0")&amp;". ","")&amp;IF(AND(ISNUMBER($F22),$O22="CONGELE",$F22&gt;P_TCONG),"TEMPERATURE "&amp;TEXT($F22,"0.0")&amp;" C hors seuil congele. ","")&amp;IF(AND(ISNUMBER($F22),$O22="FRAIS",$F22&gt;P_TFRAIS),"TEMPERATURE "&amp;TEXT($F22,"0.0")&amp;" C hors seuil frais. ","")&amp;IF($Q22="EMPLACEMENT INCOHERENT","Lot absent de cet emplacement : controle conserve, stock inchange. ","")&amp;IF($Q22="DONNEES MANQUANTES","Renseigner la DATE et au moins une mesure. ",""))</f>
        <v/>
      </c>
      <c r="S22" s="28" t="n">
        <f aca="false">IF($C22="",0,IF($C22=R_LOT,1,0))</f>
        <v>0</v>
      </c>
      <c r="T22" s="26" t="str">
        <f aca="false">IF($S22=0,"",COUNTIF($S$5:$S22,1))</f>
        <v/>
      </c>
    </row>
    <row r="23" customFormat="false" ht="15" hidden="false" customHeight="false" outlineLevel="0" collapsed="false">
      <c r="A23" s="26" t="str">
        <f aca="false">IF($C23="","","QC-"&amp;TEXT(ROW()-4,"000"))</f>
        <v/>
      </c>
      <c r="B23" s="25"/>
      <c r="C23" s="24"/>
      <c r="D23" s="24"/>
      <c r="E23" s="24"/>
      <c r="F23" s="32"/>
      <c r="G23" s="33"/>
      <c r="H23" s="24"/>
      <c r="I23" s="24"/>
      <c r="J23" s="24"/>
      <c r="K23" s="24"/>
      <c r="L23" s="24"/>
      <c r="M23" s="24"/>
      <c r="N23" s="26" t="str">
        <f aca="false">IF($C23="","",IFERROR(INDEX(LOT_PRODE,MATCH($C23,LOT_KEY,0)),"LOT NON REFERENCE"))</f>
        <v/>
      </c>
      <c r="O23" s="26" t="str">
        <f aca="false">IF($C23="","",IFERROR(INDEX(LOT_CONSERVE,MATCH($C23,LOT_KEY,0)),""))</f>
        <v/>
      </c>
      <c r="P23" s="27" t="str">
        <f aca="false">IF(OR($C23="",$D23=""),"",SUMIFS(MVT_NET,MVT_LOT,$C23,MVT_EMPL,$D23))</f>
        <v/>
      </c>
      <c r="Q23" s="26" t="str">
        <f aca="false">IF($C23="","",IF(OR($B23="",AND($F23="",$G23="",$H23="",$I23="",$J23="",$K23="")),"DONNEES MANQUANTES",IF(AND($D23&lt;&gt;"",$P23&lt;=0),"EMPLACEMENT INCOHERENT","OK")))</f>
        <v/>
      </c>
      <c r="R23" s="26" t="str">
        <f aca="false">IF($C23="","",IF(AND(ISNUMBER($G23),$G23&gt;P_HIST),"HISTAMINE "&amp;TEXT($G23,"#,##0")&amp;" mg/kg &gt; seuil "&amp;TEXT(P_HIST,"#,##0")&amp;". ","")&amp;IF(AND(ISNUMBER($F23),$O23="CONGELE",$F23&gt;P_TCONG),"TEMPERATURE "&amp;TEXT($F23,"0.0")&amp;" C hors seuil congele. ","")&amp;IF(AND(ISNUMBER($F23),$O23="FRAIS",$F23&gt;P_TFRAIS),"TEMPERATURE "&amp;TEXT($F23,"0.0")&amp;" C hors seuil frais. ","")&amp;IF($Q23="EMPLACEMENT INCOHERENT","Lot absent de cet emplacement : controle conserve, stock inchange. ","")&amp;IF($Q23="DONNEES MANQUANTES","Renseigner la DATE et au moins une mesure. ",""))</f>
        <v/>
      </c>
      <c r="S23" s="28" t="n">
        <f aca="false">IF($C23="",0,IF($C23=R_LOT,1,0))</f>
        <v>0</v>
      </c>
      <c r="T23" s="26" t="str">
        <f aca="false">IF($S23=0,"",COUNTIF($S$5:$S23,1))</f>
        <v/>
      </c>
    </row>
    <row r="24" customFormat="false" ht="15" hidden="false" customHeight="false" outlineLevel="0" collapsed="false">
      <c r="A24" s="26" t="str">
        <f aca="false">IF($C24="","","QC-"&amp;TEXT(ROW()-4,"000"))</f>
        <v/>
      </c>
      <c r="B24" s="25"/>
      <c r="C24" s="24"/>
      <c r="D24" s="24"/>
      <c r="E24" s="24"/>
      <c r="F24" s="32"/>
      <c r="G24" s="33"/>
      <c r="H24" s="24"/>
      <c r="I24" s="24"/>
      <c r="J24" s="24"/>
      <c r="K24" s="24"/>
      <c r="L24" s="24"/>
      <c r="M24" s="24"/>
      <c r="N24" s="26" t="str">
        <f aca="false">IF($C24="","",IFERROR(INDEX(LOT_PRODE,MATCH($C24,LOT_KEY,0)),"LOT NON REFERENCE"))</f>
        <v/>
      </c>
      <c r="O24" s="26" t="str">
        <f aca="false">IF($C24="","",IFERROR(INDEX(LOT_CONSERVE,MATCH($C24,LOT_KEY,0)),""))</f>
        <v/>
      </c>
      <c r="P24" s="27" t="str">
        <f aca="false">IF(OR($C24="",$D24=""),"",SUMIFS(MVT_NET,MVT_LOT,$C24,MVT_EMPL,$D24))</f>
        <v/>
      </c>
      <c r="Q24" s="26" t="str">
        <f aca="false">IF($C24="","",IF(OR($B24="",AND($F24="",$G24="",$H24="",$I24="",$J24="",$K24="")),"DONNEES MANQUANTES",IF(AND($D24&lt;&gt;"",$P24&lt;=0),"EMPLACEMENT INCOHERENT","OK")))</f>
        <v/>
      </c>
      <c r="R24" s="26" t="str">
        <f aca="false">IF($C24="","",IF(AND(ISNUMBER($G24),$G24&gt;P_HIST),"HISTAMINE "&amp;TEXT($G24,"#,##0")&amp;" mg/kg &gt; seuil "&amp;TEXT(P_HIST,"#,##0")&amp;". ","")&amp;IF(AND(ISNUMBER($F24),$O24="CONGELE",$F24&gt;P_TCONG),"TEMPERATURE "&amp;TEXT($F24,"0.0")&amp;" C hors seuil congele. ","")&amp;IF(AND(ISNUMBER($F24),$O24="FRAIS",$F24&gt;P_TFRAIS),"TEMPERATURE "&amp;TEXT($F24,"0.0")&amp;" C hors seuil frais. ","")&amp;IF($Q24="EMPLACEMENT INCOHERENT","Lot absent de cet emplacement : controle conserve, stock inchange. ","")&amp;IF($Q24="DONNEES MANQUANTES","Renseigner la DATE et au moins une mesure. ",""))</f>
        <v/>
      </c>
      <c r="S24" s="28" t="n">
        <f aca="false">IF($C24="",0,IF($C24=R_LOT,1,0))</f>
        <v>0</v>
      </c>
      <c r="T24" s="26" t="str">
        <f aca="false">IF($S24=0,"",COUNTIF($S$5:$S24,1))</f>
        <v/>
      </c>
    </row>
    <row r="25" customFormat="false" ht="15" hidden="false" customHeight="false" outlineLevel="0" collapsed="false">
      <c r="A25" s="26" t="str">
        <f aca="false">IF($C25="","","QC-"&amp;TEXT(ROW()-4,"000"))</f>
        <v/>
      </c>
      <c r="B25" s="25"/>
      <c r="C25" s="24"/>
      <c r="D25" s="24"/>
      <c r="E25" s="24"/>
      <c r="F25" s="32"/>
      <c r="G25" s="33"/>
      <c r="H25" s="24"/>
      <c r="I25" s="24"/>
      <c r="J25" s="24"/>
      <c r="K25" s="24"/>
      <c r="L25" s="24"/>
      <c r="M25" s="24"/>
      <c r="N25" s="26" t="str">
        <f aca="false">IF($C25="","",IFERROR(INDEX(LOT_PRODE,MATCH($C25,LOT_KEY,0)),"LOT NON REFERENCE"))</f>
        <v/>
      </c>
      <c r="O25" s="26" t="str">
        <f aca="false">IF($C25="","",IFERROR(INDEX(LOT_CONSERVE,MATCH($C25,LOT_KEY,0)),""))</f>
        <v/>
      </c>
      <c r="P25" s="27" t="str">
        <f aca="false">IF(OR($C25="",$D25=""),"",SUMIFS(MVT_NET,MVT_LOT,$C25,MVT_EMPL,$D25))</f>
        <v/>
      </c>
      <c r="Q25" s="26" t="str">
        <f aca="false">IF($C25="","",IF(OR($B25="",AND($F25="",$G25="",$H25="",$I25="",$J25="",$K25="")),"DONNEES MANQUANTES",IF(AND($D25&lt;&gt;"",$P25&lt;=0),"EMPLACEMENT INCOHERENT","OK")))</f>
        <v/>
      </c>
      <c r="R25" s="26" t="str">
        <f aca="false">IF($C25="","",IF(AND(ISNUMBER($G25),$G25&gt;P_HIST),"HISTAMINE "&amp;TEXT($G25,"#,##0")&amp;" mg/kg &gt; seuil "&amp;TEXT(P_HIST,"#,##0")&amp;". ","")&amp;IF(AND(ISNUMBER($F25),$O25="CONGELE",$F25&gt;P_TCONG),"TEMPERATURE "&amp;TEXT($F25,"0.0")&amp;" C hors seuil congele. ","")&amp;IF(AND(ISNUMBER($F25),$O25="FRAIS",$F25&gt;P_TFRAIS),"TEMPERATURE "&amp;TEXT($F25,"0.0")&amp;" C hors seuil frais. ","")&amp;IF($Q25="EMPLACEMENT INCOHERENT","Lot absent de cet emplacement : controle conserve, stock inchange. ","")&amp;IF($Q25="DONNEES MANQUANTES","Renseigner la DATE et au moins une mesure. ",""))</f>
        <v/>
      </c>
      <c r="S25" s="28" t="n">
        <f aca="false">IF($C25="",0,IF($C25=R_LOT,1,0))</f>
        <v>0</v>
      </c>
      <c r="T25" s="26" t="str">
        <f aca="false">IF($S25=0,"",COUNTIF($S$5:$S25,1))</f>
        <v/>
      </c>
    </row>
    <row r="26" customFormat="false" ht="15" hidden="false" customHeight="false" outlineLevel="0" collapsed="false">
      <c r="A26" s="26" t="str">
        <f aca="false">IF($C26="","","QC-"&amp;TEXT(ROW()-4,"000"))</f>
        <v/>
      </c>
      <c r="B26" s="25"/>
      <c r="C26" s="24"/>
      <c r="D26" s="24"/>
      <c r="E26" s="24"/>
      <c r="F26" s="32"/>
      <c r="G26" s="33"/>
      <c r="H26" s="24"/>
      <c r="I26" s="24"/>
      <c r="J26" s="24"/>
      <c r="K26" s="24"/>
      <c r="L26" s="24"/>
      <c r="M26" s="24"/>
      <c r="N26" s="26" t="str">
        <f aca="false">IF($C26="","",IFERROR(INDEX(LOT_PRODE,MATCH($C26,LOT_KEY,0)),"LOT NON REFERENCE"))</f>
        <v/>
      </c>
      <c r="O26" s="26" t="str">
        <f aca="false">IF($C26="","",IFERROR(INDEX(LOT_CONSERVE,MATCH($C26,LOT_KEY,0)),""))</f>
        <v/>
      </c>
      <c r="P26" s="27" t="str">
        <f aca="false">IF(OR($C26="",$D26=""),"",SUMIFS(MVT_NET,MVT_LOT,$C26,MVT_EMPL,$D26))</f>
        <v/>
      </c>
      <c r="Q26" s="26" t="str">
        <f aca="false">IF($C26="","",IF(OR($B26="",AND($F26="",$G26="",$H26="",$I26="",$J26="",$K26="")),"DONNEES MANQUANTES",IF(AND($D26&lt;&gt;"",$P26&lt;=0),"EMPLACEMENT INCOHERENT","OK")))</f>
        <v/>
      </c>
      <c r="R26" s="26" t="str">
        <f aca="false">IF($C26="","",IF(AND(ISNUMBER($G26),$G26&gt;P_HIST),"HISTAMINE "&amp;TEXT($G26,"#,##0")&amp;" mg/kg &gt; seuil "&amp;TEXT(P_HIST,"#,##0")&amp;". ","")&amp;IF(AND(ISNUMBER($F26),$O26="CONGELE",$F26&gt;P_TCONG),"TEMPERATURE "&amp;TEXT($F26,"0.0")&amp;" C hors seuil congele. ","")&amp;IF(AND(ISNUMBER($F26),$O26="FRAIS",$F26&gt;P_TFRAIS),"TEMPERATURE "&amp;TEXT($F26,"0.0")&amp;" C hors seuil frais. ","")&amp;IF($Q26="EMPLACEMENT INCOHERENT","Lot absent de cet emplacement : controle conserve, stock inchange. ","")&amp;IF($Q26="DONNEES MANQUANTES","Renseigner la DATE et au moins une mesure. ",""))</f>
        <v/>
      </c>
      <c r="S26" s="28" t="n">
        <f aca="false">IF($C26="",0,IF($C26=R_LOT,1,0))</f>
        <v>0</v>
      </c>
      <c r="T26" s="26" t="str">
        <f aca="false">IF($S26=0,"",COUNTIF($S$5:$S26,1))</f>
        <v/>
      </c>
    </row>
    <row r="27" customFormat="false" ht="15" hidden="false" customHeight="false" outlineLevel="0" collapsed="false">
      <c r="A27" s="26" t="str">
        <f aca="false">IF($C27="","","QC-"&amp;TEXT(ROW()-4,"000"))</f>
        <v/>
      </c>
      <c r="B27" s="25"/>
      <c r="C27" s="24"/>
      <c r="D27" s="24"/>
      <c r="E27" s="24"/>
      <c r="F27" s="32"/>
      <c r="G27" s="33"/>
      <c r="H27" s="24"/>
      <c r="I27" s="24"/>
      <c r="J27" s="24"/>
      <c r="K27" s="24"/>
      <c r="L27" s="24"/>
      <c r="M27" s="24"/>
      <c r="N27" s="26" t="str">
        <f aca="false">IF($C27="","",IFERROR(INDEX(LOT_PRODE,MATCH($C27,LOT_KEY,0)),"LOT NON REFERENCE"))</f>
        <v/>
      </c>
      <c r="O27" s="26" t="str">
        <f aca="false">IF($C27="","",IFERROR(INDEX(LOT_CONSERVE,MATCH($C27,LOT_KEY,0)),""))</f>
        <v/>
      </c>
      <c r="P27" s="27" t="str">
        <f aca="false">IF(OR($C27="",$D27=""),"",SUMIFS(MVT_NET,MVT_LOT,$C27,MVT_EMPL,$D27))</f>
        <v/>
      </c>
      <c r="Q27" s="26" t="str">
        <f aca="false">IF($C27="","",IF(OR($B27="",AND($F27="",$G27="",$H27="",$I27="",$J27="",$K27="")),"DONNEES MANQUANTES",IF(AND($D27&lt;&gt;"",$P27&lt;=0),"EMPLACEMENT INCOHERENT","OK")))</f>
        <v/>
      </c>
      <c r="R27" s="26" t="str">
        <f aca="false">IF($C27="","",IF(AND(ISNUMBER($G27),$G27&gt;P_HIST),"HISTAMINE "&amp;TEXT($G27,"#,##0")&amp;" mg/kg &gt; seuil "&amp;TEXT(P_HIST,"#,##0")&amp;". ","")&amp;IF(AND(ISNUMBER($F27),$O27="CONGELE",$F27&gt;P_TCONG),"TEMPERATURE "&amp;TEXT($F27,"0.0")&amp;" C hors seuil congele. ","")&amp;IF(AND(ISNUMBER($F27),$O27="FRAIS",$F27&gt;P_TFRAIS),"TEMPERATURE "&amp;TEXT($F27,"0.0")&amp;" C hors seuil frais. ","")&amp;IF($Q27="EMPLACEMENT INCOHERENT","Lot absent de cet emplacement : controle conserve, stock inchange. ","")&amp;IF($Q27="DONNEES MANQUANTES","Renseigner la DATE et au moins une mesure. ",""))</f>
        <v/>
      </c>
      <c r="S27" s="28" t="n">
        <f aca="false">IF($C27="",0,IF($C27=R_LOT,1,0))</f>
        <v>0</v>
      </c>
      <c r="T27" s="26" t="str">
        <f aca="false">IF($S27=0,"",COUNTIF($S$5:$S27,1))</f>
        <v/>
      </c>
    </row>
    <row r="28" customFormat="false" ht="15" hidden="false" customHeight="false" outlineLevel="0" collapsed="false">
      <c r="A28" s="26" t="str">
        <f aca="false">IF($C28="","","QC-"&amp;TEXT(ROW()-4,"000"))</f>
        <v/>
      </c>
      <c r="B28" s="25"/>
      <c r="C28" s="24"/>
      <c r="D28" s="24"/>
      <c r="E28" s="24"/>
      <c r="F28" s="32"/>
      <c r="G28" s="33"/>
      <c r="H28" s="24"/>
      <c r="I28" s="24"/>
      <c r="J28" s="24"/>
      <c r="K28" s="24"/>
      <c r="L28" s="24"/>
      <c r="M28" s="24"/>
      <c r="N28" s="26" t="str">
        <f aca="false">IF($C28="","",IFERROR(INDEX(LOT_PRODE,MATCH($C28,LOT_KEY,0)),"LOT NON REFERENCE"))</f>
        <v/>
      </c>
      <c r="O28" s="26" t="str">
        <f aca="false">IF($C28="","",IFERROR(INDEX(LOT_CONSERVE,MATCH($C28,LOT_KEY,0)),""))</f>
        <v/>
      </c>
      <c r="P28" s="27" t="str">
        <f aca="false">IF(OR($C28="",$D28=""),"",SUMIFS(MVT_NET,MVT_LOT,$C28,MVT_EMPL,$D28))</f>
        <v/>
      </c>
      <c r="Q28" s="26" t="str">
        <f aca="false">IF($C28="","",IF(OR($B28="",AND($F28="",$G28="",$H28="",$I28="",$J28="",$K28="")),"DONNEES MANQUANTES",IF(AND($D28&lt;&gt;"",$P28&lt;=0),"EMPLACEMENT INCOHERENT","OK")))</f>
        <v/>
      </c>
      <c r="R28" s="26" t="str">
        <f aca="false">IF($C28="","",IF(AND(ISNUMBER($G28),$G28&gt;P_HIST),"HISTAMINE "&amp;TEXT($G28,"#,##0")&amp;" mg/kg &gt; seuil "&amp;TEXT(P_HIST,"#,##0")&amp;". ","")&amp;IF(AND(ISNUMBER($F28),$O28="CONGELE",$F28&gt;P_TCONG),"TEMPERATURE "&amp;TEXT($F28,"0.0")&amp;" C hors seuil congele. ","")&amp;IF(AND(ISNUMBER($F28),$O28="FRAIS",$F28&gt;P_TFRAIS),"TEMPERATURE "&amp;TEXT($F28,"0.0")&amp;" C hors seuil frais. ","")&amp;IF($Q28="EMPLACEMENT INCOHERENT","Lot absent de cet emplacement : controle conserve, stock inchange. ","")&amp;IF($Q28="DONNEES MANQUANTES","Renseigner la DATE et au moins une mesure. ",""))</f>
        <v/>
      </c>
      <c r="S28" s="28" t="n">
        <f aca="false">IF($C28="",0,IF($C28=R_LOT,1,0))</f>
        <v>0</v>
      </c>
      <c r="T28" s="26" t="str">
        <f aca="false">IF($S28=0,"",COUNTIF($S$5:$S28,1))</f>
        <v/>
      </c>
    </row>
    <row r="29" customFormat="false" ht="15" hidden="false" customHeight="false" outlineLevel="0" collapsed="false">
      <c r="A29" s="26" t="str">
        <f aca="false">IF($C29="","","QC-"&amp;TEXT(ROW()-4,"000"))</f>
        <v/>
      </c>
      <c r="B29" s="25"/>
      <c r="C29" s="24"/>
      <c r="D29" s="24"/>
      <c r="E29" s="24"/>
      <c r="F29" s="32"/>
      <c r="G29" s="33"/>
      <c r="H29" s="24"/>
      <c r="I29" s="24"/>
      <c r="J29" s="24"/>
      <c r="K29" s="24"/>
      <c r="L29" s="24"/>
      <c r="M29" s="24"/>
      <c r="N29" s="26" t="str">
        <f aca="false">IF($C29="","",IFERROR(INDEX(LOT_PRODE,MATCH($C29,LOT_KEY,0)),"LOT NON REFERENCE"))</f>
        <v/>
      </c>
      <c r="O29" s="26" t="str">
        <f aca="false">IF($C29="","",IFERROR(INDEX(LOT_CONSERVE,MATCH($C29,LOT_KEY,0)),""))</f>
        <v/>
      </c>
      <c r="P29" s="27" t="str">
        <f aca="false">IF(OR($C29="",$D29=""),"",SUMIFS(MVT_NET,MVT_LOT,$C29,MVT_EMPL,$D29))</f>
        <v/>
      </c>
      <c r="Q29" s="26" t="str">
        <f aca="false">IF($C29="","",IF(OR($B29="",AND($F29="",$G29="",$H29="",$I29="",$J29="",$K29="")),"DONNEES MANQUANTES",IF(AND($D29&lt;&gt;"",$P29&lt;=0),"EMPLACEMENT INCOHERENT","OK")))</f>
        <v/>
      </c>
      <c r="R29" s="26" t="str">
        <f aca="false">IF($C29="","",IF(AND(ISNUMBER($G29),$G29&gt;P_HIST),"HISTAMINE "&amp;TEXT($G29,"#,##0")&amp;" mg/kg &gt; seuil "&amp;TEXT(P_HIST,"#,##0")&amp;". ","")&amp;IF(AND(ISNUMBER($F29),$O29="CONGELE",$F29&gt;P_TCONG),"TEMPERATURE "&amp;TEXT($F29,"0.0")&amp;" C hors seuil congele. ","")&amp;IF(AND(ISNUMBER($F29),$O29="FRAIS",$F29&gt;P_TFRAIS),"TEMPERATURE "&amp;TEXT($F29,"0.0")&amp;" C hors seuil frais. ","")&amp;IF($Q29="EMPLACEMENT INCOHERENT","Lot absent de cet emplacement : controle conserve, stock inchange. ","")&amp;IF($Q29="DONNEES MANQUANTES","Renseigner la DATE et au moins une mesure. ",""))</f>
        <v/>
      </c>
      <c r="S29" s="28" t="n">
        <f aca="false">IF($C29="",0,IF($C29=R_LOT,1,0))</f>
        <v>0</v>
      </c>
      <c r="T29" s="26" t="str">
        <f aca="false">IF($S29=0,"",COUNTIF($S$5:$S29,1))</f>
        <v/>
      </c>
    </row>
    <row r="30" customFormat="false" ht="15" hidden="false" customHeight="false" outlineLevel="0" collapsed="false">
      <c r="A30" s="26" t="str">
        <f aca="false">IF($C30="","","QC-"&amp;TEXT(ROW()-4,"000"))</f>
        <v/>
      </c>
      <c r="B30" s="25"/>
      <c r="C30" s="24"/>
      <c r="D30" s="24"/>
      <c r="E30" s="24"/>
      <c r="F30" s="32"/>
      <c r="G30" s="33"/>
      <c r="H30" s="24"/>
      <c r="I30" s="24"/>
      <c r="J30" s="24"/>
      <c r="K30" s="24"/>
      <c r="L30" s="24"/>
      <c r="M30" s="24"/>
      <c r="N30" s="26" t="str">
        <f aca="false">IF($C30="","",IFERROR(INDEX(LOT_PRODE,MATCH($C30,LOT_KEY,0)),"LOT NON REFERENCE"))</f>
        <v/>
      </c>
      <c r="O30" s="26" t="str">
        <f aca="false">IF($C30="","",IFERROR(INDEX(LOT_CONSERVE,MATCH($C30,LOT_KEY,0)),""))</f>
        <v/>
      </c>
      <c r="P30" s="27" t="str">
        <f aca="false">IF(OR($C30="",$D30=""),"",SUMIFS(MVT_NET,MVT_LOT,$C30,MVT_EMPL,$D30))</f>
        <v/>
      </c>
      <c r="Q30" s="26" t="str">
        <f aca="false">IF($C30="","",IF(OR($B30="",AND($F30="",$G30="",$H30="",$I30="",$J30="",$K30="")),"DONNEES MANQUANTES",IF(AND($D30&lt;&gt;"",$P30&lt;=0),"EMPLACEMENT INCOHERENT","OK")))</f>
        <v/>
      </c>
      <c r="R30" s="26" t="str">
        <f aca="false">IF($C30="","",IF(AND(ISNUMBER($G30),$G30&gt;P_HIST),"HISTAMINE "&amp;TEXT($G30,"#,##0")&amp;" mg/kg &gt; seuil "&amp;TEXT(P_HIST,"#,##0")&amp;". ","")&amp;IF(AND(ISNUMBER($F30),$O30="CONGELE",$F30&gt;P_TCONG),"TEMPERATURE "&amp;TEXT($F30,"0.0")&amp;" C hors seuil congele. ","")&amp;IF(AND(ISNUMBER($F30),$O30="FRAIS",$F30&gt;P_TFRAIS),"TEMPERATURE "&amp;TEXT($F30,"0.0")&amp;" C hors seuil frais. ","")&amp;IF($Q30="EMPLACEMENT INCOHERENT","Lot absent de cet emplacement : controle conserve, stock inchange. ","")&amp;IF($Q30="DONNEES MANQUANTES","Renseigner la DATE et au moins une mesure. ",""))</f>
        <v/>
      </c>
      <c r="S30" s="28" t="n">
        <f aca="false">IF($C30="",0,IF($C30=R_LOT,1,0))</f>
        <v>0</v>
      </c>
      <c r="T30" s="26" t="str">
        <f aca="false">IF($S30=0,"",COUNTIF($S$5:$S30,1))</f>
        <v/>
      </c>
    </row>
    <row r="31" customFormat="false" ht="15" hidden="false" customHeight="false" outlineLevel="0" collapsed="false">
      <c r="A31" s="26" t="str">
        <f aca="false">IF($C31="","","QC-"&amp;TEXT(ROW()-4,"000"))</f>
        <v/>
      </c>
      <c r="B31" s="25"/>
      <c r="C31" s="24"/>
      <c r="D31" s="24"/>
      <c r="E31" s="24"/>
      <c r="F31" s="32"/>
      <c r="G31" s="33"/>
      <c r="H31" s="24"/>
      <c r="I31" s="24"/>
      <c r="J31" s="24"/>
      <c r="K31" s="24"/>
      <c r="L31" s="24"/>
      <c r="M31" s="24"/>
      <c r="N31" s="26" t="str">
        <f aca="false">IF($C31="","",IFERROR(INDEX(LOT_PRODE,MATCH($C31,LOT_KEY,0)),"LOT NON REFERENCE"))</f>
        <v/>
      </c>
      <c r="O31" s="26" t="str">
        <f aca="false">IF($C31="","",IFERROR(INDEX(LOT_CONSERVE,MATCH($C31,LOT_KEY,0)),""))</f>
        <v/>
      </c>
      <c r="P31" s="27" t="str">
        <f aca="false">IF(OR($C31="",$D31=""),"",SUMIFS(MVT_NET,MVT_LOT,$C31,MVT_EMPL,$D31))</f>
        <v/>
      </c>
      <c r="Q31" s="26" t="str">
        <f aca="false">IF($C31="","",IF(OR($B31="",AND($F31="",$G31="",$H31="",$I31="",$J31="",$K31="")),"DONNEES MANQUANTES",IF(AND($D31&lt;&gt;"",$P31&lt;=0),"EMPLACEMENT INCOHERENT","OK")))</f>
        <v/>
      </c>
      <c r="R31" s="26" t="str">
        <f aca="false">IF($C31="","",IF(AND(ISNUMBER($G31),$G31&gt;P_HIST),"HISTAMINE "&amp;TEXT($G31,"#,##0")&amp;" mg/kg &gt; seuil "&amp;TEXT(P_HIST,"#,##0")&amp;". ","")&amp;IF(AND(ISNUMBER($F31),$O31="CONGELE",$F31&gt;P_TCONG),"TEMPERATURE "&amp;TEXT($F31,"0.0")&amp;" C hors seuil congele. ","")&amp;IF(AND(ISNUMBER($F31),$O31="FRAIS",$F31&gt;P_TFRAIS),"TEMPERATURE "&amp;TEXT($F31,"0.0")&amp;" C hors seuil frais. ","")&amp;IF($Q31="EMPLACEMENT INCOHERENT","Lot absent de cet emplacement : controle conserve, stock inchange. ","")&amp;IF($Q31="DONNEES MANQUANTES","Renseigner la DATE et au moins une mesure. ",""))</f>
        <v/>
      </c>
      <c r="S31" s="28" t="n">
        <f aca="false">IF($C31="",0,IF($C31=R_LOT,1,0))</f>
        <v>0</v>
      </c>
      <c r="T31" s="26" t="str">
        <f aca="false">IF($S31=0,"",COUNTIF($S$5:$S31,1))</f>
        <v/>
      </c>
    </row>
    <row r="32" customFormat="false" ht="15" hidden="false" customHeight="false" outlineLevel="0" collapsed="false">
      <c r="A32" s="26" t="str">
        <f aca="false">IF($C32="","","QC-"&amp;TEXT(ROW()-4,"000"))</f>
        <v/>
      </c>
      <c r="B32" s="25"/>
      <c r="C32" s="24"/>
      <c r="D32" s="24"/>
      <c r="E32" s="24"/>
      <c r="F32" s="32"/>
      <c r="G32" s="33"/>
      <c r="H32" s="24"/>
      <c r="I32" s="24"/>
      <c r="J32" s="24"/>
      <c r="K32" s="24"/>
      <c r="L32" s="24"/>
      <c r="M32" s="24"/>
      <c r="N32" s="26" t="str">
        <f aca="false">IF($C32="","",IFERROR(INDEX(LOT_PRODE,MATCH($C32,LOT_KEY,0)),"LOT NON REFERENCE"))</f>
        <v/>
      </c>
      <c r="O32" s="26" t="str">
        <f aca="false">IF($C32="","",IFERROR(INDEX(LOT_CONSERVE,MATCH($C32,LOT_KEY,0)),""))</f>
        <v/>
      </c>
      <c r="P32" s="27" t="str">
        <f aca="false">IF(OR($C32="",$D32=""),"",SUMIFS(MVT_NET,MVT_LOT,$C32,MVT_EMPL,$D32))</f>
        <v/>
      </c>
      <c r="Q32" s="26" t="str">
        <f aca="false">IF($C32="","",IF(OR($B32="",AND($F32="",$G32="",$H32="",$I32="",$J32="",$K32="")),"DONNEES MANQUANTES",IF(AND($D32&lt;&gt;"",$P32&lt;=0),"EMPLACEMENT INCOHERENT","OK")))</f>
        <v/>
      </c>
      <c r="R32" s="26" t="str">
        <f aca="false">IF($C32="","",IF(AND(ISNUMBER($G32),$G32&gt;P_HIST),"HISTAMINE "&amp;TEXT($G32,"#,##0")&amp;" mg/kg &gt; seuil "&amp;TEXT(P_HIST,"#,##0")&amp;". ","")&amp;IF(AND(ISNUMBER($F32),$O32="CONGELE",$F32&gt;P_TCONG),"TEMPERATURE "&amp;TEXT($F32,"0.0")&amp;" C hors seuil congele. ","")&amp;IF(AND(ISNUMBER($F32),$O32="FRAIS",$F32&gt;P_TFRAIS),"TEMPERATURE "&amp;TEXT($F32,"0.0")&amp;" C hors seuil frais. ","")&amp;IF($Q32="EMPLACEMENT INCOHERENT","Lot absent de cet emplacement : controle conserve, stock inchange. ","")&amp;IF($Q32="DONNEES MANQUANTES","Renseigner la DATE et au moins une mesure. ",""))</f>
        <v/>
      </c>
      <c r="S32" s="28" t="n">
        <f aca="false">IF($C32="",0,IF($C32=R_LOT,1,0))</f>
        <v>0</v>
      </c>
      <c r="T32" s="26" t="str">
        <f aca="false">IF($S32=0,"",COUNTIF($S$5:$S32,1))</f>
        <v/>
      </c>
    </row>
    <row r="33" customFormat="false" ht="15" hidden="false" customHeight="false" outlineLevel="0" collapsed="false">
      <c r="A33" s="26" t="str">
        <f aca="false">IF($C33="","","QC-"&amp;TEXT(ROW()-4,"000"))</f>
        <v/>
      </c>
      <c r="B33" s="25"/>
      <c r="C33" s="24"/>
      <c r="D33" s="24"/>
      <c r="E33" s="24"/>
      <c r="F33" s="32"/>
      <c r="G33" s="33"/>
      <c r="H33" s="24"/>
      <c r="I33" s="24"/>
      <c r="J33" s="24"/>
      <c r="K33" s="24"/>
      <c r="L33" s="24"/>
      <c r="M33" s="24"/>
      <c r="N33" s="26" t="str">
        <f aca="false">IF($C33="","",IFERROR(INDEX(LOT_PRODE,MATCH($C33,LOT_KEY,0)),"LOT NON REFERENCE"))</f>
        <v/>
      </c>
      <c r="O33" s="26" t="str">
        <f aca="false">IF($C33="","",IFERROR(INDEX(LOT_CONSERVE,MATCH($C33,LOT_KEY,0)),""))</f>
        <v/>
      </c>
      <c r="P33" s="27" t="str">
        <f aca="false">IF(OR($C33="",$D33=""),"",SUMIFS(MVT_NET,MVT_LOT,$C33,MVT_EMPL,$D33))</f>
        <v/>
      </c>
      <c r="Q33" s="26" t="str">
        <f aca="false">IF($C33="","",IF(OR($B33="",AND($F33="",$G33="",$H33="",$I33="",$J33="",$K33="")),"DONNEES MANQUANTES",IF(AND($D33&lt;&gt;"",$P33&lt;=0),"EMPLACEMENT INCOHERENT","OK")))</f>
        <v/>
      </c>
      <c r="R33" s="26" t="str">
        <f aca="false">IF($C33="","",IF(AND(ISNUMBER($G33),$G33&gt;P_HIST),"HISTAMINE "&amp;TEXT($G33,"#,##0")&amp;" mg/kg &gt; seuil "&amp;TEXT(P_HIST,"#,##0")&amp;". ","")&amp;IF(AND(ISNUMBER($F33),$O33="CONGELE",$F33&gt;P_TCONG),"TEMPERATURE "&amp;TEXT($F33,"0.0")&amp;" C hors seuil congele. ","")&amp;IF(AND(ISNUMBER($F33),$O33="FRAIS",$F33&gt;P_TFRAIS),"TEMPERATURE "&amp;TEXT($F33,"0.0")&amp;" C hors seuil frais. ","")&amp;IF($Q33="EMPLACEMENT INCOHERENT","Lot absent de cet emplacement : controle conserve, stock inchange. ","")&amp;IF($Q33="DONNEES MANQUANTES","Renseigner la DATE et au moins une mesure. ",""))</f>
        <v/>
      </c>
      <c r="S33" s="28" t="n">
        <f aca="false">IF($C33="",0,IF($C33=R_LOT,1,0))</f>
        <v>0</v>
      </c>
      <c r="T33" s="26" t="str">
        <f aca="false">IF($S33=0,"",COUNTIF($S$5:$S33,1))</f>
        <v/>
      </c>
    </row>
    <row r="34" customFormat="false" ht="15" hidden="false" customHeight="false" outlineLevel="0" collapsed="false">
      <c r="A34" s="26" t="str">
        <f aca="false">IF($C34="","","QC-"&amp;TEXT(ROW()-4,"000"))</f>
        <v/>
      </c>
      <c r="B34" s="25"/>
      <c r="C34" s="24"/>
      <c r="D34" s="24"/>
      <c r="E34" s="24"/>
      <c r="F34" s="32"/>
      <c r="G34" s="33"/>
      <c r="H34" s="24"/>
      <c r="I34" s="24"/>
      <c r="J34" s="24"/>
      <c r="K34" s="24"/>
      <c r="L34" s="24"/>
      <c r="M34" s="24"/>
      <c r="N34" s="26" t="str">
        <f aca="false">IF($C34="","",IFERROR(INDEX(LOT_PRODE,MATCH($C34,LOT_KEY,0)),"LOT NON REFERENCE"))</f>
        <v/>
      </c>
      <c r="O34" s="26" t="str">
        <f aca="false">IF($C34="","",IFERROR(INDEX(LOT_CONSERVE,MATCH($C34,LOT_KEY,0)),""))</f>
        <v/>
      </c>
      <c r="P34" s="27" t="str">
        <f aca="false">IF(OR($C34="",$D34=""),"",SUMIFS(MVT_NET,MVT_LOT,$C34,MVT_EMPL,$D34))</f>
        <v/>
      </c>
      <c r="Q34" s="26" t="str">
        <f aca="false">IF($C34="","",IF(OR($B34="",AND($F34="",$G34="",$H34="",$I34="",$J34="",$K34="")),"DONNEES MANQUANTES",IF(AND($D34&lt;&gt;"",$P34&lt;=0),"EMPLACEMENT INCOHERENT","OK")))</f>
        <v/>
      </c>
      <c r="R34" s="26" t="str">
        <f aca="false">IF($C34="","",IF(AND(ISNUMBER($G34),$G34&gt;P_HIST),"HISTAMINE "&amp;TEXT($G34,"#,##0")&amp;" mg/kg &gt; seuil "&amp;TEXT(P_HIST,"#,##0")&amp;". ","")&amp;IF(AND(ISNUMBER($F34),$O34="CONGELE",$F34&gt;P_TCONG),"TEMPERATURE "&amp;TEXT($F34,"0.0")&amp;" C hors seuil congele. ","")&amp;IF(AND(ISNUMBER($F34),$O34="FRAIS",$F34&gt;P_TFRAIS),"TEMPERATURE "&amp;TEXT($F34,"0.0")&amp;" C hors seuil frais. ","")&amp;IF($Q34="EMPLACEMENT INCOHERENT","Lot absent de cet emplacement : controle conserve, stock inchange. ","")&amp;IF($Q34="DONNEES MANQUANTES","Renseigner la DATE et au moins une mesure. ",""))</f>
        <v/>
      </c>
      <c r="S34" s="28" t="n">
        <f aca="false">IF($C34="",0,IF($C34=R_LOT,1,0))</f>
        <v>0</v>
      </c>
      <c r="T34" s="26" t="str">
        <f aca="false">IF($S34=0,"",COUNTIF($S$5:$S34,1))</f>
        <v/>
      </c>
    </row>
    <row r="35" customFormat="false" ht="15" hidden="false" customHeight="false" outlineLevel="0" collapsed="false">
      <c r="A35" s="26" t="str">
        <f aca="false">IF($C35="","","QC-"&amp;TEXT(ROW()-4,"000"))</f>
        <v/>
      </c>
      <c r="B35" s="25"/>
      <c r="C35" s="24"/>
      <c r="D35" s="24"/>
      <c r="E35" s="24"/>
      <c r="F35" s="32"/>
      <c r="G35" s="33"/>
      <c r="H35" s="24"/>
      <c r="I35" s="24"/>
      <c r="J35" s="24"/>
      <c r="K35" s="24"/>
      <c r="L35" s="24"/>
      <c r="M35" s="24"/>
      <c r="N35" s="26" t="str">
        <f aca="false">IF($C35="","",IFERROR(INDEX(LOT_PRODE,MATCH($C35,LOT_KEY,0)),"LOT NON REFERENCE"))</f>
        <v/>
      </c>
      <c r="O35" s="26" t="str">
        <f aca="false">IF($C35="","",IFERROR(INDEX(LOT_CONSERVE,MATCH($C35,LOT_KEY,0)),""))</f>
        <v/>
      </c>
      <c r="P35" s="27" t="str">
        <f aca="false">IF(OR($C35="",$D35=""),"",SUMIFS(MVT_NET,MVT_LOT,$C35,MVT_EMPL,$D35))</f>
        <v/>
      </c>
      <c r="Q35" s="26" t="str">
        <f aca="false">IF($C35="","",IF(OR($B35="",AND($F35="",$G35="",$H35="",$I35="",$J35="",$K35="")),"DONNEES MANQUANTES",IF(AND($D35&lt;&gt;"",$P35&lt;=0),"EMPLACEMENT INCOHERENT","OK")))</f>
        <v/>
      </c>
      <c r="R35" s="26" t="str">
        <f aca="false">IF($C35="","",IF(AND(ISNUMBER($G35),$G35&gt;P_HIST),"HISTAMINE "&amp;TEXT($G35,"#,##0")&amp;" mg/kg &gt; seuil "&amp;TEXT(P_HIST,"#,##0")&amp;". ","")&amp;IF(AND(ISNUMBER($F35),$O35="CONGELE",$F35&gt;P_TCONG),"TEMPERATURE "&amp;TEXT($F35,"0.0")&amp;" C hors seuil congele. ","")&amp;IF(AND(ISNUMBER($F35),$O35="FRAIS",$F35&gt;P_TFRAIS),"TEMPERATURE "&amp;TEXT($F35,"0.0")&amp;" C hors seuil frais. ","")&amp;IF($Q35="EMPLACEMENT INCOHERENT","Lot absent de cet emplacement : controle conserve, stock inchange. ","")&amp;IF($Q35="DONNEES MANQUANTES","Renseigner la DATE et au moins une mesure. ",""))</f>
        <v/>
      </c>
      <c r="S35" s="28" t="n">
        <f aca="false">IF($C35="",0,IF($C35=R_LOT,1,0))</f>
        <v>0</v>
      </c>
      <c r="T35" s="26" t="str">
        <f aca="false">IF($S35=0,"",COUNTIF($S$5:$S35,1))</f>
        <v/>
      </c>
    </row>
    <row r="36" customFormat="false" ht="15" hidden="false" customHeight="false" outlineLevel="0" collapsed="false">
      <c r="A36" s="26" t="str">
        <f aca="false">IF($C36="","","QC-"&amp;TEXT(ROW()-4,"000"))</f>
        <v/>
      </c>
      <c r="B36" s="25"/>
      <c r="C36" s="24"/>
      <c r="D36" s="24"/>
      <c r="E36" s="24"/>
      <c r="F36" s="32"/>
      <c r="G36" s="33"/>
      <c r="H36" s="24"/>
      <c r="I36" s="24"/>
      <c r="J36" s="24"/>
      <c r="K36" s="24"/>
      <c r="L36" s="24"/>
      <c r="M36" s="24"/>
      <c r="N36" s="26" t="str">
        <f aca="false">IF($C36="","",IFERROR(INDEX(LOT_PRODE,MATCH($C36,LOT_KEY,0)),"LOT NON REFERENCE"))</f>
        <v/>
      </c>
      <c r="O36" s="26" t="str">
        <f aca="false">IF($C36="","",IFERROR(INDEX(LOT_CONSERVE,MATCH($C36,LOT_KEY,0)),""))</f>
        <v/>
      </c>
      <c r="P36" s="27" t="str">
        <f aca="false">IF(OR($C36="",$D36=""),"",SUMIFS(MVT_NET,MVT_LOT,$C36,MVT_EMPL,$D36))</f>
        <v/>
      </c>
      <c r="Q36" s="26" t="str">
        <f aca="false">IF($C36="","",IF(OR($B36="",AND($F36="",$G36="",$H36="",$I36="",$J36="",$K36="")),"DONNEES MANQUANTES",IF(AND($D36&lt;&gt;"",$P36&lt;=0),"EMPLACEMENT INCOHERENT","OK")))</f>
        <v/>
      </c>
      <c r="R36" s="26" t="str">
        <f aca="false">IF($C36="","",IF(AND(ISNUMBER($G36),$G36&gt;P_HIST),"HISTAMINE "&amp;TEXT($G36,"#,##0")&amp;" mg/kg &gt; seuil "&amp;TEXT(P_HIST,"#,##0")&amp;". ","")&amp;IF(AND(ISNUMBER($F36),$O36="CONGELE",$F36&gt;P_TCONG),"TEMPERATURE "&amp;TEXT($F36,"0.0")&amp;" C hors seuil congele. ","")&amp;IF(AND(ISNUMBER($F36),$O36="FRAIS",$F36&gt;P_TFRAIS),"TEMPERATURE "&amp;TEXT($F36,"0.0")&amp;" C hors seuil frais. ","")&amp;IF($Q36="EMPLACEMENT INCOHERENT","Lot absent de cet emplacement : controle conserve, stock inchange. ","")&amp;IF($Q36="DONNEES MANQUANTES","Renseigner la DATE et au moins une mesure. ",""))</f>
        <v/>
      </c>
      <c r="S36" s="28" t="n">
        <f aca="false">IF($C36="",0,IF($C36=R_LOT,1,0))</f>
        <v>0</v>
      </c>
      <c r="T36" s="26" t="str">
        <f aca="false">IF($S36=0,"",COUNTIF($S$5:$S36,1))</f>
        <v/>
      </c>
    </row>
    <row r="37" customFormat="false" ht="15" hidden="false" customHeight="false" outlineLevel="0" collapsed="false">
      <c r="A37" s="26" t="str">
        <f aca="false">IF($C37="","","QC-"&amp;TEXT(ROW()-4,"000"))</f>
        <v/>
      </c>
      <c r="B37" s="25"/>
      <c r="C37" s="24"/>
      <c r="D37" s="24"/>
      <c r="E37" s="24"/>
      <c r="F37" s="32"/>
      <c r="G37" s="33"/>
      <c r="H37" s="24"/>
      <c r="I37" s="24"/>
      <c r="J37" s="24"/>
      <c r="K37" s="24"/>
      <c r="L37" s="24"/>
      <c r="M37" s="24"/>
      <c r="N37" s="26" t="str">
        <f aca="false">IF($C37="","",IFERROR(INDEX(LOT_PRODE,MATCH($C37,LOT_KEY,0)),"LOT NON REFERENCE"))</f>
        <v/>
      </c>
      <c r="O37" s="26" t="str">
        <f aca="false">IF($C37="","",IFERROR(INDEX(LOT_CONSERVE,MATCH($C37,LOT_KEY,0)),""))</f>
        <v/>
      </c>
      <c r="P37" s="27" t="str">
        <f aca="false">IF(OR($C37="",$D37=""),"",SUMIFS(MVT_NET,MVT_LOT,$C37,MVT_EMPL,$D37))</f>
        <v/>
      </c>
      <c r="Q37" s="26" t="str">
        <f aca="false">IF($C37="","",IF(OR($B37="",AND($F37="",$G37="",$H37="",$I37="",$J37="",$K37="")),"DONNEES MANQUANTES",IF(AND($D37&lt;&gt;"",$P37&lt;=0),"EMPLACEMENT INCOHERENT","OK")))</f>
        <v/>
      </c>
      <c r="R37" s="26" t="str">
        <f aca="false">IF($C37="","",IF(AND(ISNUMBER($G37),$G37&gt;P_HIST),"HISTAMINE "&amp;TEXT($G37,"#,##0")&amp;" mg/kg &gt; seuil "&amp;TEXT(P_HIST,"#,##0")&amp;". ","")&amp;IF(AND(ISNUMBER($F37),$O37="CONGELE",$F37&gt;P_TCONG),"TEMPERATURE "&amp;TEXT($F37,"0.0")&amp;" C hors seuil congele. ","")&amp;IF(AND(ISNUMBER($F37),$O37="FRAIS",$F37&gt;P_TFRAIS),"TEMPERATURE "&amp;TEXT($F37,"0.0")&amp;" C hors seuil frais. ","")&amp;IF($Q37="EMPLACEMENT INCOHERENT","Lot absent de cet emplacement : controle conserve, stock inchange. ","")&amp;IF($Q37="DONNEES MANQUANTES","Renseigner la DATE et au moins une mesure. ",""))</f>
        <v/>
      </c>
      <c r="S37" s="28" t="n">
        <f aca="false">IF($C37="",0,IF($C37=R_LOT,1,0))</f>
        <v>0</v>
      </c>
      <c r="T37" s="26" t="str">
        <f aca="false">IF($S37=0,"",COUNTIF($S$5:$S37,1))</f>
        <v/>
      </c>
    </row>
    <row r="38" customFormat="false" ht="15" hidden="false" customHeight="false" outlineLevel="0" collapsed="false">
      <c r="A38" s="26" t="str">
        <f aca="false">IF($C38="","","QC-"&amp;TEXT(ROW()-4,"000"))</f>
        <v/>
      </c>
      <c r="B38" s="25"/>
      <c r="C38" s="24"/>
      <c r="D38" s="24"/>
      <c r="E38" s="24"/>
      <c r="F38" s="32"/>
      <c r="G38" s="33"/>
      <c r="H38" s="24"/>
      <c r="I38" s="24"/>
      <c r="J38" s="24"/>
      <c r="K38" s="24"/>
      <c r="L38" s="24"/>
      <c r="M38" s="24"/>
      <c r="N38" s="26" t="str">
        <f aca="false">IF($C38="","",IFERROR(INDEX(LOT_PRODE,MATCH($C38,LOT_KEY,0)),"LOT NON REFERENCE"))</f>
        <v/>
      </c>
      <c r="O38" s="26" t="str">
        <f aca="false">IF($C38="","",IFERROR(INDEX(LOT_CONSERVE,MATCH($C38,LOT_KEY,0)),""))</f>
        <v/>
      </c>
      <c r="P38" s="27" t="str">
        <f aca="false">IF(OR($C38="",$D38=""),"",SUMIFS(MVT_NET,MVT_LOT,$C38,MVT_EMPL,$D38))</f>
        <v/>
      </c>
      <c r="Q38" s="26" t="str">
        <f aca="false">IF($C38="","",IF(OR($B38="",AND($F38="",$G38="",$H38="",$I38="",$J38="",$K38="")),"DONNEES MANQUANTES",IF(AND($D38&lt;&gt;"",$P38&lt;=0),"EMPLACEMENT INCOHERENT","OK")))</f>
        <v/>
      </c>
      <c r="R38" s="26" t="str">
        <f aca="false">IF($C38="","",IF(AND(ISNUMBER($G38),$G38&gt;P_HIST),"HISTAMINE "&amp;TEXT($G38,"#,##0")&amp;" mg/kg &gt; seuil "&amp;TEXT(P_HIST,"#,##0")&amp;". ","")&amp;IF(AND(ISNUMBER($F38),$O38="CONGELE",$F38&gt;P_TCONG),"TEMPERATURE "&amp;TEXT($F38,"0.0")&amp;" C hors seuil congele. ","")&amp;IF(AND(ISNUMBER($F38),$O38="FRAIS",$F38&gt;P_TFRAIS),"TEMPERATURE "&amp;TEXT($F38,"0.0")&amp;" C hors seuil frais. ","")&amp;IF($Q38="EMPLACEMENT INCOHERENT","Lot absent de cet emplacement : controle conserve, stock inchange. ","")&amp;IF($Q38="DONNEES MANQUANTES","Renseigner la DATE et au moins une mesure. ",""))</f>
        <v/>
      </c>
      <c r="S38" s="28" t="n">
        <f aca="false">IF($C38="",0,IF($C38=R_LOT,1,0))</f>
        <v>0</v>
      </c>
      <c r="T38" s="26" t="str">
        <f aca="false">IF($S38=0,"",COUNTIF($S$5:$S38,1))</f>
        <v/>
      </c>
    </row>
    <row r="39" customFormat="false" ht="15" hidden="false" customHeight="false" outlineLevel="0" collapsed="false">
      <c r="A39" s="26" t="str">
        <f aca="false">IF($C39="","","QC-"&amp;TEXT(ROW()-4,"000"))</f>
        <v/>
      </c>
      <c r="B39" s="25"/>
      <c r="C39" s="24"/>
      <c r="D39" s="24"/>
      <c r="E39" s="24"/>
      <c r="F39" s="32"/>
      <c r="G39" s="33"/>
      <c r="H39" s="24"/>
      <c r="I39" s="24"/>
      <c r="J39" s="24"/>
      <c r="K39" s="24"/>
      <c r="L39" s="24"/>
      <c r="M39" s="24"/>
      <c r="N39" s="26" t="str">
        <f aca="false">IF($C39="","",IFERROR(INDEX(LOT_PRODE,MATCH($C39,LOT_KEY,0)),"LOT NON REFERENCE"))</f>
        <v/>
      </c>
      <c r="O39" s="26" t="str">
        <f aca="false">IF($C39="","",IFERROR(INDEX(LOT_CONSERVE,MATCH($C39,LOT_KEY,0)),""))</f>
        <v/>
      </c>
      <c r="P39" s="27" t="str">
        <f aca="false">IF(OR($C39="",$D39=""),"",SUMIFS(MVT_NET,MVT_LOT,$C39,MVT_EMPL,$D39))</f>
        <v/>
      </c>
      <c r="Q39" s="26" t="str">
        <f aca="false">IF($C39="","",IF(OR($B39="",AND($F39="",$G39="",$H39="",$I39="",$J39="",$K39="")),"DONNEES MANQUANTES",IF(AND($D39&lt;&gt;"",$P39&lt;=0),"EMPLACEMENT INCOHERENT","OK")))</f>
        <v/>
      </c>
      <c r="R39" s="26" t="str">
        <f aca="false">IF($C39="","",IF(AND(ISNUMBER($G39),$G39&gt;P_HIST),"HISTAMINE "&amp;TEXT($G39,"#,##0")&amp;" mg/kg &gt; seuil "&amp;TEXT(P_HIST,"#,##0")&amp;". ","")&amp;IF(AND(ISNUMBER($F39),$O39="CONGELE",$F39&gt;P_TCONG),"TEMPERATURE "&amp;TEXT($F39,"0.0")&amp;" C hors seuil congele. ","")&amp;IF(AND(ISNUMBER($F39),$O39="FRAIS",$F39&gt;P_TFRAIS),"TEMPERATURE "&amp;TEXT($F39,"0.0")&amp;" C hors seuil frais. ","")&amp;IF($Q39="EMPLACEMENT INCOHERENT","Lot absent de cet emplacement : controle conserve, stock inchange. ","")&amp;IF($Q39="DONNEES MANQUANTES","Renseigner la DATE et au moins une mesure. ",""))</f>
        <v/>
      </c>
      <c r="S39" s="28" t="n">
        <f aca="false">IF($C39="",0,IF($C39=R_LOT,1,0))</f>
        <v>0</v>
      </c>
      <c r="T39" s="26" t="str">
        <f aca="false">IF($S39=0,"",COUNTIF($S$5:$S39,1))</f>
        <v/>
      </c>
    </row>
    <row r="40" customFormat="false" ht="15" hidden="false" customHeight="false" outlineLevel="0" collapsed="false">
      <c r="A40" s="26" t="str">
        <f aca="false">IF($C40="","","QC-"&amp;TEXT(ROW()-4,"000"))</f>
        <v/>
      </c>
      <c r="B40" s="25"/>
      <c r="C40" s="24"/>
      <c r="D40" s="24"/>
      <c r="E40" s="24"/>
      <c r="F40" s="32"/>
      <c r="G40" s="33"/>
      <c r="H40" s="24"/>
      <c r="I40" s="24"/>
      <c r="J40" s="24"/>
      <c r="K40" s="24"/>
      <c r="L40" s="24"/>
      <c r="M40" s="24"/>
      <c r="N40" s="26" t="str">
        <f aca="false">IF($C40="","",IFERROR(INDEX(LOT_PRODE,MATCH($C40,LOT_KEY,0)),"LOT NON REFERENCE"))</f>
        <v/>
      </c>
      <c r="O40" s="26" t="str">
        <f aca="false">IF($C40="","",IFERROR(INDEX(LOT_CONSERVE,MATCH($C40,LOT_KEY,0)),""))</f>
        <v/>
      </c>
      <c r="P40" s="27" t="str">
        <f aca="false">IF(OR($C40="",$D40=""),"",SUMIFS(MVT_NET,MVT_LOT,$C40,MVT_EMPL,$D40))</f>
        <v/>
      </c>
      <c r="Q40" s="26" t="str">
        <f aca="false">IF($C40="","",IF(OR($B40="",AND($F40="",$G40="",$H40="",$I40="",$J40="",$K40="")),"DONNEES MANQUANTES",IF(AND($D40&lt;&gt;"",$P40&lt;=0),"EMPLACEMENT INCOHERENT","OK")))</f>
        <v/>
      </c>
      <c r="R40" s="26" t="str">
        <f aca="false">IF($C40="","",IF(AND(ISNUMBER($G40),$G40&gt;P_HIST),"HISTAMINE "&amp;TEXT($G40,"#,##0")&amp;" mg/kg &gt; seuil "&amp;TEXT(P_HIST,"#,##0")&amp;". ","")&amp;IF(AND(ISNUMBER($F40),$O40="CONGELE",$F40&gt;P_TCONG),"TEMPERATURE "&amp;TEXT($F40,"0.0")&amp;" C hors seuil congele. ","")&amp;IF(AND(ISNUMBER($F40),$O40="FRAIS",$F40&gt;P_TFRAIS),"TEMPERATURE "&amp;TEXT($F40,"0.0")&amp;" C hors seuil frais. ","")&amp;IF($Q40="EMPLACEMENT INCOHERENT","Lot absent de cet emplacement : controle conserve, stock inchange. ","")&amp;IF($Q40="DONNEES MANQUANTES","Renseigner la DATE et au moins une mesure. ",""))</f>
        <v/>
      </c>
      <c r="S40" s="28" t="n">
        <f aca="false">IF($C40="",0,IF($C40=R_LOT,1,0))</f>
        <v>0</v>
      </c>
      <c r="T40" s="26" t="str">
        <f aca="false">IF($S40=0,"",COUNTIF($S$5:$S40,1))</f>
        <v/>
      </c>
    </row>
    <row r="41" customFormat="false" ht="15" hidden="false" customHeight="false" outlineLevel="0" collapsed="false">
      <c r="A41" s="26" t="str">
        <f aca="false">IF($C41="","","QC-"&amp;TEXT(ROW()-4,"000"))</f>
        <v/>
      </c>
      <c r="B41" s="25"/>
      <c r="C41" s="24"/>
      <c r="D41" s="24"/>
      <c r="E41" s="24"/>
      <c r="F41" s="32"/>
      <c r="G41" s="33"/>
      <c r="H41" s="24"/>
      <c r="I41" s="24"/>
      <c r="J41" s="24"/>
      <c r="K41" s="24"/>
      <c r="L41" s="24"/>
      <c r="M41" s="24"/>
      <c r="N41" s="26" t="str">
        <f aca="false">IF($C41="","",IFERROR(INDEX(LOT_PRODE,MATCH($C41,LOT_KEY,0)),"LOT NON REFERENCE"))</f>
        <v/>
      </c>
      <c r="O41" s="26" t="str">
        <f aca="false">IF($C41="","",IFERROR(INDEX(LOT_CONSERVE,MATCH($C41,LOT_KEY,0)),""))</f>
        <v/>
      </c>
      <c r="P41" s="27" t="str">
        <f aca="false">IF(OR($C41="",$D41=""),"",SUMIFS(MVT_NET,MVT_LOT,$C41,MVT_EMPL,$D41))</f>
        <v/>
      </c>
      <c r="Q41" s="26" t="str">
        <f aca="false">IF($C41="","",IF(OR($B41="",AND($F41="",$G41="",$H41="",$I41="",$J41="",$K41="")),"DONNEES MANQUANTES",IF(AND($D41&lt;&gt;"",$P41&lt;=0),"EMPLACEMENT INCOHERENT","OK")))</f>
        <v/>
      </c>
      <c r="R41" s="26" t="str">
        <f aca="false">IF($C41="","",IF(AND(ISNUMBER($G41),$G41&gt;P_HIST),"HISTAMINE "&amp;TEXT($G41,"#,##0")&amp;" mg/kg &gt; seuil "&amp;TEXT(P_HIST,"#,##0")&amp;". ","")&amp;IF(AND(ISNUMBER($F41),$O41="CONGELE",$F41&gt;P_TCONG),"TEMPERATURE "&amp;TEXT($F41,"0.0")&amp;" C hors seuil congele. ","")&amp;IF(AND(ISNUMBER($F41),$O41="FRAIS",$F41&gt;P_TFRAIS),"TEMPERATURE "&amp;TEXT($F41,"0.0")&amp;" C hors seuil frais. ","")&amp;IF($Q41="EMPLACEMENT INCOHERENT","Lot absent de cet emplacement : controle conserve, stock inchange. ","")&amp;IF($Q41="DONNEES MANQUANTES","Renseigner la DATE et au moins une mesure. ",""))</f>
        <v/>
      </c>
      <c r="S41" s="28" t="n">
        <f aca="false">IF($C41="",0,IF($C41=R_LOT,1,0))</f>
        <v>0</v>
      </c>
      <c r="T41" s="26" t="str">
        <f aca="false">IF($S41=0,"",COUNTIF($S$5:$S41,1))</f>
        <v/>
      </c>
    </row>
    <row r="42" customFormat="false" ht="15" hidden="false" customHeight="false" outlineLevel="0" collapsed="false">
      <c r="A42" s="26" t="str">
        <f aca="false">IF($C42="","","QC-"&amp;TEXT(ROW()-4,"000"))</f>
        <v/>
      </c>
      <c r="B42" s="25"/>
      <c r="C42" s="24"/>
      <c r="D42" s="24"/>
      <c r="E42" s="24"/>
      <c r="F42" s="32"/>
      <c r="G42" s="33"/>
      <c r="H42" s="24"/>
      <c r="I42" s="24"/>
      <c r="J42" s="24"/>
      <c r="K42" s="24"/>
      <c r="L42" s="24"/>
      <c r="M42" s="24"/>
      <c r="N42" s="26" t="str">
        <f aca="false">IF($C42="","",IFERROR(INDEX(LOT_PRODE,MATCH($C42,LOT_KEY,0)),"LOT NON REFERENCE"))</f>
        <v/>
      </c>
      <c r="O42" s="26" t="str">
        <f aca="false">IF($C42="","",IFERROR(INDEX(LOT_CONSERVE,MATCH($C42,LOT_KEY,0)),""))</f>
        <v/>
      </c>
      <c r="P42" s="27" t="str">
        <f aca="false">IF(OR($C42="",$D42=""),"",SUMIFS(MVT_NET,MVT_LOT,$C42,MVT_EMPL,$D42))</f>
        <v/>
      </c>
      <c r="Q42" s="26" t="str">
        <f aca="false">IF($C42="","",IF(OR($B42="",AND($F42="",$G42="",$H42="",$I42="",$J42="",$K42="")),"DONNEES MANQUANTES",IF(AND($D42&lt;&gt;"",$P42&lt;=0),"EMPLACEMENT INCOHERENT","OK")))</f>
        <v/>
      </c>
      <c r="R42" s="26" t="str">
        <f aca="false">IF($C42="","",IF(AND(ISNUMBER($G42),$G42&gt;P_HIST),"HISTAMINE "&amp;TEXT($G42,"#,##0")&amp;" mg/kg &gt; seuil "&amp;TEXT(P_HIST,"#,##0")&amp;". ","")&amp;IF(AND(ISNUMBER($F42),$O42="CONGELE",$F42&gt;P_TCONG),"TEMPERATURE "&amp;TEXT($F42,"0.0")&amp;" C hors seuil congele. ","")&amp;IF(AND(ISNUMBER($F42),$O42="FRAIS",$F42&gt;P_TFRAIS),"TEMPERATURE "&amp;TEXT($F42,"0.0")&amp;" C hors seuil frais. ","")&amp;IF($Q42="EMPLACEMENT INCOHERENT","Lot absent de cet emplacement : controle conserve, stock inchange. ","")&amp;IF($Q42="DONNEES MANQUANTES","Renseigner la DATE et au moins une mesure. ",""))</f>
        <v/>
      </c>
      <c r="S42" s="28" t="n">
        <f aca="false">IF($C42="",0,IF($C42=R_LOT,1,0))</f>
        <v>0</v>
      </c>
      <c r="T42" s="26" t="str">
        <f aca="false">IF($S42=0,"",COUNTIF($S$5:$S42,1))</f>
        <v/>
      </c>
    </row>
    <row r="43" customFormat="false" ht="15" hidden="false" customHeight="false" outlineLevel="0" collapsed="false">
      <c r="A43" s="26" t="str">
        <f aca="false">IF($C43="","","QC-"&amp;TEXT(ROW()-4,"000"))</f>
        <v/>
      </c>
      <c r="B43" s="25"/>
      <c r="C43" s="24"/>
      <c r="D43" s="24"/>
      <c r="E43" s="24"/>
      <c r="F43" s="32"/>
      <c r="G43" s="33"/>
      <c r="H43" s="24"/>
      <c r="I43" s="24"/>
      <c r="J43" s="24"/>
      <c r="K43" s="24"/>
      <c r="L43" s="24"/>
      <c r="M43" s="24"/>
      <c r="N43" s="26" t="str">
        <f aca="false">IF($C43="","",IFERROR(INDEX(LOT_PRODE,MATCH($C43,LOT_KEY,0)),"LOT NON REFERENCE"))</f>
        <v/>
      </c>
      <c r="O43" s="26" t="str">
        <f aca="false">IF($C43="","",IFERROR(INDEX(LOT_CONSERVE,MATCH($C43,LOT_KEY,0)),""))</f>
        <v/>
      </c>
      <c r="P43" s="27" t="str">
        <f aca="false">IF(OR($C43="",$D43=""),"",SUMIFS(MVT_NET,MVT_LOT,$C43,MVT_EMPL,$D43))</f>
        <v/>
      </c>
      <c r="Q43" s="26" t="str">
        <f aca="false">IF($C43="","",IF(OR($B43="",AND($F43="",$G43="",$H43="",$I43="",$J43="",$K43="")),"DONNEES MANQUANTES",IF(AND($D43&lt;&gt;"",$P43&lt;=0),"EMPLACEMENT INCOHERENT","OK")))</f>
        <v/>
      </c>
      <c r="R43" s="26" t="str">
        <f aca="false">IF($C43="","",IF(AND(ISNUMBER($G43),$G43&gt;P_HIST),"HISTAMINE "&amp;TEXT($G43,"#,##0")&amp;" mg/kg &gt; seuil "&amp;TEXT(P_HIST,"#,##0")&amp;". ","")&amp;IF(AND(ISNUMBER($F43),$O43="CONGELE",$F43&gt;P_TCONG),"TEMPERATURE "&amp;TEXT($F43,"0.0")&amp;" C hors seuil congele. ","")&amp;IF(AND(ISNUMBER($F43),$O43="FRAIS",$F43&gt;P_TFRAIS),"TEMPERATURE "&amp;TEXT($F43,"0.0")&amp;" C hors seuil frais. ","")&amp;IF($Q43="EMPLACEMENT INCOHERENT","Lot absent de cet emplacement : controle conserve, stock inchange. ","")&amp;IF($Q43="DONNEES MANQUANTES","Renseigner la DATE et au moins une mesure. ",""))</f>
        <v/>
      </c>
      <c r="S43" s="28" t="n">
        <f aca="false">IF($C43="",0,IF($C43=R_LOT,1,0))</f>
        <v>0</v>
      </c>
      <c r="T43" s="26" t="str">
        <f aca="false">IF($S43=0,"",COUNTIF($S$5:$S43,1))</f>
        <v/>
      </c>
    </row>
    <row r="44" customFormat="false" ht="15" hidden="false" customHeight="false" outlineLevel="0" collapsed="false">
      <c r="A44" s="26" t="str">
        <f aca="false">IF($C44="","","QC-"&amp;TEXT(ROW()-4,"000"))</f>
        <v/>
      </c>
      <c r="B44" s="25"/>
      <c r="C44" s="24"/>
      <c r="D44" s="24"/>
      <c r="E44" s="24"/>
      <c r="F44" s="32"/>
      <c r="G44" s="33"/>
      <c r="H44" s="24"/>
      <c r="I44" s="24"/>
      <c r="J44" s="24"/>
      <c r="K44" s="24"/>
      <c r="L44" s="24"/>
      <c r="M44" s="24"/>
      <c r="N44" s="26" t="str">
        <f aca="false">IF($C44="","",IFERROR(INDEX(LOT_PRODE,MATCH($C44,LOT_KEY,0)),"LOT NON REFERENCE"))</f>
        <v/>
      </c>
      <c r="O44" s="26" t="str">
        <f aca="false">IF($C44="","",IFERROR(INDEX(LOT_CONSERVE,MATCH($C44,LOT_KEY,0)),""))</f>
        <v/>
      </c>
      <c r="P44" s="27" t="str">
        <f aca="false">IF(OR($C44="",$D44=""),"",SUMIFS(MVT_NET,MVT_LOT,$C44,MVT_EMPL,$D44))</f>
        <v/>
      </c>
      <c r="Q44" s="26" t="str">
        <f aca="false">IF($C44="","",IF(OR($B44="",AND($F44="",$G44="",$H44="",$I44="",$J44="",$K44="")),"DONNEES MANQUANTES",IF(AND($D44&lt;&gt;"",$P44&lt;=0),"EMPLACEMENT INCOHERENT","OK")))</f>
        <v/>
      </c>
      <c r="R44" s="26" t="str">
        <f aca="false">IF($C44="","",IF(AND(ISNUMBER($G44),$G44&gt;P_HIST),"HISTAMINE "&amp;TEXT($G44,"#,##0")&amp;" mg/kg &gt; seuil "&amp;TEXT(P_HIST,"#,##0")&amp;". ","")&amp;IF(AND(ISNUMBER($F44),$O44="CONGELE",$F44&gt;P_TCONG),"TEMPERATURE "&amp;TEXT($F44,"0.0")&amp;" C hors seuil congele. ","")&amp;IF(AND(ISNUMBER($F44),$O44="FRAIS",$F44&gt;P_TFRAIS),"TEMPERATURE "&amp;TEXT($F44,"0.0")&amp;" C hors seuil frais. ","")&amp;IF($Q44="EMPLACEMENT INCOHERENT","Lot absent de cet emplacement : controle conserve, stock inchange. ","")&amp;IF($Q44="DONNEES MANQUANTES","Renseigner la DATE et au moins une mesure. ",""))</f>
        <v/>
      </c>
      <c r="S44" s="28" t="n">
        <f aca="false">IF($C44="",0,IF($C44=R_LOT,1,0))</f>
        <v>0</v>
      </c>
      <c r="T44" s="26" t="str">
        <f aca="false">IF($S44=0,"",COUNTIF($S$5:$S44,1))</f>
        <v/>
      </c>
    </row>
    <row r="45" customFormat="false" ht="15" hidden="false" customHeight="false" outlineLevel="0" collapsed="false">
      <c r="A45" s="26" t="str">
        <f aca="false">IF($C45="","","QC-"&amp;TEXT(ROW()-4,"000"))</f>
        <v/>
      </c>
      <c r="B45" s="25"/>
      <c r="C45" s="24"/>
      <c r="D45" s="24"/>
      <c r="E45" s="24"/>
      <c r="F45" s="32"/>
      <c r="G45" s="33"/>
      <c r="H45" s="24"/>
      <c r="I45" s="24"/>
      <c r="J45" s="24"/>
      <c r="K45" s="24"/>
      <c r="L45" s="24"/>
      <c r="M45" s="24"/>
      <c r="N45" s="26" t="str">
        <f aca="false">IF($C45="","",IFERROR(INDEX(LOT_PRODE,MATCH($C45,LOT_KEY,0)),"LOT NON REFERENCE"))</f>
        <v/>
      </c>
      <c r="O45" s="26" t="str">
        <f aca="false">IF($C45="","",IFERROR(INDEX(LOT_CONSERVE,MATCH($C45,LOT_KEY,0)),""))</f>
        <v/>
      </c>
      <c r="P45" s="27" t="str">
        <f aca="false">IF(OR($C45="",$D45=""),"",SUMIFS(MVT_NET,MVT_LOT,$C45,MVT_EMPL,$D45))</f>
        <v/>
      </c>
      <c r="Q45" s="26" t="str">
        <f aca="false">IF($C45="","",IF(OR($B45="",AND($F45="",$G45="",$H45="",$I45="",$J45="",$K45="")),"DONNEES MANQUANTES",IF(AND($D45&lt;&gt;"",$P45&lt;=0),"EMPLACEMENT INCOHERENT","OK")))</f>
        <v/>
      </c>
      <c r="R45" s="26" t="str">
        <f aca="false">IF($C45="","",IF(AND(ISNUMBER($G45),$G45&gt;P_HIST),"HISTAMINE "&amp;TEXT($G45,"#,##0")&amp;" mg/kg &gt; seuil "&amp;TEXT(P_HIST,"#,##0")&amp;". ","")&amp;IF(AND(ISNUMBER($F45),$O45="CONGELE",$F45&gt;P_TCONG),"TEMPERATURE "&amp;TEXT($F45,"0.0")&amp;" C hors seuil congele. ","")&amp;IF(AND(ISNUMBER($F45),$O45="FRAIS",$F45&gt;P_TFRAIS),"TEMPERATURE "&amp;TEXT($F45,"0.0")&amp;" C hors seuil frais. ","")&amp;IF($Q45="EMPLACEMENT INCOHERENT","Lot absent de cet emplacement : controle conserve, stock inchange. ","")&amp;IF($Q45="DONNEES MANQUANTES","Renseigner la DATE et au moins une mesure. ",""))</f>
        <v/>
      </c>
      <c r="S45" s="28" t="n">
        <f aca="false">IF($C45="",0,IF($C45=R_LOT,1,0))</f>
        <v>0</v>
      </c>
      <c r="T45" s="26" t="str">
        <f aca="false">IF($S45=0,"",COUNTIF($S$5:$S45,1))</f>
        <v/>
      </c>
    </row>
    <row r="46" customFormat="false" ht="15" hidden="false" customHeight="false" outlineLevel="0" collapsed="false">
      <c r="A46" s="26" t="str">
        <f aca="false">IF($C46="","","QC-"&amp;TEXT(ROW()-4,"000"))</f>
        <v/>
      </c>
      <c r="B46" s="25"/>
      <c r="C46" s="24"/>
      <c r="D46" s="24"/>
      <c r="E46" s="24"/>
      <c r="F46" s="32"/>
      <c r="G46" s="33"/>
      <c r="H46" s="24"/>
      <c r="I46" s="24"/>
      <c r="J46" s="24"/>
      <c r="K46" s="24"/>
      <c r="L46" s="24"/>
      <c r="M46" s="24"/>
      <c r="N46" s="26" t="str">
        <f aca="false">IF($C46="","",IFERROR(INDEX(LOT_PRODE,MATCH($C46,LOT_KEY,0)),"LOT NON REFERENCE"))</f>
        <v/>
      </c>
      <c r="O46" s="26" t="str">
        <f aca="false">IF($C46="","",IFERROR(INDEX(LOT_CONSERVE,MATCH($C46,LOT_KEY,0)),""))</f>
        <v/>
      </c>
      <c r="P46" s="27" t="str">
        <f aca="false">IF(OR($C46="",$D46=""),"",SUMIFS(MVT_NET,MVT_LOT,$C46,MVT_EMPL,$D46))</f>
        <v/>
      </c>
      <c r="Q46" s="26" t="str">
        <f aca="false">IF($C46="","",IF(OR($B46="",AND($F46="",$G46="",$H46="",$I46="",$J46="",$K46="")),"DONNEES MANQUANTES",IF(AND($D46&lt;&gt;"",$P46&lt;=0),"EMPLACEMENT INCOHERENT","OK")))</f>
        <v/>
      </c>
      <c r="R46" s="26" t="str">
        <f aca="false">IF($C46="","",IF(AND(ISNUMBER($G46),$G46&gt;P_HIST),"HISTAMINE "&amp;TEXT($G46,"#,##0")&amp;" mg/kg &gt; seuil "&amp;TEXT(P_HIST,"#,##0")&amp;". ","")&amp;IF(AND(ISNUMBER($F46),$O46="CONGELE",$F46&gt;P_TCONG),"TEMPERATURE "&amp;TEXT($F46,"0.0")&amp;" C hors seuil congele. ","")&amp;IF(AND(ISNUMBER($F46),$O46="FRAIS",$F46&gt;P_TFRAIS),"TEMPERATURE "&amp;TEXT($F46,"0.0")&amp;" C hors seuil frais. ","")&amp;IF($Q46="EMPLACEMENT INCOHERENT","Lot absent de cet emplacement : controle conserve, stock inchange. ","")&amp;IF($Q46="DONNEES MANQUANTES","Renseigner la DATE et au moins une mesure. ",""))</f>
        <v/>
      </c>
      <c r="S46" s="28" t="n">
        <f aca="false">IF($C46="",0,IF($C46=R_LOT,1,0))</f>
        <v>0</v>
      </c>
      <c r="T46" s="26" t="str">
        <f aca="false">IF($S46=0,"",COUNTIF($S$5:$S46,1))</f>
        <v/>
      </c>
    </row>
    <row r="47" customFormat="false" ht="15" hidden="false" customHeight="false" outlineLevel="0" collapsed="false">
      <c r="A47" s="26" t="str">
        <f aca="false">IF($C47="","","QC-"&amp;TEXT(ROW()-4,"000"))</f>
        <v/>
      </c>
      <c r="B47" s="25"/>
      <c r="C47" s="24"/>
      <c r="D47" s="24"/>
      <c r="E47" s="24"/>
      <c r="F47" s="32"/>
      <c r="G47" s="33"/>
      <c r="H47" s="24"/>
      <c r="I47" s="24"/>
      <c r="J47" s="24"/>
      <c r="K47" s="24"/>
      <c r="L47" s="24"/>
      <c r="M47" s="24"/>
      <c r="N47" s="26" t="str">
        <f aca="false">IF($C47="","",IFERROR(INDEX(LOT_PRODE,MATCH($C47,LOT_KEY,0)),"LOT NON REFERENCE"))</f>
        <v/>
      </c>
      <c r="O47" s="26" t="str">
        <f aca="false">IF($C47="","",IFERROR(INDEX(LOT_CONSERVE,MATCH($C47,LOT_KEY,0)),""))</f>
        <v/>
      </c>
      <c r="P47" s="27" t="str">
        <f aca="false">IF(OR($C47="",$D47=""),"",SUMIFS(MVT_NET,MVT_LOT,$C47,MVT_EMPL,$D47))</f>
        <v/>
      </c>
      <c r="Q47" s="26" t="str">
        <f aca="false">IF($C47="","",IF(OR($B47="",AND($F47="",$G47="",$H47="",$I47="",$J47="",$K47="")),"DONNEES MANQUANTES",IF(AND($D47&lt;&gt;"",$P47&lt;=0),"EMPLACEMENT INCOHERENT","OK")))</f>
        <v/>
      </c>
      <c r="R47" s="26" t="str">
        <f aca="false">IF($C47="","",IF(AND(ISNUMBER($G47),$G47&gt;P_HIST),"HISTAMINE "&amp;TEXT($G47,"#,##0")&amp;" mg/kg &gt; seuil "&amp;TEXT(P_HIST,"#,##0")&amp;". ","")&amp;IF(AND(ISNUMBER($F47),$O47="CONGELE",$F47&gt;P_TCONG),"TEMPERATURE "&amp;TEXT($F47,"0.0")&amp;" C hors seuil congele. ","")&amp;IF(AND(ISNUMBER($F47),$O47="FRAIS",$F47&gt;P_TFRAIS),"TEMPERATURE "&amp;TEXT($F47,"0.0")&amp;" C hors seuil frais. ","")&amp;IF($Q47="EMPLACEMENT INCOHERENT","Lot absent de cet emplacement : controle conserve, stock inchange. ","")&amp;IF($Q47="DONNEES MANQUANTES","Renseigner la DATE et au moins une mesure. ",""))</f>
        <v/>
      </c>
      <c r="S47" s="28" t="n">
        <f aca="false">IF($C47="",0,IF($C47=R_LOT,1,0))</f>
        <v>0</v>
      </c>
      <c r="T47" s="26" t="str">
        <f aca="false">IF($S47=0,"",COUNTIF($S$5:$S47,1))</f>
        <v/>
      </c>
    </row>
    <row r="48" customFormat="false" ht="15" hidden="false" customHeight="false" outlineLevel="0" collapsed="false">
      <c r="A48" s="26" t="str">
        <f aca="false">IF($C48="","","QC-"&amp;TEXT(ROW()-4,"000"))</f>
        <v/>
      </c>
      <c r="B48" s="25"/>
      <c r="C48" s="24"/>
      <c r="D48" s="24"/>
      <c r="E48" s="24"/>
      <c r="F48" s="32"/>
      <c r="G48" s="33"/>
      <c r="H48" s="24"/>
      <c r="I48" s="24"/>
      <c r="J48" s="24"/>
      <c r="K48" s="24"/>
      <c r="L48" s="24"/>
      <c r="M48" s="24"/>
      <c r="N48" s="26" t="str">
        <f aca="false">IF($C48="","",IFERROR(INDEX(LOT_PRODE,MATCH($C48,LOT_KEY,0)),"LOT NON REFERENCE"))</f>
        <v/>
      </c>
      <c r="O48" s="26" t="str">
        <f aca="false">IF($C48="","",IFERROR(INDEX(LOT_CONSERVE,MATCH($C48,LOT_KEY,0)),""))</f>
        <v/>
      </c>
      <c r="P48" s="27" t="str">
        <f aca="false">IF(OR($C48="",$D48=""),"",SUMIFS(MVT_NET,MVT_LOT,$C48,MVT_EMPL,$D48))</f>
        <v/>
      </c>
      <c r="Q48" s="26" t="str">
        <f aca="false">IF($C48="","",IF(OR($B48="",AND($F48="",$G48="",$H48="",$I48="",$J48="",$K48="")),"DONNEES MANQUANTES",IF(AND($D48&lt;&gt;"",$P48&lt;=0),"EMPLACEMENT INCOHERENT","OK")))</f>
        <v/>
      </c>
      <c r="R48" s="26" t="str">
        <f aca="false">IF($C48="","",IF(AND(ISNUMBER($G48),$G48&gt;P_HIST),"HISTAMINE "&amp;TEXT($G48,"#,##0")&amp;" mg/kg &gt; seuil "&amp;TEXT(P_HIST,"#,##0")&amp;". ","")&amp;IF(AND(ISNUMBER($F48),$O48="CONGELE",$F48&gt;P_TCONG),"TEMPERATURE "&amp;TEXT($F48,"0.0")&amp;" C hors seuil congele. ","")&amp;IF(AND(ISNUMBER($F48),$O48="FRAIS",$F48&gt;P_TFRAIS),"TEMPERATURE "&amp;TEXT($F48,"0.0")&amp;" C hors seuil frais. ","")&amp;IF($Q48="EMPLACEMENT INCOHERENT","Lot absent de cet emplacement : controle conserve, stock inchange. ","")&amp;IF($Q48="DONNEES MANQUANTES","Renseigner la DATE et au moins une mesure. ",""))</f>
        <v/>
      </c>
      <c r="S48" s="28" t="n">
        <f aca="false">IF($C48="",0,IF($C48=R_LOT,1,0))</f>
        <v>0</v>
      </c>
      <c r="T48" s="26" t="str">
        <f aca="false">IF($S48=0,"",COUNTIF($S$5:$S48,1))</f>
        <v/>
      </c>
    </row>
    <row r="49" customFormat="false" ht="15" hidden="false" customHeight="false" outlineLevel="0" collapsed="false">
      <c r="A49" s="26" t="str">
        <f aca="false">IF($C49="","","QC-"&amp;TEXT(ROW()-4,"000"))</f>
        <v/>
      </c>
      <c r="B49" s="25"/>
      <c r="C49" s="24"/>
      <c r="D49" s="24"/>
      <c r="E49" s="24"/>
      <c r="F49" s="32"/>
      <c r="G49" s="33"/>
      <c r="H49" s="24"/>
      <c r="I49" s="24"/>
      <c r="J49" s="24"/>
      <c r="K49" s="24"/>
      <c r="L49" s="24"/>
      <c r="M49" s="24"/>
      <c r="N49" s="26" t="str">
        <f aca="false">IF($C49="","",IFERROR(INDEX(LOT_PRODE,MATCH($C49,LOT_KEY,0)),"LOT NON REFERENCE"))</f>
        <v/>
      </c>
      <c r="O49" s="26" t="str">
        <f aca="false">IF($C49="","",IFERROR(INDEX(LOT_CONSERVE,MATCH($C49,LOT_KEY,0)),""))</f>
        <v/>
      </c>
      <c r="P49" s="27" t="str">
        <f aca="false">IF(OR($C49="",$D49=""),"",SUMIFS(MVT_NET,MVT_LOT,$C49,MVT_EMPL,$D49))</f>
        <v/>
      </c>
      <c r="Q49" s="26" t="str">
        <f aca="false">IF($C49="","",IF(OR($B49="",AND($F49="",$G49="",$H49="",$I49="",$J49="",$K49="")),"DONNEES MANQUANTES",IF(AND($D49&lt;&gt;"",$P49&lt;=0),"EMPLACEMENT INCOHERENT","OK")))</f>
        <v/>
      </c>
      <c r="R49" s="26" t="str">
        <f aca="false">IF($C49="","",IF(AND(ISNUMBER($G49),$G49&gt;P_HIST),"HISTAMINE "&amp;TEXT($G49,"#,##0")&amp;" mg/kg &gt; seuil "&amp;TEXT(P_HIST,"#,##0")&amp;". ","")&amp;IF(AND(ISNUMBER($F49),$O49="CONGELE",$F49&gt;P_TCONG),"TEMPERATURE "&amp;TEXT($F49,"0.0")&amp;" C hors seuil congele. ","")&amp;IF(AND(ISNUMBER($F49),$O49="FRAIS",$F49&gt;P_TFRAIS),"TEMPERATURE "&amp;TEXT($F49,"0.0")&amp;" C hors seuil frais. ","")&amp;IF($Q49="EMPLACEMENT INCOHERENT","Lot absent de cet emplacement : controle conserve, stock inchange. ","")&amp;IF($Q49="DONNEES MANQUANTES","Renseigner la DATE et au moins une mesure. ",""))</f>
        <v/>
      </c>
      <c r="S49" s="28" t="n">
        <f aca="false">IF($C49="",0,IF($C49=R_LOT,1,0))</f>
        <v>0</v>
      </c>
      <c r="T49" s="26" t="str">
        <f aca="false">IF($S49=0,"",COUNTIF($S$5:$S49,1))</f>
        <v/>
      </c>
    </row>
    <row r="50" customFormat="false" ht="15" hidden="false" customHeight="false" outlineLevel="0" collapsed="false">
      <c r="A50" s="26" t="str">
        <f aca="false">IF($C50="","","QC-"&amp;TEXT(ROW()-4,"000"))</f>
        <v/>
      </c>
      <c r="B50" s="25"/>
      <c r="C50" s="24"/>
      <c r="D50" s="24"/>
      <c r="E50" s="24"/>
      <c r="F50" s="32"/>
      <c r="G50" s="33"/>
      <c r="H50" s="24"/>
      <c r="I50" s="24"/>
      <c r="J50" s="24"/>
      <c r="K50" s="24"/>
      <c r="L50" s="24"/>
      <c r="M50" s="24"/>
      <c r="N50" s="26" t="str">
        <f aca="false">IF($C50="","",IFERROR(INDEX(LOT_PRODE,MATCH($C50,LOT_KEY,0)),"LOT NON REFERENCE"))</f>
        <v/>
      </c>
      <c r="O50" s="26" t="str">
        <f aca="false">IF($C50="","",IFERROR(INDEX(LOT_CONSERVE,MATCH($C50,LOT_KEY,0)),""))</f>
        <v/>
      </c>
      <c r="P50" s="27" t="str">
        <f aca="false">IF(OR($C50="",$D50=""),"",SUMIFS(MVT_NET,MVT_LOT,$C50,MVT_EMPL,$D50))</f>
        <v/>
      </c>
      <c r="Q50" s="26" t="str">
        <f aca="false">IF($C50="","",IF(OR($B50="",AND($F50="",$G50="",$H50="",$I50="",$J50="",$K50="")),"DONNEES MANQUANTES",IF(AND($D50&lt;&gt;"",$P50&lt;=0),"EMPLACEMENT INCOHERENT","OK")))</f>
        <v/>
      </c>
      <c r="R50" s="26" t="str">
        <f aca="false">IF($C50="","",IF(AND(ISNUMBER($G50),$G50&gt;P_HIST),"HISTAMINE "&amp;TEXT($G50,"#,##0")&amp;" mg/kg &gt; seuil "&amp;TEXT(P_HIST,"#,##0")&amp;". ","")&amp;IF(AND(ISNUMBER($F50),$O50="CONGELE",$F50&gt;P_TCONG),"TEMPERATURE "&amp;TEXT($F50,"0.0")&amp;" C hors seuil congele. ","")&amp;IF(AND(ISNUMBER($F50),$O50="FRAIS",$F50&gt;P_TFRAIS),"TEMPERATURE "&amp;TEXT($F50,"0.0")&amp;" C hors seuil frais. ","")&amp;IF($Q50="EMPLACEMENT INCOHERENT","Lot absent de cet emplacement : controle conserve, stock inchange. ","")&amp;IF($Q50="DONNEES MANQUANTES","Renseigner la DATE et au moins une mesure. ",""))</f>
        <v/>
      </c>
      <c r="S50" s="28" t="n">
        <f aca="false">IF($C50="",0,IF($C50=R_LOT,1,0))</f>
        <v>0</v>
      </c>
      <c r="T50" s="26" t="str">
        <f aca="false">IF($S50=0,"",COUNTIF($S$5:$S50,1))</f>
        <v/>
      </c>
    </row>
    <row r="51" customFormat="false" ht="15" hidden="false" customHeight="false" outlineLevel="0" collapsed="false">
      <c r="A51" s="26" t="str">
        <f aca="false">IF($C51="","","QC-"&amp;TEXT(ROW()-4,"000"))</f>
        <v/>
      </c>
      <c r="B51" s="25"/>
      <c r="C51" s="24"/>
      <c r="D51" s="24"/>
      <c r="E51" s="24"/>
      <c r="F51" s="32"/>
      <c r="G51" s="33"/>
      <c r="H51" s="24"/>
      <c r="I51" s="24"/>
      <c r="J51" s="24"/>
      <c r="K51" s="24"/>
      <c r="L51" s="24"/>
      <c r="M51" s="24"/>
      <c r="N51" s="26" t="str">
        <f aca="false">IF($C51="","",IFERROR(INDEX(LOT_PRODE,MATCH($C51,LOT_KEY,0)),"LOT NON REFERENCE"))</f>
        <v/>
      </c>
      <c r="O51" s="26" t="str">
        <f aca="false">IF($C51="","",IFERROR(INDEX(LOT_CONSERVE,MATCH($C51,LOT_KEY,0)),""))</f>
        <v/>
      </c>
      <c r="P51" s="27" t="str">
        <f aca="false">IF(OR($C51="",$D51=""),"",SUMIFS(MVT_NET,MVT_LOT,$C51,MVT_EMPL,$D51))</f>
        <v/>
      </c>
      <c r="Q51" s="26" t="str">
        <f aca="false">IF($C51="","",IF(OR($B51="",AND($F51="",$G51="",$H51="",$I51="",$J51="",$K51="")),"DONNEES MANQUANTES",IF(AND($D51&lt;&gt;"",$P51&lt;=0),"EMPLACEMENT INCOHERENT","OK")))</f>
        <v/>
      </c>
      <c r="R51" s="26" t="str">
        <f aca="false">IF($C51="","",IF(AND(ISNUMBER($G51),$G51&gt;P_HIST),"HISTAMINE "&amp;TEXT($G51,"#,##0")&amp;" mg/kg &gt; seuil "&amp;TEXT(P_HIST,"#,##0")&amp;". ","")&amp;IF(AND(ISNUMBER($F51),$O51="CONGELE",$F51&gt;P_TCONG),"TEMPERATURE "&amp;TEXT($F51,"0.0")&amp;" C hors seuil congele. ","")&amp;IF(AND(ISNUMBER($F51),$O51="FRAIS",$F51&gt;P_TFRAIS),"TEMPERATURE "&amp;TEXT($F51,"0.0")&amp;" C hors seuil frais. ","")&amp;IF($Q51="EMPLACEMENT INCOHERENT","Lot absent de cet emplacement : controle conserve, stock inchange. ","")&amp;IF($Q51="DONNEES MANQUANTES","Renseigner la DATE et au moins une mesure. ",""))</f>
        <v/>
      </c>
      <c r="S51" s="28" t="n">
        <f aca="false">IF($C51="",0,IF($C51=R_LOT,1,0))</f>
        <v>0</v>
      </c>
      <c r="T51" s="26" t="str">
        <f aca="false">IF($S51=0,"",COUNTIF($S$5:$S51,1))</f>
        <v/>
      </c>
    </row>
    <row r="52" customFormat="false" ht="15" hidden="false" customHeight="false" outlineLevel="0" collapsed="false">
      <c r="A52" s="26" t="str">
        <f aca="false">IF($C52="","","QC-"&amp;TEXT(ROW()-4,"000"))</f>
        <v/>
      </c>
      <c r="B52" s="25"/>
      <c r="C52" s="24"/>
      <c r="D52" s="24"/>
      <c r="E52" s="24"/>
      <c r="F52" s="32"/>
      <c r="G52" s="33"/>
      <c r="H52" s="24"/>
      <c r="I52" s="24"/>
      <c r="J52" s="24"/>
      <c r="K52" s="24"/>
      <c r="L52" s="24"/>
      <c r="M52" s="24"/>
      <c r="N52" s="26" t="str">
        <f aca="false">IF($C52="","",IFERROR(INDEX(LOT_PRODE,MATCH($C52,LOT_KEY,0)),"LOT NON REFERENCE"))</f>
        <v/>
      </c>
      <c r="O52" s="26" t="str">
        <f aca="false">IF($C52="","",IFERROR(INDEX(LOT_CONSERVE,MATCH($C52,LOT_KEY,0)),""))</f>
        <v/>
      </c>
      <c r="P52" s="27" t="str">
        <f aca="false">IF(OR($C52="",$D52=""),"",SUMIFS(MVT_NET,MVT_LOT,$C52,MVT_EMPL,$D52))</f>
        <v/>
      </c>
      <c r="Q52" s="26" t="str">
        <f aca="false">IF($C52="","",IF(OR($B52="",AND($F52="",$G52="",$H52="",$I52="",$J52="",$K52="")),"DONNEES MANQUANTES",IF(AND($D52&lt;&gt;"",$P52&lt;=0),"EMPLACEMENT INCOHERENT","OK")))</f>
        <v/>
      </c>
      <c r="R52" s="26" t="str">
        <f aca="false">IF($C52="","",IF(AND(ISNUMBER($G52),$G52&gt;P_HIST),"HISTAMINE "&amp;TEXT($G52,"#,##0")&amp;" mg/kg &gt; seuil "&amp;TEXT(P_HIST,"#,##0")&amp;". ","")&amp;IF(AND(ISNUMBER($F52),$O52="CONGELE",$F52&gt;P_TCONG),"TEMPERATURE "&amp;TEXT($F52,"0.0")&amp;" C hors seuil congele. ","")&amp;IF(AND(ISNUMBER($F52),$O52="FRAIS",$F52&gt;P_TFRAIS),"TEMPERATURE "&amp;TEXT($F52,"0.0")&amp;" C hors seuil frais. ","")&amp;IF($Q52="EMPLACEMENT INCOHERENT","Lot absent de cet emplacement : controle conserve, stock inchange. ","")&amp;IF($Q52="DONNEES MANQUANTES","Renseigner la DATE et au moins une mesure. ",""))</f>
        <v/>
      </c>
      <c r="S52" s="28" t="n">
        <f aca="false">IF($C52="",0,IF($C52=R_LOT,1,0))</f>
        <v>0</v>
      </c>
      <c r="T52" s="26" t="str">
        <f aca="false">IF($S52=0,"",COUNTIF($S$5:$S52,1))</f>
        <v/>
      </c>
    </row>
    <row r="53" customFormat="false" ht="15" hidden="false" customHeight="false" outlineLevel="0" collapsed="false">
      <c r="A53" s="26" t="str">
        <f aca="false">IF($C53="","","QC-"&amp;TEXT(ROW()-4,"000"))</f>
        <v/>
      </c>
      <c r="B53" s="25"/>
      <c r="C53" s="24"/>
      <c r="D53" s="24"/>
      <c r="E53" s="24"/>
      <c r="F53" s="32"/>
      <c r="G53" s="33"/>
      <c r="H53" s="24"/>
      <c r="I53" s="24"/>
      <c r="J53" s="24"/>
      <c r="K53" s="24"/>
      <c r="L53" s="24"/>
      <c r="M53" s="24"/>
      <c r="N53" s="26" t="str">
        <f aca="false">IF($C53="","",IFERROR(INDEX(LOT_PRODE,MATCH($C53,LOT_KEY,0)),"LOT NON REFERENCE"))</f>
        <v/>
      </c>
      <c r="O53" s="26" t="str">
        <f aca="false">IF($C53="","",IFERROR(INDEX(LOT_CONSERVE,MATCH($C53,LOT_KEY,0)),""))</f>
        <v/>
      </c>
      <c r="P53" s="27" t="str">
        <f aca="false">IF(OR($C53="",$D53=""),"",SUMIFS(MVT_NET,MVT_LOT,$C53,MVT_EMPL,$D53))</f>
        <v/>
      </c>
      <c r="Q53" s="26" t="str">
        <f aca="false">IF($C53="","",IF(OR($B53="",AND($F53="",$G53="",$H53="",$I53="",$J53="",$K53="")),"DONNEES MANQUANTES",IF(AND($D53&lt;&gt;"",$P53&lt;=0),"EMPLACEMENT INCOHERENT","OK")))</f>
        <v/>
      </c>
      <c r="R53" s="26" t="str">
        <f aca="false">IF($C53="","",IF(AND(ISNUMBER($G53),$G53&gt;P_HIST),"HISTAMINE "&amp;TEXT($G53,"#,##0")&amp;" mg/kg &gt; seuil "&amp;TEXT(P_HIST,"#,##0")&amp;". ","")&amp;IF(AND(ISNUMBER($F53),$O53="CONGELE",$F53&gt;P_TCONG),"TEMPERATURE "&amp;TEXT($F53,"0.0")&amp;" C hors seuil congele. ","")&amp;IF(AND(ISNUMBER($F53),$O53="FRAIS",$F53&gt;P_TFRAIS),"TEMPERATURE "&amp;TEXT($F53,"0.0")&amp;" C hors seuil frais. ","")&amp;IF($Q53="EMPLACEMENT INCOHERENT","Lot absent de cet emplacement : controle conserve, stock inchange. ","")&amp;IF($Q53="DONNEES MANQUANTES","Renseigner la DATE et au moins une mesure. ",""))</f>
        <v/>
      </c>
      <c r="S53" s="28" t="n">
        <f aca="false">IF($C53="",0,IF($C53=R_LOT,1,0))</f>
        <v>0</v>
      </c>
      <c r="T53" s="26" t="str">
        <f aca="false">IF($S53=0,"",COUNTIF($S$5:$S53,1))</f>
        <v/>
      </c>
    </row>
    <row r="54" customFormat="false" ht="15" hidden="false" customHeight="false" outlineLevel="0" collapsed="false">
      <c r="A54" s="26" t="str">
        <f aca="false">IF($C54="","","QC-"&amp;TEXT(ROW()-4,"000"))</f>
        <v/>
      </c>
      <c r="B54" s="25"/>
      <c r="C54" s="24"/>
      <c r="D54" s="24"/>
      <c r="E54" s="24"/>
      <c r="F54" s="32"/>
      <c r="G54" s="33"/>
      <c r="H54" s="24"/>
      <c r="I54" s="24"/>
      <c r="J54" s="24"/>
      <c r="K54" s="24"/>
      <c r="L54" s="24"/>
      <c r="M54" s="24"/>
      <c r="N54" s="26" t="str">
        <f aca="false">IF($C54="","",IFERROR(INDEX(LOT_PRODE,MATCH($C54,LOT_KEY,0)),"LOT NON REFERENCE"))</f>
        <v/>
      </c>
      <c r="O54" s="26" t="str">
        <f aca="false">IF($C54="","",IFERROR(INDEX(LOT_CONSERVE,MATCH($C54,LOT_KEY,0)),""))</f>
        <v/>
      </c>
      <c r="P54" s="27" t="str">
        <f aca="false">IF(OR($C54="",$D54=""),"",SUMIFS(MVT_NET,MVT_LOT,$C54,MVT_EMPL,$D54))</f>
        <v/>
      </c>
      <c r="Q54" s="26" t="str">
        <f aca="false">IF($C54="","",IF(OR($B54="",AND($F54="",$G54="",$H54="",$I54="",$J54="",$K54="")),"DONNEES MANQUANTES",IF(AND($D54&lt;&gt;"",$P54&lt;=0),"EMPLACEMENT INCOHERENT","OK")))</f>
        <v/>
      </c>
      <c r="R54" s="26" t="str">
        <f aca="false">IF($C54="","",IF(AND(ISNUMBER($G54),$G54&gt;P_HIST),"HISTAMINE "&amp;TEXT($G54,"#,##0")&amp;" mg/kg &gt; seuil "&amp;TEXT(P_HIST,"#,##0")&amp;". ","")&amp;IF(AND(ISNUMBER($F54),$O54="CONGELE",$F54&gt;P_TCONG),"TEMPERATURE "&amp;TEXT($F54,"0.0")&amp;" C hors seuil congele. ","")&amp;IF(AND(ISNUMBER($F54),$O54="FRAIS",$F54&gt;P_TFRAIS),"TEMPERATURE "&amp;TEXT($F54,"0.0")&amp;" C hors seuil frais. ","")&amp;IF($Q54="EMPLACEMENT INCOHERENT","Lot absent de cet emplacement : controle conserve, stock inchange. ","")&amp;IF($Q54="DONNEES MANQUANTES","Renseigner la DATE et au moins une mesure. ",""))</f>
        <v/>
      </c>
      <c r="S54" s="28" t="n">
        <f aca="false">IF($C54="",0,IF($C54=R_LOT,1,0))</f>
        <v>0</v>
      </c>
      <c r="T54" s="26" t="str">
        <f aca="false">IF($S54=0,"",COUNTIF($S$5:$S54,1))</f>
        <v/>
      </c>
    </row>
    <row r="55" customFormat="false" ht="15" hidden="false" customHeight="false" outlineLevel="0" collapsed="false">
      <c r="A55" s="26" t="str">
        <f aca="false">IF($C55="","","QC-"&amp;TEXT(ROW()-4,"000"))</f>
        <v/>
      </c>
      <c r="B55" s="25"/>
      <c r="C55" s="24"/>
      <c r="D55" s="24"/>
      <c r="E55" s="24"/>
      <c r="F55" s="32"/>
      <c r="G55" s="33"/>
      <c r="H55" s="24"/>
      <c r="I55" s="24"/>
      <c r="J55" s="24"/>
      <c r="K55" s="24"/>
      <c r="L55" s="24"/>
      <c r="M55" s="24"/>
      <c r="N55" s="26" t="str">
        <f aca="false">IF($C55="","",IFERROR(INDEX(LOT_PRODE,MATCH($C55,LOT_KEY,0)),"LOT NON REFERENCE"))</f>
        <v/>
      </c>
      <c r="O55" s="26" t="str">
        <f aca="false">IF($C55="","",IFERROR(INDEX(LOT_CONSERVE,MATCH($C55,LOT_KEY,0)),""))</f>
        <v/>
      </c>
      <c r="P55" s="27" t="str">
        <f aca="false">IF(OR($C55="",$D55=""),"",SUMIFS(MVT_NET,MVT_LOT,$C55,MVT_EMPL,$D55))</f>
        <v/>
      </c>
      <c r="Q55" s="26" t="str">
        <f aca="false">IF($C55="","",IF(OR($B55="",AND($F55="",$G55="",$H55="",$I55="",$J55="",$K55="")),"DONNEES MANQUANTES",IF(AND($D55&lt;&gt;"",$P55&lt;=0),"EMPLACEMENT INCOHERENT","OK")))</f>
        <v/>
      </c>
      <c r="R55" s="26" t="str">
        <f aca="false">IF($C55="","",IF(AND(ISNUMBER($G55),$G55&gt;P_HIST),"HISTAMINE "&amp;TEXT($G55,"#,##0")&amp;" mg/kg &gt; seuil "&amp;TEXT(P_HIST,"#,##0")&amp;". ","")&amp;IF(AND(ISNUMBER($F55),$O55="CONGELE",$F55&gt;P_TCONG),"TEMPERATURE "&amp;TEXT($F55,"0.0")&amp;" C hors seuil congele. ","")&amp;IF(AND(ISNUMBER($F55),$O55="FRAIS",$F55&gt;P_TFRAIS),"TEMPERATURE "&amp;TEXT($F55,"0.0")&amp;" C hors seuil frais. ","")&amp;IF($Q55="EMPLACEMENT INCOHERENT","Lot absent de cet emplacement : controle conserve, stock inchange. ","")&amp;IF($Q55="DONNEES MANQUANTES","Renseigner la DATE et au moins une mesure. ",""))</f>
        <v/>
      </c>
      <c r="S55" s="28" t="n">
        <f aca="false">IF($C55="",0,IF($C55=R_LOT,1,0))</f>
        <v>0</v>
      </c>
      <c r="T55" s="26" t="str">
        <f aca="false">IF($S55=0,"",COUNTIF($S$5:$S55,1))</f>
        <v/>
      </c>
    </row>
    <row r="56" customFormat="false" ht="15" hidden="false" customHeight="false" outlineLevel="0" collapsed="false">
      <c r="A56" s="26" t="str">
        <f aca="false">IF($C56="","","QC-"&amp;TEXT(ROW()-4,"000"))</f>
        <v/>
      </c>
      <c r="B56" s="25"/>
      <c r="C56" s="24"/>
      <c r="D56" s="24"/>
      <c r="E56" s="24"/>
      <c r="F56" s="32"/>
      <c r="G56" s="33"/>
      <c r="H56" s="24"/>
      <c r="I56" s="24"/>
      <c r="J56" s="24"/>
      <c r="K56" s="24"/>
      <c r="L56" s="24"/>
      <c r="M56" s="24"/>
      <c r="N56" s="26" t="str">
        <f aca="false">IF($C56="","",IFERROR(INDEX(LOT_PRODE,MATCH($C56,LOT_KEY,0)),"LOT NON REFERENCE"))</f>
        <v/>
      </c>
      <c r="O56" s="26" t="str">
        <f aca="false">IF($C56="","",IFERROR(INDEX(LOT_CONSERVE,MATCH($C56,LOT_KEY,0)),""))</f>
        <v/>
      </c>
      <c r="P56" s="27" t="str">
        <f aca="false">IF(OR($C56="",$D56=""),"",SUMIFS(MVT_NET,MVT_LOT,$C56,MVT_EMPL,$D56))</f>
        <v/>
      </c>
      <c r="Q56" s="26" t="str">
        <f aca="false">IF($C56="","",IF(OR($B56="",AND($F56="",$G56="",$H56="",$I56="",$J56="",$K56="")),"DONNEES MANQUANTES",IF(AND($D56&lt;&gt;"",$P56&lt;=0),"EMPLACEMENT INCOHERENT","OK")))</f>
        <v/>
      </c>
      <c r="R56" s="26" t="str">
        <f aca="false">IF($C56="","",IF(AND(ISNUMBER($G56),$G56&gt;P_HIST),"HISTAMINE "&amp;TEXT($G56,"#,##0")&amp;" mg/kg &gt; seuil "&amp;TEXT(P_HIST,"#,##0")&amp;". ","")&amp;IF(AND(ISNUMBER($F56),$O56="CONGELE",$F56&gt;P_TCONG),"TEMPERATURE "&amp;TEXT($F56,"0.0")&amp;" C hors seuil congele. ","")&amp;IF(AND(ISNUMBER($F56),$O56="FRAIS",$F56&gt;P_TFRAIS),"TEMPERATURE "&amp;TEXT($F56,"0.0")&amp;" C hors seuil frais. ","")&amp;IF($Q56="EMPLACEMENT INCOHERENT","Lot absent de cet emplacement : controle conserve, stock inchange. ","")&amp;IF($Q56="DONNEES MANQUANTES","Renseigner la DATE et au moins une mesure. ",""))</f>
        <v/>
      </c>
      <c r="S56" s="28" t="n">
        <f aca="false">IF($C56="",0,IF($C56=R_LOT,1,0))</f>
        <v>0</v>
      </c>
      <c r="T56" s="26" t="str">
        <f aca="false">IF($S56=0,"",COUNTIF($S$5:$S56,1))</f>
        <v/>
      </c>
    </row>
    <row r="57" customFormat="false" ht="15" hidden="false" customHeight="false" outlineLevel="0" collapsed="false">
      <c r="A57" s="26" t="str">
        <f aca="false">IF($C57="","","QC-"&amp;TEXT(ROW()-4,"000"))</f>
        <v/>
      </c>
      <c r="B57" s="25"/>
      <c r="C57" s="24"/>
      <c r="D57" s="24"/>
      <c r="E57" s="24"/>
      <c r="F57" s="32"/>
      <c r="G57" s="33"/>
      <c r="H57" s="24"/>
      <c r="I57" s="24"/>
      <c r="J57" s="24"/>
      <c r="K57" s="24"/>
      <c r="L57" s="24"/>
      <c r="M57" s="24"/>
      <c r="N57" s="26" t="str">
        <f aca="false">IF($C57="","",IFERROR(INDEX(LOT_PRODE,MATCH($C57,LOT_KEY,0)),"LOT NON REFERENCE"))</f>
        <v/>
      </c>
      <c r="O57" s="26" t="str">
        <f aca="false">IF($C57="","",IFERROR(INDEX(LOT_CONSERVE,MATCH($C57,LOT_KEY,0)),""))</f>
        <v/>
      </c>
      <c r="P57" s="27" t="str">
        <f aca="false">IF(OR($C57="",$D57=""),"",SUMIFS(MVT_NET,MVT_LOT,$C57,MVT_EMPL,$D57))</f>
        <v/>
      </c>
      <c r="Q57" s="26" t="str">
        <f aca="false">IF($C57="","",IF(OR($B57="",AND($F57="",$G57="",$H57="",$I57="",$J57="",$K57="")),"DONNEES MANQUANTES",IF(AND($D57&lt;&gt;"",$P57&lt;=0),"EMPLACEMENT INCOHERENT","OK")))</f>
        <v/>
      </c>
      <c r="R57" s="26" t="str">
        <f aca="false">IF($C57="","",IF(AND(ISNUMBER($G57),$G57&gt;P_HIST),"HISTAMINE "&amp;TEXT($G57,"#,##0")&amp;" mg/kg &gt; seuil "&amp;TEXT(P_HIST,"#,##0")&amp;". ","")&amp;IF(AND(ISNUMBER($F57),$O57="CONGELE",$F57&gt;P_TCONG),"TEMPERATURE "&amp;TEXT($F57,"0.0")&amp;" C hors seuil congele. ","")&amp;IF(AND(ISNUMBER($F57),$O57="FRAIS",$F57&gt;P_TFRAIS),"TEMPERATURE "&amp;TEXT($F57,"0.0")&amp;" C hors seuil frais. ","")&amp;IF($Q57="EMPLACEMENT INCOHERENT","Lot absent de cet emplacement : controle conserve, stock inchange. ","")&amp;IF($Q57="DONNEES MANQUANTES","Renseigner la DATE et au moins une mesure. ",""))</f>
        <v/>
      </c>
      <c r="S57" s="28" t="n">
        <f aca="false">IF($C57="",0,IF($C57=R_LOT,1,0))</f>
        <v>0</v>
      </c>
      <c r="T57" s="26" t="str">
        <f aca="false">IF($S57=0,"",COUNTIF($S$5:$S57,1))</f>
        <v/>
      </c>
    </row>
    <row r="58" customFormat="false" ht="15" hidden="false" customHeight="false" outlineLevel="0" collapsed="false">
      <c r="A58" s="26" t="str">
        <f aca="false">IF($C58="","","QC-"&amp;TEXT(ROW()-4,"000"))</f>
        <v/>
      </c>
      <c r="B58" s="25"/>
      <c r="C58" s="24"/>
      <c r="D58" s="24"/>
      <c r="E58" s="24"/>
      <c r="F58" s="32"/>
      <c r="G58" s="33"/>
      <c r="H58" s="24"/>
      <c r="I58" s="24"/>
      <c r="J58" s="24"/>
      <c r="K58" s="24"/>
      <c r="L58" s="24"/>
      <c r="M58" s="24"/>
      <c r="N58" s="26" t="str">
        <f aca="false">IF($C58="","",IFERROR(INDEX(LOT_PRODE,MATCH($C58,LOT_KEY,0)),"LOT NON REFERENCE"))</f>
        <v/>
      </c>
      <c r="O58" s="26" t="str">
        <f aca="false">IF($C58="","",IFERROR(INDEX(LOT_CONSERVE,MATCH($C58,LOT_KEY,0)),""))</f>
        <v/>
      </c>
      <c r="P58" s="27" t="str">
        <f aca="false">IF(OR($C58="",$D58=""),"",SUMIFS(MVT_NET,MVT_LOT,$C58,MVT_EMPL,$D58))</f>
        <v/>
      </c>
      <c r="Q58" s="26" t="str">
        <f aca="false">IF($C58="","",IF(OR($B58="",AND($F58="",$G58="",$H58="",$I58="",$J58="",$K58="")),"DONNEES MANQUANTES",IF(AND($D58&lt;&gt;"",$P58&lt;=0),"EMPLACEMENT INCOHERENT","OK")))</f>
        <v/>
      </c>
      <c r="R58" s="26" t="str">
        <f aca="false">IF($C58="","",IF(AND(ISNUMBER($G58),$G58&gt;P_HIST),"HISTAMINE "&amp;TEXT($G58,"#,##0")&amp;" mg/kg &gt; seuil "&amp;TEXT(P_HIST,"#,##0")&amp;". ","")&amp;IF(AND(ISNUMBER($F58),$O58="CONGELE",$F58&gt;P_TCONG),"TEMPERATURE "&amp;TEXT($F58,"0.0")&amp;" C hors seuil congele. ","")&amp;IF(AND(ISNUMBER($F58),$O58="FRAIS",$F58&gt;P_TFRAIS),"TEMPERATURE "&amp;TEXT($F58,"0.0")&amp;" C hors seuil frais. ","")&amp;IF($Q58="EMPLACEMENT INCOHERENT","Lot absent de cet emplacement : controle conserve, stock inchange. ","")&amp;IF($Q58="DONNEES MANQUANTES","Renseigner la DATE et au moins une mesure. ",""))</f>
        <v/>
      </c>
      <c r="S58" s="28" t="n">
        <f aca="false">IF($C58="",0,IF($C58=R_LOT,1,0))</f>
        <v>0</v>
      </c>
      <c r="T58" s="26" t="str">
        <f aca="false">IF($S58=0,"",COUNTIF($S$5:$S58,1))</f>
        <v/>
      </c>
    </row>
    <row r="59" customFormat="false" ht="15" hidden="false" customHeight="false" outlineLevel="0" collapsed="false">
      <c r="A59" s="26" t="str">
        <f aca="false">IF($C59="","","QC-"&amp;TEXT(ROW()-4,"000"))</f>
        <v/>
      </c>
      <c r="B59" s="25"/>
      <c r="C59" s="24"/>
      <c r="D59" s="24"/>
      <c r="E59" s="24"/>
      <c r="F59" s="32"/>
      <c r="G59" s="33"/>
      <c r="H59" s="24"/>
      <c r="I59" s="24"/>
      <c r="J59" s="24"/>
      <c r="K59" s="24"/>
      <c r="L59" s="24"/>
      <c r="M59" s="24"/>
      <c r="N59" s="26" t="str">
        <f aca="false">IF($C59="","",IFERROR(INDEX(LOT_PRODE,MATCH($C59,LOT_KEY,0)),"LOT NON REFERENCE"))</f>
        <v/>
      </c>
      <c r="O59" s="26" t="str">
        <f aca="false">IF($C59="","",IFERROR(INDEX(LOT_CONSERVE,MATCH($C59,LOT_KEY,0)),""))</f>
        <v/>
      </c>
      <c r="P59" s="27" t="str">
        <f aca="false">IF(OR($C59="",$D59=""),"",SUMIFS(MVT_NET,MVT_LOT,$C59,MVT_EMPL,$D59))</f>
        <v/>
      </c>
      <c r="Q59" s="26" t="str">
        <f aca="false">IF($C59="","",IF(OR($B59="",AND($F59="",$G59="",$H59="",$I59="",$J59="",$K59="")),"DONNEES MANQUANTES",IF(AND($D59&lt;&gt;"",$P59&lt;=0),"EMPLACEMENT INCOHERENT","OK")))</f>
        <v/>
      </c>
      <c r="R59" s="26" t="str">
        <f aca="false">IF($C59="","",IF(AND(ISNUMBER($G59),$G59&gt;P_HIST),"HISTAMINE "&amp;TEXT($G59,"#,##0")&amp;" mg/kg &gt; seuil "&amp;TEXT(P_HIST,"#,##0")&amp;". ","")&amp;IF(AND(ISNUMBER($F59),$O59="CONGELE",$F59&gt;P_TCONG),"TEMPERATURE "&amp;TEXT($F59,"0.0")&amp;" C hors seuil congele. ","")&amp;IF(AND(ISNUMBER($F59),$O59="FRAIS",$F59&gt;P_TFRAIS),"TEMPERATURE "&amp;TEXT($F59,"0.0")&amp;" C hors seuil frais. ","")&amp;IF($Q59="EMPLACEMENT INCOHERENT","Lot absent de cet emplacement : controle conserve, stock inchange. ","")&amp;IF($Q59="DONNEES MANQUANTES","Renseigner la DATE et au moins une mesure. ",""))</f>
        <v/>
      </c>
      <c r="S59" s="28" t="n">
        <f aca="false">IF($C59="",0,IF($C59=R_LOT,1,0))</f>
        <v>0</v>
      </c>
      <c r="T59" s="26" t="str">
        <f aca="false">IF($S59=0,"",COUNTIF($S$5:$S59,1))</f>
        <v/>
      </c>
    </row>
    <row r="60" customFormat="false" ht="15" hidden="false" customHeight="false" outlineLevel="0" collapsed="false">
      <c r="A60" s="26" t="str">
        <f aca="false">IF($C60="","","QC-"&amp;TEXT(ROW()-4,"000"))</f>
        <v/>
      </c>
      <c r="B60" s="25"/>
      <c r="C60" s="24"/>
      <c r="D60" s="24"/>
      <c r="E60" s="24"/>
      <c r="F60" s="32"/>
      <c r="G60" s="33"/>
      <c r="H60" s="24"/>
      <c r="I60" s="24"/>
      <c r="J60" s="24"/>
      <c r="K60" s="24"/>
      <c r="L60" s="24"/>
      <c r="M60" s="24"/>
      <c r="N60" s="26" t="str">
        <f aca="false">IF($C60="","",IFERROR(INDEX(LOT_PRODE,MATCH($C60,LOT_KEY,0)),"LOT NON REFERENCE"))</f>
        <v/>
      </c>
      <c r="O60" s="26" t="str">
        <f aca="false">IF($C60="","",IFERROR(INDEX(LOT_CONSERVE,MATCH($C60,LOT_KEY,0)),""))</f>
        <v/>
      </c>
      <c r="P60" s="27" t="str">
        <f aca="false">IF(OR($C60="",$D60=""),"",SUMIFS(MVT_NET,MVT_LOT,$C60,MVT_EMPL,$D60))</f>
        <v/>
      </c>
      <c r="Q60" s="26" t="str">
        <f aca="false">IF($C60="","",IF(OR($B60="",AND($F60="",$G60="",$H60="",$I60="",$J60="",$K60="")),"DONNEES MANQUANTES",IF(AND($D60&lt;&gt;"",$P60&lt;=0),"EMPLACEMENT INCOHERENT","OK")))</f>
        <v/>
      </c>
      <c r="R60" s="26" t="str">
        <f aca="false">IF($C60="","",IF(AND(ISNUMBER($G60),$G60&gt;P_HIST),"HISTAMINE "&amp;TEXT($G60,"#,##0")&amp;" mg/kg &gt; seuil "&amp;TEXT(P_HIST,"#,##0")&amp;". ","")&amp;IF(AND(ISNUMBER($F60),$O60="CONGELE",$F60&gt;P_TCONG),"TEMPERATURE "&amp;TEXT($F60,"0.0")&amp;" C hors seuil congele. ","")&amp;IF(AND(ISNUMBER($F60),$O60="FRAIS",$F60&gt;P_TFRAIS),"TEMPERATURE "&amp;TEXT($F60,"0.0")&amp;" C hors seuil frais. ","")&amp;IF($Q60="EMPLACEMENT INCOHERENT","Lot absent de cet emplacement : controle conserve, stock inchange. ","")&amp;IF($Q60="DONNEES MANQUANTES","Renseigner la DATE et au moins une mesure. ",""))</f>
        <v/>
      </c>
      <c r="S60" s="28" t="n">
        <f aca="false">IF($C60="",0,IF($C60=R_LOT,1,0))</f>
        <v>0</v>
      </c>
      <c r="T60" s="26" t="str">
        <f aca="false">IF($S60=0,"",COUNTIF($S$5:$S60,1))</f>
        <v/>
      </c>
    </row>
    <row r="61" customFormat="false" ht="15" hidden="false" customHeight="false" outlineLevel="0" collapsed="false">
      <c r="A61" s="26" t="str">
        <f aca="false">IF($C61="","","QC-"&amp;TEXT(ROW()-4,"000"))</f>
        <v/>
      </c>
      <c r="B61" s="25"/>
      <c r="C61" s="24"/>
      <c r="D61" s="24"/>
      <c r="E61" s="24"/>
      <c r="F61" s="32"/>
      <c r="G61" s="33"/>
      <c r="H61" s="24"/>
      <c r="I61" s="24"/>
      <c r="J61" s="24"/>
      <c r="K61" s="24"/>
      <c r="L61" s="24"/>
      <c r="M61" s="24"/>
      <c r="N61" s="26" t="str">
        <f aca="false">IF($C61="","",IFERROR(INDEX(LOT_PRODE,MATCH($C61,LOT_KEY,0)),"LOT NON REFERENCE"))</f>
        <v/>
      </c>
      <c r="O61" s="26" t="str">
        <f aca="false">IF($C61="","",IFERROR(INDEX(LOT_CONSERVE,MATCH($C61,LOT_KEY,0)),""))</f>
        <v/>
      </c>
      <c r="P61" s="27" t="str">
        <f aca="false">IF(OR($C61="",$D61=""),"",SUMIFS(MVT_NET,MVT_LOT,$C61,MVT_EMPL,$D61))</f>
        <v/>
      </c>
      <c r="Q61" s="26" t="str">
        <f aca="false">IF($C61="","",IF(OR($B61="",AND($F61="",$G61="",$H61="",$I61="",$J61="",$K61="")),"DONNEES MANQUANTES",IF(AND($D61&lt;&gt;"",$P61&lt;=0),"EMPLACEMENT INCOHERENT","OK")))</f>
        <v/>
      </c>
      <c r="R61" s="26" t="str">
        <f aca="false">IF($C61="","",IF(AND(ISNUMBER($G61),$G61&gt;P_HIST),"HISTAMINE "&amp;TEXT($G61,"#,##0")&amp;" mg/kg &gt; seuil "&amp;TEXT(P_HIST,"#,##0")&amp;". ","")&amp;IF(AND(ISNUMBER($F61),$O61="CONGELE",$F61&gt;P_TCONG),"TEMPERATURE "&amp;TEXT($F61,"0.0")&amp;" C hors seuil congele. ","")&amp;IF(AND(ISNUMBER($F61),$O61="FRAIS",$F61&gt;P_TFRAIS),"TEMPERATURE "&amp;TEXT($F61,"0.0")&amp;" C hors seuil frais. ","")&amp;IF($Q61="EMPLACEMENT INCOHERENT","Lot absent de cet emplacement : controle conserve, stock inchange. ","")&amp;IF($Q61="DONNEES MANQUANTES","Renseigner la DATE et au moins une mesure. ",""))</f>
        <v/>
      </c>
      <c r="S61" s="28" t="n">
        <f aca="false">IF($C61="",0,IF($C61=R_LOT,1,0))</f>
        <v>0</v>
      </c>
      <c r="T61" s="26" t="str">
        <f aca="false">IF($S61=0,"",COUNTIF($S$5:$S61,1))</f>
        <v/>
      </c>
    </row>
    <row r="62" customFormat="false" ht="15" hidden="false" customHeight="false" outlineLevel="0" collapsed="false">
      <c r="A62" s="26" t="str">
        <f aca="false">IF($C62="","","QC-"&amp;TEXT(ROW()-4,"000"))</f>
        <v/>
      </c>
      <c r="B62" s="25"/>
      <c r="C62" s="24"/>
      <c r="D62" s="24"/>
      <c r="E62" s="24"/>
      <c r="F62" s="32"/>
      <c r="G62" s="33"/>
      <c r="H62" s="24"/>
      <c r="I62" s="24"/>
      <c r="J62" s="24"/>
      <c r="K62" s="24"/>
      <c r="L62" s="24"/>
      <c r="M62" s="24"/>
      <c r="N62" s="26" t="str">
        <f aca="false">IF($C62="","",IFERROR(INDEX(LOT_PRODE,MATCH($C62,LOT_KEY,0)),"LOT NON REFERENCE"))</f>
        <v/>
      </c>
      <c r="O62" s="26" t="str">
        <f aca="false">IF($C62="","",IFERROR(INDEX(LOT_CONSERVE,MATCH($C62,LOT_KEY,0)),""))</f>
        <v/>
      </c>
      <c r="P62" s="27" t="str">
        <f aca="false">IF(OR($C62="",$D62=""),"",SUMIFS(MVT_NET,MVT_LOT,$C62,MVT_EMPL,$D62))</f>
        <v/>
      </c>
      <c r="Q62" s="26" t="str">
        <f aca="false">IF($C62="","",IF(OR($B62="",AND($F62="",$G62="",$H62="",$I62="",$J62="",$K62="")),"DONNEES MANQUANTES",IF(AND($D62&lt;&gt;"",$P62&lt;=0),"EMPLACEMENT INCOHERENT","OK")))</f>
        <v/>
      </c>
      <c r="R62" s="26" t="str">
        <f aca="false">IF($C62="","",IF(AND(ISNUMBER($G62),$G62&gt;P_HIST),"HISTAMINE "&amp;TEXT($G62,"#,##0")&amp;" mg/kg &gt; seuil "&amp;TEXT(P_HIST,"#,##0")&amp;". ","")&amp;IF(AND(ISNUMBER($F62),$O62="CONGELE",$F62&gt;P_TCONG),"TEMPERATURE "&amp;TEXT($F62,"0.0")&amp;" C hors seuil congele. ","")&amp;IF(AND(ISNUMBER($F62),$O62="FRAIS",$F62&gt;P_TFRAIS),"TEMPERATURE "&amp;TEXT($F62,"0.0")&amp;" C hors seuil frais. ","")&amp;IF($Q62="EMPLACEMENT INCOHERENT","Lot absent de cet emplacement : controle conserve, stock inchange. ","")&amp;IF($Q62="DONNEES MANQUANTES","Renseigner la DATE et au moins une mesure. ",""))</f>
        <v/>
      </c>
      <c r="S62" s="28" t="n">
        <f aca="false">IF($C62="",0,IF($C62=R_LOT,1,0))</f>
        <v>0</v>
      </c>
      <c r="T62" s="26" t="str">
        <f aca="false">IF($S62=0,"",COUNTIF($S$5:$S62,1))</f>
        <v/>
      </c>
    </row>
    <row r="63" customFormat="false" ht="15" hidden="false" customHeight="false" outlineLevel="0" collapsed="false">
      <c r="A63" s="26" t="str">
        <f aca="false">IF($C63="","","QC-"&amp;TEXT(ROW()-4,"000"))</f>
        <v/>
      </c>
      <c r="B63" s="25"/>
      <c r="C63" s="24"/>
      <c r="D63" s="24"/>
      <c r="E63" s="24"/>
      <c r="F63" s="32"/>
      <c r="G63" s="33"/>
      <c r="H63" s="24"/>
      <c r="I63" s="24"/>
      <c r="J63" s="24"/>
      <c r="K63" s="24"/>
      <c r="L63" s="24"/>
      <c r="M63" s="24"/>
      <c r="N63" s="26" t="str">
        <f aca="false">IF($C63="","",IFERROR(INDEX(LOT_PRODE,MATCH($C63,LOT_KEY,0)),"LOT NON REFERENCE"))</f>
        <v/>
      </c>
      <c r="O63" s="26" t="str">
        <f aca="false">IF($C63="","",IFERROR(INDEX(LOT_CONSERVE,MATCH($C63,LOT_KEY,0)),""))</f>
        <v/>
      </c>
      <c r="P63" s="27" t="str">
        <f aca="false">IF(OR($C63="",$D63=""),"",SUMIFS(MVT_NET,MVT_LOT,$C63,MVT_EMPL,$D63))</f>
        <v/>
      </c>
      <c r="Q63" s="26" t="str">
        <f aca="false">IF($C63="","",IF(OR($B63="",AND($F63="",$G63="",$H63="",$I63="",$J63="",$K63="")),"DONNEES MANQUANTES",IF(AND($D63&lt;&gt;"",$P63&lt;=0),"EMPLACEMENT INCOHERENT","OK")))</f>
        <v/>
      </c>
      <c r="R63" s="26" t="str">
        <f aca="false">IF($C63="","",IF(AND(ISNUMBER($G63),$G63&gt;P_HIST),"HISTAMINE "&amp;TEXT($G63,"#,##0")&amp;" mg/kg &gt; seuil "&amp;TEXT(P_HIST,"#,##0")&amp;". ","")&amp;IF(AND(ISNUMBER($F63),$O63="CONGELE",$F63&gt;P_TCONG),"TEMPERATURE "&amp;TEXT($F63,"0.0")&amp;" C hors seuil congele. ","")&amp;IF(AND(ISNUMBER($F63),$O63="FRAIS",$F63&gt;P_TFRAIS),"TEMPERATURE "&amp;TEXT($F63,"0.0")&amp;" C hors seuil frais. ","")&amp;IF($Q63="EMPLACEMENT INCOHERENT","Lot absent de cet emplacement : controle conserve, stock inchange. ","")&amp;IF($Q63="DONNEES MANQUANTES","Renseigner la DATE et au moins une mesure. ",""))</f>
        <v/>
      </c>
      <c r="S63" s="28" t="n">
        <f aca="false">IF($C63="",0,IF($C63=R_LOT,1,0))</f>
        <v>0</v>
      </c>
      <c r="T63" s="26" t="str">
        <f aca="false">IF($S63=0,"",COUNTIF($S$5:$S63,1))</f>
        <v/>
      </c>
    </row>
    <row r="64" customFormat="false" ht="15" hidden="false" customHeight="false" outlineLevel="0" collapsed="false">
      <c r="A64" s="26" t="str">
        <f aca="false">IF($C64="","","QC-"&amp;TEXT(ROW()-4,"000"))</f>
        <v/>
      </c>
      <c r="B64" s="25"/>
      <c r="C64" s="24"/>
      <c r="D64" s="24"/>
      <c r="E64" s="24"/>
      <c r="F64" s="32"/>
      <c r="G64" s="33"/>
      <c r="H64" s="24"/>
      <c r="I64" s="24"/>
      <c r="J64" s="24"/>
      <c r="K64" s="24"/>
      <c r="L64" s="24"/>
      <c r="M64" s="24"/>
      <c r="N64" s="26" t="str">
        <f aca="false">IF($C64="","",IFERROR(INDEX(LOT_PRODE,MATCH($C64,LOT_KEY,0)),"LOT NON REFERENCE"))</f>
        <v/>
      </c>
      <c r="O64" s="26" t="str">
        <f aca="false">IF($C64="","",IFERROR(INDEX(LOT_CONSERVE,MATCH($C64,LOT_KEY,0)),""))</f>
        <v/>
      </c>
      <c r="P64" s="27" t="str">
        <f aca="false">IF(OR($C64="",$D64=""),"",SUMIFS(MVT_NET,MVT_LOT,$C64,MVT_EMPL,$D64))</f>
        <v/>
      </c>
      <c r="Q64" s="26" t="str">
        <f aca="false">IF($C64="","",IF(OR($B64="",AND($F64="",$G64="",$H64="",$I64="",$J64="",$K64="")),"DONNEES MANQUANTES",IF(AND($D64&lt;&gt;"",$P64&lt;=0),"EMPLACEMENT INCOHERENT","OK")))</f>
        <v/>
      </c>
      <c r="R64" s="26" t="str">
        <f aca="false">IF($C64="","",IF(AND(ISNUMBER($G64),$G64&gt;P_HIST),"HISTAMINE "&amp;TEXT($G64,"#,##0")&amp;" mg/kg &gt; seuil "&amp;TEXT(P_HIST,"#,##0")&amp;". ","")&amp;IF(AND(ISNUMBER($F64),$O64="CONGELE",$F64&gt;P_TCONG),"TEMPERATURE "&amp;TEXT($F64,"0.0")&amp;" C hors seuil congele. ","")&amp;IF(AND(ISNUMBER($F64),$O64="FRAIS",$F64&gt;P_TFRAIS),"TEMPERATURE "&amp;TEXT($F64,"0.0")&amp;" C hors seuil frais. ","")&amp;IF($Q64="EMPLACEMENT INCOHERENT","Lot absent de cet emplacement : controle conserve, stock inchange. ","")&amp;IF($Q64="DONNEES MANQUANTES","Renseigner la DATE et au moins une mesure. ",""))</f>
        <v/>
      </c>
      <c r="S64" s="28" t="n">
        <f aca="false">IF($C64="",0,IF($C64=R_LOT,1,0))</f>
        <v>0</v>
      </c>
      <c r="T64" s="26" t="str">
        <f aca="false">IF($S64=0,"",COUNTIF($S$5:$S64,1))</f>
        <v/>
      </c>
    </row>
    <row r="65" customFormat="false" ht="15" hidden="false" customHeight="false" outlineLevel="0" collapsed="false">
      <c r="A65" s="26" t="str">
        <f aca="false">IF($C65="","","QC-"&amp;TEXT(ROW()-4,"000"))</f>
        <v/>
      </c>
      <c r="B65" s="25"/>
      <c r="C65" s="24"/>
      <c r="D65" s="24"/>
      <c r="E65" s="24"/>
      <c r="F65" s="32"/>
      <c r="G65" s="33"/>
      <c r="H65" s="24"/>
      <c r="I65" s="24"/>
      <c r="J65" s="24"/>
      <c r="K65" s="24"/>
      <c r="L65" s="24"/>
      <c r="M65" s="24"/>
      <c r="N65" s="26" t="str">
        <f aca="false">IF($C65="","",IFERROR(INDEX(LOT_PRODE,MATCH($C65,LOT_KEY,0)),"LOT NON REFERENCE"))</f>
        <v/>
      </c>
      <c r="O65" s="26" t="str">
        <f aca="false">IF($C65="","",IFERROR(INDEX(LOT_CONSERVE,MATCH($C65,LOT_KEY,0)),""))</f>
        <v/>
      </c>
      <c r="P65" s="27" t="str">
        <f aca="false">IF(OR($C65="",$D65=""),"",SUMIFS(MVT_NET,MVT_LOT,$C65,MVT_EMPL,$D65))</f>
        <v/>
      </c>
      <c r="Q65" s="26" t="str">
        <f aca="false">IF($C65="","",IF(OR($B65="",AND($F65="",$G65="",$H65="",$I65="",$J65="",$K65="")),"DONNEES MANQUANTES",IF(AND($D65&lt;&gt;"",$P65&lt;=0),"EMPLACEMENT INCOHERENT","OK")))</f>
        <v/>
      </c>
      <c r="R65" s="26" t="str">
        <f aca="false">IF($C65="","",IF(AND(ISNUMBER($G65),$G65&gt;P_HIST),"HISTAMINE "&amp;TEXT($G65,"#,##0")&amp;" mg/kg &gt; seuil "&amp;TEXT(P_HIST,"#,##0")&amp;". ","")&amp;IF(AND(ISNUMBER($F65),$O65="CONGELE",$F65&gt;P_TCONG),"TEMPERATURE "&amp;TEXT($F65,"0.0")&amp;" C hors seuil congele. ","")&amp;IF(AND(ISNUMBER($F65),$O65="FRAIS",$F65&gt;P_TFRAIS),"TEMPERATURE "&amp;TEXT($F65,"0.0")&amp;" C hors seuil frais. ","")&amp;IF($Q65="EMPLACEMENT INCOHERENT","Lot absent de cet emplacement : controle conserve, stock inchange. ","")&amp;IF($Q65="DONNEES MANQUANTES","Renseigner la DATE et au moins une mesure. ",""))</f>
        <v/>
      </c>
      <c r="S65" s="28" t="n">
        <f aca="false">IF($C65="",0,IF($C65=R_LOT,1,0))</f>
        <v>0</v>
      </c>
      <c r="T65" s="26" t="str">
        <f aca="false">IF($S65=0,"",COUNTIF($S$5:$S65,1))</f>
        <v/>
      </c>
    </row>
    <row r="66" customFormat="false" ht="15" hidden="false" customHeight="false" outlineLevel="0" collapsed="false">
      <c r="A66" s="26" t="str">
        <f aca="false">IF($C66="","","QC-"&amp;TEXT(ROW()-4,"000"))</f>
        <v/>
      </c>
      <c r="B66" s="25"/>
      <c r="C66" s="24"/>
      <c r="D66" s="24"/>
      <c r="E66" s="24"/>
      <c r="F66" s="32"/>
      <c r="G66" s="33"/>
      <c r="H66" s="24"/>
      <c r="I66" s="24"/>
      <c r="J66" s="24"/>
      <c r="K66" s="24"/>
      <c r="L66" s="24"/>
      <c r="M66" s="24"/>
      <c r="N66" s="26" t="str">
        <f aca="false">IF($C66="","",IFERROR(INDEX(LOT_PRODE,MATCH($C66,LOT_KEY,0)),"LOT NON REFERENCE"))</f>
        <v/>
      </c>
      <c r="O66" s="26" t="str">
        <f aca="false">IF($C66="","",IFERROR(INDEX(LOT_CONSERVE,MATCH($C66,LOT_KEY,0)),""))</f>
        <v/>
      </c>
      <c r="P66" s="27" t="str">
        <f aca="false">IF(OR($C66="",$D66=""),"",SUMIFS(MVT_NET,MVT_LOT,$C66,MVT_EMPL,$D66))</f>
        <v/>
      </c>
      <c r="Q66" s="26" t="str">
        <f aca="false">IF($C66="","",IF(OR($B66="",AND($F66="",$G66="",$H66="",$I66="",$J66="",$K66="")),"DONNEES MANQUANTES",IF(AND($D66&lt;&gt;"",$P66&lt;=0),"EMPLACEMENT INCOHERENT","OK")))</f>
        <v/>
      </c>
      <c r="R66" s="26" t="str">
        <f aca="false">IF($C66="","",IF(AND(ISNUMBER($G66),$G66&gt;P_HIST),"HISTAMINE "&amp;TEXT($G66,"#,##0")&amp;" mg/kg &gt; seuil "&amp;TEXT(P_HIST,"#,##0")&amp;". ","")&amp;IF(AND(ISNUMBER($F66),$O66="CONGELE",$F66&gt;P_TCONG),"TEMPERATURE "&amp;TEXT($F66,"0.0")&amp;" C hors seuil congele. ","")&amp;IF(AND(ISNUMBER($F66),$O66="FRAIS",$F66&gt;P_TFRAIS),"TEMPERATURE "&amp;TEXT($F66,"0.0")&amp;" C hors seuil frais. ","")&amp;IF($Q66="EMPLACEMENT INCOHERENT","Lot absent de cet emplacement : controle conserve, stock inchange. ","")&amp;IF($Q66="DONNEES MANQUANTES","Renseigner la DATE et au moins une mesure. ",""))</f>
        <v/>
      </c>
      <c r="S66" s="28" t="n">
        <f aca="false">IF($C66="",0,IF($C66=R_LOT,1,0))</f>
        <v>0</v>
      </c>
      <c r="T66" s="26" t="str">
        <f aca="false">IF($S66=0,"",COUNTIF($S$5:$S66,1))</f>
        <v/>
      </c>
    </row>
    <row r="67" customFormat="false" ht="15" hidden="false" customHeight="false" outlineLevel="0" collapsed="false">
      <c r="A67" s="26" t="str">
        <f aca="false">IF($C67="","","QC-"&amp;TEXT(ROW()-4,"000"))</f>
        <v/>
      </c>
      <c r="B67" s="25"/>
      <c r="C67" s="24"/>
      <c r="D67" s="24"/>
      <c r="E67" s="24"/>
      <c r="F67" s="32"/>
      <c r="G67" s="33"/>
      <c r="H67" s="24"/>
      <c r="I67" s="24"/>
      <c r="J67" s="24"/>
      <c r="K67" s="24"/>
      <c r="L67" s="24"/>
      <c r="M67" s="24"/>
      <c r="N67" s="26" t="str">
        <f aca="false">IF($C67="","",IFERROR(INDEX(LOT_PRODE,MATCH($C67,LOT_KEY,0)),"LOT NON REFERENCE"))</f>
        <v/>
      </c>
      <c r="O67" s="26" t="str">
        <f aca="false">IF($C67="","",IFERROR(INDEX(LOT_CONSERVE,MATCH($C67,LOT_KEY,0)),""))</f>
        <v/>
      </c>
      <c r="P67" s="27" t="str">
        <f aca="false">IF(OR($C67="",$D67=""),"",SUMIFS(MVT_NET,MVT_LOT,$C67,MVT_EMPL,$D67))</f>
        <v/>
      </c>
      <c r="Q67" s="26" t="str">
        <f aca="false">IF($C67="","",IF(OR($B67="",AND($F67="",$G67="",$H67="",$I67="",$J67="",$K67="")),"DONNEES MANQUANTES",IF(AND($D67&lt;&gt;"",$P67&lt;=0),"EMPLACEMENT INCOHERENT","OK")))</f>
        <v/>
      </c>
      <c r="R67" s="26" t="str">
        <f aca="false">IF($C67="","",IF(AND(ISNUMBER($G67),$G67&gt;P_HIST),"HISTAMINE "&amp;TEXT($G67,"#,##0")&amp;" mg/kg &gt; seuil "&amp;TEXT(P_HIST,"#,##0")&amp;". ","")&amp;IF(AND(ISNUMBER($F67),$O67="CONGELE",$F67&gt;P_TCONG),"TEMPERATURE "&amp;TEXT($F67,"0.0")&amp;" C hors seuil congele. ","")&amp;IF(AND(ISNUMBER($F67),$O67="FRAIS",$F67&gt;P_TFRAIS),"TEMPERATURE "&amp;TEXT($F67,"0.0")&amp;" C hors seuil frais. ","")&amp;IF($Q67="EMPLACEMENT INCOHERENT","Lot absent de cet emplacement : controle conserve, stock inchange. ","")&amp;IF($Q67="DONNEES MANQUANTES","Renseigner la DATE et au moins une mesure. ",""))</f>
        <v/>
      </c>
      <c r="S67" s="28" t="n">
        <f aca="false">IF($C67="",0,IF($C67=R_LOT,1,0))</f>
        <v>0</v>
      </c>
      <c r="T67" s="26" t="str">
        <f aca="false">IF($S67=0,"",COUNTIF($S$5:$S67,1))</f>
        <v/>
      </c>
    </row>
    <row r="68" customFormat="false" ht="15" hidden="false" customHeight="false" outlineLevel="0" collapsed="false">
      <c r="A68" s="26" t="str">
        <f aca="false">IF($C68="","","QC-"&amp;TEXT(ROW()-4,"000"))</f>
        <v/>
      </c>
      <c r="B68" s="25"/>
      <c r="C68" s="24"/>
      <c r="D68" s="24"/>
      <c r="E68" s="24"/>
      <c r="F68" s="32"/>
      <c r="G68" s="33"/>
      <c r="H68" s="24"/>
      <c r="I68" s="24"/>
      <c r="J68" s="24"/>
      <c r="K68" s="24"/>
      <c r="L68" s="24"/>
      <c r="M68" s="24"/>
      <c r="N68" s="26" t="str">
        <f aca="false">IF($C68="","",IFERROR(INDEX(LOT_PRODE,MATCH($C68,LOT_KEY,0)),"LOT NON REFERENCE"))</f>
        <v/>
      </c>
      <c r="O68" s="26" t="str">
        <f aca="false">IF($C68="","",IFERROR(INDEX(LOT_CONSERVE,MATCH($C68,LOT_KEY,0)),""))</f>
        <v/>
      </c>
      <c r="P68" s="27" t="str">
        <f aca="false">IF(OR($C68="",$D68=""),"",SUMIFS(MVT_NET,MVT_LOT,$C68,MVT_EMPL,$D68))</f>
        <v/>
      </c>
      <c r="Q68" s="26" t="str">
        <f aca="false">IF($C68="","",IF(OR($B68="",AND($F68="",$G68="",$H68="",$I68="",$J68="",$K68="")),"DONNEES MANQUANTES",IF(AND($D68&lt;&gt;"",$P68&lt;=0),"EMPLACEMENT INCOHERENT","OK")))</f>
        <v/>
      </c>
      <c r="R68" s="26" t="str">
        <f aca="false">IF($C68="","",IF(AND(ISNUMBER($G68),$G68&gt;P_HIST),"HISTAMINE "&amp;TEXT($G68,"#,##0")&amp;" mg/kg &gt; seuil "&amp;TEXT(P_HIST,"#,##0")&amp;". ","")&amp;IF(AND(ISNUMBER($F68),$O68="CONGELE",$F68&gt;P_TCONG),"TEMPERATURE "&amp;TEXT($F68,"0.0")&amp;" C hors seuil congele. ","")&amp;IF(AND(ISNUMBER($F68),$O68="FRAIS",$F68&gt;P_TFRAIS),"TEMPERATURE "&amp;TEXT($F68,"0.0")&amp;" C hors seuil frais. ","")&amp;IF($Q68="EMPLACEMENT INCOHERENT","Lot absent de cet emplacement : controle conserve, stock inchange. ","")&amp;IF($Q68="DONNEES MANQUANTES","Renseigner la DATE et au moins une mesure. ",""))</f>
        <v/>
      </c>
      <c r="S68" s="28" t="n">
        <f aca="false">IF($C68="",0,IF($C68=R_LOT,1,0))</f>
        <v>0</v>
      </c>
      <c r="T68" s="26" t="str">
        <f aca="false">IF($S68=0,"",COUNTIF($S$5:$S68,1))</f>
        <v/>
      </c>
    </row>
    <row r="69" customFormat="false" ht="15" hidden="false" customHeight="false" outlineLevel="0" collapsed="false">
      <c r="A69" s="26" t="str">
        <f aca="false">IF($C69="","","QC-"&amp;TEXT(ROW()-4,"000"))</f>
        <v/>
      </c>
      <c r="B69" s="25"/>
      <c r="C69" s="24"/>
      <c r="D69" s="24"/>
      <c r="E69" s="24"/>
      <c r="F69" s="32"/>
      <c r="G69" s="33"/>
      <c r="H69" s="24"/>
      <c r="I69" s="24"/>
      <c r="J69" s="24"/>
      <c r="K69" s="24"/>
      <c r="L69" s="24"/>
      <c r="M69" s="24"/>
      <c r="N69" s="26" t="str">
        <f aca="false">IF($C69="","",IFERROR(INDEX(LOT_PRODE,MATCH($C69,LOT_KEY,0)),"LOT NON REFERENCE"))</f>
        <v/>
      </c>
      <c r="O69" s="26" t="str">
        <f aca="false">IF($C69="","",IFERROR(INDEX(LOT_CONSERVE,MATCH($C69,LOT_KEY,0)),""))</f>
        <v/>
      </c>
      <c r="P69" s="27" t="str">
        <f aca="false">IF(OR($C69="",$D69=""),"",SUMIFS(MVT_NET,MVT_LOT,$C69,MVT_EMPL,$D69))</f>
        <v/>
      </c>
      <c r="Q69" s="26" t="str">
        <f aca="false">IF($C69="","",IF(OR($B69="",AND($F69="",$G69="",$H69="",$I69="",$J69="",$K69="")),"DONNEES MANQUANTES",IF(AND($D69&lt;&gt;"",$P69&lt;=0),"EMPLACEMENT INCOHERENT","OK")))</f>
        <v/>
      </c>
      <c r="R69" s="26" t="str">
        <f aca="false">IF($C69="","",IF(AND(ISNUMBER($G69),$G69&gt;P_HIST),"HISTAMINE "&amp;TEXT($G69,"#,##0")&amp;" mg/kg &gt; seuil "&amp;TEXT(P_HIST,"#,##0")&amp;". ","")&amp;IF(AND(ISNUMBER($F69),$O69="CONGELE",$F69&gt;P_TCONG),"TEMPERATURE "&amp;TEXT($F69,"0.0")&amp;" C hors seuil congele. ","")&amp;IF(AND(ISNUMBER($F69),$O69="FRAIS",$F69&gt;P_TFRAIS),"TEMPERATURE "&amp;TEXT($F69,"0.0")&amp;" C hors seuil frais. ","")&amp;IF($Q69="EMPLACEMENT INCOHERENT","Lot absent de cet emplacement : controle conserve, stock inchange. ","")&amp;IF($Q69="DONNEES MANQUANTES","Renseigner la DATE et au moins une mesure. ",""))</f>
        <v/>
      </c>
      <c r="S69" s="28" t="n">
        <f aca="false">IF($C69="",0,IF($C69=R_LOT,1,0))</f>
        <v>0</v>
      </c>
      <c r="T69" s="26" t="str">
        <f aca="false">IF($S69=0,"",COUNTIF($S$5:$S69,1))</f>
        <v/>
      </c>
    </row>
    <row r="70" customFormat="false" ht="15" hidden="false" customHeight="false" outlineLevel="0" collapsed="false">
      <c r="A70" s="26" t="str">
        <f aca="false">IF($C70="","","QC-"&amp;TEXT(ROW()-4,"000"))</f>
        <v/>
      </c>
      <c r="B70" s="25"/>
      <c r="C70" s="24"/>
      <c r="D70" s="24"/>
      <c r="E70" s="24"/>
      <c r="F70" s="32"/>
      <c r="G70" s="33"/>
      <c r="H70" s="24"/>
      <c r="I70" s="24"/>
      <c r="J70" s="24"/>
      <c r="K70" s="24"/>
      <c r="L70" s="24"/>
      <c r="M70" s="24"/>
      <c r="N70" s="26" t="str">
        <f aca="false">IF($C70="","",IFERROR(INDEX(LOT_PRODE,MATCH($C70,LOT_KEY,0)),"LOT NON REFERENCE"))</f>
        <v/>
      </c>
      <c r="O70" s="26" t="str">
        <f aca="false">IF($C70="","",IFERROR(INDEX(LOT_CONSERVE,MATCH($C70,LOT_KEY,0)),""))</f>
        <v/>
      </c>
      <c r="P70" s="27" t="str">
        <f aca="false">IF(OR($C70="",$D70=""),"",SUMIFS(MVT_NET,MVT_LOT,$C70,MVT_EMPL,$D70))</f>
        <v/>
      </c>
      <c r="Q70" s="26" t="str">
        <f aca="false">IF($C70="","",IF(OR($B70="",AND($F70="",$G70="",$H70="",$I70="",$J70="",$K70="")),"DONNEES MANQUANTES",IF(AND($D70&lt;&gt;"",$P70&lt;=0),"EMPLACEMENT INCOHERENT","OK")))</f>
        <v/>
      </c>
      <c r="R70" s="26" t="str">
        <f aca="false">IF($C70="","",IF(AND(ISNUMBER($G70),$G70&gt;P_HIST),"HISTAMINE "&amp;TEXT($G70,"#,##0")&amp;" mg/kg &gt; seuil "&amp;TEXT(P_HIST,"#,##0")&amp;". ","")&amp;IF(AND(ISNUMBER($F70),$O70="CONGELE",$F70&gt;P_TCONG),"TEMPERATURE "&amp;TEXT($F70,"0.0")&amp;" C hors seuil congele. ","")&amp;IF(AND(ISNUMBER($F70),$O70="FRAIS",$F70&gt;P_TFRAIS),"TEMPERATURE "&amp;TEXT($F70,"0.0")&amp;" C hors seuil frais. ","")&amp;IF($Q70="EMPLACEMENT INCOHERENT","Lot absent de cet emplacement : controle conserve, stock inchange. ","")&amp;IF($Q70="DONNEES MANQUANTES","Renseigner la DATE et au moins une mesure. ",""))</f>
        <v/>
      </c>
      <c r="S70" s="28" t="n">
        <f aca="false">IF($C70="",0,IF($C70=R_LOT,1,0))</f>
        <v>0</v>
      </c>
      <c r="T70" s="26" t="str">
        <f aca="false">IF($S70=0,"",COUNTIF($S$5:$S70,1))</f>
        <v/>
      </c>
    </row>
    <row r="71" customFormat="false" ht="15" hidden="false" customHeight="false" outlineLevel="0" collapsed="false">
      <c r="A71" s="26" t="str">
        <f aca="false">IF($C71="","","QC-"&amp;TEXT(ROW()-4,"000"))</f>
        <v/>
      </c>
      <c r="B71" s="25"/>
      <c r="C71" s="24"/>
      <c r="D71" s="24"/>
      <c r="E71" s="24"/>
      <c r="F71" s="32"/>
      <c r="G71" s="33"/>
      <c r="H71" s="24"/>
      <c r="I71" s="24"/>
      <c r="J71" s="24"/>
      <c r="K71" s="24"/>
      <c r="L71" s="24"/>
      <c r="M71" s="24"/>
      <c r="N71" s="26" t="str">
        <f aca="false">IF($C71="","",IFERROR(INDEX(LOT_PRODE,MATCH($C71,LOT_KEY,0)),"LOT NON REFERENCE"))</f>
        <v/>
      </c>
      <c r="O71" s="26" t="str">
        <f aca="false">IF($C71="","",IFERROR(INDEX(LOT_CONSERVE,MATCH($C71,LOT_KEY,0)),""))</f>
        <v/>
      </c>
      <c r="P71" s="27" t="str">
        <f aca="false">IF(OR($C71="",$D71=""),"",SUMIFS(MVT_NET,MVT_LOT,$C71,MVT_EMPL,$D71))</f>
        <v/>
      </c>
      <c r="Q71" s="26" t="str">
        <f aca="false">IF($C71="","",IF(OR($B71="",AND($F71="",$G71="",$H71="",$I71="",$J71="",$K71="")),"DONNEES MANQUANTES",IF(AND($D71&lt;&gt;"",$P71&lt;=0),"EMPLACEMENT INCOHERENT","OK")))</f>
        <v/>
      </c>
      <c r="R71" s="26" t="str">
        <f aca="false">IF($C71="","",IF(AND(ISNUMBER($G71),$G71&gt;P_HIST),"HISTAMINE "&amp;TEXT($G71,"#,##0")&amp;" mg/kg &gt; seuil "&amp;TEXT(P_HIST,"#,##0")&amp;". ","")&amp;IF(AND(ISNUMBER($F71),$O71="CONGELE",$F71&gt;P_TCONG),"TEMPERATURE "&amp;TEXT($F71,"0.0")&amp;" C hors seuil congele. ","")&amp;IF(AND(ISNUMBER($F71),$O71="FRAIS",$F71&gt;P_TFRAIS),"TEMPERATURE "&amp;TEXT($F71,"0.0")&amp;" C hors seuil frais. ","")&amp;IF($Q71="EMPLACEMENT INCOHERENT","Lot absent de cet emplacement : controle conserve, stock inchange. ","")&amp;IF($Q71="DONNEES MANQUANTES","Renseigner la DATE et au moins une mesure. ",""))</f>
        <v/>
      </c>
      <c r="S71" s="28" t="n">
        <f aca="false">IF($C71="",0,IF($C71=R_LOT,1,0))</f>
        <v>0</v>
      </c>
      <c r="T71" s="26" t="str">
        <f aca="false">IF($S71=0,"",COUNTIF($S$5:$S71,1))</f>
        <v/>
      </c>
    </row>
    <row r="72" customFormat="false" ht="15" hidden="false" customHeight="false" outlineLevel="0" collapsed="false">
      <c r="A72" s="26" t="str">
        <f aca="false">IF($C72="","","QC-"&amp;TEXT(ROW()-4,"000"))</f>
        <v/>
      </c>
      <c r="B72" s="25"/>
      <c r="C72" s="24"/>
      <c r="D72" s="24"/>
      <c r="E72" s="24"/>
      <c r="F72" s="32"/>
      <c r="G72" s="33"/>
      <c r="H72" s="24"/>
      <c r="I72" s="24"/>
      <c r="J72" s="24"/>
      <c r="K72" s="24"/>
      <c r="L72" s="24"/>
      <c r="M72" s="24"/>
      <c r="N72" s="26" t="str">
        <f aca="false">IF($C72="","",IFERROR(INDEX(LOT_PRODE,MATCH($C72,LOT_KEY,0)),"LOT NON REFERENCE"))</f>
        <v/>
      </c>
      <c r="O72" s="26" t="str">
        <f aca="false">IF($C72="","",IFERROR(INDEX(LOT_CONSERVE,MATCH($C72,LOT_KEY,0)),""))</f>
        <v/>
      </c>
      <c r="P72" s="27" t="str">
        <f aca="false">IF(OR($C72="",$D72=""),"",SUMIFS(MVT_NET,MVT_LOT,$C72,MVT_EMPL,$D72))</f>
        <v/>
      </c>
      <c r="Q72" s="26" t="str">
        <f aca="false">IF($C72="","",IF(OR($B72="",AND($F72="",$G72="",$H72="",$I72="",$J72="",$K72="")),"DONNEES MANQUANTES",IF(AND($D72&lt;&gt;"",$P72&lt;=0),"EMPLACEMENT INCOHERENT","OK")))</f>
        <v/>
      </c>
      <c r="R72" s="26" t="str">
        <f aca="false">IF($C72="","",IF(AND(ISNUMBER($G72),$G72&gt;P_HIST),"HISTAMINE "&amp;TEXT($G72,"#,##0")&amp;" mg/kg &gt; seuil "&amp;TEXT(P_HIST,"#,##0")&amp;". ","")&amp;IF(AND(ISNUMBER($F72),$O72="CONGELE",$F72&gt;P_TCONG),"TEMPERATURE "&amp;TEXT($F72,"0.0")&amp;" C hors seuil congele. ","")&amp;IF(AND(ISNUMBER($F72),$O72="FRAIS",$F72&gt;P_TFRAIS),"TEMPERATURE "&amp;TEXT($F72,"0.0")&amp;" C hors seuil frais. ","")&amp;IF($Q72="EMPLACEMENT INCOHERENT","Lot absent de cet emplacement : controle conserve, stock inchange. ","")&amp;IF($Q72="DONNEES MANQUANTES","Renseigner la DATE et au moins une mesure. ",""))</f>
        <v/>
      </c>
      <c r="S72" s="28" t="n">
        <f aca="false">IF($C72="",0,IF($C72=R_LOT,1,0))</f>
        <v>0</v>
      </c>
      <c r="T72" s="26" t="str">
        <f aca="false">IF($S72=0,"",COUNTIF($S$5:$S72,1))</f>
        <v/>
      </c>
    </row>
    <row r="73" customFormat="false" ht="15" hidden="false" customHeight="false" outlineLevel="0" collapsed="false">
      <c r="A73" s="26" t="str">
        <f aca="false">IF($C73="","","QC-"&amp;TEXT(ROW()-4,"000"))</f>
        <v/>
      </c>
      <c r="B73" s="25"/>
      <c r="C73" s="24"/>
      <c r="D73" s="24"/>
      <c r="E73" s="24"/>
      <c r="F73" s="32"/>
      <c r="G73" s="33"/>
      <c r="H73" s="24"/>
      <c r="I73" s="24"/>
      <c r="J73" s="24"/>
      <c r="K73" s="24"/>
      <c r="L73" s="24"/>
      <c r="M73" s="24"/>
      <c r="N73" s="26" t="str">
        <f aca="false">IF($C73="","",IFERROR(INDEX(LOT_PRODE,MATCH($C73,LOT_KEY,0)),"LOT NON REFERENCE"))</f>
        <v/>
      </c>
      <c r="O73" s="26" t="str">
        <f aca="false">IF($C73="","",IFERROR(INDEX(LOT_CONSERVE,MATCH($C73,LOT_KEY,0)),""))</f>
        <v/>
      </c>
      <c r="P73" s="27" t="str">
        <f aca="false">IF(OR($C73="",$D73=""),"",SUMIFS(MVT_NET,MVT_LOT,$C73,MVT_EMPL,$D73))</f>
        <v/>
      </c>
      <c r="Q73" s="26" t="str">
        <f aca="false">IF($C73="","",IF(OR($B73="",AND($F73="",$G73="",$H73="",$I73="",$J73="",$K73="")),"DONNEES MANQUANTES",IF(AND($D73&lt;&gt;"",$P73&lt;=0),"EMPLACEMENT INCOHERENT","OK")))</f>
        <v/>
      </c>
      <c r="R73" s="26" t="str">
        <f aca="false">IF($C73="","",IF(AND(ISNUMBER($G73),$G73&gt;P_HIST),"HISTAMINE "&amp;TEXT($G73,"#,##0")&amp;" mg/kg &gt; seuil "&amp;TEXT(P_HIST,"#,##0")&amp;". ","")&amp;IF(AND(ISNUMBER($F73),$O73="CONGELE",$F73&gt;P_TCONG),"TEMPERATURE "&amp;TEXT($F73,"0.0")&amp;" C hors seuil congele. ","")&amp;IF(AND(ISNUMBER($F73),$O73="FRAIS",$F73&gt;P_TFRAIS),"TEMPERATURE "&amp;TEXT($F73,"0.0")&amp;" C hors seuil frais. ","")&amp;IF($Q73="EMPLACEMENT INCOHERENT","Lot absent de cet emplacement : controle conserve, stock inchange. ","")&amp;IF($Q73="DONNEES MANQUANTES","Renseigner la DATE et au moins une mesure. ",""))</f>
        <v/>
      </c>
      <c r="S73" s="28" t="n">
        <f aca="false">IF($C73="",0,IF($C73=R_LOT,1,0))</f>
        <v>0</v>
      </c>
      <c r="T73" s="26" t="str">
        <f aca="false">IF($S73=0,"",COUNTIF($S$5:$S73,1))</f>
        <v/>
      </c>
    </row>
    <row r="74" customFormat="false" ht="15" hidden="false" customHeight="false" outlineLevel="0" collapsed="false">
      <c r="A74" s="26" t="str">
        <f aca="false">IF($C74="","","QC-"&amp;TEXT(ROW()-4,"000"))</f>
        <v/>
      </c>
      <c r="B74" s="25"/>
      <c r="C74" s="24"/>
      <c r="D74" s="24"/>
      <c r="E74" s="24"/>
      <c r="F74" s="32"/>
      <c r="G74" s="33"/>
      <c r="H74" s="24"/>
      <c r="I74" s="24"/>
      <c r="J74" s="24"/>
      <c r="K74" s="24"/>
      <c r="L74" s="24"/>
      <c r="M74" s="24"/>
      <c r="N74" s="26" t="str">
        <f aca="false">IF($C74="","",IFERROR(INDEX(LOT_PRODE,MATCH($C74,LOT_KEY,0)),"LOT NON REFERENCE"))</f>
        <v/>
      </c>
      <c r="O74" s="26" t="str">
        <f aca="false">IF($C74="","",IFERROR(INDEX(LOT_CONSERVE,MATCH($C74,LOT_KEY,0)),""))</f>
        <v/>
      </c>
      <c r="P74" s="27" t="str">
        <f aca="false">IF(OR($C74="",$D74=""),"",SUMIFS(MVT_NET,MVT_LOT,$C74,MVT_EMPL,$D74))</f>
        <v/>
      </c>
      <c r="Q74" s="26" t="str">
        <f aca="false">IF($C74="","",IF(OR($B74="",AND($F74="",$G74="",$H74="",$I74="",$J74="",$K74="")),"DONNEES MANQUANTES",IF(AND($D74&lt;&gt;"",$P74&lt;=0),"EMPLACEMENT INCOHERENT","OK")))</f>
        <v/>
      </c>
      <c r="R74" s="26" t="str">
        <f aca="false">IF($C74="","",IF(AND(ISNUMBER($G74),$G74&gt;P_HIST),"HISTAMINE "&amp;TEXT($G74,"#,##0")&amp;" mg/kg &gt; seuil "&amp;TEXT(P_HIST,"#,##0")&amp;". ","")&amp;IF(AND(ISNUMBER($F74),$O74="CONGELE",$F74&gt;P_TCONG),"TEMPERATURE "&amp;TEXT($F74,"0.0")&amp;" C hors seuil congele. ","")&amp;IF(AND(ISNUMBER($F74),$O74="FRAIS",$F74&gt;P_TFRAIS),"TEMPERATURE "&amp;TEXT($F74,"0.0")&amp;" C hors seuil frais. ","")&amp;IF($Q74="EMPLACEMENT INCOHERENT","Lot absent de cet emplacement : controle conserve, stock inchange. ","")&amp;IF($Q74="DONNEES MANQUANTES","Renseigner la DATE et au moins une mesure. ",""))</f>
        <v/>
      </c>
      <c r="S74" s="28" t="n">
        <f aca="false">IF($C74="",0,IF($C74=R_LOT,1,0))</f>
        <v>0</v>
      </c>
      <c r="T74" s="26" t="str">
        <f aca="false">IF($S74=0,"",COUNTIF($S$5:$S74,1))</f>
        <v/>
      </c>
    </row>
    <row r="75" customFormat="false" ht="15" hidden="false" customHeight="false" outlineLevel="0" collapsed="false">
      <c r="A75" s="26" t="str">
        <f aca="false">IF($C75="","","QC-"&amp;TEXT(ROW()-4,"000"))</f>
        <v/>
      </c>
      <c r="B75" s="25"/>
      <c r="C75" s="24"/>
      <c r="D75" s="24"/>
      <c r="E75" s="24"/>
      <c r="F75" s="32"/>
      <c r="G75" s="33"/>
      <c r="H75" s="24"/>
      <c r="I75" s="24"/>
      <c r="J75" s="24"/>
      <c r="K75" s="24"/>
      <c r="L75" s="24"/>
      <c r="M75" s="24"/>
      <c r="N75" s="26" t="str">
        <f aca="false">IF($C75="","",IFERROR(INDEX(LOT_PRODE,MATCH($C75,LOT_KEY,0)),"LOT NON REFERENCE"))</f>
        <v/>
      </c>
      <c r="O75" s="26" t="str">
        <f aca="false">IF($C75="","",IFERROR(INDEX(LOT_CONSERVE,MATCH($C75,LOT_KEY,0)),""))</f>
        <v/>
      </c>
      <c r="P75" s="27" t="str">
        <f aca="false">IF(OR($C75="",$D75=""),"",SUMIFS(MVT_NET,MVT_LOT,$C75,MVT_EMPL,$D75))</f>
        <v/>
      </c>
      <c r="Q75" s="26" t="str">
        <f aca="false">IF($C75="","",IF(OR($B75="",AND($F75="",$G75="",$H75="",$I75="",$J75="",$K75="")),"DONNEES MANQUANTES",IF(AND($D75&lt;&gt;"",$P75&lt;=0),"EMPLACEMENT INCOHERENT","OK")))</f>
        <v/>
      </c>
      <c r="R75" s="26" t="str">
        <f aca="false">IF($C75="","",IF(AND(ISNUMBER($G75),$G75&gt;P_HIST),"HISTAMINE "&amp;TEXT($G75,"#,##0")&amp;" mg/kg &gt; seuil "&amp;TEXT(P_HIST,"#,##0")&amp;". ","")&amp;IF(AND(ISNUMBER($F75),$O75="CONGELE",$F75&gt;P_TCONG),"TEMPERATURE "&amp;TEXT($F75,"0.0")&amp;" C hors seuil congele. ","")&amp;IF(AND(ISNUMBER($F75),$O75="FRAIS",$F75&gt;P_TFRAIS),"TEMPERATURE "&amp;TEXT($F75,"0.0")&amp;" C hors seuil frais. ","")&amp;IF($Q75="EMPLACEMENT INCOHERENT","Lot absent de cet emplacement : controle conserve, stock inchange. ","")&amp;IF($Q75="DONNEES MANQUANTES","Renseigner la DATE et au moins une mesure. ",""))</f>
        <v/>
      </c>
      <c r="S75" s="28" t="n">
        <f aca="false">IF($C75="",0,IF($C75=R_LOT,1,0))</f>
        <v>0</v>
      </c>
      <c r="T75" s="26" t="str">
        <f aca="false">IF($S75=0,"",COUNTIF($S$5:$S75,1))</f>
        <v/>
      </c>
    </row>
    <row r="76" customFormat="false" ht="15" hidden="false" customHeight="false" outlineLevel="0" collapsed="false">
      <c r="A76" s="26" t="str">
        <f aca="false">IF($C76="","","QC-"&amp;TEXT(ROW()-4,"000"))</f>
        <v/>
      </c>
      <c r="B76" s="25"/>
      <c r="C76" s="24"/>
      <c r="D76" s="24"/>
      <c r="E76" s="24"/>
      <c r="F76" s="32"/>
      <c r="G76" s="33"/>
      <c r="H76" s="24"/>
      <c r="I76" s="24"/>
      <c r="J76" s="24"/>
      <c r="K76" s="24"/>
      <c r="L76" s="24"/>
      <c r="M76" s="24"/>
      <c r="N76" s="26" t="str">
        <f aca="false">IF($C76="","",IFERROR(INDEX(LOT_PRODE,MATCH($C76,LOT_KEY,0)),"LOT NON REFERENCE"))</f>
        <v/>
      </c>
      <c r="O76" s="26" t="str">
        <f aca="false">IF($C76="","",IFERROR(INDEX(LOT_CONSERVE,MATCH($C76,LOT_KEY,0)),""))</f>
        <v/>
      </c>
      <c r="P76" s="27" t="str">
        <f aca="false">IF(OR($C76="",$D76=""),"",SUMIFS(MVT_NET,MVT_LOT,$C76,MVT_EMPL,$D76))</f>
        <v/>
      </c>
      <c r="Q76" s="26" t="str">
        <f aca="false">IF($C76="","",IF(OR($B76="",AND($F76="",$G76="",$H76="",$I76="",$J76="",$K76="")),"DONNEES MANQUANTES",IF(AND($D76&lt;&gt;"",$P76&lt;=0),"EMPLACEMENT INCOHERENT","OK")))</f>
        <v/>
      </c>
      <c r="R76" s="26" t="str">
        <f aca="false">IF($C76="","",IF(AND(ISNUMBER($G76),$G76&gt;P_HIST),"HISTAMINE "&amp;TEXT($G76,"#,##0")&amp;" mg/kg &gt; seuil "&amp;TEXT(P_HIST,"#,##0")&amp;". ","")&amp;IF(AND(ISNUMBER($F76),$O76="CONGELE",$F76&gt;P_TCONG),"TEMPERATURE "&amp;TEXT($F76,"0.0")&amp;" C hors seuil congele. ","")&amp;IF(AND(ISNUMBER($F76),$O76="FRAIS",$F76&gt;P_TFRAIS),"TEMPERATURE "&amp;TEXT($F76,"0.0")&amp;" C hors seuil frais. ","")&amp;IF($Q76="EMPLACEMENT INCOHERENT","Lot absent de cet emplacement : controle conserve, stock inchange. ","")&amp;IF($Q76="DONNEES MANQUANTES","Renseigner la DATE et au moins une mesure. ",""))</f>
        <v/>
      </c>
      <c r="S76" s="28" t="n">
        <f aca="false">IF($C76="",0,IF($C76=R_LOT,1,0))</f>
        <v>0</v>
      </c>
      <c r="T76" s="26" t="str">
        <f aca="false">IF($S76=0,"",COUNTIF($S$5:$S76,1))</f>
        <v/>
      </c>
    </row>
    <row r="77" customFormat="false" ht="15" hidden="false" customHeight="false" outlineLevel="0" collapsed="false">
      <c r="A77" s="26" t="str">
        <f aca="false">IF($C77="","","QC-"&amp;TEXT(ROW()-4,"000"))</f>
        <v/>
      </c>
      <c r="B77" s="25"/>
      <c r="C77" s="24"/>
      <c r="D77" s="24"/>
      <c r="E77" s="24"/>
      <c r="F77" s="32"/>
      <c r="G77" s="33"/>
      <c r="H77" s="24"/>
      <c r="I77" s="24"/>
      <c r="J77" s="24"/>
      <c r="K77" s="24"/>
      <c r="L77" s="24"/>
      <c r="M77" s="24"/>
      <c r="N77" s="26" t="str">
        <f aca="false">IF($C77="","",IFERROR(INDEX(LOT_PRODE,MATCH($C77,LOT_KEY,0)),"LOT NON REFERENCE"))</f>
        <v/>
      </c>
      <c r="O77" s="26" t="str">
        <f aca="false">IF($C77="","",IFERROR(INDEX(LOT_CONSERVE,MATCH($C77,LOT_KEY,0)),""))</f>
        <v/>
      </c>
      <c r="P77" s="27" t="str">
        <f aca="false">IF(OR($C77="",$D77=""),"",SUMIFS(MVT_NET,MVT_LOT,$C77,MVT_EMPL,$D77))</f>
        <v/>
      </c>
      <c r="Q77" s="26" t="str">
        <f aca="false">IF($C77="","",IF(OR($B77="",AND($F77="",$G77="",$H77="",$I77="",$J77="",$K77="")),"DONNEES MANQUANTES",IF(AND($D77&lt;&gt;"",$P77&lt;=0),"EMPLACEMENT INCOHERENT","OK")))</f>
        <v/>
      </c>
      <c r="R77" s="26" t="str">
        <f aca="false">IF($C77="","",IF(AND(ISNUMBER($G77),$G77&gt;P_HIST),"HISTAMINE "&amp;TEXT($G77,"#,##0")&amp;" mg/kg &gt; seuil "&amp;TEXT(P_HIST,"#,##0")&amp;". ","")&amp;IF(AND(ISNUMBER($F77),$O77="CONGELE",$F77&gt;P_TCONG),"TEMPERATURE "&amp;TEXT($F77,"0.0")&amp;" C hors seuil congele. ","")&amp;IF(AND(ISNUMBER($F77),$O77="FRAIS",$F77&gt;P_TFRAIS),"TEMPERATURE "&amp;TEXT($F77,"0.0")&amp;" C hors seuil frais. ","")&amp;IF($Q77="EMPLACEMENT INCOHERENT","Lot absent de cet emplacement : controle conserve, stock inchange. ","")&amp;IF($Q77="DONNEES MANQUANTES","Renseigner la DATE et au moins une mesure. ",""))</f>
        <v/>
      </c>
      <c r="S77" s="28" t="n">
        <f aca="false">IF($C77="",0,IF($C77=R_LOT,1,0))</f>
        <v>0</v>
      </c>
      <c r="T77" s="26" t="str">
        <f aca="false">IF($S77=0,"",COUNTIF($S$5:$S77,1))</f>
        <v/>
      </c>
    </row>
    <row r="78" customFormat="false" ht="15" hidden="false" customHeight="false" outlineLevel="0" collapsed="false">
      <c r="A78" s="26" t="str">
        <f aca="false">IF($C78="","","QC-"&amp;TEXT(ROW()-4,"000"))</f>
        <v/>
      </c>
      <c r="B78" s="25"/>
      <c r="C78" s="24"/>
      <c r="D78" s="24"/>
      <c r="E78" s="24"/>
      <c r="F78" s="32"/>
      <c r="G78" s="33"/>
      <c r="H78" s="24"/>
      <c r="I78" s="24"/>
      <c r="J78" s="24"/>
      <c r="K78" s="24"/>
      <c r="L78" s="24"/>
      <c r="M78" s="24"/>
      <c r="N78" s="26" t="str">
        <f aca="false">IF($C78="","",IFERROR(INDEX(LOT_PRODE,MATCH($C78,LOT_KEY,0)),"LOT NON REFERENCE"))</f>
        <v/>
      </c>
      <c r="O78" s="26" t="str">
        <f aca="false">IF($C78="","",IFERROR(INDEX(LOT_CONSERVE,MATCH($C78,LOT_KEY,0)),""))</f>
        <v/>
      </c>
      <c r="P78" s="27" t="str">
        <f aca="false">IF(OR($C78="",$D78=""),"",SUMIFS(MVT_NET,MVT_LOT,$C78,MVT_EMPL,$D78))</f>
        <v/>
      </c>
      <c r="Q78" s="26" t="str">
        <f aca="false">IF($C78="","",IF(OR($B78="",AND($F78="",$G78="",$H78="",$I78="",$J78="",$K78="")),"DONNEES MANQUANTES",IF(AND($D78&lt;&gt;"",$P78&lt;=0),"EMPLACEMENT INCOHERENT","OK")))</f>
        <v/>
      </c>
      <c r="R78" s="26" t="str">
        <f aca="false">IF($C78="","",IF(AND(ISNUMBER($G78),$G78&gt;P_HIST),"HISTAMINE "&amp;TEXT($G78,"#,##0")&amp;" mg/kg &gt; seuil "&amp;TEXT(P_HIST,"#,##0")&amp;". ","")&amp;IF(AND(ISNUMBER($F78),$O78="CONGELE",$F78&gt;P_TCONG),"TEMPERATURE "&amp;TEXT($F78,"0.0")&amp;" C hors seuil congele. ","")&amp;IF(AND(ISNUMBER($F78),$O78="FRAIS",$F78&gt;P_TFRAIS),"TEMPERATURE "&amp;TEXT($F78,"0.0")&amp;" C hors seuil frais. ","")&amp;IF($Q78="EMPLACEMENT INCOHERENT","Lot absent de cet emplacement : controle conserve, stock inchange. ","")&amp;IF($Q78="DONNEES MANQUANTES","Renseigner la DATE et au moins une mesure. ",""))</f>
        <v/>
      </c>
      <c r="S78" s="28" t="n">
        <f aca="false">IF($C78="",0,IF($C78=R_LOT,1,0))</f>
        <v>0</v>
      </c>
      <c r="T78" s="26" t="str">
        <f aca="false">IF($S78=0,"",COUNTIF($S$5:$S78,1))</f>
        <v/>
      </c>
    </row>
    <row r="79" customFormat="false" ht="15" hidden="false" customHeight="false" outlineLevel="0" collapsed="false">
      <c r="A79" s="26" t="str">
        <f aca="false">IF($C79="","","QC-"&amp;TEXT(ROW()-4,"000"))</f>
        <v/>
      </c>
      <c r="B79" s="25"/>
      <c r="C79" s="24"/>
      <c r="D79" s="24"/>
      <c r="E79" s="24"/>
      <c r="F79" s="32"/>
      <c r="G79" s="33"/>
      <c r="H79" s="24"/>
      <c r="I79" s="24"/>
      <c r="J79" s="24"/>
      <c r="K79" s="24"/>
      <c r="L79" s="24"/>
      <c r="M79" s="24"/>
      <c r="N79" s="26" t="str">
        <f aca="false">IF($C79="","",IFERROR(INDEX(LOT_PRODE,MATCH($C79,LOT_KEY,0)),"LOT NON REFERENCE"))</f>
        <v/>
      </c>
      <c r="O79" s="26" t="str">
        <f aca="false">IF($C79="","",IFERROR(INDEX(LOT_CONSERVE,MATCH($C79,LOT_KEY,0)),""))</f>
        <v/>
      </c>
      <c r="P79" s="27" t="str">
        <f aca="false">IF(OR($C79="",$D79=""),"",SUMIFS(MVT_NET,MVT_LOT,$C79,MVT_EMPL,$D79))</f>
        <v/>
      </c>
      <c r="Q79" s="26" t="str">
        <f aca="false">IF($C79="","",IF(OR($B79="",AND($F79="",$G79="",$H79="",$I79="",$J79="",$K79="")),"DONNEES MANQUANTES",IF(AND($D79&lt;&gt;"",$P79&lt;=0),"EMPLACEMENT INCOHERENT","OK")))</f>
        <v/>
      </c>
      <c r="R79" s="26" t="str">
        <f aca="false">IF($C79="","",IF(AND(ISNUMBER($G79),$G79&gt;P_HIST),"HISTAMINE "&amp;TEXT($G79,"#,##0")&amp;" mg/kg &gt; seuil "&amp;TEXT(P_HIST,"#,##0")&amp;". ","")&amp;IF(AND(ISNUMBER($F79),$O79="CONGELE",$F79&gt;P_TCONG),"TEMPERATURE "&amp;TEXT($F79,"0.0")&amp;" C hors seuil congele. ","")&amp;IF(AND(ISNUMBER($F79),$O79="FRAIS",$F79&gt;P_TFRAIS),"TEMPERATURE "&amp;TEXT($F79,"0.0")&amp;" C hors seuil frais. ","")&amp;IF($Q79="EMPLACEMENT INCOHERENT","Lot absent de cet emplacement : controle conserve, stock inchange. ","")&amp;IF($Q79="DONNEES MANQUANTES","Renseigner la DATE et au moins une mesure. ",""))</f>
        <v/>
      </c>
      <c r="S79" s="28" t="n">
        <f aca="false">IF($C79="",0,IF($C79=R_LOT,1,0))</f>
        <v>0</v>
      </c>
      <c r="T79" s="26" t="str">
        <f aca="false">IF($S79=0,"",COUNTIF($S$5:$S79,1))</f>
        <v/>
      </c>
    </row>
    <row r="80" customFormat="false" ht="15" hidden="false" customHeight="false" outlineLevel="0" collapsed="false">
      <c r="A80" s="26" t="str">
        <f aca="false">IF($C80="","","QC-"&amp;TEXT(ROW()-4,"000"))</f>
        <v/>
      </c>
      <c r="B80" s="25"/>
      <c r="C80" s="24"/>
      <c r="D80" s="24"/>
      <c r="E80" s="24"/>
      <c r="F80" s="32"/>
      <c r="G80" s="33"/>
      <c r="H80" s="24"/>
      <c r="I80" s="24"/>
      <c r="J80" s="24"/>
      <c r="K80" s="24"/>
      <c r="L80" s="24"/>
      <c r="M80" s="24"/>
      <c r="N80" s="26" t="str">
        <f aca="false">IF($C80="","",IFERROR(INDEX(LOT_PRODE,MATCH($C80,LOT_KEY,0)),"LOT NON REFERENCE"))</f>
        <v/>
      </c>
      <c r="O80" s="26" t="str">
        <f aca="false">IF($C80="","",IFERROR(INDEX(LOT_CONSERVE,MATCH($C80,LOT_KEY,0)),""))</f>
        <v/>
      </c>
      <c r="P80" s="27" t="str">
        <f aca="false">IF(OR($C80="",$D80=""),"",SUMIFS(MVT_NET,MVT_LOT,$C80,MVT_EMPL,$D80))</f>
        <v/>
      </c>
      <c r="Q80" s="26" t="str">
        <f aca="false">IF($C80="","",IF(OR($B80="",AND($F80="",$G80="",$H80="",$I80="",$J80="",$K80="")),"DONNEES MANQUANTES",IF(AND($D80&lt;&gt;"",$P80&lt;=0),"EMPLACEMENT INCOHERENT","OK")))</f>
        <v/>
      </c>
      <c r="R80" s="26" t="str">
        <f aca="false">IF($C80="","",IF(AND(ISNUMBER($G80),$G80&gt;P_HIST),"HISTAMINE "&amp;TEXT($G80,"#,##0")&amp;" mg/kg &gt; seuil "&amp;TEXT(P_HIST,"#,##0")&amp;". ","")&amp;IF(AND(ISNUMBER($F80),$O80="CONGELE",$F80&gt;P_TCONG),"TEMPERATURE "&amp;TEXT($F80,"0.0")&amp;" C hors seuil congele. ","")&amp;IF(AND(ISNUMBER($F80),$O80="FRAIS",$F80&gt;P_TFRAIS),"TEMPERATURE "&amp;TEXT($F80,"0.0")&amp;" C hors seuil frais. ","")&amp;IF($Q80="EMPLACEMENT INCOHERENT","Lot absent de cet emplacement : controle conserve, stock inchange. ","")&amp;IF($Q80="DONNEES MANQUANTES","Renseigner la DATE et au moins une mesure. ",""))</f>
        <v/>
      </c>
      <c r="S80" s="28" t="n">
        <f aca="false">IF($C80="",0,IF($C80=R_LOT,1,0))</f>
        <v>0</v>
      </c>
      <c r="T80" s="26" t="str">
        <f aca="false">IF($S80=0,"",COUNTIF($S$5:$S80,1))</f>
        <v/>
      </c>
    </row>
    <row r="81" customFormat="false" ht="15" hidden="false" customHeight="false" outlineLevel="0" collapsed="false">
      <c r="A81" s="26" t="str">
        <f aca="false">IF($C81="","","QC-"&amp;TEXT(ROW()-4,"000"))</f>
        <v/>
      </c>
      <c r="B81" s="25"/>
      <c r="C81" s="24"/>
      <c r="D81" s="24"/>
      <c r="E81" s="24"/>
      <c r="F81" s="32"/>
      <c r="G81" s="33"/>
      <c r="H81" s="24"/>
      <c r="I81" s="24"/>
      <c r="J81" s="24"/>
      <c r="K81" s="24"/>
      <c r="L81" s="24"/>
      <c r="M81" s="24"/>
      <c r="N81" s="26" t="str">
        <f aca="false">IF($C81="","",IFERROR(INDEX(LOT_PRODE,MATCH($C81,LOT_KEY,0)),"LOT NON REFERENCE"))</f>
        <v/>
      </c>
      <c r="O81" s="26" t="str">
        <f aca="false">IF($C81="","",IFERROR(INDEX(LOT_CONSERVE,MATCH($C81,LOT_KEY,0)),""))</f>
        <v/>
      </c>
      <c r="P81" s="27" t="str">
        <f aca="false">IF(OR($C81="",$D81=""),"",SUMIFS(MVT_NET,MVT_LOT,$C81,MVT_EMPL,$D81))</f>
        <v/>
      </c>
      <c r="Q81" s="26" t="str">
        <f aca="false">IF($C81="","",IF(OR($B81="",AND($F81="",$G81="",$H81="",$I81="",$J81="",$K81="")),"DONNEES MANQUANTES",IF(AND($D81&lt;&gt;"",$P81&lt;=0),"EMPLACEMENT INCOHERENT","OK")))</f>
        <v/>
      </c>
      <c r="R81" s="26" t="str">
        <f aca="false">IF($C81="","",IF(AND(ISNUMBER($G81),$G81&gt;P_HIST),"HISTAMINE "&amp;TEXT($G81,"#,##0")&amp;" mg/kg &gt; seuil "&amp;TEXT(P_HIST,"#,##0")&amp;". ","")&amp;IF(AND(ISNUMBER($F81),$O81="CONGELE",$F81&gt;P_TCONG),"TEMPERATURE "&amp;TEXT($F81,"0.0")&amp;" C hors seuil congele. ","")&amp;IF(AND(ISNUMBER($F81),$O81="FRAIS",$F81&gt;P_TFRAIS),"TEMPERATURE "&amp;TEXT($F81,"0.0")&amp;" C hors seuil frais. ","")&amp;IF($Q81="EMPLACEMENT INCOHERENT","Lot absent de cet emplacement : controle conserve, stock inchange. ","")&amp;IF($Q81="DONNEES MANQUANTES","Renseigner la DATE et au moins une mesure. ",""))</f>
        <v/>
      </c>
      <c r="S81" s="28" t="n">
        <f aca="false">IF($C81="",0,IF($C81=R_LOT,1,0))</f>
        <v>0</v>
      </c>
      <c r="T81" s="26" t="str">
        <f aca="false">IF($S81=0,"",COUNTIF($S$5:$S81,1))</f>
        <v/>
      </c>
    </row>
    <row r="82" customFormat="false" ht="15" hidden="false" customHeight="false" outlineLevel="0" collapsed="false">
      <c r="A82" s="26" t="str">
        <f aca="false">IF($C82="","","QC-"&amp;TEXT(ROW()-4,"000"))</f>
        <v/>
      </c>
      <c r="B82" s="25"/>
      <c r="C82" s="24"/>
      <c r="D82" s="24"/>
      <c r="E82" s="24"/>
      <c r="F82" s="32"/>
      <c r="G82" s="33"/>
      <c r="H82" s="24"/>
      <c r="I82" s="24"/>
      <c r="J82" s="24"/>
      <c r="K82" s="24"/>
      <c r="L82" s="24"/>
      <c r="M82" s="24"/>
      <c r="N82" s="26" t="str">
        <f aca="false">IF($C82="","",IFERROR(INDEX(LOT_PRODE,MATCH($C82,LOT_KEY,0)),"LOT NON REFERENCE"))</f>
        <v/>
      </c>
      <c r="O82" s="26" t="str">
        <f aca="false">IF($C82="","",IFERROR(INDEX(LOT_CONSERVE,MATCH($C82,LOT_KEY,0)),""))</f>
        <v/>
      </c>
      <c r="P82" s="27" t="str">
        <f aca="false">IF(OR($C82="",$D82=""),"",SUMIFS(MVT_NET,MVT_LOT,$C82,MVT_EMPL,$D82))</f>
        <v/>
      </c>
      <c r="Q82" s="26" t="str">
        <f aca="false">IF($C82="","",IF(OR($B82="",AND($F82="",$G82="",$H82="",$I82="",$J82="",$K82="")),"DONNEES MANQUANTES",IF(AND($D82&lt;&gt;"",$P82&lt;=0),"EMPLACEMENT INCOHERENT","OK")))</f>
        <v/>
      </c>
      <c r="R82" s="26" t="str">
        <f aca="false">IF($C82="","",IF(AND(ISNUMBER($G82),$G82&gt;P_HIST),"HISTAMINE "&amp;TEXT($G82,"#,##0")&amp;" mg/kg &gt; seuil "&amp;TEXT(P_HIST,"#,##0")&amp;". ","")&amp;IF(AND(ISNUMBER($F82),$O82="CONGELE",$F82&gt;P_TCONG),"TEMPERATURE "&amp;TEXT($F82,"0.0")&amp;" C hors seuil congele. ","")&amp;IF(AND(ISNUMBER($F82),$O82="FRAIS",$F82&gt;P_TFRAIS),"TEMPERATURE "&amp;TEXT($F82,"0.0")&amp;" C hors seuil frais. ","")&amp;IF($Q82="EMPLACEMENT INCOHERENT","Lot absent de cet emplacement : controle conserve, stock inchange. ","")&amp;IF($Q82="DONNEES MANQUANTES","Renseigner la DATE et au moins une mesure. ",""))</f>
        <v/>
      </c>
      <c r="S82" s="28" t="n">
        <f aca="false">IF($C82="",0,IF($C82=R_LOT,1,0))</f>
        <v>0</v>
      </c>
      <c r="T82" s="26" t="str">
        <f aca="false">IF($S82=0,"",COUNTIF($S$5:$S82,1))</f>
        <v/>
      </c>
    </row>
    <row r="83" customFormat="false" ht="15" hidden="false" customHeight="false" outlineLevel="0" collapsed="false">
      <c r="A83" s="26" t="str">
        <f aca="false">IF($C83="","","QC-"&amp;TEXT(ROW()-4,"000"))</f>
        <v/>
      </c>
      <c r="B83" s="25"/>
      <c r="C83" s="24"/>
      <c r="D83" s="24"/>
      <c r="E83" s="24"/>
      <c r="F83" s="32"/>
      <c r="G83" s="33"/>
      <c r="H83" s="24"/>
      <c r="I83" s="24"/>
      <c r="J83" s="24"/>
      <c r="K83" s="24"/>
      <c r="L83" s="24"/>
      <c r="M83" s="24"/>
      <c r="N83" s="26" t="str">
        <f aca="false">IF($C83="","",IFERROR(INDEX(LOT_PRODE,MATCH($C83,LOT_KEY,0)),"LOT NON REFERENCE"))</f>
        <v/>
      </c>
      <c r="O83" s="26" t="str">
        <f aca="false">IF($C83="","",IFERROR(INDEX(LOT_CONSERVE,MATCH($C83,LOT_KEY,0)),""))</f>
        <v/>
      </c>
      <c r="P83" s="27" t="str">
        <f aca="false">IF(OR($C83="",$D83=""),"",SUMIFS(MVT_NET,MVT_LOT,$C83,MVT_EMPL,$D83))</f>
        <v/>
      </c>
      <c r="Q83" s="26" t="str">
        <f aca="false">IF($C83="","",IF(OR($B83="",AND($F83="",$G83="",$H83="",$I83="",$J83="",$K83="")),"DONNEES MANQUANTES",IF(AND($D83&lt;&gt;"",$P83&lt;=0),"EMPLACEMENT INCOHERENT","OK")))</f>
        <v/>
      </c>
      <c r="R83" s="26" t="str">
        <f aca="false">IF($C83="","",IF(AND(ISNUMBER($G83),$G83&gt;P_HIST),"HISTAMINE "&amp;TEXT($G83,"#,##0")&amp;" mg/kg &gt; seuil "&amp;TEXT(P_HIST,"#,##0")&amp;". ","")&amp;IF(AND(ISNUMBER($F83),$O83="CONGELE",$F83&gt;P_TCONG),"TEMPERATURE "&amp;TEXT($F83,"0.0")&amp;" C hors seuil congele. ","")&amp;IF(AND(ISNUMBER($F83),$O83="FRAIS",$F83&gt;P_TFRAIS),"TEMPERATURE "&amp;TEXT($F83,"0.0")&amp;" C hors seuil frais. ","")&amp;IF($Q83="EMPLACEMENT INCOHERENT","Lot absent de cet emplacement : controle conserve, stock inchange. ","")&amp;IF($Q83="DONNEES MANQUANTES","Renseigner la DATE et au moins une mesure. ",""))</f>
        <v/>
      </c>
      <c r="S83" s="28" t="n">
        <f aca="false">IF($C83="",0,IF($C83=R_LOT,1,0))</f>
        <v>0</v>
      </c>
      <c r="T83" s="26" t="str">
        <f aca="false">IF($S83=0,"",COUNTIF($S$5:$S83,1))</f>
        <v/>
      </c>
    </row>
    <row r="84" customFormat="false" ht="15" hidden="false" customHeight="false" outlineLevel="0" collapsed="false">
      <c r="A84" s="26" t="str">
        <f aca="false">IF($C84="","","QC-"&amp;TEXT(ROW()-4,"000"))</f>
        <v/>
      </c>
      <c r="B84" s="25"/>
      <c r="C84" s="24"/>
      <c r="D84" s="24"/>
      <c r="E84" s="24"/>
      <c r="F84" s="32"/>
      <c r="G84" s="33"/>
      <c r="H84" s="24"/>
      <c r="I84" s="24"/>
      <c r="J84" s="24"/>
      <c r="K84" s="24"/>
      <c r="L84" s="24"/>
      <c r="M84" s="24"/>
      <c r="N84" s="26" t="str">
        <f aca="false">IF($C84="","",IFERROR(INDEX(LOT_PRODE,MATCH($C84,LOT_KEY,0)),"LOT NON REFERENCE"))</f>
        <v/>
      </c>
      <c r="O84" s="26" t="str">
        <f aca="false">IF($C84="","",IFERROR(INDEX(LOT_CONSERVE,MATCH($C84,LOT_KEY,0)),""))</f>
        <v/>
      </c>
      <c r="P84" s="27" t="str">
        <f aca="false">IF(OR($C84="",$D84=""),"",SUMIFS(MVT_NET,MVT_LOT,$C84,MVT_EMPL,$D84))</f>
        <v/>
      </c>
      <c r="Q84" s="26" t="str">
        <f aca="false">IF($C84="","",IF(OR($B84="",AND($F84="",$G84="",$H84="",$I84="",$J84="",$K84="")),"DONNEES MANQUANTES",IF(AND($D84&lt;&gt;"",$P84&lt;=0),"EMPLACEMENT INCOHERENT","OK")))</f>
        <v/>
      </c>
      <c r="R84" s="26" t="str">
        <f aca="false">IF($C84="","",IF(AND(ISNUMBER($G84),$G84&gt;P_HIST),"HISTAMINE "&amp;TEXT($G84,"#,##0")&amp;" mg/kg &gt; seuil "&amp;TEXT(P_HIST,"#,##0")&amp;". ","")&amp;IF(AND(ISNUMBER($F84),$O84="CONGELE",$F84&gt;P_TCONG),"TEMPERATURE "&amp;TEXT($F84,"0.0")&amp;" C hors seuil congele. ","")&amp;IF(AND(ISNUMBER($F84),$O84="FRAIS",$F84&gt;P_TFRAIS),"TEMPERATURE "&amp;TEXT($F84,"0.0")&amp;" C hors seuil frais. ","")&amp;IF($Q84="EMPLACEMENT INCOHERENT","Lot absent de cet emplacement : controle conserve, stock inchange. ","")&amp;IF($Q84="DONNEES MANQUANTES","Renseigner la DATE et au moins une mesure. ",""))</f>
        <v/>
      </c>
      <c r="S84" s="28" t="n">
        <f aca="false">IF($C84="",0,IF($C84=R_LOT,1,0))</f>
        <v>0</v>
      </c>
      <c r="T84" s="26" t="str">
        <f aca="false">IF($S84=0,"",COUNTIF($S$5:$S84,1))</f>
        <v/>
      </c>
    </row>
    <row r="85" customFormat="false" ht="15" hidden="false" customHeight="false" outlineLevel="0" collapsed="false">
      <c r="A85" s="26" t="str">
        <f aca="false">IF($C85="","","QC-"&amp;TEXT(ROW()-4,"000"))</f>
        <v/>
      </c>
      <c r="B85" s="25"/>
      <c r="C85" s="24"/>
      <c r="D85" s="24"/>
      <c r="E85" s="24"/>
      <c r="F85" s="32"/>
      <c r="G85" s="33"/>
      <c r="H85" s="24"/>
      <c r="I85" s="24"/>
      <c r="J85" s="24"/>
      <c r="K85" s="24"/>
      <c r="L85" s="24"/>
      <c r="M85" s="24"/>
      <c r="N85" s="26" t="str">
        <f aca="false">IF($C85="","",IFERROR(INDEX(LOT_PRODE,MATCH($C85,LOT_KEY,0)),"LOT NON REFERENCE"))</f>
        <v/>
      </c>
      <c r="O85" s="26" t="str">
        <f aca="false">IF($C85="","",IFERROR(INDEX(LOT_CONSERVE,MATCH($C85,LOT_KEY,0)),""))</f>
        <v/>
      </c>
      <c r="P85" s="27" t="str">
        <f aca="false">IF(OR($C85="",$D85=""),"",SUMIFS(MVT_NET,MVT_LOT,$C85,MVT_EMPL,$D85))</f>
        <v/>
      </c>
      <c r="Q85" s="26" t="str">
        <f aca="false">IF($C85="","",IF(OR($B85="",AND($F85="",$G85="",$H85="",$I85="",$J85="",$K85="")),"DONNEES MANQUANTES",IF(AND($D85&lt;&gt;"",$P85&lt;=0),"EMPLACEMENT INCOHERENT","OK")))</f>
        <v/>
      </c>
      <c r="R85" s="26" t="str">
        <f aca="false">IF($C85="","",IF(AND(ISNUMBER($G85),$G85&gt;P_HIST),"HISTAMINE "&amp;TEXT($G85,"#,##0")&amp;" mg/kg &gt; seuil "&amp;TEXT(P_HIST,"#,##0")&amp;". ","")&amp;IF(AND(ISNUMBER($F85),$O85="CONGELE",$F85&gt;P_TCONG),"TEMPERATURE "&amp;TEXT($F85,"0.0")&amp;" C hors seuil congele. ","")&amp;IF(AND(ISNUMBER($F85),$O85="FRAIS",$F85&gt;P_TFRAIS),"TEMPERATURE "&amp;TEXT($F85,"0.0")&amp;" C hors seuil frais. ","")&amp;IF($Q85="EMPLACEMENT INCOHERENT","Lot absent de cet emplacement : controle conserve, stock inchange. ","")&amp;IF($Q85="DONNEES MANQUANTES","Renseigner la DATE et au moins une mesure. ",""))</f>
        <v/>
      </c>
      <c r="S85" s="28" t="n">
        <f aca="false">IF($C85="",0,IF($C85=R_LOT,1,0))</f>
        <v>0</v>
      </c>
      <c r="T85" s="26" t="str">
        <f aca="false">IF($S85=0,"",COUNTIF($S$5:$S85,1))</f>
        <v/>
      </c>
    </row>
    <row r="86" customFormat="false" ht="15" hidden="false" customHeight="false" outlineLevel="0" collapsed="false">
      <c r="A86" s="26" t="str">
        <f aca="false">IF($C86="","","QC-"&amp;TEXT(ROW()-4,"000"))</f>
        <v/>
      </c>
      <c r="B86" s="25"/>
      <c r="C86" s="24"/>
      <c r="D86" s="24"/>
      <c r="E86" s="24"/>
      <c r="F86" s="32"/>
      <c r="G86" s="33"/>
      <c r="H86" s="24"/>
      <c r="I86" s="24"/>
      <c r="J86" s="24"/>
      <c r="K86" s="24"/>
      <c r="L86" s="24"/>
      <c r="M86" s="24"/>
      <c r="N86" s="26" t="str">
        <f aca="false">IF($C86="","",IFERROR(INDEX(LOT_PRODE,MATCH($C86,LOT_KEY,0)),"LOT NON REFERENCE"))</f>
        <v/>
      </c>
      <c r="O86" s="26" t="str">
        <f aca="false">IF($C86="","",IFERROR(INDEX(LOT_CONSERVE,MATCH($C86,LOT_KEY,0)),""))</f>
        <v/>
      </c>
      <c r="P86" s="27" t="str">
        <f aca="false">IF(OR($C86="",$D86=""),"",SUMIFS(MVT_NET,MVT_LOT,$C86,MVT_EMPL,$D86))</f>
        <v/>
      </c>
      <c r="Q86" s="26" t="str">
        <f aca="false">IF($C86="","",IF(OR($B86="",AND($F86="",$G86="",$H86="",$I86="",$J86="",$K86="")),"DONNEES MANQUANTES",IF(AND($D86&lt;&gt;"",$P86&lt;=0),"EMPLACEMENT INCOHERENT","OK")))</f>
        <v/>
      </c>
      <c r="R86" s="26" t="str">
        <f aca="false">IF($C86="","",IF(AND(ISNUMBER($G86),$G86&gt;P_HIST),"HISTAMINE "&amp;TEXT($G86,"#,##0")&amp;" mg/kg &gt; seuil "&amp;TEXT(P_HIST,"#,##0")&amp;". ","")&amp;IF(AND(ISNUMBER($F86),$O86="CONGELE",$F86&gt;P_TCONG),"TEMPERATURE "&amp;TEXT($F86,"0.0")&amp;" C hors seuil congele. ","")&amp;IF(AND(ISNUMBER($F86),$O86="FRAIS",$F86&gt;P_TFRAIS),"TEMPERATURE "&amp;TEXT($F86,"0.0")&amp;" C hors seuil frais. ","")&amp;IF($Q86="EMPLACEMENT INCOHERENT","Lot absent de cet emplacement : controle conserve, stock inchange. ","")&amp;IF($Q86="DONNEES MANQUANTES","Renseigner la DATE et au moins une mesure. ",""))</f>
        <v/>
      </c>
      <c r="S86" s="28" t="n">
        <f aca="false">IF($C86="",0,IF($C86=R_LOT,1,0))</f>
        <v>0</v>
      </c>
      <c r="T86" s="26" t="str">
        <f aca="false">IF($S86=0,"",COUNTIF($S$5:$S86,1))</f>
        <v/>
      </c>
    </row>
    <row r="87" customFormat="false" ht="15" hidden="false" customHeight="false" outlineLevel="0" collapsed="false">
      <c r="A87" s="26" t="str">
        <f aca="false">IF($C87="","","QC-"&amp;TEXT(ROW()-4,"000"))</f>
        <v/>
      </c>
      <c r="B87" s="25"/>
      <c r="C87" s="24"/>
      <c r="D87" s="24"/>
      <c r="E87" s="24"/>
      <c r="F87" s="32"/>
      <c r="G87" s="33"/>
      <c r="H87" s="24"/>
      <c r="I87" s="24"/>
      <c r="J87" s="24"/>
      <c r="K87" s="24"/>
      <c r="L87" s="24"/>
      <c r="M87" s="24"/>
      <c r="N87" s="26" t="str">
        <f aca="false">IF($C87="","",IFERROR(INDEX(LOT_PRODE,MATCH($C87,LOT_KEY,0)),"LOT NON REFERENCE"))</f>
        <v/>
      </c>
      <c r="O87" s="26" t="str">
        <f aca="false">IF($C87="","",IFERROR(INDEX(LOT_CONSERVE,MATCH($C87,LOT_KEY,0)),""))</f>
        <v/>
      </c>
      <c r="P87" s="27" t="str">
        <f aca="false">IF(OR($C87="",$D87=""),"",SUMIFS(MVT_NET,MVT_LOT,$C87,MVT_EMPL,$D87))</f>
        <v/>
      </c>
      <c r="Q87" s="26" t="str">
        <f aca="false">IF($C87="","",IF(OR($B87="",AND($F87="",$G87="",$H87="",$I87="",$J87="",$K87="")),"DONNEES MANQUANTES",IF(AND($D87&lt;&gt;"",$P87&lt;=0),"EMPLACEMENT INCOHERENT","OK")))</f>
        <v/>
      </c>
      <c r="R87" s="26" t="str">
        <f aca="false">IF($C87="","",IF(AND(ISNUMBER($G87),$G87&gt;P_HIST),"HISTAMINE "&amp;TEXT($G87,"#,##0")&amp;" mg/kg &gt; seuil "&amp;TEXT(P_HIST,"#,##0")&amp;". ","")&amp;IF(AND(ISNUMBER($F87),$O87="CONGELE",$F87&gt;P_TCONG),"TEMPERATURE "&amp;TEXT($F87,"0.0")&amp;" C hors seuil congele. ","")&amp;IF(AND(ISNUMBER($F87),$O87="FRAIS",$F87&gt;P_TFRAIS),"TEMPERATURE "&amp;TEXT($F87,"0.0")&amp;" C hors seuil frais. ","")&amp;IF($Q87="EMPLACEMENT INCOHERENT","Lot absent de cet emplacement : controle conserve, stock inchange. ","")&amp;IF($Q87="DONNEES MANQUANTES","Renseigner la DATE et au moins une mesure. ",""))</f>
        <v/>
      </c>
      <c r="S87" s="28" t="n">
        <f aca="false">IF($C87="",0,IF($C87=R_LOT,1,0))</f>
        <v>0</v>
      </c>
      <c r="T87" s="26" t="str">
        <f aca="false">IF($S87=0,"",COUNTIF($S$5:$S87,1))</f>
        <v/>
      </c>
    </row>
    <row r="88" customFormat="false" ht="15" hidden="false" customHeight="false" outlineLevel="0" collapsed="false">
      <c r="A88" s="26" t="str">
        <f aca="false">IF($C88="","","QC-"&amp;TEXT(ROW()-4,"000"))</f>
        <v/>
      </c>
      <c r="B88" s="25"/>
      <c r="C88" s="24"/>
      <c r="D88" s="24"/>
      <c r="E88" s="24"/>
      <c r="F88" s="32"/>
      <c r="G88" s="33"/>
      <c r="H88" s="24"/>
      <c r="I88" s="24"/>
      <c r="J88" s="24"/>
      <c r="K88" s="24"/>
      <c r="L88" s="24"/>
      <c r="M88" s="24"/>
      <c r="N88" s="26" t="str">
        <f aca="false">IF($C88="","",IFERROR(INDEX(LOT_PRODE,MATCH($C88,LOT_KEY,0)),"LOT NON REFERENCE"))</f>
        <v/>
      </c>
      <c r="O88" s="26" t="str">
        <f aca="false">IF($C88="","",IFERROR(INDEX(LOT_CONSERVE,MATCH($C88,LOT_KEY,0)),""))</f>
        <v/>
      </c>
      <c r="P88" s="27" t="str">
        <f aca="false">IF(OR($C88="",$D88=""),"",SUMIFS(MVT_NET,MVT_LOT,$C88,MVT_EMPL,$D88))</f>
        <v/>
      </c>
      <c r="Q88" s="26" t="str">
        <f aca="false">IF($C88="","",IF(OR($B88="",AND($F88="",$G88="",$H88="",$I88="",$J88="",$K88="")),"DONNEES MANQUANTES",IF(AND($D88&lt;&gt;"",$P88&lt;=0),"EMPLACEMENT INCOHERENT","OK")))</f>
        <v/>
      </c>
      <c r="R88" s="26" t="str">
        <f aca="false">IF($C88="","",IF(AND(ISNUMBER($G88),$G88&gt;P_HIST),"HISTAMINE "&amp;TEXT($G88,"#,##0")&amp;" mg/kg &gt; seuil "&amp;TEXT(P_HIST,"#,##0")&amp;". ","")&amp;IF(AND(ISNUMBER($F88),$O88="CONGELE",$F88&gt;P_TCONG),"TEMPERATURE "&amp;TEXT($F88,"0.0")&amp;" C hors seuil congele. ","")&amp;IF(AND(ISNUMBER($F88),$O88="FRAIS",$F88&gt;P_TFRAIS),"TEMPERATURE "&amp;TEXT($F88,"0.0")&amp;" C hors seuil frais. ","")&amp;IF($Q88="EMPLACEMENT INCOHERENT","Lot absent de cet emplacement : controle conserve, stock inchange. ","")&amp;IF($Q88="DONNEES MANQUANTES","Renseigner la DATE et au moins une mesure. ",""))</f>
        <v/>
      </c>
      <c r="S88" s="28" t="n">
        <f aca="false">IF($C88="",0,IF($C88=R_LOT,1,0))</f>
        <v>0</v>
      </c>
      <c r="T88" s="26" t="str">
        <f aca="false">IF($S88=0,"",COUNTIF($S$5:$S88,1))</f>
        <v/>
      </c>
    </row>
    <row r="89" customFormat="false" ht="15" hidden="false" customHeight="false" outlineLevel="0" collapsed="false">
      <c r="A89" s="26" t="str">
        <f aca="false">IF($C89="","","QC-"&amp;TEXT(ROW()-4,"000"))</f>
        <v/>
      </c>
      <c r="B89" s="25"/>
      <c r="C89" s="24"/>
      <c r="D89" s="24"/>
      <c r="E89" s="24"/>
      <c r="F89" s="32"/>
      <c r="G89" s="33"/>
      <c r="H89" s="24"/>
      <c r="I89" s="24"/>
      <c r="J89" s="24"/>
      <c r="K89" s="24"/>
      <c r="L89" s="24"/>
      <c r="M89" s="24"/>
      <c r="N89" s="26" t="str">
        <f aca="false">IF($C89="","",IFERROR(INDEX(LOT_PRODE,MATCH($C89,LOT_KEY,0)),"LOT NON REFERENCE"))</f>
        <v/>
      </c>
      <c r="O89" s="26" t="str">
        <f aca="false">IF($C89="","",IFERROR(INDEX(LOT_CONSERVE,MATCH($C89,LOT_KEY,0)),""))</f>
        <v/>
      </c>
      <c r="P89" s="27" t="str">
        <f aca="false">IF(OR($C89="",$D89=""),"",SUMIFS(MVT_NET,MVT_LOT,$C89,MVT_EMPL,$D89))</f>
        <v/>
      </c>
      <c r="Q89" s="26" t="str">
        <f aca="false">IF($C89="","",IF(OR($B89="",AND($F89="",$G89="",$H89="",$I89="",$J89="",$K89="")),"DONNEES MANQUANTES",IF(AND($D89&lt;&gt;"",$P89&lt;=0),"EMPLACEMENT INCOHERENT","OK")))</f>
        <v/>
      </c>
      <c r="R89" s="26" t="str">
        <f aca="false">IF($C89="","",IF(AND(ISNUMBER($G89),$G89&gt;P_HIST),"HISTAMINE "&amp;TEXT($G89,"#,##0")&amp;" mg/kg &gt; seuil "&amp;TEXT(P_HIST,"#,##0")&amp;". ","")&amp;IF(AND(ISNUMBER($F89),$O89="CONGELE",$F89&gt;P_TCONG),"TEMPERATURE "&amp;TEXT($F89,"0.0")&amp;" C hors seuil congele. ","")&amp;IF(AND(ISNUMBER($F89),$O89="FRAIS",$F89&gt;P_TFRAIS),"TEMPERATURE "&amp;TEXT($F89,"0.0")&amp;" C hors seuil frais. ","")&amp;IF($Q89="EMPLACEMENT INCOHERENT","Lot absent de cet emplacement : controle conserve, stock inchange. ","")&amp;IF($Q89="DONNEES MANQUANTES","Renseigner la DATE et au moins une mesure. ",""))</f>
        <v/>
      </c>
      <c r="S89" s="28" t="n">
        <f aca="false">IF($C89="",0,IF($C89=R_LOT,1,0))</f>
        <v>0</v>
      </c>
      <c r="T89" s="26" t="str">
        <f aca="false">IF($S89=0,"",COUNTIF($S$5:$S89,1))</f>
        <v/>
      </c>
    </row>
    <row r="90" customFormat="false" ht="15" hidden="false" customHeight="false" outlineLevel="0" collapsed="false">
      <c r="A90" s="26" t="str">
        <f aca="false">IF($C90="","","QC-"&amp;TEXT(ROW()-4,"000"))</f>
        <v/>
      </c>
      <c r="B90" s="25"/>
      <c r="C90" s="24"/>
      <c r="D90" s="24"/>
      <c r="E90" s="24"/>
      <c r="F90" s="32"/>
      <c r="G90" s="33"/>
      <c r="H90" s="24"/>
      <c r="I90" s="24"/>
      <c r="J90" s="24"/>
      <c r="K90" s="24"/>
      <c r="L90" s="24"/>
      <c r="M90" s="24"/>
      <c r="N90" s="26" t="str">
        <f aca="false">IF($C90="","",IFERROR(INDEX(LOT_PRODE,MATCH($C90,LOT_KEY,0)),"LOT NON REFERENCE"))</f>
        <v/>
      </c>
      <c r="O90" s="26" t="str">
        <f aca="false">IF($C90="","",IFERROR(INDEX(LOT_CONSERVE,MATCH($C90,LOT_KEY,0)),""))</f>
        <v/>
      </c>
      <c r="P90" s="27" t="str">
        <f aca="false">IF(OR($C90="",$D90=""),"",SUMIFS(MVT_NET,MVT_LOT,$C90,MVT_EMPL,$D90))</f>
        <v/>
      </c>
      <c r="Q90" s="26" t="str">
        <f aca="false">IF($C90="","",IF(OR($B90="",AND($F90="",$G90="",$H90="",$I90="",$J90="",$K90="")),"DONNEES MANQUANTES",IF(AND($D90&lt;&gt;"",$P90&lt;=0),"EMPLACEMENT INCOHERENT","OK")))</f>
        <v/>
      </c>
      <c r="R90" s="26" t="str">
        <f aca="false">IF($C90="","",IF(AND(ISNUMBER($G90),$G90&gt;P_HIST),"HISTAMINE "&amp;TEXT($G90,"#,##0")&amp;" mg/kg &gt; seuil "&amp;TEXT(P_HIST,"#,##0")&amp;". ","")&amp;IF(AND(ISNUMBER($F90),$O90="CONGELE",$F90&gt;P_TCONG),"TEMPERATURE "&amp;TEXT($F90,"0.0")&amp;" C hors seuil congele. ","")&amp;IF(AND(ISNUMBER($F90),$O90="FRAIS",$F90&gt;P_TFRAIS),"TEMPERATURE "&amp;TEXT($F90,"0.0")&amp;" C hors seuil frais. ","")&amp;IF($Q90="EMPLACEMENT INCOHERENT","Lot absent de cet emplacement : controle conserve, stock inchange. ","")&amp;IF($Q90="DONNEES MANQUANTES","Renseigner la DATE et au moins une mesure. ",""))</f>
        <v/>
      </c>
      <c r="S90" s="28" t="n">
        <f aca="false">IF($C90="",0,IF($C90=R_LOT,1,0))</f>
        <v>0</v>
      </c>
      <c r="T90" s="26" t="str">
        <f aca="false">IF($S90=0,"",COUNTIF($S$5:$S90,1))</f>
        <v/>
      </c>
    </row>
    <row r="91" customFormat="false" ht="15" hidden="false" customHeight="false" outlineLevel="0" collapsed="false">
      <c r="A91" s="26" t="str">
        <f aca="false">IF($C91="","","QC-"&amp;TEXT(ROW()-4,"000"))</f>
        <v/>
      </c>
      <c r="B91" s="25"/>
      <c r="C91" s="24"/>
      <c r="D91" s="24"/>
      <c r="E91" s="24"/>
      <c r="F91" s="32"/>
      <c r="G91" s="33"/>
      <c r="H91" s="24"/>
      <c r="I91" s="24"/>
      <c r="J91" s="24"/>
      <c r="K91" s="24"/>
      <c r="L91" s="24"/>
      <c r="M91" s="24"/>
      <c r="N91" s="26" t="str">
        <f aca="false">IF($C91="","",IFERROR(INDEX(LOT_PRODE,MATCH($C91,LOT_KEY,0)),"LOT NON REFERENCE"))</f>
        <v/>
      </c>
      <c r="O91" s="26" t="str">
        <f aca="false">IF($C91="","",IFERROR(INDEX(LOT_CONSERVE,MATCH($C91,LOT_KEY,0)),""))</f>
        <v/>
      </c>
      <c r="P91" s="27" t="str">
        <f aca="false">IF(OR($C91="",$D91=""),"",SUMIFS(MVT_NET,MVT_LOT,$C91,MVT_EMPL,$D91))</f>
        <v/>
      </c>
      <c r="Q91" s="26" t="str">
        <f aca="false">IF($C91="","",IF(OR($B91="",AND($F91="",$G91="",$H91="",$I91="",$J91="",$K91="")),"DONNEES MANQUANTES",IF(AND($D91&lt;&gt;"",$P91&lt;=0),"EMPLACEMENT INCOHERENT","OK")))</f>
        <v/>
      </c>
      <c r="R91" s="26" t="str">
        <f aca="false">IF($C91="","",IF(AND(ISNUMBER($G91),$G91&gt;P_HIST),"HISTAMINE "&amp;TEXT($G91,"#,##0")&amp;" mg/kg &gt; seuil "&amp;TEXT(P_HIST,"#,##0")&amp;". ","")&amp;IF(AND(ISNUMBER($F91),$O91="CONGELE",$F91&gt;P_TCONG),"TEMPERATURE "&amp;TEXT($F91,"0.0")&amp;" C hors seuil congele. ","")&amp;IF(AND(ISNUMBER($F91),$O91="FRAIS",$F91&gt;P_TFRAIS),"TEMPERATURE "&amp;TEXT($F91,"0.0")&amp;" C hors seuil frais. ","")&amp;IF($Q91="EMPLACEMENT INCOHERENT","Lot absent de cet emplacement : controle conserve, stock inchange. ","")&amp;IF($Q91="DONNEES MANQUANTES","Renseigner la DATE et au moins une mesure. ",""))</f>
        <v/>
      </c>
      <c r="S91" s="28" t="n">
        <f aca="false">IF($C91="",0,IF($C91=R_LOT,1,0))</f>
        <v>0</v>
      </c>
      <c r="T91" s="26" t="str">
        <f aca="false">IF($S91=0,"",COUNTIF($S$5:$S91,1))</f>
        <v/>
      </c>
    </row>
    <row r="92" customFormat="false" ht="15" hidden="false" customHeight="false" outlineLevel="0" collapsed="false">
      <c r="A92" s="26" t="str">
        <f aca="false">IF($C92="","","QC-"&amp;TEXT(ROW()-4,"000"))</f>
        <v/>
      </c>
      <c r="B92" s="25"/>
      <c r="C92" s="24"/>
      <c r="D92" s="24"/>
      <c r="E92" s="24"/>
      <c r="F92" s="32"/>
      <c r="G92" s="33"/>
      <c r="H92" s="24"/>
      <c r="I92" s="24"/>
      <c r="J92" s="24"/>
      <c r="K92" s="24"/>
      <c r="L92" s="24"/>
      <c r="M92" s="24"/>
      <c r="N92" s="26" t="str">
        <f aca="false">IF($C92="","",IFERROR(INDEX(LOT_PRODE,MATCH($C92,LOT_KEY,0)),"LOT NON REFERENCE"))</f>
        <v/>
      </c>
      <c r="O92" s="26" t="str">
        <f aca="false">IF($C92="","",IFERROR(INDEX(LOT_CONSERVE,MATCH($C92,LOT_KEY,0)),""))</f>
        <v/>
      </c>
      <c r="P92" s="27" t="str">
        <f aca="false">IF(OR($C92="",$D92=""),"",SUMIFS(MVT_NET,MVT_LOT,$C92,MVT_EMPL,$D92))</f>
        <v/>
      </c>
      <c r="Q92" s="26" t="str">
        <f aca="false">IF($C92="","",IF(OR($B92="",AND($F92="",$G92="",$H92="",$I92="",$J92="",$K92="")),"DONNEES MANQUANTES",IF(AND($D92&lt;&gt;"",$P92&lt;=0),"EMPLACEMENT INCOHERENT","OK")))</f>
        <v/>
      </c>
      <c r="R92" s="26" t="str">
        <f aca="false">IF($C92="","",IF(AND(ISNUMBER($G92),$G92&gt;P_HIST),"HISTAMINE "&amp;TEXT($G92,"#,##0")&amp;" mg/kg &gt; seuil "&amp;TEXT(P_HIST,"#,##0")&amp;". ","")&amp;IF(AND(ISNUMBER($F92),$O92="CONGELE",$F92&gt;P_TCONG),"TEMPERATURE "&amp;TEXT($F92,"0.0")&amp;" C hors seuil congele. ","")&amp;IF(AND(ISNUMBER($F92),$O92="FRAIS",$F92&gt;P_TFRAIS),"TEMPERATURE "&amp;TEXT($F92,"0.0")&amp;" C hors seuil frais. ","")&amp;IF($Q92="EMPLACEMENT INCOHERENT","Lot absent de cet emplacement : controle conserve, stock inchange. ","")&amp;IF($Q92="DONNEES MANQUANTES","Renseigner la DATE et au moins une mesure. ",""))</f>
        <v/>
      </c>
      <c r="S92" s="28" t="n">
        <f aca="false">IF($C92="",0,IF($C92=R_LOT,1,0))</f>
        <v>0</v>
      </c>
      <c r="T92" s="26" t="str">
        <f aca="false">IF($S92=0,"",COUNTIF($S$5:$S92,1))</f>
        <v/>
      </c>
    </row>
    <row r="93" customFormat="false" ht="15" hidden="false" customHeight="false" outlineLevel="0" collapsed="false">
      <c r="A93" s="26" t="str">
        <f aca="false">IF($C93="","","QC-"&amp;TEXT(ROW()-4,"000"))</f>
        <v/>
      </c>
      <c r="B93" s="25"/>
      <c r="C93" s="24"/>
      <c r="D93" s="24"/>
      <c r="E93" s="24"/>
      <c r="F93" s="32"/>
      <c r="G93" s="33"/>
      <c r="H93" s="24"/>
      <c r="I93" s="24"/>
      <c r="J93" s="24"/>
      <c r="K93" s="24"/>
      <c r="L93" s="24"/>
      <c r="M93" s="24"/>
      <c r="N93" s="26" t="str">
        <f aca="false">IF($C93="","",IFERROR(INDEX(LOT_PRODE,MATCH($C93,LOT_KEY,0)),"LOT NON REFERENCE"))</f>
        <v/>
      </c>
      <c r="O93" s="26" t="str">
        <f aca="false">IF($C93="","",IFERROR(INDEX(LOT_CONSERVE,MATCH($C93,LOT_KEY,0)),""))</f>
        <v/>
      </c>
      <c r="P93" s="27" t="str">
        <f aca="false">IF(OR($C93="",$D93=""),"",SUMIFS(MVT_NET,MVT_LOT,$C93,MVT_EMPL,$D93))</f>
        <v/>
      </c>
      <c r="Q93" s="26" t="str">
        <f aca="false">IF($C93="","",IF(OR($B93="",AND($F93="",$G93="",$H93="",$I93="",$J93="",$K93="")),"DONNEES MANQUANTES",IF(AND($D93&lt;&gt;"",$P93&lt;=0),"EMPLACEMENT INCOHERENT","OK")))</f>
        <v/>
      </c>
      <c r="R93" s="26" t="str">
        <f aca="false">IF($C93="","",IF(AND(ISNUMBER($G93),$G93&gt;P_HIST),"HISTAMINE "&amp;TEXT($G93,"#,##0")&amp;" mg/kg &gt; seuil "&amp;TEXT(P_HIST,"#,##0")&amp;". ","")&amp;IF(AND(ISNUMBER($F93),$O93="CONGELE",$F93&gt;P_TCONG),"TEMPERATURE "&amp;TEXT($F93,"0.0")&amp;" C hors seuil congele. ","")&amp;IF(AND(ISNUMBER($F93),$O93="FRAIS",$F93&gt;P_TFRAIS),"TEMPERATURE "&amp;TEXT($F93,"0.0")&amp;" C hors seuil frais. ","")&amp;IF($Q93="EMPLACEMENT INCOHERENT","Lot absent de cet emplacement : controle conserve, stock inchange. ","")&amp;IF($Q93="DONNEES MANQUANTES","Renseigner la DATE et au moins une mesure. ",""))</f>
        <v/>
      </c>
      <c r="S93" s="28" t="n">
        <f aca="false">IF($C93="",0,IF($C93=R_LOT,1,0))</f>
        <v>0</v>
      </c>
      <c r="T93" s="26" t="str">
        <f aca="false">IF($S93=0,"",COUNTIF($S$5:$S93,1))</f>
        <v/>
      </c>
    </row>
    <row r="94" customFormat="false" ht="15" hidden="false" customHeight="false" outlineLevel="0" collapsed="false">
      <c r="A94" s="26" t="str">
        <f aca="false">IF($C94="","","QC-"&amp;TEXT(ROW()-4,"000"))</f>
        <v/>
      </c>
      <c r="B94" s="25"/>
      <c r="C94" s="24"/>
      <c r="D94" s="24"/>
      <c r="E94" s="24"/>
      <c r="F94" s="32"/>
      <c r="G94" s="33"/>
      <c r="H94" s="24"/>
      <c r="I94" s="24"/>
      <c r="J94" s="24"/>
      <c r="K94" s="24"/>
      <c r="L94" s="24"/>
      <c r="M94" s="24"/>
      <c r="N94" s="26" t="str">
        <f aca="false">IF($C94="","",IFERROR(INDEX(LOT_PRODE,MATCH($C94,LOT_KEY,0)),"LOT NON REFERENCE"))</f>
        <v/>
      </c>
      <c r="O94" s="26" t="str">
        <f aca="false">IF($C94="","",IFERROR(INDEX(LOT_CONSERVE,MATCH($C94,LOT_KEY,0)),""))</f>
        <v/>
      </c>
      <c r="P94" s="27" t="str">
        <f aca="false">IF(OR($C94="",$D94=""),"",SUMIFS(MVT_NET,MVT_LOT,$C94,MVT_EMPL,$D94))</f>
        <v/>
      </c>
      <c r="Q94" s="26" t="str">
        <f aca="false">IF($C94="","",IF(OR($B94="",AND($F94="",$G94="",$H94="",$I94="",$J94="",$K94="")),"DONNEES MANQUANTES",IF(AND($D94&lt;&gt;"",$P94&lt;=0),"EMPLACEMENT INCOHERENT","OK")))</f>
        <v/>
      </c>
      <c r="R94" s="26" t="str">
        <f aca="false">IF($C94="","",IF(AND(ISNUMBER($G94),$G94&gt;P_HIST),"HISTAMINE "&amp;TEXT($G94,"#,##0")&amp;" mg/kg &gt; seuil "&amp;TEXT(P_HIST,"#,##0")&amp;". ","")&amp;IF(AND(ISNUMBER($F94),$O94="CONGELE",$F94&gt;P_TCONG),"TEMPERATURE "&amp;TEXT($F94,"0.0")&amp;" C hors seuil congele. ","")&amp;IF(AND(ISNUMBER($F94),$O94="FRAIS",$F94&gt;P_TFRAIS),"TEMPERATURE "&amp;TEXT($F94,"0.0")&amp;" C hors seuil frais. ","")&amp;IF($Q94="EMPLACEMENT INCOHERENT","Lot absent de cet emplacement : controle conserve, stock inchange. ","")&amp;IF($Q94="DONNEES MANQUANTES","Renseigner la DATE et au moins une mesure. ",""))</f>
        <v/>
      </c>
      <c r="S94" s="28" t="n">
        <f aca="false">IF($C94="",0,IF($C94=R_LOT,1,0))</f>
        <v>0</v>
      </c>
      <c r="T94" s="26" t="str">
        <f aca="false">IF($S94=0,"",COUNTIF($S$5:$S94,1))</f>
        <v/>
      </c>
    </row>
    <row r="95" customFormat="false" ht="15" hidden="false" customHeight="false" outlineLevel="0" collapsed="false">
      <c r="A95" s="26" t="str">
        <f aca="false">IF($C95="","","QC-"&amp;TEXT(ROW()-4,"000"))</f>
        <v/>
      </c>
      <c r="B95" s="25"/>
      <c r="C95" s="24"/>
      <c r="D95" s="24"/>
      <c r="E95" s="24"/>
      <c r="F95" s="32"/>
      <c r="G95" s="33"/>
      <c r="H95" s="24"/>
      <c r="I95" s="24"/>
      <c r="J95" s="24"/>
      <c r="K95" s="24"/>
      <c r="L95" s="24"/>
      <c r="M95" s="24"/>
      <c r="N95" s="26" t="str">
        <f aca="false">IF($C95="","",IFERROR(INDEX(LOT_PRODE,MATCH($C95,LOT_KEY,0)),"LOT NON REFERENCE"))</f>
        <v/>
      </c>
      <c r="O95" s="26" t="str">
        <f aca="false">IF($C95="","",IFERROR(INDEX(LOT_CONSERVE,MATCH($C95,LOT_KEY,0)),""))</f>
        <v/>
      </c>
      <c r="P95" s="27" t="str">
        <f aca="false">IF(OR($C95="",$D95=""),"",SUMIFS(MVT_NET,MVT_LOT,$C95,MVT_EMPL,$D95))</f>
        <v/>
      </c>
      <c r="Q95" s="26" t="str">
        <f aca="false">IF($C95="","",IF(OR($B95="",AND($F95="",$G95="",$H95="",$I95="",$J95="",$K95="")),"DONNEES MANQUANTES",IF(AND($D95&lt;&gt;"",$P95&lt;=0),"EMPLACEMENT INCOHERENT","OK")))</f>
        <v/>
      </c>
      <c r="R95" s="26" t="str">
        <f aca="false">IF($C95="","",IF(AND(ISNUMBER($G95),$G95&gt;P_HIST),"HISTAMINE "&amp;TEXT($G95,"#,##0")&amp;" mg/kg &gt; seuil "&amp;TEXT(P_HIST,"#,##0")&amp;". ","")&amp;IF(AND(ISNUMBER($F95),$O95="CONGELE",$F95&gt;P_TCONG),"TEMPERATURE "&amp;TEXT($F95,"0.0")&amp;" C hors seuil congele. ","")&amp;IF(AND(ISNUMBER($F95),$O95="FRAIS",$F95&gt;P_TFRAIS),"TEMPERATURE "&amp;TEXT($F95,"0.0")&amp;" C hors seuil frais. ","")&amp;IF($Q95="EMPLACEMENT INCOHERENT","Lot absent de cet emplacement : controle conserve, stock inchange. ","")&amp;IF($Q95="DONNEES MANQUANTES","Renseigner la DATE et au moins une mesure. ",""))</f>
        <v/>
      </c>
      <c r="S95" s="28" t="n">
        <f aca="false">IF($C95="",0,IF($C95=R_LOT,1,0))</f>
        <v>0</v>
      </c>
      <c r="T95" s="26" t="str">
        <f aca="false">IF($S95=0,"",COUNTIF($S$5:$S95,1))</f>
        <v/>
      </c>
    </row>
    <row r="96" customFormat="false" ht="15" hidden="false" customHeight="false" outlineLevel="0" collapsed="false">
      <c r="A96" s="26" t="str">
        <f aca="false">IF($C96="","","QC-"&amp;TEXT(ROW()-4,"000"))</f>
        <v/>
      </c>
      <c r="B96" s="25"/>
      <c r="C96" s="24"/>
      <c r="D96" s="24"/>
      <c r="E96" s="24"/>
      <c r="F96" s="32"/>
      <c r="G96" s="33"/>
      <c r="H96" s="24"/>
      <c r="I96" s="24"/>
      <c r="J96" s="24"/>
      <c r="K96" s="24"/>
      <c r="L96" s="24"/>
      <c r="M96" s="24"/>
      <c r="N96" s="26" t="str">
        <f aca="false">IF($C96="","",IFERROR(INDEX(LOT_PRODE,MATCH($C96,LOT_KEY,0)),"LOT NON REFERENCE"))</f>
        <v/>
      </c>
      <c r="O96" s="26" t="str">
        <f aca="false">IF($C96="","",IFERROR(INDEX(LOT_CONSERVE,MATCH($C96,LOT_KEY,0)),""))</f>
        <v/>
      </c>
      <c r="P96" s="27" t="str">
        <f aca="false">IF(OR($C96="",$D96=""),"",SUMIFS(MVT_NET,MVT_LOT,$C96,MVT_EMPL,$D96))</f>
        <v/>
      </c>
      <c r="Q96" s="26" t="str">
        <f aca="false">IF($C96="","",IF(OR($B96="",AND($F96="",$G96="",$H96="",$I96="",$J96="",$K96="")),"DONNEES MANQUANTES",IF(AND($D96&lt;&gt;"",$P96&lt;=0),"EMPLACEMENT INCOHERENT","OK")))</f>
        <v/>
      </c>
      <c r="R96" s="26" t="str">
        <f aca="false">IF($C96="","",IF(AND(ISNUMBER($G96),$G96&gt;P_HIST),"HISTAMINE "&amp;TEXT($G96,"#,##0")&amp;" mg/kg &gt; seuil "&amp;TEXT(P_HIST,"#,##0")&amp;". ","")&amp;IF(AND(ISNUMBER($F96),$O96="CONGELE",$F96&gt;P_TCONG),"TEMPERATURE "&amp;TEXT($F96,"0.0")&amp;" C hors seuil congele. ","")&amp;IF(AND(ISNUMBER($F96),$O96="FRAIS",$F96&gt;P_TFRAIS),"TEMPERATURE "&amp;TEXT($F96,"0.0")&amp;" C hors seuil frais. ","")&amp;IF($Q96="EMPLACEMENT INCOHERENT","Lot absent de cet emplacement : controle conserve, stock inchange. ","")&amp;IF($Q96="DONNEES MANQUANTES","Renseigner la DATE et au moins une mesure. ",""))</f>
        <v/>
      </c>
      <c r="S96" s="28" t="n">
        <f aca="false">IF($C96="",0,IF($C96=R_LOT,1,0))</f>
        <v>0</v>
      </c>
      <c r="T96" s="26" t="str">
        <f aca="false">IF($S96=0,"",COUNTIF($S$5:$S96,1))</f>
        <v/>
      </c>
    </row>
    <row r="97" customFormat="false" ht="15" hidden="false" customHeight="false" outlineLevel="0" collapsed="false">
      <c r="A97" s="26" t="str">
        <f aca="false">IF($C97="","","QC-"&amp;TEXT(ROW()-4,"000"))</f>
        <v/>
      </c>
      <c r="B97" s="25"/>
      <c r="C97" s="24"/>
      <c r="D97" s="24"/>
      <c r="E97" s="24"/>
      <c r="F97" s="32"/>
      <c r="G97" s="33"/>
      <c r="H97" s="24"/>
      <c r="I97" s="24"/>
      <c r="J97" s="24"/>
      <c r="K97" s="24"/>
      <c r="L97" s="24"/>
      <c r="M97" s="24"/>
      <c r="N97" s="26" t="str">
        <f aca="false">IF($C97="","",IFERROR(INDEX(LOT_PRODE,MATCH($C97,LOT_KEY,0)),"LOT NON REFERENCE"))</f>
        <v/>
      </c>
      <c r="O97" s="26" t="str">
        <f aca="false">IF($C97="","",IFERROR(INDEX(LOT_CONSERVE,MATCH($C97,LOT_KEY,0)),""))</f>
        <v/>
      </c>
      <c r="P97" s="27" t="str">
        <f aca="false">IF(OR($C97="",$D97=""),"",SUMIFS(MVT_NET,MVT_LOT,$C97,MVT_EMPL,$D97))</f>
        <v/>
      </c>
      <c r="Q97" s="26" t="str">
        <f aca="false">IF($C97="","",IF(OR($B97="",AND($F97="",$G97="",$H97="",$I97="",$J97="",$K97="")),"DONNEES MANQUANTES",IF(AND($D97&lt;&gt;"",$P97&lt;=0),"EMPLACEMENT INCOHERENT","OK")))</f>
        <v/>
      </c>
      <c r="R97" s="26" t="str">
        <f aca="false">IF($C97="","",IF(AND(ISNUMBER($G97),$G97&gt;P_HIST),"HISTAMINE "&amp;TEXT($G97,"#,##0")&amp;" mg/kg &gt; seuil "&amp;TEXT(P_HIST,"#,##0")&amp;". ","")&amp;IF(AND(ISNUMBER($F97),$O97="CONGELE",$F97&gt;P_TCONG),"TEMPERATURE "&amp;TEXT($F97,"0.0")&amp;" C hors seuil congele. ","")&amp;IF(AND(ISNUMBER($F97),$O97="FRAIS",$F97&gt;P_TFRAIS),"TEMPERATURE "&amp;TEXT($F97,"0.0")&amp;" C hors seuil frais. ","")&amp;IF($Q97="EMPLACEMENT INCOHERENT","Lot absent de cet emplacement : controle conserve, stock inchange. ","")&amp;IF($Q97="DONNEES MANQUANTES","Renseigner la DATE et au moins une mesure. ",""))</f>
        <v/>
      </c>
      <c r="S97" s="28" t="n">
        <f aca="false">IF($C97="",0,IF($C97=R_LOT,1,0))</f>
        <v>0</v>
      </c>
      <c r="T97" s="26" t="str">
        <f aca="false">IF($S97=0,"",COUNTIF($S$5:$S97,1))</f>
        <v/>
      </c>
    </row>
    <row r="98" customFormat="false" ht="15" hidden="false" customHeight="false" outlineLevel="0" collapsed="false">
      <c r="A98" s="26" t="str">
        <f aca="false">IF($C98="","","QC-"&amp;TEXT(ROW()-4,"000"))</f>
        <v/>
      </c>
      <c r="B98" s="25"/>
      <c r="C98" s="24"/>
      <c r="D98" s="24"/>
      <c r="E98" s="24"/>
      <c r="F98" s="32"/>
      <c r="G98" s="33"/>
      <c r="H98" s="24"/>
      <c r="I98" s="24"/>
      <c r="J98" s="24"/>
      <c r="K98" s="24"/>
      <c r="L98" s="24"/>
      <c r="M98" s="24"/>
      <c r="N98" s="26" t="str">
        <f aca="false">IF($C98="","",IFERROR(INDEX(LOT_PRODE,MATCH($C98,LOT_KEY,0)),"LOT NON REFERENCE"))</f>
        <v/>
      </c>
      <c r="O98" s="26" t="str">
        <f aca="false">IF($C98="","",IFERROR(INDEX(LOT_CONSERVE,MATCH($C98,LOT_KEY,0)),""))</f>
        <v/>
      </c>
      <c r="P98" s="27" t="str">
        <f aca="false">IF(OR($C98="",$D98=""),"",SUMIFS(MVT_NET,MVT_LOT,$C98,MVT_EMPL,$D98))</f>
        <v/>
      </c>
      <c r="Q98" s="26" t="str">
        <f aca="false">IF($C98="","",IF(OR($B98="",AND($F98="",$G98="",$H98="",$I98="",$J98="",$K98="")),"DONNEES MANQUANTES",IF(AND($D98&lt;&gt;"",$P98&lt;=0),"EMPLACEMENT INCOHERENT","OK")))</f>
        <v/>
      </c>
      <c r="R98" s="26" t="str">
        <f aca="false">IF($C98="","",IF(AND(ISNUMBER($G98),$G98&gt;P_HIST),"HISTAMINE "&amp;TEXT($G98,"#,##0")&amp;" mg/kg &gt; seuil "&amp;TEXT(P_HIST,"#,##0")&amp;". ","")&amp;IF(AND(ISNUMBER($F98),$O98="CONGELE",$F98&gt;P_TCONG),"TEMPERATURE "&amp;TEXT($F98,"0.0")&amp;" C hors seuil congele. ","")&amp;IF(AND(ISNUMBER($F98),$O98="FRAIS",$F98&gt;P_TFRAIS),"TEMPERATURE "&amp;TEXT($F98,"0.0")&amp;" C hors seuil frais. ","")&amp;IF($Q98="EMPLACEMENT INCOHERENT","Lot absent de cet emplacement : controle conserve, stock inchange. ","")&amp;IF($Q98="DONNEES MANQUANTES","Renseigner la DATE et au moins une mesure. ",""))</f>
        <v/>
      </c>
      <c r="S98" s="28" t="n">
        <f aca="false">IF($C98="",0,IF($C98=R_LOT,1,0))</f>
        <v>0</v>
      </c>
      <c r="T98" s="26" t="str">
        <f aca="false">IF($S98=0,"",COUNTIF($S$5:$S98,1))</f>
        <v/>
      </c>
    </row>
    <row r="99" customFormat="false" ht="15" hidden="false" customHeight="false" outlineLevel="0" collapsed="false">
      <c r="A99" s="26" t="str">
        <f aca="false">IF($C99="","","QC-"&amp;TEXT(ROW()-4,"000"))</f>
        <v/>
      </c>
      <c r="B99" s="25"/>
      <c r="C99" s="24"/>
      <c r="D99" s="24"/>
      <c r="E99" s="24"/>
      <c r="F99" s="32"/>
      <c r="G99" s="33"/>
      <c r="H99" s="24"/>
      <c r="I99" s="24"/>
      <c r="J99" s="24"/>
      <c r="K99" s="24"/>
      <c r="L99" s="24"/>
      <c r="M99" s="24"/>
      <c r="N99" s="26" t="str">
        <f aca="false">IF($C99="","",IFERROR(INDEX(LOT_PRODE,MATCH($C99,LOT_KEY,0)),"LOT NON REFERENCE"))</f>
        <v/>
      </c>
      <c r="O99" s="26" t="str">
        <f aca="false">IF($C99="","",IFERROR(INDEX(LOT_CONSERVE,MATCH($C99,LOT_KEY,0)),""))</f>
        <v/>
      </c>
      <c r="P99" s="27" t="str">
        <f aca="false">IF(OR($C99="",$D99=""),"",SUMIFS(MVT_NET,MVT_LOT,$C99,MVT_EMPL,$D99))</f>
        <v/>
      </c>
      <c r="Q99" s="26" t="str">
        <f aca="false">IF($C99="","",IF(OR($B99="",AND($F99="",$G99="",$H99="",$I99="",$J99="",$K99="")),"DONNEES MANQUANTES",IF(AND($D99&lt;&gt;"",$P99&lt;=0),"EMPLACEMENT INCOHERENT","OK")))</f>
        <v/>
      </c>
      <c r="R99" s="26" t="str">
        <f aca="false">IF($C99="","",IF(AND(ISNUMBER($G99),$G99&gt;P_HIST),"HISTAMINE "&amp;TEXT($G99,"#,##0")&amp;" mg/kg &gt; seuil "&amp;TEXT(P_HIST,"#,##0")&amp;". ","")&amp;IF(AND(ISNUMBER($F99),$O99="CONGELE",$F99&gt;P_TCONG),"TEMPERATURE "&amp;TEXT($F99,"0.0")&amp;" C hors seuil congele. ","")&amp;IF(AND(ISNUMBER($F99),$O99="FRAIS",$F99&gt;P_TFRAIS),"TEMPERATURE "&amp;TEXT($F99,"0.0")&amp;" C hors seuil frais. ","")&amp;IF($Q99="EMPLACEMENT INCOHERENT","Lot absent de cet emplacement : controle conserve, stock inchange. ","")&amp;IF($Q99="DONNEES MANQUANTES","Renseigner la DATE et au moins une mesure. ",""))</f>
        <v/>
      </c>
      <c r="S99" s="28" t="n">
        <f aca="false">IF($C99="",0,IF($C99=R_LOT,1,0))</f>
        <v>0</v>
      </c>
      <c r="T99" s="26" t="str">
        <f aca="false">IF($S99=0,"",COUNTIF($S$5:$S99,1))</f>
        <v/>
      </c>
    </row>
    <row r="100" customFormat="false" ht="15" hidden="false" customHeight="false" outlineLevel="0" collapsed="false">
      <c r="A100" s="26" t="str">
        <f aca="false">IF($C100="","","QC-"&amp;TEXT(ROW()-4,"000"))</f>
        <v/>
      </c>
      <c r="B100" s="25"/>
      <c r="C100" s="24"/>
      <c r="D100" s="24"/>
      <c r="E100" s="24"/>
      <c r="F100" s="32"/>
      <c r="G100" s="33"/>
      <c r="H100" s="24"/>
      <c r="I100" s="24"/>
      <c r="J100" s="24"/>
      <c r="K100" s="24"/>
      <c r="L100" s="24"/>
      <c r="M100" s="24"/>
      <c r="N100" s="26" t="str">
        <f aca="false">IF($C100="","",IFERROR(INDEX(LOT_PRODE,MATCH($C100,LOT_KEY,0)),"LOT NON REFERENCE"))</f>
        <v/>
      </c>
      <c r="O100" s="26" t="str">
        <f aca="false">IF($C100="","",IFERROR(INDEX(LOT_CONSERVE,MATCH($C100,LOT_KEY,0)),""))</f>
        <v/>
      </c>
      <c r="P100" s="27" t="str">
        <f aca="false">IF(OR($C100="",$D100=""),"",SUMIFS(MVT_NET,MVT_LOT,$C100,MVT_EMPL,$D100))</f>
        <v/>
      </c>
      <c r="Q100" s="26" t="str">
        <f aca="false">IF($C100="","",IF(OR($B100="",AND($F100="",$G100="",$H100="",$I100="",$J100="",$K100="")),"DONNEES MANQUANTES",IF(AND($D100&lt;&gt;"",$P100&lt;=0),"EMPLACEMENT INCOHERENT","OK")))</f>
        <v/>
      </c>
      <c r="R100" s="26" t="str">
        <f aca="false">IF($C100="","",IF(AND(ISNUMBER($G100),$G100&gt;P_HIST),"HISTAMINE "&amp;TEXT($G100,"#,##0")&amp;" mg/kg &gt; seuil "&amp;TEXT(P_HIST,"#,##0")&amp;". ","")&amp;IF(AND(ISNUMBER($F100),$O100="CONGELE",$F100&gt;P_TCONG),"TEMPERATURE "&amp;TEXT($F100,"0.0")&amp;" C hors seuil congele. ","")&amp;IF(AND(ISNUMBER($F100),$O100="FRAIS",$F100&gt;P_TFRAIS),"TEMPERATURE "&amp;TEXT($F100,"0.0")&amp;" C hors seuil frais. ","")&amp;IF($Q100="EMPLACEMENT INCOHERENT","Lot absent de cet emplacement : controle conserve, stock inchange. ","")&amp;IF($Q100="DONNEES MANQUANTES","Renseigner la DATE et au moins une mesure. ",""))</f>
        <v/>
      </c>
      <c r="S100" s="28" t="n">
        <f aca="false">IF($C100="",0,IF($C100=R_LOT,1,0))</f>
        <v>0</v>
      </c>
      <c r="T100" s="26" t="str">
        <f aca="false">IF($S100=0,"",COUNTIF($S$5:$S100,1))</f>
        <v/>
      </c>
    </row>
    <row r="101" customFormat="false" ht="15" hidden="false" customHeight="false" outlineLevel="0" collapsed="false">
      <c r="A101" s="26" t="str">
        <f aca="false">IF($C101="","","QC-"&amp;TEXT(ROW()-4,"000"))</f>
        <v/>
      </c>
      <c r="B101" s="25"/>
      <c r="C101" s="24"/>
      <c r="D101" s="24"/>
      <c r="E101" s="24"/>
      <c r="F101" s="32"/>
      <c r="G101" s="33"/>
      <c r="H101" s="24"/>
      <c r="I101" s="24"/>
      <c r="J101" s="24"/>
      <c r="K101" s="24"/>
      <c r="L101" s="24"/>
      <c r="M101" s="24"/>
      <c r="N101" s="26" t="str">
        <f aca="false">IF($C101="","",IFERROR(INDEX(LOT_PRODE,MATCH($C101,LOT_KEY,0)),"LOT NON REFERENCE"))</f>
        <v/>
      </c>
      <c r="O101" s="26" t="str">
        <f aca="false">IF($C101="","",IFERROR(INDEX(LOT_CONSERVE,MATCH($C101,LOT_KEY,0)),""))</f>
        <v/>
      </c>
      <c r="P101" s="27" t="str">
        <f aca="false">IF(OR($C101="",$D101=""),"",SUMIFS(MVT_NET,MVT_LOT,$C101,MVT_EMPL,$D101))</f>
        <v/>
      </c>
      <c r="Q101" s="26" t="str">
        <f aca="false">IF($C101="","",IF(OR($B101="",AND($F101="",$G101="",$H101="",$I101="",$J101="",$K101="")),"DONNEES MANQUANTES",IF(AND($D101&lt;&gt;"",$P101&lt;=0),"EMPLACEMENT INCOHERENT","OK")))</f>
        <v/>
      </c>
      <c r="R101" s="26" t="str">
        <f aca="false">IF($C101="","",IF(AND(ISNUMBER($G101),$G101&gt;P_HIST),"HISTAMINE "&amp;TEXT($G101,"#,##0")&amp;" mg/kg &gt; seuil "&amp;TEXT(P_HIST,"#,##0")&amp;". ","")&amp;IF(AND(ISNUMBER($F101),$O101="CONGELE",$F101&gt;P_TCONG),"TEMPERATURE "&amp;TEXT($F101,"0.0")&amp;" C hors seuil congele. ","")&amp;IF(AND(ISNUMBER($F101),$O101="FRAIS",$F101&gt;P_TFRAIS),"TEMPERATURE "&amp;TEXT($F101,"0.0")&amp;" C hors seuil frais. ","")&amp;IF($Q101="EMPLACEMENT INCOHERENT","Lot absent de cet emplacement : controle conserve, stock inchange. ","")&amp;IF($Q101="DONNEES MANQUANTES","Renseigner la DATE et au moins une mesure. ",""))</f>
        <v/>
      </c>
      <c r="S101" s="28" t="n">
        <f aca="false">IF($C101="",0,IF($C101=R_LOT,1,0))</f>
        <v>0</v>
      </c>
      <c r="T101" s="26" t="str">
        <f aca="false">IF($S101=0,"",COUNTIF($S$5:$S101,1))</f>
        <v/>
      </c>
    </row>
    <row r="102" customFormat="false" ht="15" hidden="false" customHeight="false" outlineLevel="0" collapsed="false">
      <c r="A102" s="26" t="str">
        <f aca="false">IF($C102="","","QC-"&amp;TEXT(ROW()-4,"000"))</f>
        <v/>
      </c>
      <c r="B102" s="25"/>
      <c r="C102" s="24"/>
      <c r="D102" s="24"/>
      <c r="E102" s="24"/>
      <c r="F102" s="32"/>
      <c r="G102" s="33"/>
      <c r="H102" s="24"/>
      <c r="I102" s="24"/>
      <c r="J102" s="24"/>
      <c r="K102" s="24"/>
      <c r="L102" s="24"/>
      <c r="M102" s="24"/>
      <c r="N102" s="26" t="str">
        <f aca="false">IF($C102="","",IFERROR(INDEX(LOT_PRODE,MATCH($C102,LOT_KEY,0)),"LOT NON REFERENCE"))</f>
        <v/>
      </c>
      <c r="O102" s="26" t="str">
        <f aca="false">IF($C102="","",IFERROR(INDEX(LOT_CONSERVE,MATCH($C102,LOT_KEY,0)),""))</f>
        <v/>
      </c>
      <c r="P102" s="27" t="str">
        <f aca="false">IF(OR($C102="",$D102=""),"",SUMIFS(MVT_NET,MVT_LOT,$C102,MVT_EMPL,$D102))</f>
        <v/>
      </c>
      <c r="Q102" s="26" t="str">
        <f aca="false">IF($C102="","",IF(OR($B102="",AND($F102="",$G102="",$H102="",$I102="",$J102="",$K102="")),"DONNEES MANQUANTES",IF(AND($D102&lt;&gt;"",$P102&lt;=0),"EMPLACEMENT INCOHERENT","OK")))</f>
        <v/>
      </c>
      <c r="R102" s="26" t="str">
        <f aca="false">IF($C102="","",IF(AND(ISNUMBER($G102),$G102&gt;P_HIST),"HISTAMINE "&amp;TEXT($G102,"#,##0")&amp;" mg/kg &gt; seuil "&amp;TEXT(P_HIST,"#,##0")&amp;". ","")&amp;IF(AND(ISNUMBER($F102),$O102="CONGELE",$F102&gt;P_TCONG),"TEMPERATURE "&amp;TEXT($F102,"0.0")&amp;" C hors seuil congele. ","")&amp;IF(AND(ISNUMBER($F102),$O102="FRAIS",$F102&gt;P_TFRAIS),"TEMPERATURE "&amp;TEXT($F102,"0.0")&amp;" C hors seuil frais. ","")&amp;IF($Q102="EMPLACEMENT INCOHERENT","Lot absent de cet emplacement : controle conserve, stock inchange. ","")&amp;IF($Q102="DONNEES MANQUANTES","Renseigner la DATE et au moins une mesure. ",""))</f>
        <v/>
      </c>
      <c r="S102" s="28" t="n">
        <f aca="false">IF($C102="",0,IF($C102=R_LOT,1,0))</f>
        <v>0</v>
      </c>
      <c r="T102" s="26" t="str">
        <f aca="false">IF($S102=0,"",COUNTIF($S$5:$S102,1))</f>
        <v/>
      </c>
    </row>
    <row r="103" customFormat="false" ht="15" hidden="false" customHeight="false" outlineLevel="0" collapsed="false">
      <c r="A103" s="26" t="str">
        <f aca="false">IF($C103="","","QC-"&amp;TEXT(ROW()-4,"000"))</f>
        <v/>
      </c>
      <c r="B103" s="25"/>
      <c r="C103" s="24"/>
      <c r="D103" s="24"/>
      <c r="E103" s="24"/>
      <c r="F103" s="32"/>
      <c r="G103" s="33"/>
      <c r="H103" s="24"/>
      <c r="I103" s="24"/>
      <c r="J103" s="24"/>
      <c r="K103" s="24"/>
      <c r="L103" s="24"/>
      <c r="M103" s="24"/>
      <c r="N103" s="26" t="str">
        <f aca="false">IF($C103="","",IFERROR(INDEX(LOT_PRODE,MATCH($C103,LOT_KEY,0)),"LOT NON REFERENCE"))</f>
        <v/>
      </c>
      <c r="O103" s="26" t="str">
        <f aca="false">IF($C103="","",IFERROR(INDEX(LOT_CONSERVE,MATCH($C103,LOT_KEY,0)),""))</f>
        <v/>
      </c>
      <c r="P103" s="27" t="str">
        <f aca="false">IF(OR($C103="",$D103=""),"",SUMIFS(MVT_NET,MVT_LOT,$C103,MVT_EMPL,$D103))</f>
        <v/>
      </c>
      <c r="Q103" s="26" t="str">
        <f aca="false">IF($C103="","",IF(OR($B103="",AND($F103="",$G103="",$H103="",$I103="",$J103="",$K103="")),"DONNEES MANQUANTES",IF(AND($D103&lt;&gt;"",$P103&lt;=0),"EMPLACEMENT INCOHERENT","OK")))</f>
        <v/>
      </c>
      <c r="R103" s="26" t="str">
        <f aca="false">IF($C103="","",IF(AND(ISNUMBER($G103),$G103&gt;P_HIST),"HISTAMINE "&amp;TEXT($G103,"#,##0")&amp;" mg/kg &gt; seuil "&amp;TEXT(P_HIST,"#,##0")&amp;". ","")&amp;IF(AND(ISNUMBER($F103),$O103="CONGELE",$F103&gt;P_TCONG),"TEMPERATURE "&amp;TEXT($F103,"0.0")&amp;" C hors seuil congele. ","")&amp;IF(AND(ISNUMBER($F103),$O103="FRAIS",$F103&gt;P_TFRAIS),"TEMPERATURE "&amp;TEXT($F103,"0.0")&amp;" C hors seuil frais. ","")&amp;IF($Q103="EMPLACEMENT INCOHERENT","Lot absent de cet emplacement : controle conserve, stock inchange. ","")&amp;IF($Q103="DONNEES MANQUANTES","Renseigner la DATE et au moins une mesure. ",""))</f>
        <v/>
      </c>
      <c r="S103" s="28" t="n">
        <f aca="false">IF($C103="",0,IF($C103=R_LOT,1,0))</f>
        <v>0</v>
      </c>
      <c r="T103" s="26" t="str">
        <f aca="false">IF($S103=0,"",COUNTIF($S$5:$S103,1))</f>
        <v/>
      </c>
    </row>
    <row r="104" customFormat="false" ht="15" hidden="false" customHeight="false" outlineLevel="0" collapsed="false">
      <c r="A104" s="26" t="str">
        <f aca="false">IF($C104="","","QC-"&amp;TEXT(ROW()-4,"000"))</f>
        <v/>
      </c>
      <c r="B104" s="25"/>
      <c r="C104" s="24"/>
      <c r="D104" s="24"/>
      <c r="E104" s="24"/>
      <c r="F104" s="32"/>
      <c r="G104" s="33"/>
      <c r="H104" s="24"/>
      <c r="I104" s="24"/>
      <c r="J104" s="24"/>
      <c r="K104" s="24"/>
      <c r="L104" s="24"/>
      <c r="M104" s="24"/>
      <c r="N104" s="26" t="str">
        <f aca="false">IF($C104="","",IFERROR(INDEX(LOT_PRODE,MATCH($C104,LOT_KEY,0)),"LOT NON REFERENCE"))</f>
        <v/>
      </c>
      <c r="O104" s="26" t="str">
        <f aca="false">IF($C104="","",IFERROR(INDEX(LOT_CONSERVE,MATCH($C104,LOT_KEY,0)),""))</f>
        <v/>
      </c>
      <c r="P104" s="27" t="str">
        <f aca="false">IF(OR($C104="",$D104=""),"",SUMIFS(MVT_NET,MVT_LOT,$C104,MVT_EMPL,$D104))</f>
        <v/>
      </c>
      <c r="Q104" s="26" t="str">
        <f aca="false">IF($C104="","",IF(OR($B104="",AND($F104="",$G104="",$H104="",$I104="",$J104="",$K104="")),"DONNEES MANQUANTES",IF(AND($D104&lt;&gt;"",$P104&lt;=0),"EMPLACEMENT INCOHERENT","OK")))</f>
        <v/>
      </c>
      <c r="R104" s="26" t="str">
        <f aca="false">IF($C104="","",IF(AND(ISNUMBER($G104),$G104&gt;P_HIST),"HISTAMINE "&amp;TEXT($G104,"#,##0")&amp;" mg/kg &gt; seuil "&amp;TEXT(P_HIST,"#,##0")&amp;". ","")&amp;IF(AND(ISNUMBER($F104),$O104="CONGELE",$F104&gt;P_TCONG),"TEMPERATURE "&amp;TEXT($F104,"0.0")&amp;" C hors seuil congele. ","")&amp;IF(AND(ISNUMBER($F104),$O104="FRAIS",$F104&gt;P_TFRAIS),"TEMPERATURE "&amp;TEXT($F104,"0.0")&amp;" C hors seuil frais. ","")&amp;IF($Q104="EMPLACEMENT INCOHERENT","Lot absent de cet emplacement : controle conserve, stock inchange. ","")&amp;IF($Q104="DONNEES MANQUANTES","Renseigner la DATE et au moins une mesure. ",""))</f>
        <v/>
      </c>
      <c r="S104" s="28" t="n">
        <f aca="false">IF($C104="",0,IF($C104=R_LOT,1,0))</f>
        <v>0</v>
      </c>
      <c r="T104" s="26" t="str">
        <f aca="false">IF($S104=0,"",COUNTIF($S$5:$S104,1))</f>
        <v/>
      </c>
    </row>
    <row r="105" customFormat="false" ht="15" hidden="false" customHeight="false" outlineLevel="0" collapsed="false">
      <c r="A105" s="26" t="str">
        <f aca="false">IF($C105="","","QC-"&amp;TEXT(ROW()-4,"000"))</f>
        <v/>
      </c>
      <c r="B105" s="25"/>
      <c r="C105" s="24"/>
      <c r="D105" s="24"/>
      <c r="E105" s="24"/>
      <c r="F105" s="32"/>
      <c r="G105" s="33"/>
      <c r="H105" s="24"/>
      <c r="I105" s="24"/>
      <c r="J105" s="24"/>
      <c r="K105" s="24"/>
      <c r="L105" s="24"/>
      <c r="M105" s="24"/>
      <c r="N105" s="26" t="str">
        <f aca="false">IF($C105="","",IFERROR(INDEX(LOT_PRODE,MATCH($C105,LOT_KEY,0)),"LOT NON REFERENCE"))</f>
        <v/>
      </c>
      <c r="O105" s="26" t="str">
        <f aca="false">IF($C105="","",IFERROR(INDEX(LOT_CONSERVE,MATCH($C105,LOT_KEY,0)),""))</f>
        <v/>
      </c>
      <c r="P105" s="27" t="str">
        <f aca="false">IF(OR($C105="",$D105=""),"",SUMIFS(MVT_NET,MVT_LOT,$C105,MVT_EMPL,$D105))</f>
        <v/>
      </c>
      <c r="Q105" s="26" t="str">
        <f aca="false">IF($C105="","",IF(OR($B105="",AND($F105="",$G105="",$H105="",$I105="",$J105="",$K105="")),"DONNEES MANQUANTES",IF(AND($D105&lt;&gt;"",$P105&lt;=0),"EMPLACEMENT INCOHERENT","OK")))</f>
        <v/>
      </c>
      <c r="R105" s="26" t="str">
        <f aca="false">IF($C105="","",IF(AND(ISNUMBER($G105),$G105&gt;P_HIST),"HISTAMINE "&amp;TEXT($G105,"#,##0")&amp;" mg/kg &gt; seuil "&amp;TEXT(P_HIST,"#,##0")&amp;". ","")&amp;IF(AND(ISNUMBER($F105),$O105="CONGELE",$F105&gt;P_TCONG),"TEMPERATURE "&amp;TEXT($F105,"0.0")&amp;" C hors seuil congele. ","")&amp;IF(AND(ISNUMBER($F105),$O105="FRAIS",$F105&gt;P_TFRAIS),"TEMPERATURE "&amp;TEXT($F105,"0.0")&amp;" C hors seuil frais. ","")&amp;IF($Q105="EMPLACEMENT INCOHERENT","Lot absent de cet emplacement : controle conserve, stock inchange. ","")&amp;IF($Q105="DONNEES MANQUANTES","Renseigner la DATE et au moins une mesure. ",""))</f>
        <v/>
      </c>
      <c r="S105" s="28" t="n">
        <f aca="false">IF($C105="",0,IF($C105=R_LOT,1,0))</f>
        <v>0</v>
      </c>
      <c r="T105" s="26" t="str">
        <f aca="false">IF($S105=0,"",COUNTIF($S$5:$S105,1))</f>
        <v/>
      </c>
    </row>
    <row r="106" customFormat="false" ht="15" hidden="false" customHeight="false" outlineLevel="0" collapsed="false">
      <c r="A106" s="26" t="str">
        <f aca="false">IF($C106="","","QC-"&amp;TEXT(ROW()-4,"000"))</f>
        <v/>
      </c>
      <c r="B106" s="25"/>
      <c r="C106" s="24"/>
      <c r="D106" s="24"/>
      <c r="E106" s="24"/>
      <c r="F106" s="32"/>
      <c r="G106" s="33"/>
      <c r="H106" s="24"/>
      <c r="I106" s="24"/>
      <c r="J106" s="24"/>
      <c r="K106" s="24"/>
      <c r="L106" s="24"/>
      <c r="M106" s="24"/>
      <c r="N106" s="26" t="str">
        <f aca="false">IF($C106="","",IFERROR(INDEX(LOT_PRODE,MATCH($C106,LOT_KEY,0)),"LOT NON REFERENCE"))</f>
        <v/>
      </c>
      <c r="O106" s="26" t="str">
        <f aca="false">IF($C106="","",IFERROR(INDEX(LOT_CONSERVE,MATCH($C106,LOT_KEY,0)),""))</f>
        <v/>
      </c>
      <c r="P106" s="27" t="str">
        <f aca="false">IF(OR($C106="",$D106=""),"",SUMIFS(MVT_NET,MVT_LOT,$C106,MVT_EMPL,$D106))</f>
        <v/>
      </c>
      <c r="Q106" s="26" t="str">
        <f aca="false">IF($C106="","",IF(OR($B106="",AND($F106="",$G106="",$H106="",$I106="",$J106="",$K106="")),"DONNEES MANQUANTES",IF(AND($D106&lt;&gt;"",$P106&lt;=0),"EMPLACEMENT INCOHERENT","OK")))</f>
        <v/>
      </c>
      <c r="R106" s="26" t="str">
        <f aca="false">IF($C106="","",IF(AND(ISNUMBER($G106),$G106&gt;P_HIST),"HISTAMINE "&amp;TEXT($G106,"#,##0")&amp;" mg/kg &gt; seuil "&amp;TEXT(P_HIST,"#,##0")&amp;". ","")&amp;IF(AND(ISNUMBER($F106),$O106="CONGELE",$F106&gt;P_TCONG),"TEMPERATURE "&amp;TEXT($F106,"0.0")&amp;" C hors seuil congele. ","")&amp;IF(AND(ISNUMBER($F106),$O106="FRAIS",$F106&gt;P_TFRAIS),"TEMPERATURE "&amp;TEXT($F106,"0.0")&amp;" C hors seuil frais. ","")&amp;IF($Q106="EMPLACEMENT INCOHERENT","Lot absent de cet emplacement : controle conserve, stock inchange. ","")&amp;IF($Q106="DONNEES MANQUANTES","Renseigner la DATE et au moins une mesure. ",""))</f>
        <v/>
      </c>
      <c r="S106" s="28" t="n">
        <f aca="false">IF($C106="",0,IF($C106=R_LOT,1,0))</f>
        <v>0</v>
      </c>
      <c r="T106" s="26" t="str">
        <f aca="false">IF($S106=0,"",COUNTIF($S$5:$S106,1))</f>
        <v/>
      </c>
    </row>
    <row r="107" customFormat="false" ht="15" hidden="false" customHeight="false" outlineLevel="0" collapsed="false">
      <c r="A107" s="26" t="str">
        <f aca="false">IF($C107="","","QC-"&amp;TEXT(ROW()-4,"000"))</f>
        <v/>
      </c>
      <c r="B107" s="25"/>
      <c r="C107" s="24"/>
      <c r="D107" s="24"/>
      <c r="E107" s="24"/>
      <c r="F107" s="32"/>
      <c r="G107" s="33"/>
      <c r="H107" s="24"/>
      <c r="I107" s="24"/>
      <c r="J107" s="24"/>
      <c r="K107" s="24"/>
      <c r="L107" s="24"/>
      <c r="M107" s="24"/>
      <c r="N107" s="26" t="str">
        <f aca="false">IF($C107="","",IFERROR(INDEX(LOT_PRODE,MATCH($C107,LOT_KEY,0)),"LOT NON REFERENCE"))</f>
        <v/>
      </c>
      <c r="O107" s="26" t="str">
        <f aca="false">IF($C107="","",IFERROR(INDEX(LOT_CONSERVE,MATCH($C107,LOT_KEY,0)),""))</f>
        <v/>
      </c>
      <c r="P107" s="27" t="str">
        <f aca="false">IF(OR($C107="",$D107=""),"",SUMIFS(MVT_NET,MVT_LOT,$C107,MVT_EMPL,$D107))</f>
        <v/>
      </c>
      <c r="Q107" s="26" t="str">
        <f aca="false">IF($C107="","",IF(OR($B107="",AND($F107="",$G107="",$H107="",$I107="",$J107="",$K107="")),"DONNEES MANQUANTES",IF(AND($D107&lt;&gt;"",$P107&lt;=0),"EMPLACEMENT INCOHERENT","OK")))</f>
        <v/>
      </c>
      <c r="R107" s="26" t="str">
        <f aca="false">IF($C107="","",IF(AND(ISNUMBER($G107),$G107&gt;P_HIST),"HISTAMINE "&amp;TEXT($G107,"#,##0")&amp;" mg/kg &gt; seuil "&amp;TEXT(P_HIST,"#,##0")&amp;". ","")&amp;IF(AND(ISNUMBER($F107),$O107="CONGELE",$F107&gt;P_TCONG),"TEMPERATURE "&amp;TEXT($F107,"0.0")&amp;" C hors seuil congele. ","")&amp;IF(AND(ISNUMBER($F107),$O107="FRAIS",$F107&gt;P_TFRAIS),"TEMPERATURE "&amp;TEXT($F107,"0.0")&amp;" C hors seuil frais. ","")&amp;IF($Q107="EMPLACEMENT INCOHERENT","Lot absent de cet emplacement : controle conserve, stock inchange. ","")&amp;IF($Q107="DONNEES MANQUANTES","Renseigner la DATE et au moins une mesure. ",""))</f>
        <v/>
      </c>
      <c r="S107" s="28" t="n">
        <f aca="false">IF($C107="",0,IF($C107=R_LOT,1,0))</f>
        <v>0</v>
      </c>
      <c r="T107" s="26" t="str">
        <f aca="false">IF($S107=0,"",COUNTIF($S$5:$S107,1))</f>
        <v/>
      </c>
    </row>
    <row r="108" customFormat="false" ht="15" hidden="false" customHeight="false" outlineLevel="0" collapsed="false">
      <c r="A108" s="26" t="str">
        <f aca="false">IF($C108="","","QC-"&amp;TEXT(ROW()-4,"000"))</f>
        <v/>
      </c>
      <c r="B108" s="25"/>
      <c r="C108" s="24"/>
      <c r="D108" s="24"/>
      <c r="E108" s="24"/>
      <c r="F108" s="32"/>
      <c r="G108" s="33"/>
      <c r="H108" s="24"/>
      <c r="I108" s="24"/>
      <c r="J108" s="24"/>
      <c r="K108" s="24"/>
      <c r="L108" s="24"/>
      <c r="M108" s="24"/>
      <c r="N108" s="26" t="str">
        <f aca="false">IF($C108="","",IFERROR(INDEX(LOT_PRODE,MATCH($C108,LOT_KEY,0)),"LOT NON REFERENCE"))</f>
        <v/>
      </c>
      <c r="O108" s="26" t="str">
        <f aca="false">IF($C108="","",IFERROR(INDEX(LOT_CONSERVE,MATCH($C108,LOT_KEY,0)),""))</f>
        <v/>
      </c>
      <c r="P108" s="27" t="str">
        <f aca="false">IF(OR($C108="",$D108=""),"",SUMIFS(MVT_NET,MVT_LOT,$C108,MVT_EMPL,$D108))</f>
        <v/>
      </c>
      <c r="Q108" s="26" t="str">
        <f aca="false">IF($C108="","",IF(OR($B108="",AND($F108="",$G108="",$H108="",$I108="",$J108="",$K108="")),"DONNEES MANQUANTES",IF(AND($D108&lt;&gt;"",$P108&lt;=0),"EMPLACEMENT INCOHERENT","OK")))</f>
        <v/>
      </c>
      <c r="R108" s="26" t="str">
        <f aca="false">IF($C108="","",IF(AND(ISNUMBER($G108),$G108&gt;P_HIST),"HISTAMINE "&amp;TEXT($G108,"#,##0")&amp;" mg/kg &gt; seuil "&amp;TEXT(P_HIST,"#,##0")&amp;". ","")&amp;IF(AND(ISNUMBER($F108),$O108="CONGELE",$F108&gt;P_TCONG),"TEMPERATURE "&amp;TEXT($F108,"0.0")&amp;" C hors seuil congele. ","")&amp;IF(AND(ISNUMBER($F108),$O108="FRAIS",$F108&gt;P_TFRAIS),"TEMPERATURE "&amp;TEXT($F108,"0.0")&amp;" C hors seuil frais. ","")&amp;IF($Q108="EMPLACEMENT INCOHERENT","Lot absent de cet emplacement : controle conserve, stock inchange. ","")&amp;IF($Q108="DONNEES MANQUANTES","Renseigner la DATE et au moins une mesure. ",""))</f>
        <v/>
      </c>
      <c r="S108" s="28" t="n">
        <f aca="false">IF($C108="",0,IF($C108=R_LOT,1,0))</f>
        <v>0</v>
      </c>
      <c r="T108" s="26" t="str">
        <f aca="false">IF($S108=0,"",COUNTIF($S$5:$S108,1))</f>
        <v/>
      </c>
    </row>
    <row r="109" customFormat="false" ht="15" hidden="false" customHeight="false" outlineLevel="0" collapsed="false">
      <c r="A109" s="26" t="str">
        <f aca="false">IF($C109="","","QC-"&amp;TEXT(ROW()-4,"000"))</f>
        <v/>
      </c>
      <c r="B109" s="25"/>
      <c r="C109" s="24"/>
      <c r="D109" s="24"/>
      <c r="E109" s="24"/>
      <c r="F109" s="32"/>
      <c r="G109" s="33"/>
      <c r="H109" s="24"/>
      <c r="I109" s="24"/>
      <c r="J109" s="24"/>
      <c r="K109" s="24"/>
      <c r="L109" s="24"/>
      <c r="M109" s="24"/>
      <c r="N109" s="26" t="str">
        <f aca="false">IF($C109="","",IFERROR(INDEX(LOT_PRODE,MATCH($C109,LOT_KEY,0)),"LOT NON REFERENCE"))</f>
        <v/>
      </c>
      <c r="O109" s="26" t="str">
        <f aca="false">IF($C109="","",IFERROR(INDEX(LOT_CONSERVE,MATCH($C109,LOT_KEY,0)),""))</f>
        <v/>
      </c>
      <c r="P109" s="27" t="str">
        <f aca="false">IF(OR($C109="",$D109=""),"",SUMIFS(MVT_NET,MVT_LOT,$C109,MVT_EMPL,$D109))</f>
        <v/>
      </c>
      <c r="Q109" s="26" t="str">
        <f aca="false">IF($C109="","",IF(OR($B109="",AND($F109="",$G109="",$H109="",$I109="",$J109="",$K109="")),"DONNEES MANQUANTES",IF(AND($D109&lt;&gt;"",$P109&lt;=0),"EMPLACEMENT INCOHERENT","OK")))</f>
        <v/>
      </c>
      <c r="R109" s="26" t="str">
        <f aca="false">IF($C109="","",IF(AND(ISNUMBER($G109),$G109&gt;P_HIST),"HISTAMINE "&amp;TEXT($G109,"#,##0")&amp;" mg/kg &gt; seuil "&amp;TEXT(P_HIST,"#,##0")&amp;". ","")&amp;IF(AND(ISNUMBER($F109),$O109="CONGELE",$F109&gt;P_TCONG),"TEMPERATURE "&amp;TEXT($F109,"0.0")&amp;" C hors seuil congele. ","")&amp;IF(AND(ISNUMBER($F109),$O109="FRAIS",$F109&gt;P_TFRAIS),"TEMPERATURE "&amp;TEXT($F109,"0.0")&amp;" C hors seuil frais. ","")&amp;IF($Q109="EMPLACEMENT INCOHERENT","Lot absent de cet emplacement : controle conserve, stock inchange. ","")&amp;IF($Q109="DONNEES MANQUANTES","Renseigner la DATE et au moins une mesure. ",""))</f>
        <v/>
      </c>
      <c r="S109" s="28" t="n">
        <f aca="false">IF($C109="",0,IF($C109=R_LOT,1,0))</f>
        <v>0</v>
      </c>
      <c r="T109" s="26" t="str">
        <f aca="false">IF($S109=0,"",COUNTIF($S$5:$S109,1))</f>
        <v/>
      </c>
    </row>
    <row r="110" customFormat="false" ht="15" hidden="false" customHeight="false" outlineLevel="0" collapsed="false">
      <c r="A110" s="26" t="str">
        <f aca="false">IF($C110="","","QC-"&amp;TEXT(ROW()-4,"000"))</f>
        <v/>
      </c>
      <c r="B110" s="25"/>
      <c r="C110" s="24"/>
      <c r="D110" s="24"/>
      <c r="E110" s="24"/>
      <c r="F110" s="32"/>
      <c r="G110" s="33"/>
      <c r="H110" s="24"/>
      <c r="I110" s="24"/>
      <c r="J110" s="24"/>
      <c r="K110" s="24"/>
      <c r="L110" s="24"/>
      <c r="M110" s="24"/>
      <c r="N110" s="26" t="str">
        <f aca="false">IF($C110="","",IFERROR(INDEX(LOT_PRODE,MATCH($C110,LOT_KEY,0)),"LOT NON REFERENCE"))</f>
        <v/>
      </c>
      <c r="O110" s="26" t="str">
        <f aca="false">IF($C110="","",IFERROR(INDEX(LOT_CONSERVE,MATCH($C110,LOT_KEY,0)),""))</f>
        <v/>
      </c>
      <c r="P110" s="27" t="str">
        <f aca="false">IF(OR($C110="",$D110=""),"",SUMIFS(MVT_NET,MVT_LOT,$C110,MVT_EMPL,$D110))</f>
        <v/>
      </c>
      <c r="Q110" s="26" t="str">
        <f aca="false">IF($C110="","",IF(OR($B110="",AND($F110="",$G110="",$H110="",$I110="",$J110="",$K110="")),"DONNEES MANQUANTES",IF(AND($D110&lt;&gt;"",$P110&lt;=0),"EMPLACEMENT INCOHERENT","OK")))</f>
        <v/>
      </c>
      <c r="R110" s="26" t="str">
        <f aca="false">IF($C110="","",IF(AND(ISNUMBER($G110),$G110&gt;P_HIST),"HISTAMINE "&amp;TEXT($G110,"#,##0")&amp;" mg/kg &gt; seuil "&amp;TEXT(P_HIST,"#,##0")&amp;". ","")&amp;IF(AND(ISNUMBER($F110),$O110="CONGELE",$F110&gt;P_TCONG),"TEMPERATURE "&amp;TEXT($F110,"0.0")&amp;" C hors seuil congele. ","")&amp;IF(AND(ISNUMBER($F110),$O110="FRAIS",$F110&gt;P_TFRAIS),"TEMPERATURE "&amp;TEXT($F110,"0.0")&amp;" C hors seuil frais. ","")&amp;IF($Q110="EMPLACEMENT INCOHERENT","Lot absent de cet emplacement : controle conserve, stock inchange. ","")&amp;IF($Q110="DONNEES MANQUANTES","Renseigner la DATE et au moins une mesure. ",""))</f>
        <v/>
      </c>
      <c r="S110" s="28" t="n">
        <f aca="false">IF($C110="",0,IF($C110=R_LOT,1,0))</f>
        <v>0</v>
      </c>
      <c r="T110" s="26" t="str">
        <f aca="false">IF($S110=0,"",COUNTIF($S$5:$S110,1))</f>
        <v/>
      </c>
    </row>
    <row r="111" customFormat="false" ht="15" hidden="false" customHeight="false" outlineLevel="0" collapsed="false">
      <c r="A111" s="26" t="str">
        <f aca="false">IF($C111="","","QC-"&amp;TEXT(ROW()-4,"000"))</f>
        <v/>
      </c>
      <c r="B111" s="25"/>
      <c r="C111" s="24"/>
      <c r="D111" s="24"/>
      <c r="E111" s="24"/>
      <c r="F111" s="32"/>
      <c r="G111" s="33"/>
      <c r="H111" s="24"/>
      <c r="I111" s="24"/>
      <c r="J111" s="24"/>
      <c r="K111" s="24"/>
      <c r="L111" s="24"/>
      <c r="M111" s="24"/>
      <c r="N111" s="26" t="str">
        <f aca="false">IF($C111="","",IFERROR(INDEX(LOT_PRODE,MATCH($C111,LOT_KEY,0)),"LOT NON REFERENCE"))</f>
        <v/>
      </c>
      <c r="O111" s="26" t="str">
        <f aca="false">IF($C111="","",IFERROR(INDEX(LOT_CONSERVE,MATCH($C111,LOT_KEY,0)),""))</f>
        <v/>
      </c>
      <c r="P111" s="27" t="str">
        <f aca="false">IF(OR($C111="",$D111=""),"",SUMIFS(MVT_NET,MVT_LOT,$C111,MVT_EMPL,$D111))</f>
        <v/>
      </c>
      <c r="Q111" s="26" t="str">
        <f aca="false">IF($C111="","",IF(OR($B111="",AND($F111="",$G111="",$H111="",$I111="",$J111="",$K111="")),"DONNEES MANQUANTES",IF(AND($D111&lt;&gt;"",$P111&lt;=0),"EMPLACEMENT INCOHERENT","OK")))</f>
        <v/>
      </c>
      <c r="R111" s="26" t="str">
        <f aca="false">IF($C111="","",IF(AND(ISNUMBER($G111),$G111&gt;P_HIST),"HISTAMINE "&amp;TEXT($G111,"#,##0")&amp;" mg/kg &gt; seuil "&amp;TEXT(P_HIST,"#,##0")&amp;". ","")&amp;IF(AND(ISNUMBER($F111),$O111="CONGELE",$F111&gt;P_TCONG),"TEMPERATURE "&amp;TEXT($F111,"0.0")&amp;" C hors seuil congele. ","")&amp;IF(AND(ISNUMBER($F111),$O111="FRAIS",$F111&gt;P_TFRAIS),"TEMPERATURE "&amp;TEXT($F111,"0.0")&amp;" C hors seuil frais. ","")&amp;IF($Q111="EMPLACEMENT INCOHERENT","Lot absent de cet emplacement : controle conserve, stock inchange. ","")&amp;IF($Q111="DONNEES MANQUANTES","Renseigner la DATE et au moins une mesure. ",""))</f>
        <v/>
      </c>
      <c r="S111" s="28" t="n">
        <f aca="false">IF($C111="",0,IF($C111=R_LOT,1,0))</f>
        <v>0</v>
      </c>
      <c r="T111" s="26" t="str">
        <f aca="false">IF($S111=0,"",COUNTIF($S$5:$S111,1))</f>
        <v/>
      </c>
    </row>
    <row r="112" customFormat="false" ht="15" hidden="false" customHeight="false" outlineLevel="0" collapsed="false">
      <c r="A112" s="26" t="str">
        <f aca="false">IF($C112="","","QC-"&amp;TEXT(ROW()-4,"000"))</f>
        <v/>
      </c>
      <c r="B112" s="25"/>
      <c r="C112" s="24"/>
      <c r="D112" s="24"/>
      <c r="E112" s="24"/>
      <c r="F112" s="32"/>
      <c r="G112" s="33"/>
      <c r="H112" s="24"/>
      <c r="I112" s="24"/>
      <c r="J112" s="24"/>
      <c r="K112" s="24"/>
      <c r="L112" s="24"/>
      <c r="M112" s="24"/>
      <c r="N112" s="26" t="str">
        <f aca="false">IF($C112="","",IFERROR(INDEX(LOT_PRODE,MATCH($C112,LOT_KEY,0)),"LOT NON REFERENCE"))</f>
        <v/>
      </c>
      <c r="O112" s="26" t="str">
        <f aca="false">IF($C112="","",IFERROR(INDEX(LOT_CONSERVE,MATCH($C112,LOT_KEY,0)),""))</f>
        <v/>
      </c>
      <c r="P112" s="27" t="str">
        <f aca="false">IF(OR($C112="",$D112=""),"",SUMIFS(MVT_NET,MVT_LOT,$C112,MVT_EMPL,$D112))</f>
        <v/>
      </c>
      <c r="Q112" s="26" t="str">
        <f aca="false">IF($C112="","",IF(OR($B112="",AND($F112="",$G112="",$H112="",$I112="",$J112="",$K112="")),"DONNEES MANQUANTES",IF(AND($D112&lt;&gt;"",$P112&lt;=0),"EMPLACEMENT INCOHERENT","OK")))</f>
        <v/>
      </c>
      <c r="R112" s="26" t="str">
        <f aca="false">IF($C112="","",IF(AND(ISNUMBER($G112),$G112&gt;P_HIST),"HISTAMINE "&amp;TEXT($G112,"#,##0")&amp;" mg/kg &gt; seuil "&amp;TEXT(P_HIST,"#,##0")&amp;". ","")&amp;IF(AND(ISNUMBER($F112),$O112="CONGELE",$F112&gt;P_TCONG),"TEMPERATURE "&amp;TEXT($F112,"0.0")&amp;" C hors seuil congele. ","")&amp;IF(AND(ISNUMBER($F112),$O112="FRAIS",$F112&gt;P_TFRAIS),"TEMPERATURE "&amp;TEXT($F112,"0.0")&amp;" C hors seuil frais. ","")&amp;IF($Q112="EMPLACEMENT INCOHERENT","Lot absent de cet emplacement : controle conserve, stock inchange. ","")&amp;IF($Q112="DONNEES MANQUANTES","Renseigner la DATE et au moins une mesure. ",""))</f>
        <v/>
      </c>
      <c r="S112" s="28" t="n">
        <f aca="false">IF($C112="",0,IF($C112=R_LOT,1,0))</f>
        <v>0</v>
      </c>
      <c r="T112" s="26" t="str">
        <f aca="false">IF($S112=0,"",COUNTIF($S$5:$S112,1))</f>
        <v/>
      </c>
    </row>
    <row r="113" customFormat="false" ht="15" hidden="false" customHeight="false" outlineLevel="0" collapsed="false">
      <c r="A113" s="26" t="str">
        <f aca="false">IF($C113="","","QC-"&amp;TEXT(ROW()-4,"000"))</f>
        <v/>
      </c>
      <c r="B113" s="25"/>
      <c r="C113" s="24"/>
      <c r="D113" s="24"/>
      <c r="E113" s="24"/>
      <c r="F113" s="32"/>
      <c r="G113" s="33"/>
      <c r="H113" s="24"/>
      <c r="I113" s="24"/>
      <c r="J113" s="24"/>
      <c r="K113" s="24"/>
      <c r="L113" s="24"/>
      <c r="M113" s="24"/>
      <c r="N113" s="26" t="str">
        <f aca="false">IF($C113="","",IFERROR(INDEX(LOT_PRODE,MATCH($C113,LOT_KEY,0)),"LOT NON REFERENCE"))</f>
        <v/>
      </c>
      <c r="O113" s="26" t="str">
        <f aca="false">IF($C113="","",IFERROR(INDEX(LOT_CONSERVE,MATCH($C113,LOT_KEY,0)),""))</f>
        <v/>
      </c>
      <c r="P113" s="27" t="str">
        <f aca="false">IF(OR($C113="",$D113=""),"",SUMIFS(MVT_NET,MVT_LOT,$C113,MVT_EMPL,$D113))</f>
        <v/>
      </c>
      <c r="Q113" s="26" t="str">
        <f aca="false">IF($C113="","",IF(OR($B113="",AND($F113="",$G113="",$H113="",$I113="",$J113="",$K113="")),"DONNEES MANQUANTES",IF(AND($D113&lt;&gt;"",$P113&lt;=0),"EMPLACEMENT INCOHERENT","OK")))</f>
        <v/>
      </c>
      <c r="R113" s="26" t="str">
        <f aca="false">IF($C113="","",IF(AND(ISNUMBER($G113),$G113&gt;P_HIST),"HISTAMINE "&amp;TEXT($G113,"#,##0")&amp;" mg/kg &gt; seuil "&amp;TEXT(P_HIST,"#,##0")&amp;". ","")&amp;IF(AND(ISNUMBER($F113),$O113="CONGELE",$F113&gt;P_TCONG),"TEMPERATURE "&amp;TEXT($F113,"0.0")&amp;" C hors seuil congele. ","")&amp;IF(AND(ISNUMBER($F113),$O113="FRAIS",$F113&gt;P_TFRAIS),"TEMPERATURE "&amp;TEXT($F113,"0.0")&amp;" C hors seuil frais. ","")&amp;IF($Q113="EMPLACEMENT INCOHERENT","Lot absent de cet emplacement : controle conserve, stock inchange. ","")&amp;IF($Q113="DONNEES MANQUANTES","Renseigner la DATE et au moins une mesure. ",""))</f>
        <v/>
      </c>
      <c r="S113" s="28" t="n">
        <f aca="false">IF($C113="",0,IF($C113=R_LOT,1,0))</f>
        <v>0</v>
      </c>
      <c r="T113" s="26" t="str">
        <f aca="false">IF($S113=0,"",COUNTIF($S$5:$S113,1))</f>
        <v/>
      </c>
    </row>
    <row r="114" customFormat="false" ht="15" hidden="false" customHeight="false" outlineLevel="0" collapsed="false">
      <c r="A114" s="26" t="str">
        <f aca="false">IF($C114="","","QC-"&amp;TEXT(ROW()-4,"000"))</f>
        <v/>
      </c>
      <c r="B114" s="25"/>
      <c r="C114" s="24"/>
      <c r="D114" s="24"/>
      <c r="E114" s="24"/>
      <c r="F114" s="32"/>
      <c r="G114" s="33"/>
      <c r="H114" s="24"/>
      <c r="I114" s="24"/>
      <c r="J114" s="24"/>
      <c r="K114" s="24"/>
      <c r="L114" s="24"/>
      <c r="M114" s="24"/>
      <c r="N114" s="26" t="str">
        <f aca="false">IF($C114="","",IFERROR(INDEX(LOT_PRODE,MATCH($C114,LOT_KEY,0)),"LOT NON REFERENCE"))</f>
        <v/>
      </c>
      <c r="O114" s="26" t="str">
        <f aca="false">IF($C114="","",IFERROR(INDEX(LOT_CONSERVE,MATCH($C114,LOT_KEY,0)),""))</f>
        <v/>
      </c>
      <c r="P114" s="27" t="str">
        <f aca="false">IF(OR($C114="",$D114=""),"",SUMIFS(MVT_NET,MVT_LOT,$C114,MVT_EMPL,$D114))</f>
        <v/>
      </c>
      <c r="Q114" s="26" t="str">
        <f aca="false">IF($C114="","",IF(OR($B114="",AND($F114="",$G114="",$H114="",$I114="",$J114="",$K114="")),"DONNEES MANQUANTES",IF(AND($D114&lt;&gt;"",$P114&lt;=0),"EMPLACEMENT INCOHERENT","OK")))</f>
        <v/>
      </c>
      <c r="R114" s="26" t="str">
        <f aca="false">IF($C114="","",IF(AND(ISNUMBER($G114),$G114&gt;P_HIST),"HISTAMINE "&amp;TEXT($G114,"#,##0")&amp;" mg/kg &gt; seuil "&amp;TEXT(P_HIST,"#,##0")&amp;". ","")&amp;IF(AND(ISNUMBER($F114),$O114="CONGELE",$F114&gt;P_TCONG),"TEMPERATURE "&amp;TEXT($F114,"0.0")&amp;" C hors seuil congele. ","")&amp;IF(AND(ISNUMBER($F114),$O114="FRAIS",$F114&gt;P_TFRAIS),"TEMPERATURE "&amp;TEXT($F114,"0.0")&amp;" C hors seuil frais. ","")&amp;IF($Q114="EMPLACEMENT INCOHERENT","Lot absent de cet emplacement : controle conserve, stock inchange. ","")&amp;IF($Q114="DONNEES MANQUANTES","Renseigner la DATE et au moins une mesure. ",""))</f>
        <v/>
      </c>
      <c r="S114" s="28" t="n">
        <f aca="false">IF($C114="",0,IF($C114=R_LOT,1,0))</f>
        <v>0</v>
      </c>
      <c r="T114" s="26" t="str">
        <f aca="false">IF($S114=0,"",COUNTIF($S$5:$S114,1))</f>
        <v/>
      </c>
    </row>
    <row r="115" customFormat="false" ht="15" hidden="false" customHeight="false" outlineLevel="0" collapsed="false">
      <c r="A115" s="26" t="str">
        <f aca="false">IF($C115="","","QC-"&amp;TEXT(ROW()-4,"000"))</f>
        <v/>
      </c>
      <c r="B115" s="25"/>
      <c r="C115" s="24"/>
      <c r="D115" s="24"/>
      <c r="E115" s="24"/>
      <c r="F115" s="32"/>
      <c r="G115" s="33"/>
      <c r="H115" s="24"/>
      <c r="I115" s="24"/>
      <c r="J115" s="24"/>
      <c r="K115" s="24"/>
      <c r="L115" s="24"/>
      <c r="M115" s="24"/>
      <c r="N115" s="26" t="str">
        <f aca="false">IF($C115="","",IFERROR(INDEX(LOT_PRODE,MATCH($C115,LOT_KEY,0)),"LOT NON REFERENCE"))</f>
        <v/>
      </c>
      <c r="O115" s="26" t="str">
        <f aca="false">IF($C115="","",IFERROR(INDEX(LOT_CONSERVE,MATCH($C115,LOT_KEY,0)),""))</f>
        <v/>
      </c>
      <c r="P115" s="27" t="str">
        <f aca="false">IF(OR($C115="",$D115=""),"",SUMIFS(MVT_NET,MVT_LOT,$C115,MVT_EMPL,$D115))</f>
        <v/>
      </c>
      <c r="Q115" s="26" t="str">
        <f aca="false">IF($C115="","",IF(OR($B115="",AND($F115="",$G115="",$H115="",$I115="",$J115="",$K115="")),"DONNEES MANQUANTES",IF(AND($D115&lt;&gt;"",$P115&lt;=0),"EMPLACEMENT INCOHERENT","OK")))</f>
        <v/>
      </c>
      <c r="R115" s="26" t="str">
        <f aca="false">IF($C115="","",IF(AND(ISNUMBER($G115),$G115&gt;P_HIST),"HISTAMINE "&amp;TEXT($G115,"#,##0")&amp;" mg/kg &gt; seuil "&amp;TEXT(P_HIST,"#,##0")&amp;". ","")&amp;IF(AND(ISNUMBER($F115),$O115="CONGELE",$F115&gt;P_TCONG),"TEMPERATURE "&amp;TEXT($F115,"0.0")&amp;" C hors seuil congele. ","")&amp;IF(AND(ISNUMBER($F115),$O115="FRAIS",$F115&gt;P_TFRAIS),"TEMPERATURE "&amp;TEXT($F115,"0.0")&amp;" C hors seuil frais. ","")&amp;IF($Q115="EMPLACEMENT INCOHERENT","Lot absent de cet emplacement : controle conserve, stock inchange. ","")&amp;IF($Q115="DONNEES MANQUANTES","Renseigner la DATE et au moins une mesure. ",""))</f>
        <v/>
      </c>
      <c r="S115" s="28" t="n">
        <f aca="false">IF($C115="",0,IF($C115=R_LOT,1,0))</f>
        <v>0</v>
      </c>
      <c r="T115" s="26" t="str">
        <f aca="false">IF($S115=0,"",COUNTIF($S$5:$S115,1))</f>
        <v/>
      </c>
    </row>
    <row r="116" customFormat="false" ht="15" hidden="false" customHeight="false" outlineLevel="0" collapsed="false">
      <c r="A116" s="26" t="str">
        <f aca="false">IF($C116="","","QC-"&amp;TEXT(ROW()-4,"000"))</f>
        <v/>
      </c>
      <c r="B116" s="25"/>
      <c r="C116" s="24"/>
      <c r="D116" s="24"/>
      <c r="E116" s="24"/>
      <c r="F116" s="32"/>
      <c r="G116" s="33"/>
      <c r="H116" s="24"/>
      <c r="I116" s="24"/>
      <c r="J116" s="24"/>
      <c r="K116" s="24"/>
      <c r="L116" s="24"/>
      <c r="M116" s="24"/>
      <c r="N116" s="26" t="str">
        <f aca="false">IF($C116="","",IFERROR(INDEX(LOT_PRODE,MATCH($C116,LOT_KEY,0)),"LOT NON REFERENCE"))</f>
        <v/>
      </c>
      <c r="O116" s="26" t="str">
        <f aca="false">IF($C116="","",IFERROR(INDEX(LOT_CONSERVE,MATCH($C116,LOT_KEY,0)),""))</f>
        <v/>
      </c>
      <c r="P116" s="27" t="str">
        <f aca="false">IF(OR($C116="",$D116=""),"",SUMIFS(MVT_NET,MVT_LOT,$C116,MVT_EMPL,$D116))</f>
        <v/>
      </c>
      <c r="Q116" s="26" t="str">
        <f aca="false">IF($C116="","",IF(OR($B116="",AND($F116="",$G116="",$H116="",$I116="",$J116="",$K116="")),"DONNEES MANQUANTES",IF(AND($D116&lt;&gt;"",$P116&lt;=0),"EMPLACEMENT INCOHERENT","OK")))</f>
        <v/>
      </c>
      <c r="R116" s="26" t="str">
        <f aca="false">IF($C116="","",IF(AND(ISNUMBER($G116),$G116&gt;P_HIST),"HISTAMINE "&amp;TEXT($G116,"#,##0")&amp;" mg/kg &gt; seuil "&amp;TEXT(P_HIST,"#,##0")&amp;". ","")&amp;IF(AND(ISNUMBER($F116),$O116="CONGELE",$F116&gt;P_TCONG),"TEMPERATURE "&amp;TEXT($F116,"0.0")&amp;" C hors seuil congele. ","")&amp;IF(AND(ISNUMBER($F116),$O116="FRAIS",$F116&gt;P_TFRAIS),"TEMPERATURE "&amp;TEXT($F116,"0.0")&amp;" C hors seuil frais. ","")&amp;IF($Q116="EMPLACEMENT INCOHERENT","Lot absent de cet emplacement : controle conserve, stock inchange. ","")&amp;IF($Q116="DONNEES MANQUANTES","Renseigner la DATE et au moins une mesure. ",""))</f>
        <v/>
      </c>
      <c r="S116" s="28" t="n">
        <f aca="false">IF($C116="",0,IF($C116=R_LOT,1,0))</f>
        <v>0</v>
      </c>
      <c r="T116" s="26" t="str">
        <f aca="false">IF($S116=0,"",COUNTIF($S$5:$S116,1))</f>
        <v/>
      </c>
    </row>
    <row r="117" customFormat="false" ht="15" hidden="false" customHeight="false" outlineLevel="0" collapsed="false">
      <c r="A117" s="26" t="str">
        <f aca="false">IF($C117="","","QC-"&amp;TEXT(ROW()-4,"000"))</f>
        <v/>
      </c>
      <c r="B117" s="25"/>
      <c r="C117" s="24"/>
      <c r="D117" s="24"/>
      <c r="E117" s="24"/>
      <c r="F117" s="32"/>
      <c r="G117" s="33"/>
      <c r="H117" s="24"/>
      <c r="I117" s="24"/>
      <c r="J117" s="24"/>
      <c r="K117" s="24"/>
      <c r="L117" s="24"/>
      <c r="M117" s="24"/>
      <c r="N117" s="26" t="str">
        <f aca="false">IF($C117="","",IFERROR(INDEX(LOT_PRODE,MATCH($C117,LOT_KEY,0)),"LOT NON REFERENCE"))</f>
        <v/>
      </c>
      <c r="O117" s="26" t="str">
        <f aca="false">IF($C117="","",IFERROR(INDEX(LOT_CONSERVE,MATCH($C117,LOT_KEY,0)),""))</f>
        <v/>
      </c>
      <c r="P117" s="27" t="str">
        <f aca="false">IF(OR($C117="",$D117=""),"",SUMIFS(MVT_NET,MVT_LOT,$C117,MVT_EMPL,$D117))</f>
        <v/>
      </c>
      <c r="Q117" s="26" t="str">
        <f aca="false">IF($C117="","",IF(OR($B117="",AND($F117="",$G117="",$H117="",$I117="",$J117="",$K117="")),"DONNEES MANQUANTES",IF(AND($D117&lt;&gt;"",$P117&lt;=0),"EMPLACEMENT INCOHERENT","OK")))</f>
        <v/>
      </c>
      <c r="R117" s="26" t="str">
        <f aca="false">IF($C117="","",IF(AND(ISNUMBER($G117),$G117&gt;P_HIST),"HISTAMINE "&amp;TEXT($G117,"#,##0")&amp;" mg/kg &gt; seuil "&amp;TEXT(P_HIST,"#,##0")&amp;". ","")&amp;IF(AND(ISNUMBER($F117),$O117="CONGELE",$F117&gt;P_TCONG),"TEMPERATURE "&amp;TEXT($F117,"0.0")&amp;" C hors seuil congele. ","")&amp;IF(AND(ISNUMBER($F117),$O117="FRAIS",$F117&gt;P_TFRAIS),"TEMPERATURE "&amp;TEXT($F117,"0.0")&amp;" C hors seuil frais. ","")&amp;IF($Q117="EMPLACEMENT INCOHERENT","Lot absent de cet emplacement : controle conserve, stock inchange. ","")&amp;IF($Q117="DONNEES MANQUANTES","Renseigner la DATE et au moins une mesure. ",""))</f>
        <v/>
      </c>
      <c r="S117" s="28" t="n">
        <f aca="false">IF($C117="",0,IF($C117=R_LOT,1,0))</f>
        <v>0</v>
      </c>
      <c r="T117" s="26" t="str">
        <f aca="false">IF($S117=0,"",COUNTIF($S$5:$S117,1))</f>
        <v/>
      </c>
    </row>
    <row r="118" customFormat="false" ht="15" hidden="false" customHeight="false" outlineLevel="0" collapsed="false">
      <c r="A118" s="26" t="str">
        <f aca="false">IF($C118="","","QC-"&amp;TEXT(ROW()-4,"000"))</f>
        <v/>
      </c>
      <c r="B118" s="25"/>
      <c r="C118" s="24"/>
      <c r="D118" s="24"/>
      <c r="E118" s="24"/>
      <c r="F118" s="32"/>
      <c r="G118" s="33"/>
      <c r="H118" s="24"/>
      <c r="I118" s="24"/>
      <c r="J118" s="24"/>
      <c r="K118" s="24"/>
      <c r="L118" s="24"/>
      <c r="M118" s="24"/>
      <c r="N118" s="26" t="str">
        <f aca="false">IF($C118="","",IFERROR(INDEX(LOT_PRODE,MATCH($C118,LOT_KEY,0)),"LOT NON REFERENCE"))</f>
        <v/>
      </c>
      <c r="O118" s="26" t="str">
        <f aca="false">IF($C118="","",IFERROR(INDEX(LOT_CONSERVE,MATCH($C118,LOT_KEY,0)),""))</f>
        <v/>
      </c>
      <c r="P118" s="27" t="str">
        <f aca="false">IF(OR($C118="",$D118=""),"",SUMIFS(MVT_NET,MVT_LOT,$C118,MVT_EMPL,$D118))</f>
        <v/>
      </c>
      <c r="Q118" s="26" t="str">
        <f aca="false">IF($C118="","",IF(OR($B118="",AND($F118="",$G118="",$H118="",$I118="",$J118="",$K118="")),"DONNEES MANQUANTES",IF(AND($D118&lt;&gt;"",$P118&lt;=0),"EMPLACEMENT INCOHERENT","OK")))</f>
        <v/>
      </c>
      <c r="R118" s="26" t="str">
        <f aca="false">IF($C118="","",IF(AND(ISNUMBER($G118),$G118&gt;P_HIST),"HISTAMINE "&amp;TEXT($G118,"#,##0")&amp;" mg/kg &gt; seuil "&amp;TEXT(P_HIST,"#,##0")&amp;". ","")&amp;IF(AND(ISNUMBER($F118),$O118="CONGELE",$F118&gt;P_TCONG),"TEMPERATURE "&amp;TEXT($F118,"0.0")&amp;" C hors seuil congele. ","")&amp;IF(AND(ISNUMBER($F118),$O118="FRAIS",$F118&gt;P_TFRAIS),"TEMPERATURE "&amp;TEXT($F118,"0.0")&amp;" C hors seuil frais. ","")&amp;IF($Q118="EMPLACEMENT INCOHERENT","Lot absent de cet emplacement : controle conserve, stock inchange. ","")&amp;IF($Q118="DONNEES MANQUANTES","Renseigner la DATE et au moins une mesure. ",""))</f>
        <v/>
      </c>
      <c r="S118" s="28" t="n">
        <f aca="false">IF($C118="",0,IF($C118=R_LOT,1,0))</f>
        <v>0</v>
      </c>
      <c r="T118" s="26" t="str">
        <f aca="false">IF($S118=0,"",COUNTIF($S$5:$S118,1))</f>
        <v/>
      </c>
    </row>
    <row r="119" customFormat="false" ht="15" hidden="false" customHeight="false" outlineLevel="0" collapsed="false">
      <c r="A119" s="26" t="str">
        <f aca="false">IF($C119="","","QC-"&amp;TEXT(ROW()-4,"000"))</f>
        <v/>
      </c>
      <c r="B119" s="25"/>
      <c r="C119" s="24"/>
      <c r="D119" s="24"/>
      <c r="E119" s="24"/>
      <c r="F119" s="32"/>
      <c r="G119" s="33"/>
      <c r="H119" s="24"/>
      <c r="I119" s="24"/>
      <c r="J119" s="24"/>
      <c r="K119" s="24"/>
      <c r="L119" s="24"/>
      <c r="M119" s="24"/>
      <c r="N119" s="26" t="str">
        <f aca="false">IF($C119="","",IFERROR(INDEX(LOT_PRODE,MATCH($C119,LOT_KEY,0)),"LOT NON REFERENCE"))</f>
        <v/>
      </c>
      <c r="O119" s="26" t="str">
        <f aca="false">IF($C119="","",IFERROR(INDEX(LOT_CONSERVE,MATCH($C119,LOT_KEY,0)),""))</f>
        <v/>
      </c>
      <c r="P119" s="27" t="str">
        <f aca="false">IF(OR($C119="",$D119=""),"",SUMIFS(MVT_NET,MVT_LOT,$C119,MVT_EMPL,$D119))</f>
        <v/>
      </c>
      <c r="Q119" s="26" t="str">
        <f aca="false">IF($C119="","",IF(OR($B119="",AND($F119="",$G119="",$H119="",$I119="",$J119="",$K119="")),"DONNEES MANQUANTES",IF(AND($D119&lt;&gt;"",$P119&lt;=0),"EMPLACEMENT INCOHERENT","OK")))</f>
        <v/>
      </c>
      <c r="R119" s="26" t="str">
        <f aca="false">IF($C119="","",IF(AND(ISNUMBER($G119),$G119&gt;P_HIST),"HISTAMINE "&amp;TEXT($G119,"#,##0")&amp;" mg/kg &gt; seuil "&amp;TEXT(P_HIST,"#,##0")&amp;". ","")&amp;IF(AND(ISNUMBER($F119),$O119="CONGELE",$F119&gt;P_TCONG),"TEMPERATURE "&amp;TEXT($F119,"0.0")&amp;" C hors seuil congele. ","")&amp;IF(AND(ISNUMBER($F119),$O119="FRAIS",$F119&gt;P_TFRAIS),"TEMPERATURE "&amp;TEXT($F119,"0.0")&amp;" C hors seuil frais. ","")&amp;IF($Q119="EMPLACEMENT INCOHERENT","Lot absent de cet emplacement : controle conserve, stock inchange. ","")&amp;IF($Q119="DONNEES MANQUANTES","Renseigner la DATE et au moins une mesure. ",""))</f>
        <v/>
      </c>
      <c r="S119" s="28" t="n">
        <f aca="false">IF($C119="",0,IF($C119=R_LOT,1,0))</f>
        <v>0</v>
      </c>
      <c r="T119" s="26" t="str">
        <f aca="false">IF($S119=0,"",COUNTIF($S$5:$S119,1))</f>
        <v/>
      </c>
    </row>
    <row r="120" customFormat="false" ht="15" hidden="false" customHeight="false" outlineLevel="0" collapsed="false">
      <c r="A120" s="26" t="str">
        <f aca="false">IF($C120="","","QC-"&amp;TEXT(ROW()-4,"000"))</f>
        <v/>
      </c>
      <c r="B120" s="25"/>
      <c r="C120" s="24"/>
      <c r="D120" s="24"/>
      <c r="E120" s="24"/>
      <c r="F120" s="32"/>
      <c r="G120" s="33"/>
      <c r="H120" s="24"/>
      <c r="I120" s="24"/>
      <c r="J120" s="24"/>
      <c r="K120" s="24"/>
      <c r="L120" s="24"/>
      <c r="M120" s="24"/>
      <c r="N120" s="26" t="str">
        <f aca="false">IF($C120="","",IFERROR(INDEX(LOT_PRODE,MATCH($C120,LOT_KEY,0)),"LOT NON REFERENCE"))</f>
        <v/>
      </c>
      <c r="O120" s="26" t="str">
        <f aca="false">IF($C120="","",IFERROR(INDEX(LOT_CONSERVE,MATCH($C120,LOT_KEY,0)),""))</f>
        <v/>
      </c>
      <c r="P120" s="27" t="str">
        <f aca="false">IF(OR($C120="",$D120=""),"",SUMIFS(MVT_NET,MVT_LOT,$C120,MVT_EMPL,$D120))</f>
        <v/>
      </c>
      <c r="Q120" s="26" t="str">
        <f aca="false">IF($C120="","",IF(OR($B120="",AND($F120="",$G120="",$H120="",$I120="",$J120="",$K120="")),"DONNEES MANQUANTES",IF(AND($D120&lt;&gt;"",$P120&lt;=0),"EMPLACEMENT INCOHERENT","OK")))</f>
        <v/>
      </c>
      <c r="R120" s="26" t="str">
        <f aca="false">IF($C120="","",IF(AND(ISNUMBER($G120),$G120&gt;P_HIST),"HISTAMINE "&amp;TEXT($G120,"#,##0")&amp;" mg/kg &gt; seuil "&amp;TEXT(P_HIST,"#,##0")&amp;". ","")&amp;IF(AND(ISNUMBER($F120),$O120="CONGELE",$F120&gt;P_TCONG),"TEMPERATURE "&amp;TEXT($F120,"0.0")&amp;" C hors seuil congele. ","")&amp;IF(AND(ISNUMBER($F120),$O120="FRAIS",$F120&gt;P_TFRAIS),"TEMPERATURE "&amp;TEXT($F120,"0.0")&amp;" C hors seuil frais. ","")&amp;IF($Q120="EMPLACEMENT INCOHERENT","Lot absent de cet emplacement : controle conserve, stock inchange. ","")&amp;IF($Q120="DONNEES MANQUANTES","Renseigner la DATE et au moins une mesure. ",""))</f>
        <v/>
      </c>
      <c r="S120" s="28" t="n">
        <f aca="false">IF($C120="",0,IF($C120=R_LOT,1,0))</f>
        <v>0</v>
      </c>
      <c r="T120" s="26" t="str">
        <f aca="false">IF($S120=0,"",COUNTIF($S$5:$S120,1))</f>
        <v/>
      </c>
    </row>
    <row r="121" customFormat="false" ht="15" hidden="false" customHeight="false" outlineLevel="0" collapsed="false">
      <c r="A121" s="26" t="str">
        <f aca="false">IF($C121="","","QC-"&amp;TEXT(ROW()-4,"000"))</f>
        <v/>
      </c>
      <c r="B121" s="25"/>
      <c r="C121" s="24"/>
      <c r="D121" s="24"/>
      <c r="E121" s="24"/>
      <c r="F121" s="32"/>
      <c r="G121" s="33"/>
      <c r="H121" s="24"/>
      <c r="I121" s="24"/>
      <c r="J121" s="24"/>
      <c r="K121" s="24"/>
      <c r="L121" s="24"/>
      <c r="M121" s="24"/>
      <c r="N121" s="26" t="str">
        <f aca="false">IF($C121="","",IFERROR(INDEX(LOT_PRODE,MATCH($C121,LOT_KEY,0)),"LOT NON REFERENCE"))</f>
        <v/>
      </c>
      <c r="O121" s="26" t="str">
        <f aca="false">IF($C121="","",IFERROR(INDEX(LOT_CONSERVE,MATCH($C121,LOT_KEY,0)),""))</f>
        <v/>
      </c>
      <c r="P121" s="27" t="str">
        <f aca="false">IF(OR($C121="",$D121=""),"",SUMIFS(MVT_NET,MVT_LOT,$C121,MVT_EMPL,$D121))</f>
        <v/>
      </c>
      <c r="Q121" s="26" t="str">
        <f aca="false">IF($C121="","",IF(OR($B121="",AND($F121="",$G121="",$H121="",$I121="",$J121="",$K121="")),"DONNEES MANQUANTES",IF(AND($D121&lt;&gt;"",$P121&lt;=0),"EMPLACEMENT INCOHERENT","OK")))</f>
        <v/>
      </c>
      <c r="R121" s="26" t="str">
        <f aca="false">IF($C121="","",IF(AND(ISNUMBER($G121),$G121&gt;P_HIST),"HISTAMINE "&amp;TEXT($G121,"#,##0")&amp;" mg/kg &gt; seuil "&amp;TEXT(P_HIST,"#,##0")&amp;". ","")&amp;IF(AND(ISNUMBER($F121),$O121="CONGELE",$F121&gt;P_TCONG),"TEMPERATURE "&amp;TEXT($F121,"0.0")&amp;" C hors seuil congele. ","")&amp;IF(AND(ISNUMBER($F121),$O121="FRAIS",$F121&gt;P_TFRAIS),"TEMPERATURE "&amp;TEXT($F121,"0.0")&amp;" C hors seuil frais. ","")&amp;IF($Q121="EMPLACEMENT INCOHERENT","Lot absent de cet emplacement : controle conserve, stock inchange. ","")&amp;IF($Q121="DONNEES MANQUANTES","Renseigner la DATE et au moins une mesure. ",""))</f>
        <v/>
      </c>
      <c r="S121" s="28" t="n">
        <f aca="false">IF($C121="",0,IF($C121=R_LOT,1,0))</f>
        <v>0</v>
      </c>
      <c r="T121" s="26" t="str">
        <f aca="false">IF($S121=0,"",COUNTIF($S$5:$S121,1))</f>
        <v/>
      </c>
    </row>
    <row r="122" customFormat="false" ht="15" hidden="false" customHeight="false" outlineLevel="0" collapsed="false">
      <c r="A122" s="26" t="str">
        <f aca="false">IF($C122="","","QC-"&amp;TEXT(ROW()-4,"000"))</f>
        <v/>
      </c>
      <c r="B122" s="25"/>
      <c r="C122" s="24"/>
      <c r="D122" s="24"/>
      <c r="E122" s="24"/>
      <c r="F122" s="32"/>
      <c r="G122" s="33"/>
      <c r="H122" s="24"/>
      <c r="I122" s="24"/>
      <c r="J122" s="24"/>
      <c r="K122" s="24"/>
      <c r="L122" s="24"/>
      <c r="M122" s="24"/>
      <c r="N122" s="26" t="str">
        <f aca="false">IF($C122="","",IFERROR(INDEX(LOT_PRODE,MATCH($C122,LOT_KEY,0)),"LOT NON REFERENCE"))</f>
        <v/>
      </c>
      <c r="O122" s="26" t="str">
        <f aca="false">IF($C122="","",IFERROR(INDEX(LOT_CONSERVE,MATCH($C122,LOT_KEY,0)),""))</f>
        <v/>
      </c>
      <c r="P122" s="27" t="str">
        <f aca="false">IF(OR($C122="",$D122=""),"",SUMIFS(MVT_NET,MVT_LOT,$C122,MVT_EMPL,$D122))</f>
        <v/>
      </c>
      <c r="Q122" s="26" t="str">
        <f aca="false">IF($C122="","",IF(OR($B122="",AND($F122="",$G122="",$H122="",$I122="",$J122="",$K122="")),"DONNEES MANQUANTES",IF(AND($D122&lt;&gt;"",$P122&lt;=0),"EMPLACEMENT INCOHERENT","OK")))</f>
        <v/>
      </c>
      <c r="R122" s="26" t="str">
        <f aca="false">IF($C122="","",IF(AND(ISNUMBER($G122),$G122&gt;P_HIST),"HISTAMINE "&amp;TEXT($G122,"#,##0")&amp;" mg/kg &gt; seuil "&amp;TEXT(P_HIST,"#,##0")&amp;". ","")&amp;IF(AND(ISNUMBER($F122),$O122="CONGELE",$F122&gt;P_TCONG),"TEMPERATURE "&amp;TEXT($F122,"0.0")&amp;" C hors seuil congele. ","")&amp;IF(AND(ISNUMBER($F122),$O122="FRAIS",$F122&gt;P_TFRAIS),"TEMPERATURE "&amp;TEXT($F122,"0.0")&amp;" C hors seuil frais. ","")&amp;IF($Q122="EMPLACEMENT INCOHERENT","Lot absent de cet emplacement : controle conserve, stock inchange. ","")&amp;IF($Q122="DONNEES MANQUANTES","Renseigner la DATE et au moins une mesure. ",""))</f>
        <v/>
      </c>
      <c r="S122" s="28" t="n">
        <f aca="false">IF($C122="",0,IF($C122=R_LOT,1,0))</f>
        <v>0</v>
      </c>
      <c r="T122" s="26" t="str">
        <f aca="false">IF($S122=0,"",COUNTIF($S$5:$S122,1))</f>
        <v/>
      </c>
    </row>
    <row r="123" customFormat="false" ht="15" hidden="false" customHeight="false" outlineLevel="0" collapsed="false">
      <c r="A123" s="26" t="str">
        <f aca="false">IF($C123="","","QC-"&amp;TEXT(ROW()-4,"000"))</f>
        <v/>
      </c>
      <c r="B123" s="25"/>
      <c r="C123" s="24"/>
      <c r="D123" s="24"/>
      <c r="E123" s="24"/>
      <c r="F123" s="32"/>
      <c r="G123" s="33"/>
      <c r="H123" s="24"/>
      <c r="I123" s="24"/>
      <c r="J123" s="24"/>
      <c r="K123" s="24"/>
      <c r="L123" s="24"/>
      <c r="M123" s="24"/>
      <c r="N123" s="26" t="str">
        <f aca="false">IF($C123="","",IFERROR(INDEX(LOT_PRODE,MATCH($C123,LOT_KEY,0)),"LOT NON REFERENCE"))</f>
        <v/>
      </c>
      <c r="O123" s="26" t="str">
        <f aca="false">IF($C123="","",IFERROR(INDEX(LOT_CONSERVE,MATCH($C123,LOT_KEY,0)),""))</f>
        <v/>
      </c>
      <c r="P123" s="27" t="str">
        <f aca="false">IF(OR($C123="",$D123=""),"",SUMIFS(MVT_NET,MVT_LOT,$C123,MVT_EMPL,$D123))</f>
        <v/>
      </c>
      <c r="Q123" s="26" t="str">
        <f aca="false">IF($C123="","",IF(OR($B123="",AND($F123="",$G123="",$H123="",$I123="",$J123="",$K123="")),"DONNEES MANQUANTES",IF(AND($D123&lt;&gt;"",$P123&lt;=0),"EMPLACEMENT INCOHERENT","OK")))</f>
        <v/>
      </c>
      <c r="R123" s="26" t="str">
        <f aca="false">IF($C123="","",IF(AND(ISNUMBER($G123),$G123&gt;P_HIST),"HISTAMINE "&amp;TEXT($G123,"#,##0")&amp;" mg/kg &gt; seuil "&amp;TEXT(P_HIST,"#,##0")&amp;". ","")&amp;IF(AND(ISNUMBER($F123),$O123="CONGELE",$F123&gt;P_TCONG),"TEMPERATURE "&amp;TEXT($F123,"0.0")&amp;" C hors seuil congele. ","")&amp;IF(AND(ISNUMBER($F123),$O123="FRAIS",$F123&gt;P_TFRAIS),"TEMPERATURE "&amp;TEXT($F123,"0.0")&amp;" C hors seuil frais. ","")&amp;IF($Q123="EMPLACEMENT INCOHERENT","Lot absent de cet emplacement : controle conserve, stock inchange. ","")&amp;IF($Q123="DONNEES MANQUANTES","Renseigner la DATE et au moins une mesure. ",""))</f>
        <v/>
      </c>
      <c r="S123" s="28" t="n">
        <f aca="false">IF($C123="",0,IF($C123=R_LOT,1,0))</f>
        <v>0</v>
      </c>
      <c r="T123" s="26" t="str">
        <f aca="false">IF($S123=0,"",COUNTIF($S$5:$S123,1))</f>
        <v/>
      </c>
    </row>
    <row r="124" customFormat="false" ht="15" hidden="false" customHeight="false" outlineLevel="0" collapsed="false">
      <c r="A124" s="26" t="str">
        <f aca="false">IF($C124="","","QC-"&amp;TEXT(ROW()-4,"000"))</f>
        <v/>
      </c>
      <c r="B124" s="25"/>
      <c r="C124" s="24"/>
      <c r="D124" s="24"/>
      <c r="E124" s="24"/>
      <c r="F124" s="32"/>
      <c r="G124" s="33"/>
      <c r="H124" s="24"/>
      <c r="I124" s="24"/>
      <c r="J124" s="24"/>
      <c r="K124" s="24"/>
      <c r="L124" s="24"/>
      <c r="M124" s="24"/>
      <c r="N124" s="26" t="str">
        <f aca="false">IF($C124="","",IFERROR(INDEX(LOT_PRODE,MATCH($C124,LOT_KEY,0)),"LOT NON REFERENCE"))</f>
        <v/>
      </c>
      <c r="O124" s="26" t="str">
        <f aca="false">IF($C124="","",IFERROR(INDEX(LOT_CONSERVE,MATCH($C124,LOT_KEY,0)),""))</f>
        <v/>
      </c>
      <c r="P124" s="27" t="str">
        <f aca="false">IF(OR($C124="",$D124=""),"",SUMIFS(MVT_NET,MVT_LOT,$C124,MVT_EMPL,$D124))</f>
        <v/>
      </c>
      <c r="Q124" s="26" t="str">
        <f aca="false">IF($C124="","",IF(OR($B124="",AND($F124="",$G124="",$H124="",$I124="",$J124="",$K124="")),"DONNEES MANQUANTES",IF(AND($D124&lt;&gt;"",$P124&lt;=0),"EMPLACEMENT INCOHERENT","OK")))</f>
        <v/>
      </c>
      <c r="R124" s="26" t="str">
        <f aca="false">IF($C124="","",IF(AND(ISNUMBER($G124),$G124&gt;P_HIST),"HISTAMINE "&amp;TEXT($G124,"#,##0")&amp;" mg/kg &gt; seuil "&amp;TEXT(P_HIST,"#,##0")&amp;". ","")&amp;IF(AND(ISNUMBER($F124),$O124="CONGELE",$F124&gt;P_TCONG),"TEMPERATURE "&amp;TEXT($F124,"0.0")&amp;" C hors seuil congele. ","")&amp;IF(AND(ISNUMBER($F124),$O124="FRAIS",$F124&gt;P_TFRAIS),"TEMPERATURE "&amp;TEXT($F124,"0.0")&amp;" C hors seuil frais. ","")&amp;IF($Q124="EMPLACEMENT INCOHERENT","Lot absent de cet emplacement : controle conserve, stock inchange. ","")&amp;IF($Q124="DONNEES MANQUANTES","Renseigner la DATE et au moins une mesure. ",""))</f>
        <v/>
      </c>
      <c r="S124" s="28" t="n">
        <f aca="false">IF($C124="",0,IF($C124=R_LOT,1,0))</f>
        <v>0</v>
      </c>
      <c r="T124" s="26" t="str">
        <f aca="false">IF($S124=0,"",COUNTIF($S$5:$S124,1))</f>
        <v/>
      </c>
    </row>
    <row r="125" customFormat="false" ht="15" hidden="false" customHeight="false" outlineLevel="0" collapsed="false">
      <c r="A125" s="26" t="str">
        <f aca="false">IF($C125="","","QC-"&amp;TEXT(ROW()-4,"000"))</f>
        <v/>
      </c>
      <c r="B125" s="25"/>
      <c r="C125" s="24"/>
      <c r="D125" s="24"/>
      <c r="E125" s="24"/>
      <c r="F125" s="32"/>
      <c r="G125" s="33"/>
      <c r="H125" s="24"/>
      <c r="I125" s="24"/>
      <c r="J125" s="24"/>
      <c r="K125" s="24"/>
      <c r="L125" s="24"/>
      <c r="M125" s="24"/>
      <c r="N125" s="26" t="str">
        <f aca="false">IF($C125="","",IFERROR(INDEX(LOT_PRODE,MATCH($C125,LOT_KEY,0)),"LOT NON REFERENCE"))</f>
        <v/>
      </c>
      <c r="O125" s="26" t="str">
        <f aca="false">IF($C125="","",IFERROR(INDEX(LOT_CONSERVE,MATCH($C125,LOT_KEY,0)),""))</f>
        <v/>
      </c>
      <c r="P125" s="27" t="str">
        <f aca="false">IF(OR($C125="",$D125=""),"",SUMIFS(MVT_NET,MVT_LOT,$C125,MVT_EMPL,$D125))</f>
        <v/>
      </c>
      <c r="Q125" s="26" t="str">
        <f aca="false">IF($C125="","",IF(OR($B125="",AND($F125="",$G125="",$H125="",$I125="",$J125="",$K125="")),"DONNEES MANQUANTES",IF(AND($D125&lt;&gt;"",$P125&lt;=0),"EMPLACEMENT INCOHERENT","OK")))</f>
        <v/>
      </c>
      <c r="R125" s="26" t="str">
        <f aca="false">IF($C125="","",IF(AND(ISNUMBER($G125),$G125&gt;P_HIST),"HISTAMINE "&amp;TEXT($G125,"#,##0")&amp;" mg/kg &gt; seuil "&amp;TEXT(P_HIST,"#,##0")&amp;". ","")&amp;IF(AND(ISNUMBER($F125),$O125="CONGELE",$F125&gt;P_TCONG),"TEMPERATURE "&amp;TEXT($F125,"0.0")&amp;" C hors seuil congele. ","")&amp;IF(AND(ISNUMBER($F125),$O125="FRAIS",$F125&gt;P_TFRAIS),"TEMPERATURE "&amp;TEXT($F125,"0.0")&amp;" C hors seuil frais. ","")&amp;IF($Q125="EMPLACEMENT INCOHERENT","Lot absent de cet emplacement : controle conserve, stock inchange. ","")&amp;IF($Q125="DONNEES MANQUANTES","Renseigner la DATE et au moins une mesure. ",""))</f>
        <v/>
      </c>
      <c r="S125" s="28" t="n">
        <f aca="false">IF($C125="",0,IF($C125=R_LOT,1,0))</f>
        <v>0</v>
      </c>
      <c r="T125" s="26" t="str">
        <f aca="false">IF($S125=0,"",COUNTIF($S$5:$S125,1))</f>
        <v/>
      </c>
    </row>
    <row r="126" customFormat="false" ht="15" hidden="false" customHeight="false" outlineLevel="0" collapsed="false">
      <c r="A126" s="26" t="str">
        <f aca="false">IF($C126="","","QC-"&amp;TEXT(ROW()-4,"000"))</f>
        <v/>
      </c>
      <c r="B126" s="25"/>
      <c r="C126" s="24"/>
      <c r="D126" s="24"/>
      <c r="E126" s="24"/>
      <c r="F126" s="32"/>
      <c r="G126" s="33"/>
      <c r="H126" s="24"/>
      <c r="I126" s="24"/>
      <c r="J126" s="24"/>
      <c r="K126" s="24"/>
      <c r="L126" s="24"/>
      <c r="M126" s="24"/>
      <c r="N126" s="26" t="str">
        <f aca="false">IF($C126="","",IFERROR(INDEX(LOT_PRODE,MATCH($C126,LOT_KEY,0)),"LOT NON REFERENCE"))</f>
        <v/>
      </c>
      <c r="O126" s="26" t="str">
        <f aca="false">IF($C126="","",IFERROR(INDEX(LOT_CONSERVE,MATCH($C126,LOT_KEY,0)),""))</f>
        <v/>
      </c>
      <c r="P126" s="27" t="str">
        <f aca="false">IF(OR($C126="",$D126=""),"",SUMIFS(MVT_NET,MVT_LOT,$C126,MVT_EMPL,$D126))</f>
        <v/>
      </c>
      <c r="Q126" s="26" t="str">
        <f aca="false">IF($C126="","",IF(OR($B126="",AND($F126="",$G126="",$H126="",$I126="",$J126="",$K126="")),"DONNEES MANQUANTES",IF(AND($D126&lt;&gt;"",$P126&lt;=0),"EMPLACEMENT INCOHERENT","OK")))</f>
        <v/>
      </c>
      <c r="R126" s="26" t="str">
        <f aca="false">IF($C126="","",IF(AND(ISNUMBER($G126),$G126&gt;P_HIST),"HISTAMINE "&amp;TEXT($G126,"#,##0")&amp;" mg/kg &gt; seuil "&amp;TEXT(P_HIST,"#,##0")&amp;". ","")&amp;IF(AND(ISNUMBER($F126),$O126="CONGELE",$F126&gt;P_TCONG),"TEMPERATURE "&amp;TEXT($F126,"0.0")&amp;" C hors seuil congele. ","")&amp;IF(AND(ISNUMBER($F126),$O126="FRAIS",$F126&gt;P_TFRAIS),"TEMPERATURE "&amp;TEXT($F126,"0.0")&amp;" C hors seuil frais. ","")&amp;IF($Q126="EMPLACEMENT INCOHERENT","Lot absent de cet emplacement : controle conserve, stock inchange. ","")&amp;IF($Q126="DONNEES MANQUANTES","Renseigner la DATE et au moins une mesure. ",""))</f>
        <v/>
      </c>
      <c r="S126" s="28" t="n">
        <f aca="false">IF($C126="",0,IF($C126=R_LOT,1,0))</f>
        <v>0</v>
      </c>
      <c r="T126" s="26" t="str">
        <f aca="false">IF($S126=0,"",COUNTIF($S$5:$S126,1))</f>
        <v/>
      </c>
    </row>
    <row r="127" customFormat="false" ht="15" hidden="false" customHeight="false" outlineLevel="0" collapsed="false">
      <c r="A127" s="26" t="str">
        <f aca="false">IF($C127="","","QC-"&amp;TEXT(ROW()-4,"000"))</f>
        <v/>
      </c>
      <c r="B127" s="25"/>
      <c r="C127" s="24"/>
      <c r="D127" s="24"/>
      <c r="E127" s="24"/>
      <c r="F127" s="32"/>
      <c r="G127" s="33"/>
      <c r="H127" s="24"/>
      <c r="I127" s="24"/>
      <c r="J127" s="24"/>
      <c r="K127" s="24"/>
      <c r="L127" s="24"/>
      <c r="M127" s="24"/>
      <c r="N127" s="26" t="str">
        <f aca="false">IF($C127="","",IFERROR(INDEX(LOT_PRODE,MATCH($C127,LOT_KEY,0)),"LOT NON REFERENCE"))</f>
        <v/>
      </c>
      <c r="O127" s="26" t="str">
        <f aca="false">IF($C127="","",IFERROR(INDEX(LOT_CONSERVE,MATCH($C127,LOT_KEY,0)),""))</f>
        <v/>
      </c>
      <c r="P127" s="27" t="str">
        <f aca="false">IF(OR($C127="",$D127=""),"",SUMIFS(MVT_NET,MVT_LOT,$C127,MVT_EMPL,$D127))</f>
        <v/>
      </c>
      <c r="Q127" s="26" t="str">
        <f aca="false">IF($C127="","",IF(OR($B127="",AND($F127="",$G127="",$H127="",$I127="",$J127="",$K127="")),"DONNEES MANQUANTES",IF(AND($D127&lt;&gt;"",$P127&lt;=0),"EMPLACEMENT INCOHERENT","OK")))</f>
        <v/>
      </c>
      <c r="R127" s="26" t="str">
        <f aca="false">IF($C127="","",IF(AND(ISNUMBER($G127),$G127&gt;P_HIST),"HISTAMINE "&amp;TEXT($G127,"#,##0")&amp;" mg/kg &gt; seuil "&amp;TEXT(P_HIST,"#,##0")&amp;". ","")&amp;IF(AND(ISNUMBER($F127),$O127="CONGELE",$F127&gt;P_TCONG),"TEMPERATURE "&amp;TEXT($F127,"0.0")&amp;" C hors seuil congele. ","")&amp;IF(AND(ISNUMBER($F127),$O127="FRAIS",$F127&gt;P_TFRAIS),"TEMPERATURE "&amp;TEXT($F127,"0.0")&amp;" C hors seuil frais. ","")&amp;IF($Q127="EMPLACEMENT INCOHERENT","Lot absent de cet emplacement : controle conserve, stock inchange. ","")&amp;IF($Q127="DONNEES MANQUANTES","Renseigner la DATE et au moins une mesure. ",""))</f>
        <v/>
      </c>
      <c r="S127" s="28" t="n">
        <f aca="false">IF($C127="",0,IF($C127=R_LOT,1,0))</f>
        <v>0</v>
      </c>
      <c r="T127" s="26" t="str">
        <f aca="false">IF($S127=0,"",COUNTIF($S$5:$S127,1))</f>
        <v/>
      </c>
    </row>
    <row r="128" customFormat="false" ht="15" hidden="false" customHeight="false" outlineLevel="0" collapsed="false">
      <c r="A128" s="26" t="str">
        <f aca="false">IF($C128="","","QC-"&amp;TEXT(ROW()-4,"000"))</f>
        <v/>
      </c>
      <c r="B128" s="25"/>
      <c r="C128" s="24"/>
      <c r="D128" s="24"/>
      <c r="E128" s="24"/>
      <c r="F128" s="32"/>
      <c r="G128" s="33"/>
      <c r="H128" s="24"/>
      <c r="I128" s="24"/>
      <c r="J128" s="24"/>
      <c r="K128" s="24"/>
      <c r="L128" s="24"/>
      <c r="M128" s="24"/>
      <c r="N128" s="26" t="str">
        <f aca="false">IF($C128="","",IFERROR(INDEX(LOT_PRODE,MATCH($C128,LOT_KEY,0)),"LOT NON REFERENCE"))</f>
        <v/>
      </c>
      <c r="O128" s="26" t="str">
        <f aca="false">IF($C128="","",IFERROR(INDEX(LOT_CONSERVE,MATCH($C128,LOT_KEY,0)),""))</f>
        <v/>
      </c>
      <c r="P128" s="27" t="str">
        <f aca="false">IF(OR($C128="",$D128=""),"",SUMIFS(MVT_NET,MVT_LOT,$C128,MVT_EMPL,$D128))</f>
        <v/>
      </c>
      <c r="Q128" s="26" t="str">
        <f aca="false">IF($C128="","",IF(OR($B128="",AND($F128="",$G128="",$H128="",$I128="",$J128="",$K128="")),"DONNEES MANQUANTES",IF(AND($D128&lt;&gt;"",$P128&lt;=0),"EMPLACEMENT INCOHERENT","OK")))</f>
        <v/>
      </c>
      <c r="R128" s="26" t="str">
        <f aca="false">IF($C128="","",IF(AND(ISNUMBER($G128),$G128&gt;P_HIST),"HISTAMINE "&amp;TEXT($G128,"#,##0")&amp;" mg/kg &gt; seuil "&amp;TEXT(P_HIST,"#,##0")&amp;". ","")&amp;IF(AND(ISNUMBER($F128),$O128="CONGELE",$F128&gt;P_TCONG),"TEMPERATURE "&amp;TEXT($F128,"0.0")&amp;" C hors seuil congele. ","")&amp;IF(AND(ISNUMBER($F128),$O128="FRAIS",$F128&gt;P_TFRAIS),"TEMPERATURE "&amp;TEXT($F128,"0.0")&amp;" C hors seuil frais. ","")&amp;IF($Q128="EMPLACEMENT INCOHERENT","Lot absent de cet emplacement : controle conserve, stock inchange. ","")&amp;IF($Q128="DONNEES MANQUANTES","Renseigner la DATE et au moins une mesure. ",""))</f>
        <v/>
      </c>
      <c r="S128" s="28" t="n">
        <f aca="false">IF($C128="",0,IF($C128=R_LOT,1,0))</f>
        <v>0</v>
      </c>
      <c r="T128" s="26" t="str">
        <f aca="false">IF($S128=0,"",COUNTIF($S$5:$S128,1))</f>
        <v/>
      </c>
    </row>
    <row r="129" customFormat="false" ht="15" hidden="false" customHeight="false" outlineLevel="0" collapsed="false">
      <c r="A129" s="26" t="str">
        <f aca="false">IF($C129="","","QC-"&amp;TEXT(ROW()-4,"000"))</f>
        <v/>
      </c>
      <c r="B129" s="25"/>
      <c r="C129" s="24"/>
      <c r="D129" s="24"/>
      <c r="E129" s="24"/>
      <c r="F129" s="32"/>
      <c r="G129" s="33"/>
      <c r="H129" s="24"/>
      <c r="I129" s="24"/>
      <c r="J129" s="24"/>
      <c r="K129" s="24"/>
      <c r="L129" s="24"/>
      <c r="M129" s="24"/>
      <c r="N129" s="26" t="str">
        <f aca="false">IF($C129="","",IFERROR(INDEX(LOT_PRODE,MATCH($C129,LOT_KEY,0)),"LOT NON REFERENCE"))</f>
        <v/>
      </c>
      <c r="O129" s="26" t="str">
        <f aca="false">IF($C129="","",IFERROR(INDEX(LOT_CONSERVE,MATCH($C129,LOT_KEY,0)),""))</f>
        <v/>
      </c>
      <c r="P129" s="27" t="str">
        <f aca="false">IF(OR($C129="",$D129=""),"",SUMIFS(MVT_NET,MVT_LOT,$C129,MVT_EMPL,$D129))</f>
        <v/>
      </c>
      <c r="Q129" s="26" t="str">
        <f aca="false">IF($C129="","",IF(OR($B129="",AND($F129="",$G129="",$H129="",$I129="",$J129="",$K129="")),"DONNEES MANQUANTES",IF(AND($D129&lt;&gt;"",$P129&lt;=0),"EMPLACEMENT INCOHERENT","OK")))</f>
        <v/>
      </c>
      <c r="R129" s="26" t="str">
        <f aca="false">IF($C129="","",IF(AND(ISNUMBER($G129),$G129&gt;P_HIST),"HISTAMINE "&amp;TEXT($G129,"#,##0")&amp;" mg/kg &gt; seuil "&amp;TEXT(P_HIST,"#,##0")&amp;". ","")&amp;IF(AND(ISNUMBER($F129),$O129="CONGELE",$F129&gt;P_TCONG),"TEMPERATURE "&amp;TEXT($F129,"0.0")&amp;" C hors seuil congele. ","")&amp;IF(AND(ISNUMBER($F129),$O129="FRAIS",$F129&gt;P_TFRAIS),"TEMPERATURE "&amp;TEXT($F129,"0.0")&amp;" C hors seuil frais. ","")&amp;IF($Q129="EMPLACEMENT INCOHERENT","Lot absent de cet emplacement : controle conserve, stock inchange. ","")&amp;IF($Q129="DONNEES MANQUANTES","Renseigner la DATE et au moins une mesure. ",""))</f>
        <v/>
      </c>
      <c r="S129" s="28" t="n">
        <f aca="false">IF($C129="",0,IF($C129=R_LOT,1,0))</f>
        <v>0</v>
      </c>
      <c r="T129" s="26" t="str">
        <f aca="false">IF($S129=0,"",COUNTIF($S$5:$S129,1))</f>
        <v/>
      </c>
    </row>
    <row r="130" customFormat="false" ht="15" hidden="false" customHeight="false" outlineLevel="0" collapsed="false">
      <c r="A130" s="26" t="str">
        <f aca="false">IF($C130="","","QC-"&amp;TEXT(ROW()-4,"000"))</f>
        <v/>
      </c>
      <c r="B130" s="25"/>
      <c r="C130" s="24"/>
      <c r="D130" s="24"/>
      <c r="E130" s="24"/>
      <c r="F130" s="32"/>
      <c r="G130" s="33"/>
      <c r="H130" s="24"/>
      <c r="I130" s="24"/>
      <c r="J130" s="24"/>
      <c r="K130" s="24"/>
      <c r="L130" s="24"/>
      <c r="M130" s="24"/>
      <c r="N130" s="26" t="str">
        <f aca="false">IF($C130="","",IFERROR(INDEX(LOT_PRODE,MATCH($C130,LOT_KEY,0)),"LOT NON REFERENCE"))</f>
        <v/>
      </c>
      <c r="O130" s="26" t="str">
        <f aca="false">IF($C130="","",IFERROR(INDEX(LOT_CONSERVE,MATCH($C130,LOT_KEY,0)),""))</f>
        <v/>
      </c>
      <c r="P130" s="27" t="str">
        <f aca="false">IF(OR($C130="",$D130=""),"",SUMIFS(MVT_NET,MVT_LOT,$C130,MVT_EMPL,$D130))</f>
        <v/>
      </c>
      <c r="Q130" s="26" t="str">
        <f aca="false">IF($C130="","",IF(OR($B130="",AND($F130="",$G130="",$H130="",$I130="",$J130="",$K130="")),"DONNEES MANQUANTES",IF(AND($D130&lt;&gt;"",$P130&lt;=0),"EMPLACEMENT INCOHERENT","OK")))</f>
        <v/>
      </c>
      <c r="R130" s="26" t="str">
        <f aca="false">IF($C130="","",IF(AND(ISNUMBER($G130),$G130&gt;P_HIST),"HISTAMINE "&amp;TEXT($G130,"#,##0")&amp;" mg/kg &gt; seuil "&amp;TEXT(P_HIST,"#,##0")&amp;". ","")&amp;IF(AND(ISNUMBER($F130),$O130="CONGELE",$F130&gt;P_TCONG),"TEMPERATURE "&amp;TEXT($F130,"0.0")&amp;" C hors seuil congele. ","")&amp;IF(AND(ISNUMBER($F130),$O130="FRAIS",$F130&gt;P_TFRAIS),"TEMPERATURE "&amp;TEXT($F130,"0.0")&amp;" C hors seuil frais. ","")&amp;IF($Q130="EMPLACEMENT INCOHERENT","Lot absent de cet emplacement : controle conserve, stock inchange. ","")&amp;IF($Q130="DONNEES MANQUANTES","Renseigner la DATE et au moins une mesure. ",""))</f>
        <v/>
      </c>
      <c r="S130" s="28" t="n">
        <f aca="false">IF($C130="",0,IF($C130=R_LOT,1,0))</f>
        <v>0</v>
      </c>
      <c r="T130" s="26" t="str">
        <f aca="false">IF($S130=0,"",COUNTIF($S$5:$S130,1))</f>
        <v/>
      </c>
    </row>
    <row r="131" customFormat="false" ht="15" hidden="false" customHeight="false" outlineLevel="0" collapsed="false">
      <c r="A131" s="26" t="str">
        <f aca="false">IF($C131="","","QC-"&amp;TEXT(ROW()-4,"000"))</f>
        <v/>
      </c>
      <c r="B131" s="25"/>
      <c r="C131" s="24"/>
      <c r="D131" s="24"/>
      <c r="E131" s="24"/>
      <c r="F131" s="32"/>
      <c r="G131" s="33"/>
      <c r="H131" s="24"/>
      <c r="I131" s="24"/>
      <c r="J131" s="24"/>
      <c r="K131" s="24"/>
      <c r="L131" s="24"/>
      <c r="M131" s="24"/>
      <c r="N131" s="26" t="str">
        <f aca="false">IF($C131="","",IFERROR(INDEX(LOT_PRODE,MATCH($C131,LOT_KEY,0)),"LOT NON REFERENCE"))</f>
        <v/>
      </c>
      <c r="O131" s="26" t="str">
        <f aca="false">IF($C131="","",IFERROR(INDEX(LOT_CONSERVE,MATCH($C131,LOT_KEY,0)),""))</f>
        <v/>
      </c>
      <c r="P131" s="27" t="str">
        <f aca="false">IF(OR($C131="",$D131=""),"",SUMIFS(MVT_NET,MVT_LOT,$C131,MVT_EMPL,$D131))</f>
        <v/>
      </c>
      <c r="Q131" s="26" t="str">
        <f aca="false">IF($C131="","",IF(OR($B131="",AND($F131="",$G131="",$H131="",$I131="",$J131="",$K131="")),"DONNEES MANQUANTES",IF(AND($D131&lt;&gt;"",$P131&lt;=0),"EMPLACEMENT INCOHERENT","OK")))</f>
        <v/>
      </c>
      <c r="R131" s="26" t="str">
        <f aca="false">IF($C131="","",IF(AND(ISNUMBER($G131),$G131&gt;P_HIST),"HISTAMINE "&amp;TEXT($G131,"#,##0")&amp;" mg/kg &gt; seuil "&amp;TEXT(P_HIST,"#,##0")&amp;". ","")&amp;IF(AND(ISNUMBER($F131),$O131="CONGELE",$F131&gt;P_TCONG),"TEMPERATURE "&amp;TEXT($F131,"0.0")&amp;" C hors seuil congele. ","")&amp;IF(AND(ISNUMBER($F131),$O131="FRAIS",$F131&gt;P_TFRAIS),"TEMPERATURE "&amp;TEXT($F131,"0.0")&amp;" C hors seuil frais. ","")&amp;IF($Q131="EMPLACEMENT INCOHERENT","Lot absent de cet emplacement : controle conserve, stock inchange. ","")&amp;IF($Q131="DONNEES MANQUANTES","Renseigner la DATE et au moins une mesure. ",""))</f>
        <v/>
      </c>
      <c r="S131" s="28" t="n">
        <f aca="false">IF($C131="",0,IF($C131=R_LOT,1,0))</f>
        <v>0</v>
      </c>
      <c r="T131" s="26" t="str">
        <f aca="false">IF($S131=0,"",COUNTIF($S$5:$S131,1))</f>
        <v/>
      </c>
    </row>
    <row r="132" customFormat="false" ht="15" hidden="false" customHeight="false" outlineLevel="0" collapsed="false">
      <c r="A132" s="26" t="str">
        <f aca="false">IF($C132="","","QC-"&amp;TEXT(ROW()-4,"000"))</f>
        <v/>
      </c>
      <c r="B132" s="25"/>
      <c r="C132" s="24"/>
      <c r="D132" s="24"/>
      <c r="E132" s="24"/>
      <c r="F132" s="32"/>
      <c r="G132" s="33"/>
      <c r="H132" s="24"/>
      <c r="I132" s="24"/>
      <c r="J132" s="24"/>
      <c r="K132" s="24"/>
      <c r="L132" s="24"/>
      <c r="M132" s="24"/>
      <c r="N132" s="26" t="str">
        <f aca="false">IF($C132="","",IFERROR(INDEX(LOT_PRODE,MATCH($C132,LOT_KEY,0)),"LOT NON REFERENCE"))</f>
        <v/>
      </c>
      <c r="O132" s="26" t="str">
        <f aca="false">IF($C132="","",IFERROR(INDEX(LOT_CONSERVE,MATCH($C132,LOT_KEY,0)),""))</f>
        <v/>
      </c>
      <c r="P132" s="27" t="str">
        <f aca="false">IF(OR($C132="",$D132=""),"",SUMIFS(MVT_NET,MVT_LOT,$C132,MVT_EMPL,$D132))</f>
        <v/>
      </c>
      <c r="Q132" s="26" t="str">
        <f aca="false">IF($C132="","",IF(OR($B132="",AND($F132="",$G132="",$H132="",$I132="",$J132="",$K132="")),"DONNEES MANQUANTES",IF(AND($D132&lt;&gt;"",$P132&lt;=0),"EMPLACEMENT INCOHERENT","OK")))</f>
        <v/>
      </c>
      <c r="R132" s="26" t="str">
        <f aca="false">IF($C132="","",IF(AND(ISNUMBER($G132),$G132&gt;P_HIST),"HISTAMINE "&amp;TEXT($G132,"#,##0")&amp;" mg/kg &gt; seuil "&amp;TEXT(P_HIST,"#,##0")&amp;". ","")&amp;IF(AND(ISNUMBER($F132),$O132="CONGELE",$F132&gt;P_TCONG),"TEMPERATURE "&amp;TEXT($F132,"0.0")&amp;" C hors seuil congele. ","")&amp;IF(AND(ISNUMBER($F132),$O132="FRAIS",$F132&gt;P_TFRAIS),"TEMPERATURE "&amp;TEXT($F132,"0.0")&amp;" C hors seuil frais. ","")&amp;IF($Q132="EMPLACEMENT INCOHERENT","Lot absent de cet emplacement : controle conserve, stock inchange. ","")&amp;IF($Q132="DONNEES MANQUANTES","Renseigner la DATE et au moins une mesure. ",""))</f>
        <v/>
      </c>
      <c r="S132" s="28" t="n">
        <f aca="false">IF($C132="",0,IF($C132=R_LOT,1,0))</f>
        <v>0</v>
      </c>
      <c r="T132" s="26" t="str">
        <f aca="false">IF($S132=0,"",COUNTIF($S$5:$S132,1))</f>
        <v/>
      </c>
    </row>
    <row r="133" customFormat="false" ht="15" hidden="false" customHeight="false" outlineLevel="0" collapsed="false">
      <c r="A133" s="26" t="str">
        <f aca="false">IF($C133="","","QC-"&amp;TEXT(ROW()-4,"000"))</f>
        <v/>
      </c>
      <c r="B133" s="25"/>
      <c r="C133" s="24"/>
      <c r="D133" s="24"/>
      <c r="E133" s="24"/>
      <c r="F133" s="32"/>
      <c r="G133" s="33"/>
      <c r="H133" s="24"/>
      <c r="I133" s="24"/>
      <c r="J133" s="24"/>
      <c r="K133" s="24"/>
      <c r="L133" s="24"/>
      <c r="M133" s="24"/>
      <c r="N133" s="26" t="str">
        <f aca="false">IF($C133="","",IFERROR(INDEX(LOT_PRODE,MATCH($C133,LOT_KEY,0)),"LOT NON REFERENCE"))</f>
        <v/>
      </c>
      <c r="O133" s="26" t="str">
        <f aca="false">IF($C133="","",IFERROR(INDEX(LOT_CONSERVE,MATCH($C133,LOT_KEY,0)),""))</f>
        <v/>
      </c>
      <c r="P133" s="27" t="str">
        <f aca="false">IF(OR($C133="",$D133=""),"",SUMIFS(MVT_NET,MVT_LOT,$C133,MVT_EMPL,$D133))</f>
        <v/>
      </c>
      <c r="Q133" s="26" t="str">
        <f aca="false">IF($C133="","",IF(OR($B133="",AND($F133="",$G133="",$H133="",$I133="",$J133="",$K133="")),"DONNEES MANQUANTES",IF(AND($D133&lt;&gt;"",$P133&lt;=0),"EMPLACEMENT INCOHERENT","OK")))</f>
        <v/>
      </c>
      <c r="R133" s="26" t="str">
        <f aca="false">IF($C133="","",IF(AND(ISNUMBER($G133),$G133&gt;P_HIST),"HISTAMINE "&amp;TEXT($G133,"#,##0")&amp;" mg/kg &gt; seuil "&amp;TEXT(P_HIST,"#,##0")&amp;". ","")&amp;IF(AND(ISNUMBER($F133),$O133="CONGELE",$F133&gt;P_TCONG),"TEMPERATURE "&amp;TEXT($F133,"0.0")&amp;" C hors seuil congele. ","")&amp;IF(AND(ISNUMBER($F133),$O133="FRAIS",$F133&gt;P_TFRAIS),"TEMPERATURE "&amp;TEXT($F133,"0.0")&amp;" C hors seuil frais. ","")&amp;IF($Q133="EMPLACEMENT INCOHERENT","Lot absent de cet emplacement : controle conserve, stock inchange. ","")&amp;IF($Q133="DONNEES MANQUANTES","Renseigner la DATE et au moins une mesure. ",""))</f>
        <v/>
      </c>
      <c r="S133" s="28" t="n">
        <f aca="false">IF($C133="",0,IF($C133=R_LOT,1,0))</f>
        <v>0</v>
      </c>
      <c r="T133" s="26" t="str">
        <f aca="false">IF($S133=0,"",COUNTIF($S$5:$S133,1))</f>
        <v/>
      </c>
    </row>
    <row r="134" customFormat="false" ht="15" hidden="false" customHeight="false" outlineLevel="0" collapsed="false">
      <c r="A134" s="26" t="str">
        <f aca="false">IF($C134="","","QC-"&amp;TEXT(ROW()-4,"000"))</f>
        <v/>
      </c>
      <c r="B134" s="25"/>
      <c r="C134" s="24"/>
      <c r="D134" s="24"/>
      <c r="E134" s="24"/>
      <c r="F134" s="32"/>
      <c r="G134" s="33"/>
      <c r="H134" s="24"/>
      <c r="I134" s="24"/>
      <c r="J134" s="24"/>
      <c r="K134" s="24"/>
      <c r="L134" s="24"/>
      <c r="M134" s="24"/>
      <c r="N134" s="26" t="str">
        <f aca="false">IF($C134="","",IFERROR(INDEX(LOT_PRODE,MATCH($C134,LOT_KEY,0)),"LOT NON REFERENCE"))</f>
        <v/>
      </c>
      <c r="O134" s="26" t="str">
        <f aca="false">IF($C134="","",IFERROR(INDEX(LOT_CONSERVE,MATCH($C134,LOT_KEY,0)),""))</f>
        <v/>
      </c>
      <c r="P134" s="27" t="str">
        <f aca="false">IF(OR($C134="",$D134=""),"",SUMIFS(MVT_NET,MVT_LOT,$C134,MVT_EMPL,$D134))</f>
        <v/>
      </c>
      <c r="Q134" s="26" t="str">
        <f aca="false">IF($C134="","",IF(OR($B134="",AND($F134="",$G134="",$H134="",$I134="",$J134="",$K134="")),"DONNEES MANQUANTES",IF(AND($D134&lt;&gt;"",$P134&lt;=0),"EMPLACEMENT INCOHERENT","OK")))</f>
        <v/>
      </c>
      <c r="R134" s="26" t="str">
        <f aca="false">IF($C134="","",IF(AND(ISNUMBER($G134),$G134&gt;P_HIST),"HISTAMINE "&amp;TEXT($G134,"#,##0")&amp;" mg/kg &gt; seuil "&amp;TEXT(P_HIST,"#,##0")&amp;". ","")&amp;IF(AND(ISNUMBER($F134),$O134="CONGELE",$F134&gt;P_TCONG),"TEMPERATURE "&amp;TEXT($F134,"0.0")&amp;" C hors seuil congele. ","")&amp;IF(AND(ISNUMBER($F134),$O134="FRAIS",$F134&gt;P_TFRAIS),"TEMPERATURE "&amp;TEXT($F134,"0.0")&amp;" C hors seuil frais. ","")&amp;IF($Q134="EMPLACEMENT INCOHERENT","Lot absent de cet emplacement : controle conserve, stock inchange. ","")&amp;IF($Q134="DONNEES MANQUANTES","Renseigner la DATE et au moins une mesure. ",""))</f>
        <v/>
      </c>
      <c r="S134" s="28" t="n">
        <f aca="false">IF($C134="",0,IF($C134=R_LOT,1,0))</f>
        <v>0</v>
      </c>
      <c r="T134" s="26" t="str">
        <f aca="false">IF($S134=0,"",COUNTIF($S$5:$S134,1))</f>
        <v/>
      </c>
    </row>
    <row r="135" customFormat="false" ht="15" hidden="false" customHeight="false" outlineLevel="0" collapsed="false">
      <c r="A135" s="26" t="str">
        <f aca="false">IF($C135="","","QC-"&amp;TEXT(ROW()-4,"000"))</f>
        <v/>
      </c>
      <c r="B135" s="25"/>
      <c r="C135" s="24"/>
      <c r="D135" s="24"/>
      <c r="E135" s="24"/>
      <c r="F135" s="32"/>
      <c r="G135" s="33"/>
      <c r="H135" s="24"/>
      <c r="I135" s="24"/>
      <c r="J135" s="24"/>
      <c r="K135" s="24"/>
      <c r="L135" s="24"/>
      <c r="M135" s="24"/>
      <c r="N135" s="26" t="str">
        <f aca="false">IF($C135="","",IFERROR(INDEX(LOT_PRODE,MATCH($C135,LOT_KEY,0)),"LOT NON REFERENCE"))</f>
        <v/>
      </c>
      <c r="O135" s="26" t="str">
        <f aca="false">IF($C135="","",IFERROR(INDEX(LOT_CONSERVE,MATCH($C135,LOT_KEY,0)),""))</f>
        <v/>
      </c>
      <c r="P135" s="27" t="str">
        <f aca="false">IF(OR($C135="",$D135=""),"",SUMIFS(MVT_NET,MVT_LOT,$C135,MVT_EMPL,$D135))</f>
        <v/>
      </c>
      <c r="Q135" s="26" t="str">
        <f aca="false">IF($C135="","",IF(OR($B135="",AND($F135="",$G135="",$H135="",$I135="",$J135="",$K135="")),"DONNEES MANQUANTES",IF(AND($D135&lt;&gt;"",$P135&lt;=0),"EMPLACEMENT INCOHERENT","OK")))</f>
        <v/>
      </c>
      <c r="R135" s="26" t="str">
        <f aca="false">IF($C135="","",IF(AND(ISNUMBER($G135),$G135&gt;P_HIST),"HISTAMINE "&amp;TEXT($G135,"#,##0")&amp;" mg/kg &gt; seuil "&amp;TEXT(P_HIST,"#,##0")&amp;". ","")&amp;IF(AND(ISNUMBER($F135),$O135="CONGELE",$F135&gt;P_TCONG),"TEMPERATURE "&amp;TEXT($F135,"0.0")&amp;" C hors seuil congele. ","")&amp;IF(AND(ISNUMBER($F135),$O135="FRAIS",$F135&gt;P_TFRAIS),"TEMPERATURE "&amp;TEXT($F135,"0.0")&amp;" C hors seuil frais. ","")&amp;IF($Q135="EMPLACEMENT INCOHERENT","Lot absent de cet emplacement : controle conserve, stock inchange. ","")&amp;IF($Q135="DONNEES MANQUANTES","Renseigner la DATE et au moins une mesure. ",""))</f>
        <v/>
      </c>
      <c r="S135" s="28" t="n">
        <f aca="false">IF($C135="",0,IF($C135=R_LOT,1,0))</f>
        <v>0</v>
      </c>
      <c r="T135" s="26" t="str">
        <f aca="false">IF($S135=0,"",COUNTIF($S$5:$S135,1))</f>
        <v/>
      </c>
    </row>
    <row r="136" customFormat="false" ht="15" hidden="false" customHeight="false" outlineLevel="0" collapsed="false">
      <c r="A136" s="26" t="str">
        <f aca="false">IF($C136="","","QC-"&amp;TEXT(ROW()-4,"000"))</f>
        <v/>
      </c>
      <c r="B136" s="25"/>
      <c r="C136" s="24"/>
      <c r="D136" s="24"/>
      <c r="E136" s="24"/>
      <c r="F136" s="32"/>
      <c r="G136" s="33"/>
      <c r="H136" s="24"/>
      <c r="I136" s="24"/>
      <c r="J136" s="24"/>
      <c r="K136" s="24"/>
      <c r="L136" s="24"/>
      <c r="M136" s="24"/>
      <c r="N136" s="26" t="str">
        <f aca="false">IF($C136="","",IFERROR(INDEX(LOT_PRODE,MATCH($C136,LOT_KEY,0)),"LOT NON REFERENCE"))</f>
        <v/>
      </c>
      <c r="O136" s="26" t="str">
        <f aca="false">IF($C136="","",IFERROR(INDEX(LOT_CONSERVE,MATCH($C136,LOT_KEY,0)),""))</f>
        <v/>
      </c>
      <c r="P136" s="27" t="str">
        <f aca="false">IF(OR($C136="",$D136=""),"",SUMIFS(MVT_NET,MVT_LOT,$C136,MVT_EMPL,$D136))</f>
        <v/>
      </c>
      <c r="Q136" s="26" t="str">
        <f aca="false">IF($C136="","",IF(OR($B136="",AND($F136="",$G136="",$H136="",$I136="",$J136="",$K136="")),"DONNEES MANQUANTES",IF(AND($D136&lt;&gt;"",$P136&lt;=0),"EMPLACEMENT INCOHERENT","OK")))</f>
        <v/>
      </c>
      <c r="R136" s="26" t="str">
        <f aca="false">IF($C136="","",IF(AND(ISNUMBER($G136),$G136&gt;P_HIST),"HISTAMINE "&amp;TEXT($G136,"#,##0")&amp;" mg/kg &gt; seuil "&amp;TEXT(P_HIST,"#,##0")&amp;". ","")&amp;IF(AND(ISNUMBER($F136),$O136="CONGELE",$F136&gt;P_TCONG),"TEMPERATURE "&amp;TEXT($F136,"0.0")&amp;" C hors seuil congele. ","")&amp;IF(AND(ISNUMBER($F136),$O136="FRAIS",$F136&gt;P_TFRAIS),"TEMPERATURE "&amp;TEXT($F136,"0.0")&amp;" C hors seuil frais. ","")&amp;IF($Q136="EMPLACEMENT INCOHERENT","Lot absent de cet emplacement : controle conserve, stock inchange. ","")&amp;IF($Q136="DONNEES MANQUANTES","Renseigner la DATE et au moins une mesure. ",""))</f>
        <v/>
      </c>
      <c r="S136" s="28" t="n">
        <f aca="false">IF($C136="",0,IF($C136=R_LOT,1,0))</f>
        <v>0</v>
      </c>
      <c r="T136" s="26" t="str">
        <f aca="false">IF($S136=0,"",COUNTIF($S$5:$S136,1))</f>
        <v/>
      </c>
    </row>
    <row r="137" customFormat="false" ht="15" hidden="false" customHeight="false" outlineLevel="0" collapsed="false">
      <c r="A137" s="26" t="str">
        <f aca="false">IF($C137="","","QC-"&amp;TEXT(ROW()-4,"000"))</f>
        <v/>
      </c>
      <c r="B137" s="25"/>
      <c r="C137" s="24"/>
      <c r="D137" s="24"/>
      <c r="E137" s="24"/>
      <c r="F137" s="32"/>
      <c r="G137" s="33"/>
      <c r="H137" s="24"/>
      <c r="I137" s="24"/>
      <c r="J137" s="24"/>
      <c r="K137" s="24"/>
      <c r="L137" s="24"/>
      <c r="M137" s="24"/>
      <c r="N137" s="26" t="str">
        <f aca="false">IF($C137="","",IFERROR(INDEX(LOT_PRODE,MATCH($C137,LOT_KEY,0)),"LOT NON REFERENCE"))</f>
        <v/>
      </c>
      <c r="O137" s="26" t="str">
        <f aca="false">IF($C137="","",IFERROR(INDEX(LOT_CONSERVE,MATCH($C137,LOT_KEY,0)),""))</f>
        <v/>
      </c>
      <c r="P137" s="27" t="str">
        <f aca="false">IF(OR($C137="",$D137=""),"",SUMIFS(MVT_NET,MVT_LOT,$C137,MVT_EMPL,$D137))</f>
        <v/>
      </c>
      <c r="Q137" s="26" t="str">
        <f aca="false">IF($C137="","",IF(OR($B137="",AND($F137="",$G137="",$H137="",$I137="",$J137="",$K137="")),"DONNEES MANQUANTES",IF(AND($D137&lt;&gt;"",$P137&lt;=0),"EMPLACEMENT INCOHERENT","OK")))</f>
        <v/>
      </c>
      <c r="R137" s="26" t="str">
        <f aca="false">IF($C137="","",IF(AND(ISNUMBER($G137),$G137&gt;P_HIST),"HISTAMINE "&amp;TEXT($G137,"#,##0")&amp;" mg/kg &gt; seuil "&amp;TEXT(P_HIST,"#,##0")&amp;". ","")&amp;IF(AND(ISNUMBER($F137),$O137="CONGELE",$F137&gt;P_TCONG),"TEMPERATURE "&amp;TEXT($F137,"0.0")&amp;" C hors seuil congele. ","")&amp;IF(AND(ISNUMBER($F137),$O137="FRAIS",$F137&gt;P_TFRAIS),"TEMPERATURE "&amp;TEXT($F137,"0.0")&amp;" C hors seuil frais. ","")&amp;IF($Q137="EMPLACEMENT INCOHERENT","Lot absent de cet emplacement : controle conserve, stock inchange. ","")&amp;IF($Q137="DONNEES MANQUANTES","Renseigner la DATE et au moins une mesure. ",""))</f>
        <v/>
      </c>
      <c r="S137" s="28" t="n">
        <f aca="false">IF($C137="",0,IF($C137=R_LOT,1,0))</f>
        <v>0</v>
      </c>
      <c r="T137" s="26" t="str">
        <f aca="false">IF($S137=0,"",COUNTIF($S$5:$S137,1))</f>
        <v/>
      </c>
    </row>
    <row r="138" customFormat="false" ht="15" hidden="false" customHeight="false" outlineLevel="0" collapsed="false">
      <c r="A138" s="26" t="str">
        <f aca="false">IF($C138="","","QC-"&amp;TEXT(ROW()-4,"000"))</f>
        <v/>
      </c>
      <c r="B138" s="25"/>
      <c r="C138" s="24"/>
      <c r="D138" s="24"/>
      <c r="E138" s="24"/>
      <c r="F138" s="32"/>
      <c r="G138" s="33"/>
      <c r="H138" s="24"/>
      <c r="I138" s="24"/>
      <c r="J138" s="24"/>
      <c r="K138" s="24"/>
      <c r="L138" s="24"/>
      <c r="M138" s="24"/>
      <c r="N138" s="26" t="str">
        <f aca="false">IF($C138="","",IFERROR(INDEX(LOT_PRODE,MATCH($C138,LOT_KEY,0)),"LOT NON REFERENCE"))</f>
        <v/>
      </c>
      <c r="O138" s="26" t="str">
        <f aca="false">IF($C138="","",IFERROR(INDEX(LOT_CONSERVE,MATCH($C138,LOT_KEY,0)),""))</f>
        <v/>
      </c>
      <c r="P138" s="27" t="str">
        <f aca="false">IF(OR($C138="",$D138=""),"",SUMIFS(MVT_NET,MVT_LOT,$C138,MVT_EMPL,$D138))</f>
        <v/>
      </c>
      <c r="Q138" s="26" t="str">
        <f aca="false">IF($C138="","",IF(OR($B138="",AND($F138="",$G138="",$H138="",$I138="",$J138="",$K138="")),"DONNEES MANQUANTES",IF(AND($D138&lt;&gt;"",$P138&lt;=0),"EMPLACEMENT INCOHERENT","OK")))</f>
        <v/>
      </c>
      <c r="R138" s="26" t="str">
        <f aca="false">IF($C138="","",IF(AND(ISNUMBER($G138),$G138&gt;P_HIST),"HISTAMINE "&amp;TEXT($G138,"#,##0")&amp;" mg/kg &gt; seuil "&amp;TEXT(P_HIST,"#,##0")&amp;". ","")&amp;IF(AND(ISNUMBER($F138),$O138="CONGELE",$F138&gt;P_TCONG),"TEMPERATURE "&amp;TEXT($F138,"0.0")&amp;" C hors seuil congele. ","")&amp;IF(AND(ISNUMBER($F138),$O138="FRAIS",$F138&gt;P_TFRAIS),"TEMPERATURE "&amp;TEXT($F138,"0.0")&amp;" C hors seuil frais. ","")&amp;IF($Q138="EMPLACEMENT INCOHERENT","Lot absent de cet emplacement : controle conserve, stock inchange. ","")&amp;IF($Q138="DONNEES MANQUANTES","Renseigner la DATE et au moins une mesure. ",""))</f>
        <v/>
      </c>
      <c r="S138" s="28" t="n">
        <f aca="false">IF($C138="",0,IF($C138=R_LOT,1,0))</f>
        <v>0</v>
      </c>
      <c r="T138" s="26" t="str">
        <f aca="false">IF($S138=0,"",COUNTIF($S$5:$S138,1))</f>
        <v/>
      </c>
    </row>
    <row r="139" customFormat="false" ht="15" hidden="false" customHeight="false" outlineLevel="0" collapsed="false">
      <c r="A139" s="26" t="str">
        <f aca="false">IF($C139="","","QC-"&amp;TEXT(ROW()-4,"000"))</f>
        <v/>
      </c>
      <c r="B139" s="25"/>
      <c r="C139" s="24"/>
      <c r="D139" s="24"/>
      <c r="E139" s="24"/>
      <c r="F139" s="32"/>
      <c r="G139" s="33"/>
      <c r="H139" s="24"/>
      <c r="I139" s="24"/>
      <c r="J139" s="24"/>
      <c r="K139" s="24"/>
      <c r="L139" s="24"/>
      <c r="M139" s="24"/>
      <c r="N139" s="26" t="str">
        <f aca="false">IF($C139="","",IFERROR(INDEX(LOT_PRODE,MATCH($C139,LOT_KEY,0)),"LOT NON REFERENCE"))</f>
        <v/>
      </c>
      <c r="O139" s="26" t="str">
        <f aca="false">IF($C139="","",IFERROR(INDEX(LOT_CONSERVE,MATCH($C139,LOT_KEY,0)),""))</f>
        <v/>
      </c>
      <c r="P139" s="27" t="str">
        <f aca="false">IF(OR($C139="",$D139=""),"",SUMIFS(MVT_NET,MVT_LOT,$C139,MVT_EMPL,$D139))</f>
        <v/>
      </c>
      <c r="Q139" s="26" t="str">
        <f aca="false">IF($C139="","",IF(OR($B139="",AND($F139="",$G139="",$H139="",$I139="",$J139="",$K139="")),"DONNEES MANQUANTES",IF(AND($D139&lt;&gt;"",$P139&lt;=0),"EMPLACEMENT INCOHERENT","OK")))</f>
        <v/>
      </c>
      <c r="R139" s="26" t="str">
        <f aca="false">IF($C139="","",IF(AND(ISNUMBER($G139),$G139&gt;P_HIST),"HISTAMINE "&amp;TEXT($G139,"#,##0")&amp;" mg/kg &gt; seuil "&amp;TEXT(P_HIST,"#,##0")&amp;". ","")&amp;IF(AND(ISNUMBER($F139),$O139="CONGELE",$F139&gt;P_TCONG),"TEMPERATURE "&amp;TEXT($F139,"0.0")&amp;" C hors seuil congele. ","")&amp;IF(AND(ISNUMBER($F139),$O139="FRAIS",$F139&gt;P_TFRAIS),"TEMPERATURE "&amp;TEXT($F139,"0.0")&amp;" C hors seuil frais. ","")&amp;IF($Q139="EMPLACEMENT INCOHERENT","Lot absent de cet emplacement : controle conserve, stock inchange. ","")&amp;IF($Q139="DONNEES MANQUANTES","Renseigner la DATE et au moins une mesure. ",""))</f>
        <v/>
      </c>
      <c r="S139" s="28" t="n">
        <f aca="false">IF($C139="",0,IF($C139=R_LOT,1,0))</f>
        <v>0</v>
      </c>
      <c r="T139" s="26" t="str">
        <f aca="false">IF($S139=0,"",COUNTIF($S$5:$S139,1))</f>
        <v/>
      </c>
    </row>
    <row r="140" customFormat="false" ht="15" hidden="false" customHeight="false" outlineLevel="0" collapsed="false">
      <c r="A140" s="26" t="str">
        <f aca="false">IF($C140="","","QC-"&amp;TEXT(ROW()-4,"000"))</f>
        <v/>
      </c>
      <c r="B140" s="25"/>
      <c r="C140" s="24"/>
      <c r="D140" s="24"/>
      <c r="E140" s="24"/>
      <c r="F140" s="32"/>
      <c r="G140" s="33"/>
      <c r="H140" s="24"/>
      <c r="I140" s="24"/>
      <c r="J140" s="24"/>
      <c r="K140" s="24"/>
      <c r="L140" s="24"/>
      <c r="M140" s="24"/>
      <c r="N140" s="26" t="str">
        <f aca="false">IF($C140="","",IFERROR(INDEX(LOT_PRODE,MATCH($C140,LOT_KEY,0)),"LOT NON REFERENCE"))</f>
        <v/>
      </c>
      <c r="O140" s="26" t="str">
        <f aca="false">IF($C140="","",IFERROR(INDEX(LOT_CONSERVE,MATCH($C140,LOT_KEY,0)),""))</f>
        <v/>
      </c>
      <c r="P140" s="27" t="str">
        <f aca="false">IF(OR($C140="",$D140=""),"",SUMIFS(MVT_NET,MVT_LOT,$C140,MVT_EMPL,$D140))</f>
        <v/>
      </c>
      <c r="Q140" s="26" t="str">
        <f aca="false">IF($C140="","",IF(OR($B140="",AND($F140="",$G140="",$H140="",$I140="",$J140="",$K140="")),"DONNEES MANQUANTES",IF(AND($D140&lt;&gt;"",$P140&lt;=0),"EMPLACEMENT INCOHERENT","OK")))</f>
        <v/>
      </c>
      <c r="R140" s="26" t="str">
        <f aca="false">IF($C140="","",IF(AND(ISNUMBER($G140),$G140&gt;P_HIST),"HISTAMINE "&amp;TEXT($G140,"#,##0")&amp;" mg/kg &gt; seuil "&amp;TEXT(P_HIST,"#,##0")&amp;". ","")&amp;IF(AND(ISNUMBER($F140),$O140="CONGELE",$F140&gt;P_TCONG),"TEMPERATURE "&amp;TEXT($F140,"0.0")&amp;" C hors seuil congele. ","")&amp;IF(AND(ISNUMBER($F140),$O140="FRAIS",$F140&gt;P_TFRAIS),"TEMPERATURE "&amp;TEXT($F140,"0.0")&amp;" C hors seuil frais. ","")&amp;IF($Q140="EMPLACEMENT INCOHERENT","Lot absent de cet emplacement : controle conserve, stock inchange. ","")&amp;IF($Q140="DONNEES MANQUANTES","Renseigner la DATE et au moins une mesure. ",""))</f>
        <v/>
      </c>
      <c r="S140" s="28" t="n">
        <f aca="false">IF($C140="",0,IF($C140=R_LOT,1,0))</f>
        <v>0</v>
      </c>
      <c r="T140" s="26" t="str">
        <f aca="false">IF($S140=0,"",COUNTIF($S$5:$S140,1))</f>
        <v/>
      </c>
    </row>
    <row r="141" customFormat="false" ht="15" hidden="false" customHeight="false" outlineLevel="0" collapsed="false">
      <c r="A141" s="26" t="str">
        <f aca="false">IF($C141="","","QC-"&amp;TEXT(ROW()-4,"000"))</f>
        <v/>
      </c>
      <c r="B141" s="25"/>
      <c r="C141" s="24"/>
      <c r="D141" s="24"/>
      <c r="E141" s="24"/>
      <c r="F141" s="32"/>
      <c r="G141" s="33"/>
      <c r="H141" s="24"/>
      <c r="I141" s="24"/>
      <c r="J141" s="24"/>
      <c r="K141" s="24"/>
      <c r="L141" s="24"/>
      <c r="M141" s="24"/>
      <c r="N141" s="26" t="str">
        <f aca="false">IF($C141="","",IFERROR(INDEX(LOT_PRODE,MATCH($C141,LOT_KEY,0)),"LOT NON REFERENCE"))</f>
        <v/>
      </c>
      <c r="O141" s="26" t="str">
        <f aca="false">IF($C141="","",IFERROR(INDEX(LOT_CONSERVE,MATCH($C141,LOT_KEY,0)),""))</f>
        <v/>
      </c>
      <c r="P141" s="27" t="str">
        <f aca="false">IF(OR($C141="",$D141=""),"",SUMIFS(MVT_NET,MVT_LOT,$C141,MVT_EMPL,$D141))</f>
        <v/>
      </c>
      <c r="Q141" s="26" t="str">
        <f aca="false">IF($C141="","",IF(OR($B141="",AND($F141="",$G141="",$H141="",$I141="",$J141="",$K141="")),"DONNEES MANQUANTES",IF(AND($D141&lt;&gt;"",$P141&lt;=0),"EMPLACEMENT INCOHERENT","OK")))</f>
        <v/>
      </c>
      <c r="R141" s="26" t="str">
        <f aca="false">IF($C141="","",IF(AND(ISNUMBER($G141),$G141&gt;P_HIST),"HISTAMINE "&amp;TEXT($G141,"#,##0")&amp;" mg/kg &gt; seuil "&amp;TEXT(P_HIST,"#,##0")&amp;". ","")&amp;IF(AND(ISNUMBER($F141),$O141="CONGELE",$F141&gt;P_TCONG),"TEMPERATURE "&amp;TEXT($F141,"0.0")&amp;" C hors seuil congele. ","")&amp;IF(AND(ISNUMBER($F141),$O141="FRAIS",$F141&gt;P_TFRAIS),"TEMPERATURE "&amp;TEXT($F141,"0.0")&amp;" C hors seuil frais. ","")&amp;IF($Q141="EMPLACEMENT INCOHERENT","Lot absent de cet emplacement : controle conserve, stock inchange. ","")&amp;IF($Q141="DONNEES MANQUANTES","Renseigner la DATE et au moins une mesure. ",""))</f>
        <v/>
      </c>
      <c r="S141" s="28" t="n">
        <f aca="false">IF($C141="",0,IF($C141=R_LOT,1,0))</f>
        <v>0</v>
      </c>
      <c r="T141" s="26" t="str">
        <f aca="false">IF($S141=0,"",COUNTIF($S$5:$S141,1))</f>
        <v/>
      </c>
    </row>
    <row r="142" customFormat="false" ht="15" hidden="false" customHeight="false" outlineLevel="0" collapsed="false">
      <c r="A142" s="26" t="str">
        <f aca="false">IF($C142="","","QC-"&amp;TEXT(ROW()-4,"000"))</f>
        <v/>
      </c>
      <c r="B142" s="25"/>
      <c r="C142" s="24"/>
      <c r="D142" s="24"/>
      <c r="E142" s="24"/>
      <c r="F142" s="32"/>
      <c r="G142" s="33"/>
      <c r="H142" s="24"/>
      <c r="I142" s="24"/>
      <c r="J142" s="24"/>
      <c r="K142" s="24"/>
      <c r="L142" s="24"/>
      <c r="M142" s="24"/>
      <c r="N142" s="26" t="str">
        <f aca="false">IF($C142="","",IFERROR(INDEX(LOT_PRODE,MATCH($C142,LOT_KEY,0)),"LOT NON REFERENCE"))</f>
        <v/>
      </c>
      <c r="O142" s="26" t="str">
        <f aca="false">IF($C142="","",IFERROR(INDEX(LOT_CONSERVE,MATCH($C142,LOT_KEY,0)),""))</f>
        <v/>
      </c>
      <c r="P142" s="27" t="str">
        <f aca="false">IF(OR($C142="",$D142=""),"",SUMIFS(MVT_NET,MVT_LOT,$C142,MVT_EMPL,$D142))</f>
        <v/>
      </c>
      <c r="Q142" s="26" t="str">
        <f aca="false">IF($C142="","",IF(OR($B142="",AND($F142="",$G142="",$H142="",$I142="",$J142="",$K142="")),"DONNEES MANQUANTES",IF(AND($D142&lt;&gt;"",$P142&lt;=0),"EMPLACEMENT INCOHERENT","OK")))</f>
        <v/>
      </c>
      <c r="R142" s="26" t="str">
        <f aca="false">IF($C142="","",IF(AND(ISNUMBER($G142),$G142&gt;P_HIST),"HISTAMINE "&amp;TEXT($G142,"#,##0")&amp;" mg/kg &gt; seuil "&amp;TEXT(P_HIST,"#,##0")&amp;". ","")&amp;IF(AND(ISNUMBER($F142),$O142="CONGELE",$F142&gt;P_TCONG),"TEMPERATURE "&amp;TEXT($F142,"0.0")&amp;" C hors seuil congele. ","")&amp;IF(AND(ISNUMBER($F142),$O142="FRAIS",$F142&gt;P_TFRAIS),"TEMPERATURE "&amp;TEXT($F142,"0.0")&amp;" C hors seuil frais. ","")&amp;IF($Q142="EMPLACEMENT INCOHERENT","Lot absent de cet emplacement : controle conserve, stock inchange. ","")&amp;IF($Q142="DONNEES MANQUANTES","Renseigner la DATE et au moins une mesure. ",""))</f>
        <v/>
      </c>
      <c r="S142" s="28" t="n">
        <f aca="false">IF($C142="",0,IF($C142=R_LOT,1,0))</f>
        <v>0</v>
      </c>
      <c r="T142" s="26" t="str">
        <f aca="false">IF($S142=0,"",COUNTIF($S$5:$S142,1))</f>
        <v/>
      </c>
    </row>
    <row r="143" customFormat="false" ht="15" hidden="false" customHeight="false" outlineLevel="0" collapsed="false">
      <c r="A143" s="26" t="str">
        <f aca="false">IF($C143="","","QC-"&amp;TEXT(ROW()-4,"000"))</f>
        <v/>
      </c>
      <c r="B143" s="25"/>
      <c r="C143" s="24"/>
      <c r="D143" s="24"/>
      <c r="E143" s="24"/>
      <c r="F143" s="32"/>
      <c r="G143" s="33"/>
      <c r="H143" s="24"/>
      <c r="I143" s="24"/>
      <c r="J143" s="24"/>
      <c r="K143" s="24"/>
      <c r="L143" s="24"/>
      <c r="M143" s="24"/>
      <c r="N143" s="26" t="str">
        <f aca="false">IF($C143="","",IFERROR(INDEX(LOT_PRODE,MATCH($C143,LOT_KEY,0)),"LOT NON REFERENCE"))</f>
        <v/>
      </c>
      <c r="O143" s="26" t="str">
        <f aca="false">IF($C143="","",IFERROR(INDEX(LOT_CONSERVE,MATCH($C143,LOT_KEY,0)),""))</f>
        <v/>
      </c>
      <c r="P143" s="27" t="str">
        <f aca="false">IF(OR($C143="",$D143=""),"",SUMIFS(MVT_NET,MVT_LOT,$C143,MVT_EMPL,$D143))</f>
        <v/>
      </c>
      <c r="Q143" s="26" t="str">
        <f aca="false">IF($C143="","",IF(OR($B143="",AND($F143="",$G143="",$H143="",$I143="",$J143="",$K143="")),"DONNEES MANQUANTES",IF(AND($D143&lt;&gt;"",$P143&lt;=0),"EMPLACEMENT INCOHERENT","OK")))</f>
        <v/>
      </c>
      <c r="R143" s="26" t="str">
        <f aca="false">IF($C143="","",IF(AND(ISNUMBER($G143),$G143&gt;P_HIST),"HISTAMINE "&amp;TEXT($G143,"#,##0")&amp;" mg/kg &gt; seuil "&amp;TEXT(P_HIST,"#,##0")&amp;". ","")&amp;IF(AND(ISNUMBER($F143),$O143="CONGELE",$F143&gt;P_TCONG),"TEMPERATURE "&amp;TEXT($F143,"0.0")&amp;" C hors seuil congele. ","")&amp;IF(AND(ISNUMBER($F143),$O143="FRAIS",$F143&gt;P_TFRAIS),"TEMPERATURE "&amp;TEXT($F143,"0.0")&amp;" C hors seuil frais. ","")&amp;IF($Q143="EMPLACEMENT INCOHERENT","Lot absent de cet emplacement : controle conserve, stock inchange. ","")&amp;IF($Q143="DONNEES MANQUANTES","Renseigner la DATE et au moins une mesure. ",""))</f>
        <v/>
      </c>
      <c r="S143" s="28" t="n">
        <f aca="false">IF($C143="",0,IF($C143=R_LOT,1,0))</f>
        <v>0</v>
      </c>
      <c r="T143" s="26" t="str">
        <f aca="false">IF($S143=0,"",COUNTIF($S$5:$S143,1))</f>
        <v/>
      </c>
    </row>
    <row r="144" customFormat="false" ht="15" hidden="false" customHeight="false" outlineLevel="0" collapsed="false">
      <c r="A144" s="26" t="str">
        <f aca="false">IF($C144="","","QC-"&amp;TEXT(ROW()-4,"000"))</f>
        <v/>
      </c>
      <c r="B144" s="25"/>
      <c r="C144" s="24"/>
      <c r="D144" s="24"/>
      <c r="E144" s="24"/>
      <c r="F144" s="32"/>
      <c r="G144" s="33"/>
      <c r="H144" s="24"/>
      <c r="I144" s="24"/>
      <c r="J144" s="24"/>
      <c r="K144" s="24"/>
      <c r="L144" s="24"/>
      <c r="M144" s="24"/>
      <c r="N144" s="26" t="str">
        <f aca="false">IF($C144="","",IFERROR(INDEX(LOT_PRODE,MATCH($C144,LOT_KEY,0)),"LOT NON REFERENCE"))</f>
        <v/>
      </c>
      <c r="O144" s="26" t="str">
        <f aca="false">IF($C144="","",IFERROR(INDEX(LOT_CONSERVE,MATCH($C144,LOT_KEY,0)),""))</f>
        <v/>
      </c>
      <c r="P144" s="27" t="str">
        <f aca="false">IF(OR($C144="",$D144=""),"",SUMIFS(MVT_NET,MVT_LOT,$C144,MVT_EMPL,$D144))</f>
        <v/>
      </c>
      <c r="Q144" s="26" t="str">
        <f aca="false">IF($C144="","",IF(OR($B144="",AND($F144="",$G144="",$H144="",$I144="",$J144="",$K144="")),"DONNEES MANQUANTES",IF(AND($D144&lt;&gt;"",$P144&lt;=0),"EMPLACEMENT INCOHERENT","OK")))</f>
        <v/>
      </c>
      <c r="R144" s="26" t="str">
        <f aca="false">IF($C144="","",IF(AND(ISNUMBER($G144),$G144&gt;P_HIST),"HISTAMINE "&amp;TEXT($G144,"#,##0")&amp;" mg/kg &gt; seuil "&amp;TEXT(P_HIST,"#,##0")&amp;". ","")&amp;IF(AND(ISNUMBER($F144),$O144="CONGELE",$F144&gt;P_TCONG),"TEMPERATURE "&amp;TEXT($F144,"0.0")&amp;" C hors seuil congele. ","")&amp;IF(AND(ISNUMBER($F144),$O144="FRAIS",$F144&gt;P_TFRAIS),"TEMPERATURE "&amp;TEXT($F144,"0.0")&amp;" C hors seuil frais. ","")&amp;IF($Q144="EMPLACEMENT INCOHERENT","Lot absent de cet emplacement : controle conserve, stock inchange. ","")&amp;IF($Q144="DONNEES MANQUANTES","Renseigner la DATE et au moins une mesure. ",""))</f>
        <v/>
      </c>
      <c r="S144" s="28" t="n">
        <f aca="false">IF($C144="",0,IF($C144=R_LOT,1,0))</f>
        <v>0</v>
      </c>
      <c r="T144" s="26" t="str">
        <f aca="false">IF($S144=0,"",COUNTIF($S$5:$S144,1))</f>
        <v/>
      </c>
    </row>
    <row r="145" customFormat="false" ht="15" hidden="false" customHeight="false" outlineLevel="0" collapsed="false">
      <c r="A145" s="26" t="str">
        <f aca="false">IF($C145="","","QC-"&amp;TEXT(ROW()-4,"000"))</f>
        <v/>
      </c>
      <c r="B145" s="25"/>
      <c r="C145" s="24"/>
      <c r="D145" s="24"/>
      <c r="E145" s="24"/>
      <c r="F145" s="32"/>
      <c r="G145" s="33"/>
      <c r="H145" s="24"/>
      <c r="I145" s="24"/>
      <c r="J145" s="24"/>
      <c r="K145" s="24"/>
      <c r="L145" s="24"/>
      <c r="M145" s="24"/>
      <c r="N145" s="26" t="str">
        <f aca="false">IF($C145="","",IFERROR(INDEX(LOT_PRODE,MATCH($C145,LOT_KEY,0)),"LOT NON REFERENCE"))</f>
        <v/>
      </c>
      <c r="O145" s="26" t="str">
        <f aca="false">IF($C145="","",IFERROR(INDEX(LOT_CONSERVE,MATCH($C145,LOT_KEY,0)),""))</f>
        <v/>
      </c>
      <c r="P145" s="27" t="str">
        <f aca="false">IF(OR($C145="",$D145=""),"",SUMIFS(MVT_NET,MVT_LOT,$C145,MVT_EMPL,$D145))</f>
        <v/>
      </c>
      <c r="Q145" s="26" t="str">
        <f aca="false">IF($C145="","",IF(OR($B145="",AND($F145="",$G145="",$H145="",$I145="",$J145="",$K145="")),"DONNEES MANQUANTES",IF(AND($D145&lt;&gt;"",$P145&lt;=0),"EMPLACEMENT INCOHERENT","OK")))</f>
        <v/>
      </c>
      <c r="R145" s="26" t="str">
        <f aca="false">IF($C145="","",IF(AND(ISNUMBER($G145),$G145&gt;P_HIST),"HISTAMINE "&amp;TEXT($G145,"#,##0")&amp;" mg/kg &gt; seuil "&amp;TEXT(P_HIST,"#,##0")&amp;". ","")&amp;IF(AND(ISNUMBER($F145),$O145="CONGELE",$F145&gt;P_TCONG),"TEMPERATURE "&amp;TEXT($F145,"0.0")&amp;" C hors seuil congele. ","")&amp;IF(AND(ISNUMBER($F145),$O145="FRAIS",$F145&gt;P_TFRAIS),"TEMPERATURE "&amp;TEXT($F145,"0.0")&amp;" C hors seuil frais. ","")&amp;IF($Q145="EMPLACEMENT INCOHERENT","Lot absent de cet emplacement : controle conserve, stock inchange. ","")&amp;IF($Q145="DONNEES MANQUANTES","Renseigner la DATE et au moins une mesure. ",""))</f>
        <v/>
      </c>
      <c r="S145" s="28" t="n">
        <f aca="false">IF($C145="",0,IF($C145=R_LOT,1,0))</f>
        <v>0</v>
      </c>
      <c r="T145" s="26" t="str">
        <f aca="false">IF($S145=0,"",COUNTIF($S$5:$S145,1))</f>
        <v/>
      </c>
    </row>
    <row r="146" customFormat="false" ht="15" hidden="false" customHeight="false" outlineLevel="0" collapsed="false">
      <c r="A146" s="26" t="str">
        <f aca="false">IF($C146="","","QC-"&amp;TEXT(ROW()-4,"000"))</f>
        <v/>
      </c>
      <c r="B146" s="25"/>
      <c r="C146" s="24"/>
      <c r="D146" s="24"/>
      <c r="E146" s="24"/>
      <c r="F146" s="32"/>
      <c r="G146" s="33"/>
      <c r="H146" s="24"/>
      <c r="I146" s="24"/>
      <c r="J146" s="24"/>
      <c r="K146" s="24"/>
      <c r="L146" s="24"/>
      <c r="M146" s="24"/>
      <c r="N146" s="26" t="str">
        <f aca="false">IF($C146="","",IFERROR(INDEX(LOT_PRODE,MATCH($C146,LOT_KEY,0)),"LOT NON REFERENCE"))</f>
        <v/>
      </c>
      <c r="O146" s="26" t="str">
        <f aca="false">IF($C146="","",IFERROR(INDEX(LOT_CONSERVE,MATCH($C146,LOT_KEY,0)),""))</f>
        <v/>
      </c>
      <c r="P146" s="27" t="str">
        <f aca="false">IF(OR($C146="",$D146=""),"",SUMIFS(MVT_NET,MVT_LOT,$C146,MVT_EMPL,$D146))</f>
        <v/>
      </c>
      <c r="Q146" s="26" t="str">
        <f aca="false">IF($C146="","",IF(OR($B146="",AND($F146="",$G146="",$H146="",$I146="",$J146="",$K146="")),"DONNEES MANQUANTES",IF(AND($D146&lt;&gt;"",$P146&lt;=0),"EMPLACEMENT INCOHERENT","OK")))</f>
        <v/>
      </c>
      <c r="R146" s="26" t="str">
        <f aca="false">IF($C146="","",IF(AND(ISNUMBER($G146),$G146&gt;P_HIST),"HISTAMINE "&amp;TEXT($G146,"#,##0")&amp;" mg/kg &gt; seuil "&amp;TEXT(P_HIST,"#,##0")&amp;". ","")&amp;IF(AND(ISNUMBER($F146),$O146="CONGELE",$F146&gt;P_TCONG),"TEMPERATURE "&amp;TEXT($F146,"0.0")&amp;" C hors seuil congele. ","")&amp;IF(AND(ISNUMBER($F146),$O146="FRAIS",$F146&gt;P_TFRAIS),"TEMPERATURE "&amp;TEXT($F146,"0.0")&amp;" C hors seuil frais. ","")&amp;IF($Q146="EMPLACEMENT INCOHERENT","Lot absent de cet emplacement : controle conserve, stock inchange. ","")&amp;IF($Q146="DONNEES MANQUANTES","Renseigner la DATE et au moins une mesure. ",""))</f>
        <v/>
      </c>
      <c r="S146" s="28" t="n">
        <f aca="false">IF($C146="",0,IF($C146=R_LOT,1,0))</f>
        <v>0</v>
      </c>
      <c r="T146" s="26" t="str">
        <f aca="false">IF($S146=0,"",COUNTIF($S$5:$S146,1))</f>
        <v/>
      </c>
    </row>
    <row r="147" customFormat="false" ht="15" hidden="false" customHeight="false" outlineLevel="0" collapsed="false">
      <c r="A147" s="26" t="str">
        <f aca="false">IF($C147="","","QC-"&amp;TEXT(ROW()-4,"000"))</f>
        <v/>
      </c>
      <c r="B147" s="25"/>
      <c r="C147" s="24"/>
      <c r="D147" s="24"/>
      <c r="E147" s="24"/>
      <c r="F147" s="32"/>
      <c r="G147" s="33"/>
      <c r="H147" s="24"/>
      <c r="I147" s="24"/>
      <c r="J147" s="24"/>
      <c r="K147" s="24"/>
      <c r="L147" s="24"/>
      <c r="M147" s="24"/>
      <c r="N147" s="26" t="str">
        <f aca="false">IF($C147="","",IFERROR(INDEX(LOT_PRODE,MATCH($C147,LOT_KEY,0)),"LOT NON REFERENCE"))</f>
        <v/>
      </c>
      <c r="O147" s="26" t="str">
        <f aca="false">IF($C147="","",IFERROR(INDEX(LOT_CONSERVE,MATCH($C147,LOT_KEY,0)),""))</f>
        <v/>
      </c>
      <c r="P147" s="27" t="str">
        <f aca="false">IF(OR($C147="",$D147=""),"",SUMIFS(MVT_NET,MVT_LOT,$C147,MVT_EMPL,$D147))</f>
        <v/>
      </c>
      <c r="Q147" s="26" t="str">
        <f aca="false">IF($C147="","",IF(OR($B147="",AND($F147="",$G147="",$H147="",$I147="",$J147="",$K147="")),"DONNEES MANQUANTES",IF(AND($D147&lt;&gt;"",$P147&lt;=0),"EMPLACEMENT INCOHERENT","OK")))</f>
        <v/>
      </c>
      <c r="R147" s="26" t="str">
        <f aca="false">IF($C147="","",IF(AND(ISNUMBER($G147),$G147&gt;P_HIST),"HISTAMINE "&amp;TEXT($G147,"#,##0")&amp;" mg/kg &gt; seuil "&amp;TEXT(P_HIST,"#,##0")&amp;". ","")&amp;IF(AND(ISNUMBER($F147),$O147="CONGELE",$F147&gt;P_TCONG),"TEMPERATURE "&amp;TEXT($F147,"0.0")&amp;" C hors seuil congele. ","")&amp;IF(AND(ISNUMBER($F147),$O147="FRAIS",$F147&gt;P_TFRAIS),"TEMPERATURE "&amp;TEXT($F147,"0.0")&amp;" C hors seuil frais. ","")&amp;IF($Q147="EMPLACEMENT INCOHERENT","Lot absent de cet emplacement : controle conserve, stock inchange. ","")&amp;IF($Q147="DONNEES MANQUANTES","Renseigner la DATE et au moins une mesure. ",""))</f>
        <v/>
      </c>
      <c r="S147" s="28" t="n">
        <f aca="false">IF($C147="",0,IF($C147=R_LOT,1,0))</f>
        <v>0</v>
      </c>
      <c r="T147" s="26" t="str">
        <f aca="false">IF($S147=0,"",COUNTIF($S$5:$S147,1))</f>
        <v/>
      </c>
    </row>
    <row r="148" customFormat="false" ht="15" hidden="false" customHeight="false" outlineLevel="0" collapsed="false">
      <c r="A148" s="26" t="str">
        <f aca="false">IF($C148="","","QC-"&amp;TEXT(ROW()-4,"000"))</f>
        <v/>
      </c>
      <c r="B148" s="25"/>
      <c r="C148" s="24"/>
      <c r="D148" s="24"/>
      <c r="E148" s="24"/>
      <c r="F148" s="32"/>
      <c r="G148" s="33"/>
      <c r="H148" s="24"/>
      <c r="I148" s="24"/>
      <c r="J148" s="24"/>
      <c r="K148" s="24"/>
      <c r="L148" s="24"/>
      <c r="M148" s="24"/>
      <c r="N148" s="26" t="str">
        <f aca="false">IF($C148="","",IFERROR(INDEX(LOT_PRODE,MATCH($C148,LOT_KEY,0)),"LOT NON REFERENCE"))</f>
        <v/>
      </c>
      <c r="O148" s="26" t="str">
        <f aca="false">IF($C148="","",IFERROR(INDEX(LOT_CONSERVE,MATCH($C148,LOT_KEY,0)),""))</f>
        <v/>
      </c>
      <c r="P148" s="27" t="str">
        <f aca="false">IF(OR($C148="",$D148=""),"",SUMIFS(MVT_NET,MVT_LOT,$C148,MVT_EMPL,$D148))</f>
        <v/>
      </c>
      <c r="Q148" s="26" t="str">
        <f aca="false">IF($C148="","",IF(OR($B148="",AND($F148="",$G148="",$H148="",$I148="",$J148="",$K148="")),"DONNEES MANQUANTES",IF(AND($D148&lt;&gt;"",$P148&lt;=0),"EMPLACEMENT INCOHERENT","OK")))</f>
        <v/>
      </c>
      <c r="R148" s="26" t="str">
        <f aca="false">IF($C148="","",IF(AND(ISNUMBER($G148),$G148&gt;P_HIST),"HISTAMINE "&amp;TEXT($G148,"#,##0")&amp;" mg/kg &gt; seuil "&amp;TEXT(P_HIST,"#,##0")&amp;". ","")&amp;IF(AND(ISNUMBER($F148),$O148="CONGELE",$F148&gt;P_TCONG),"TEMPERATURE "&amp;TEXT($F148,"0.0")&amp;" C hors seuil congele. ","")&amp;IF(AND(ISNUMBER($F148),$O148="FRAIS",$F148&gt;P_TFRAIS),"TEMPERATURE "&amp;TEXT($F148,"0.0")&amp;" C hors seuil frais. ","")&amp;IF($Q148="EMPLACEMENT INCOHERENT","Lot absent de cet emplacement : controle conserve, stock inchange. ","")&amp;IF($Q148="DONNEES MANQUANTES","Renseigner la DATE et au moins une mesure. ",""))</f>
        <v/>
      </c>
      <c r="S148" s="28" t="n">
        <f aca="false">IF($C148="",0,IF($C148=R_LOT,1,0))</f>
        <v>0</v>
      </c>
      <c r="T148" s="26" t="str">
        <f aca="false">IF($S148=0,"",COUNTIF($S$5:$S148,1))</f>
        <v/>
      </c>
    </row>
    <row r="149" customFormat="false" ht="15" hidden="false" customHeight="false" outlineLevel="0" collapsed="false">
      <c r="A149" s="26" t="str">
        <f aca="false">IF($C149="","","QC-"&amp;TEXT(ROW()-4,"000"))</f>
        <v/>
      </c>
      <c r="B149" s="25"/>
      <c r="C149" s="24"/>
      <c r="D149" s="24"/>
      <c r="E149" s="24"/>
      <c r="F149" s="32"/>
      <c r="G149" s="33"/>
      <c r="H149" s="24"/>
      <c r="I149" s="24"/>
      <c r="J149" s="24"/>
      <c r="K149" s="24"/>
      <c r="L149" s="24"/>
      <c r="M149" s="24"/>
      <c r="N149" s="26" t="str">
        <f aca="false">IF($C149="","",IFERROR(INDEX(LOT_PRODE,MATCH($C149,LOT_KEY,0)),"LOT NON REFERENCE"))</f>
        <v/>
      </c>
      <c r="O149" s="26" t="str">
        <f aca="false">IF($C149="","",IFERROR(INDEX(LOT_CONSERVE,MATCH($C149,LOT_KEY,0)),""))</f>
        <v/>
      </c>
      <c r="P149" s="27" t="str">
        <f aca="false">IF(OR($C149="",$D149=""),"",SUMIFS(MVT_NET,MVT_LOT,$C149,MVT_EMPL,$D149))</f>
        <v/>
      </c>
      <c r="Q149" s="26" t="str">
        <f aca="false">IF($C149="","",IF(OR($B149="",AND($F149="",$G149="",$H149="",$I149="",$J149="",$K149="")),"DONNEES MANQUANTES",IF(AND($D149&lt;&gt;"",$P149&lt;=0),"EMPLACEMENT INCOHERENT","OK")))</f>
        <v/>
      </c>
      <c r="R149" s="26" t="str">
        <f aca="false">IF($C149="","",IF(AND(ISNUMBER($G149),$G149&gt;P_HIST),"HISTAMINE "&amp;TEXT($G149,"#,##0")&amp;" mg/kg &gt; seuil "&amp;TEXT(P_HIST,"#,##0")&amp;". ","")&amp;IF(AND(ISNUMBER($F149),$O149="CONGELE",$F149&gt;P_TCONG),"TEMPERATURE "&amp;TEXT($F149,"0.0")&amp;" C hors seuil congele. ","")&amp;IF(AND(ISNUMBER($F149),$O149="FRAIS",$F149&gt;P_TFRAIS),"TEMPERATURE "&amp;TEXT($F149,"0.0")&amp;" C hors seuil frais. ","")&amp;IF($Q149="EMPLACEMENT INCOHERENT","Lot absent de cet emplacement : controle conserve, stock inchange. ","")&amp;IF($Q149="DONNEES MANQUANTES","Renseigner la DATE et au moins une mesure. ",""))</f>
        <v/>
      </c>
      <c r="S149" s="28" t="n">
        <f aca="false">IF($C149="",0,IF($C149=R_LOT,1,0))</f>
        <v>0</v>
      </c>
      <c r="T149" s="26" t="str">
        <f aca="false">IF($S149=0,"",COUNTIF($S$5:$S149,1))</f>
        <v/>
      </c>
    </row>
    <row r="150" customFormat="false" ht="15" hidden="false" customHeight="false" outlineLevel="0" collapsed="false">
      <c r="A150" s="26" t="str">
        <f aca="false">IF($C150="","","QC-"&amp;TEXT(ROW()-4,"000"))</f>
        <v/>
      </c>
      <c r="B150" s="25"/>
      <c r="C150" s="24"/>
      <c r="D150" s="24"/>
      <c r="E150" s="24"/>
      <c r="F150" s="32"/>
      <c r="G150" s="33"/>
      <c r="H150" s="24"/>
      <c r="I150" s="24"/>
      <c r="J150" s="24"/>
      <c r="K150" s="24"/>
      <c r="L150" s="24"/>
      <c r="M150" s="24"/>
      <c r="N150" s="26" t="str">
        <f aca="false">IF($C150="","",IFERROR(INDEX(LOT_PRODE,MATCH($C150,LOT_KEY,0)),"LOT NON REFERENCE"))</f>
        <v/>
      </c>
      <c r="O150" s="26" t="str">
        <f aca="false">IF($C150="","",IFERROR(INDEX(LOT_CONSERVE,MATCH($C150,LOT_KEY,0)),""))</f>
        <v/>
      </c>
      <c r="P150" s="27" t="str">
        <f aca="false">IF(OR($C150="",$D150=""),"",SUMIFS(MVT_NET,MVT_LOT,$C150,MVT_EMPL,$D150))</f>
        <v/>
      </c>
      <c r="Q150" s="26" t="str">
        <f aca="false">IF($C150="","",IF(OR($B150="",AND($F150="",$G150="",$H150="",$I150="",$J150="",$K150="")),"DONNEES MANQUANTES",IF(AND($D150&lt;&gt;"",$P150&lt;=0),"EMPLACEMENT INCOHERENT","OK")))</f>
        <v/>
      </c>
      <c r="R150" s="26" t="str">
        <f aca="false">IF($C150="","",IF(AND(ISNUMBER($G150),$G150&gt;P_HIST),"HISTAMINE "&amp;TEXT($G150,"#,##0")&amp;" mg/kg &gt; seuil "&amp;TEXT(P_HIST,"#,##0")&amp;". ","")&amp;IF(AND(ISNUMBER($F150),$O150="CONGELE",$F150&gt;P_TCONG),"TEMPERATURE "&amp;TEXT($F150,"0.0")&amp;" C hors seuil congele. ","")&amp;IF(AND(ISNUMBER($F150),$O150="FRAIS",$F150&gt;P_TFRAIS),"TEMPERATURE "&amp;TEXT($F150,"0.0")&amp;" C hors seuil frais. ","")&amp;IF($Q150="EMPLACEMENT INCOHERENT","Lot absent de cet emplacement : controle conserve, stock inchange. ","")&amp;IF($Q150="DONNEES MANQUANTES","Renseigner la DATE et au moins une mesure. ",""))</f>
        <v/>
      </c>
      <c r="S150" s="28" t="n">
        <f aca="false">IF($C150="",0,IF($C150=R_LOT,1,0))</f>
        <v>0</v>
      </c>
      <c r="T150" s="26" t="str">
        <f aca="false">IF($S150=0,"",COUNTIF($S$5:$S150,1))</f>
        <v/>
      </c>
    </row>
    <row r="151" customFormat="false" ht="15" hidden="false" customHeight="false" outlineLevel="0" collapsed="false">
      <c r="A151" s="26" t="str">
        <f aca="false">IF($C151="","","QC-"&amp;TEXT(ROW()-4,"000"))</f>
        <v/>
      </c>
      <c r="B151" s="25"/>
      <c r="C151" s="24"/>
      <c r="D151" s="24"/>
      <c r="E151" s="24"/>
      <c r="F151" s="32"/>
      <c r="G151" s="33"/>
      <c r="H151" s="24"/>
      <c r="I151" s="24"/>
      <c r="J151" s="24"/>
      <c r="K151" s="24"/>
      <c r="L151" s="24"/>
      <c r="M151" s="24"/>
      <c r="N151" s="26" t="str">
        <f aca="false">IF($C151="","",IFERROR(INDEX(LOT_PRODE,MATCH($C151,LOT_KEY,0)),"LOT NON REFERENCE"))</f>
        <v/>
      </c>
      <c r="O151" s="26" t="str">
        <f aca="false">IF($C151="","",IFERROR(INDEX(LOT_CONSERVE,MATCH($C151,LOT_KEY,0)),""))</f>
        <v/>
      </c>
      <c r="P151" s="27" t="str">
        <f aca="false">IF(OR($C151="",$D151=""),"",SUMIFS(MVT_NET,MVT_LOT,$C151,MVT_EMPL,$D151))</f>
        <v/>
      </c>
      <c r="Q151" s="26" t="str">
        <f aca="false">IF($C151="","",IF(OR($B151="",AND($F151="",$G151="",$H151="",$I151="",$J151="",$K151="")),"DONNEES MANQUANTES",IF(AND($D151&lt;&gt;"",$P151&lt;=0),"EMPLACEMENT INCOHERENT","OK")))</f>
        <v/>
      </c>
      <c r="R151" s="26" t="str">
        <f aca="false">IF($C151="","",IF(AND(ISNUMBER($G151),$G151&gt;P_HIST),"HISTAMINE "&amp;TEXT($G151,"#,##0")&amp;" mg/kg &gt; seuil "&amp;TEXT(P_HIST,"#,##0")&amp;". ","")&amp;IF(AND(ISNUMBER($F151),$O151="CONGELE",$F151&gt;P_TCONG),"TEMPERATURE "&amp;TEXT($F151,"0.0")&amp;" C hors seuil congele. ","")&amp;IF(AND(ISNUMBER($F151),$O151="FRAIS",$F151&gt;P_TFRAIS),"TEMPERATURE "&amp;TEXT($F151,"0.0")&amp;" C hors seuil frais. ","")&amp;IF($Q151="EMPLACEMENT INCOHERENT","Lot absent de cet emplacement : controle conserve, stock inchange. ","")&amp;IF($Q151="DONNEES MANQUANTES","Renseigner la DATE et au moins une mesure. ",""))</f>
        <v/>
      </c>
      <c r="S151" s="28" t="n">
        <f aca="false">IF($C151="",0,IF($C151=R_LOT,1,0))</f>
        <v>0</v>
      </c>
      <c r="T151" s="26" t="str">
        <f aca="false">IF($S151=0,"",COUNTIF($S$5:$S151,1))</f>
        <v/>
      </c>
    </row>
    <row r="152" customFormat="false" ht="15" hidden="false" customHeight="false" outlineLevel="0" collapsed="false">
      <c r="A152" s="26" t="str">
        <f aca="false">IF($C152="","","QC-"&amp;TEXT(ROW()-4,"000"))</f>
        <v/>
      </c>
      <c r="B152" s="25"/>
      <c r="C152" s="24"/>
      <c r="D152" s="24"/>
      <c r="E152" s="24"/>
      <c r="F152" s="32"/>
      <c r="G152" s="33"/>
      <c r="H152" s="24"/>
      <c r="I152" s="24"/>
      <c r="J152" s="24"/>
      <c r="K152" s="24"/>
      <c r="L152" s="24"/>
      <c r="M152" s="24"/>
      <c r="N152" s="26" t="str">
        <f aca="false">IF($C152="","",IFERROR(INDEX(LOT_PRODE,MATCH($C152,LOT_KEY,0)),"LOT NON REFERENCE"))</f>
        <v/>
      </c>
      <c r="O152" s="26" t="str">
        <f aca="false">IF($C152="","",IFERROR(INDEX(LOT_CONSERVE,MATCH($C152,LOT_KEY,0)),""))</f>
        <v/>
      </c>
      <c r="P152" s="27" t="str">
        <f aca="false">IF(OR($C152="",$D152=""),"",SUMIFS(MVT_NET,MVT_LOT,$C152,MVT_EMPL,$D152))</f>
        <v/>
      </c>
      <c r="Q152" s="26" t="str">
        <f aca="false">IF($C152="","",IF(OR($B152="",AND($F152="",$G152="",$H152="",$I152="",$J152="",$K152="")),"DONNEES MANQUANTES",IF(AND($D152&lt;&gt;"",$P152&lt;=0),"EMPLACEMENT INCOHERENT","OK")))</f>
        <v/>
      </c>
      <c r="R152" s="26" t="str">
        <f aca="false">IF($C152="","",IF(AND(ISNUMBER($G152),$G152&gt;P_HIST),"HISTAMINE "&amp;TEXT($G152,"#,##0")&amp;" mg/kg &gt; seuil "&amp;TEXT(P_HIST,"#,##0")&amp;". ","")&amp;IF(AND(ISNUMBER($F152),$O152="CONGELE",$F152&gt;P_TCONG),"TEMPERATURE "&amp;TEXT($F152,"0.0")&amp;" C hors seuil congele. ","")&amp;IF(AND(ISNUMBER($F152),$O152="FRAIS",$F152&gt;P_TFRAIS),"TEMPERATURE "&amp;TEXT($F152,"0.0")&amp;" C hors seuil frais. ","")&amp;IF($Q152="EMPLACEMENT INCOHERENT","Lot absent de cet emplacement : controle conserve, stock inchange. ","")&amp;IF($Q152="DONNEES MANQUANTES","Renseigner la DATE et au moins une mesure. ",""))</f>
        <v/>
      </c>
      <c r="S152" s="28" t="n">
        <f aca="false">IF($C152="",0,IF($C152=R_LOT,1,0))</f>
        <v>0</v>
      </c>
      <c r="T152" s="26" t="str">
        <f aca="false">IF($S152=0,"",COUNTIF($S$5:$S152,1))</f>
        <v/>
      </c>
    </row>
    <row r="153" customFormat="false" ht="15" hidden="false" customHeight="false" outlineLevel="0" collapsed="false">
      <c r="A153" s="26" t="str">
        <f aca="false">IF($C153="","","QC-"&amp;TEXT(ROW()-4,"000"))</f>
        <v/>
      </c>
      <c r="B153" s="25"/>
      <c r="C153" s="24"/>
      <c r="D153" s="24"/>
      <c r="E153" s="24"/>
      <c r="F153" s="32"/>
      <c r="G153" s="33"/>
      <c r="H153" s="24"/>
      <c r="I153" s="24"/>
      <c r="J153" s="24"/>
      <c r="K153" s="24"/>
      <c r="L153" s="24"/>
      <c r="M153" s="24"/>
      <c r="N153" s="26" t="str">
        <f aca="false">IF($C153="","",IFERROR(INDEX(LOT_PRODE,MATCH($C153,LOT_KEY,0)),"LOT NON REFERENCE"))</f>
        <v/>
      </c>
      <c r="O153" s="26" t="str">
        <f aca="false">IF($C153="","",IFERROR(INDEX(LOT_CONSERVE,MATCH($C153,LOT_KEY,0)),""))</f>
        <v/>
      </c>
      <c r="P153" s="27" t="str">
        <f aca="false">IF(OR($C153="",$D153=""),"",SUMIFS(MVT_NET,MVT_LOT,$C153,MVT_EMPL,$D153))</f>
        <v/>
      </c>
      <c r="Q153" s="26" t="str">
        <f aca="false">IF($C153="","",IF(OR($B153="",AND($F153="",$G153="",$H153="",$I153="",$J153="",$K153="")),"DONNEES MANQUANTES",IF(AND($D153&lt;&gt;"",$P153&lt;=0),"EMPLACEMENT INCOHERENT","OK")))</f>
        <v/>
      </c>
      <c r="R153" s="26" t="str">
        <f aca="false">IF($C153="","",IF(AND(ISNUMBER($G153),$G153&gt;P_HIST),"HISTAMINE "&amp;TEXT($G153,"#,##0")&amp;" mg/kg &gt; seuil "&amp;TEXT(P_HIST,"#,##0")&amp;". ","")&amp;IF(AND(ISNUMBER($F153),$O153="CONGELE",$F153&gt;P_TCONG),"TEMPERATURE "&amp;TEXT($F153,"0.0")&amp;" C hors seuil congele. ","")&amp;IF(AND(ISNUMBER($F153),$O153="FRAIS",$F153&gt;P_TFRAIS),"TEMPERATURE "&amp;TEXT($F153,"0.0")&amp;" C hors seuil frais. ","")&amp;IF($Q153="EMPLACEMENT INCOHERENT","Lot absent de cet emplacement : controle conserve, stock inchange. ","")&amp;IF($Q153="DONNEES MANQUANTES","Renseigner la DATE et au moins une mesure. ",""))</f>
        <v/>
      </c>
      <c r="S153" s="28" t="n">
        <f aca="false">IF($C153="",0,IF($C153=R_LOT,1,0))</f>
        <v>0</v>
      </c>
      <c r="T153" s="26" t="str">
        <f aca="false">IF($S153=0,"",COUNTIF($S$5:$S153,1))</f>
        <v/>
      </c>
    </row>
    <row r="154" customFormat="false" ht="15" hidden="false" customHeight="false" outlineLevel="0" collapsed="false">
      <c r="A154" s="26" t="str">
        <f aca="false">IF($C154="","","QC-"&amp;TEXT(ROW()-4,"000"))</f>
        <v/>
      </c>
      <c r="B154" s="25"/>
      <c r="C154" s="24"/>
      <c r="D154" s="24"/>
      <c r="E154" s="24"/>
      <c r="F154" s="32"/>
      <c r="G154" s="33"/>
      <c r="H154" s="24"/>
      <c r="I154" s="24"/>
      <c r="J154" s="24"/>
      <c r="K154" s="24"/>
      <c r="L154" s="24"/>
      <c r="M154" s="24"/>
      <c r="N154" s="26" t="str">
        <f aca="false">IF($C154="","",IFERROR(INDEX(LOT_PRODE,MATCH($C154,LOT_KEY,0)),"LOT NON REFERENCE"))</f>
        <v/>
      </c>
      <c r="O154" s="26" t="str">
        <f aca="false">IF($C154="","",IFERROR(INDEX(LOT_CONSERVE,MATCH($C154,LOT_KEY,0)),""))</f>
        <v/>
      </c>
      <c r="P154" s="27" t="str">
        <f aca="false">IF(OR($C154="",$D154=""),"",SUMIFS(MVT_NET,MVT_LOT,$C154,MVT_EMPL,$D154))</f>
        <v/>
      </c>
      <c r="Q154" s="26" t="str">
        <f aca="false">IF($C154="","",IF(OR($B154="",AND($F154="",$G154="",$H154="",$I154="",$J154="",$K154="")),"DONNEES MANQUANTES",IF(AND($D154&lt;&gt;"",$P154&lt;=0),"EMPLACEMENT INCOHERENT","OK")))</f>
        <v/>
      </c>
      <c r="R154" s="26" t="str">
        <f aca="false">IF($C154="","",IF(AND(ISNUMBER($G154),$G154&gt;P_HIST),"HISTAMINE "&amp;TEXT($G154,"#,##0")&amp;" mg/kg &gt; seuil "&amp;TEXT(P_HIST,"#,##0")&amp;". ","")&amp;IF(AND(ISNUMBER($F154),$O154="CONGELE",$F154&gt;P_TCONG),"TEMPERATURE "&amp;TEXT($F154,"0.0")&amp;" C hors seuil congele. ","")&amp;IF(AND(ISNUMBER($F154),$O154="FRAIS",$F154&gt;P_TFRAIS),"TEMPERATURE "&amp;TEXT($F154,"0.0")&amp;" C hors seuil frais. ","")&amp;IF($Q154="EMPLACEMENT INCOHERENT","Lot absent de cet emplacement : controle conserve, stock inchange. ","")&amp;IF($Q154="DONNEES MANQUANTES","Renseigner la DATE et au moins une mesure. ",""))</f>
        <v/>
      </c>
      <c r="S154" s="28" t="n">
        <f aca="false">IF($C154="",0,IF($C154=R_LOT,1,0))</f>
        <v>0</v>
      </c>
      <c r="T154" s="26" t="str">
        <f aca="false">IF($S154=0,"",COUNTIF($S$5:$S154,1))</f>
        <v/>
      </c>
    </row>
    <row r="155" customFormat="false" ht="15" hidden="false" customHeight="false" outlineLevel="0" collapsed="false">
      <c r="A155" s="26" t="str">
        <f aca="false">IF($C155="","","QC-"&amp;TEXT(ROW()-4,"000"))</f>
        <v/>
      </c>
      <c r="B155" s="25"/>
      <c r="C155" s="24"/>
      <c r="D155" s="24"/>
      <c r="E155" s="24"/>
      <c r="F155" s="32"/>
      <c r="G155" s="33"/>
      <c r="H155" s="24"/>
      <c r="I155" s="24"/>
      <c r="J155" s="24"/>
      <c r="K155" s="24"/>
      <c r="L155" s="24"/>
      <c r="M155" s="24"/>
      <c r="N155" s="26" t="str">
        <f aca="false">IF($C155="","",IFERROR(INDEX(LOT_PRODE,MATCH($C155,LOT_KEY,0)),"LOT NON REFERENCE"))</f>
        <v/>
      </c>
      <c r="O155" s="26" t="str">
        <f aca="false">IF($C155="","",IFERROR(INDEX(LOT_CONSERVE,MATCH($C155,LOT_KEY,0)),""))</f>
        <v/>
      </c>
      <c r="P155" s="27" t="str">
        <f aca="false">IF(OR($C155="",$D155=""),"",SUMIFS(MVT_NET,MVT_LOT,$C155,MVT_EMPL,$D155))</f>
        <v/>
      </c>
      <c r="Q155" s="26" t="str">
        <f aca="false">IF($C155="","",IF(OR($B155="",AND($F155="",$G155="",$H155="",$I155="",$J155="",$K155="")),"DONNEES MANQUANTES",IF(AND($D155&lt;&gt;"",$P155&lt;=0),"EMPLACEMENT INCOHERENT","OK")))</f>
        <v/>
      </c>
      <c r="R155" s="26" t="str">
        <f aca="false">IF($C155="","",IF(AND(ISNUMBER($G155),$G155&gt;P_HIST),"HISTAMINE "&amp;TEXT($G155,"#,##0")&amp;" mg/kg &gt; seuil "&amp;TEXT(P_HIST,"#,##0")&amp;". ","")&amp;IF(AND(ISNUMBER($F155),$O155="CONGELE",$F155&gt;P_TCONG),"TEMPERATURE "&amp;TEXT($F155,"0.0")&amp;" C hors seuil congele. ","")&amp;IF(AND(ISNUMBER($F155),$O155="FRAIS",$F155&gt;P_TFRAIS),"TEMPERATURE "&amp;TEXT($F155,"0.0")&amp;" C hors seuil frais. ","")&amp;IF($Q155="EMPLACEMENT INCOHERENT","Lot absent de cet emplacement : controle conserve, stock inchange. ","")&amp;IF($Q155="DONNEES MANQUANTES","Renseigner la DATE et au moins une mesure. ",""))</f>
        <v/>
      </c>
      <c r="S155" s="28" t="n">
        <f aca="false">IF($C155="",0,IF($C155=R_LOT,1,0))</f>
        <v>0</v>
      </c>
      <c r="T155" s="26" t="str">
        <f aca="false">IF($S155=0,"",COUNTIF($S$5:$S155,1))</f>
        <v/>
      </c>
    </row>
    <row r="156" customFormat="false" ht="15" hidden="false" customHeight="false" outlineLevel="0" collapsed="false">
      <c r="A156" s="26" t="str">
        <f aca="false">IF($C156="","","QC-"&amp;TEXT(ROW()-4,"000"))</f>
        <v/>
      </c>
      <c r="B156" s="25"/>
      <c r="C156" s="24"/>
      <c r="D156" s="24"/>
      <c r="E156" s="24"/>
      <c r="F156" s="32"/>
      <c r="G156" s="33"/>
      <c r="H156" s="24"/>
      <c r="I156" s="24"/>
      <c r="J156" s="24"/>
      <c r="K156" s="24"/>
      <c r="L156" s="24"/>
      <c r="M156" s="24"/>
      <c r="N156" s="26" t="str">
        <f aca="false">IF($C156="","",IFERROR(INDEX(LOT_PRODE,MATCH($C156,LOT_KEY,0)),"LOT NON REFERENCE"))</f>
        <v/>
      </c>
      <c r="O156" s="26" t="str">
        <f aca="false">IF($C156="","",IFERROR(INDEX(LOT_CONSERVE,MATCH($C156,LOT_KEY,0)),""))</f>
        <v/>
      </c>
      <c r="P156" s="27" t="str">
        <f aca="false">IF(OR($C156="",$D156=""),"",SUMIFS(MVT_NET,MVT_LOT,$C156,MVT_EMPL,$D156))</f>
        <v/>
      </c>
      <c r="Q156" s="26" t="str">
        <f aca="false">IF($C156="","",IF(OR($B156="",AND($F156="",$G156="",$H156="",$I156="",$J156="",$K156="")),"DONNEES MANQUANTES",IF(AND($D156&lt;&gt;"",$P156&lt;=0),"EMPLACEMENT INCOHERENT","OK")))</f>
        <v/>
      </c>
      <c r="R156" s="26" t="str">
        <f aca="false">IF($C156="","",IF(AND(ISNUMBER($G156),$G156&gt;P_HIST),"HISTAMINE "&amp;TEXT($G156,"#,##0")&amp;" mg/kg &gt; seuil "&amp;TEXT(P_HIST,"#,##0")&amp;". ","")&amp;IF(AND(ISNUMBER($F156),$O156="CONGELE",$F156&gt;P_TCONG),"TEMPERATURE "&amp;TEXT($F156,"0.0")&amp;" C hors seuil congele. ","")&amp;IF(AND(ISNUMBER($F156),$O156="FRAIS",$F156&gt;P_TFRAIS),"TEMPERATURE "&amp;TEXT($F156,"0.0")&amp;" C hors seuil frais. ","")&amp;IF($Q156="EMPLACEMENT INCOHERENT","Lot absent de cet emplacement : controle conserve, stock inchange. ","")&amp;IF($Q156="DONNEES MANQUANTES","Renseigner la DATE et au moins une mesure. ",""))</f>
        <v/>
      </c>
      <c r="S156" s="28" t="n">
        <f aca="false">IF($C156="",0,IF($C156=R_LOT,1,0))</f>
        <v>0</v>
      </c>
      <c r="T156" s="26" t="str">
        <f aca="false">IF($S156=0,"",COUNTIF($S$5:$S156,1))</f>
        <v/>
      </c>
    </row>
    <row r="157" customFormat="false" ht="15" hidden="false" customHeight="false" outlineLevel="0" collapsed="false">
      <c r="A157" s="26" t="str">
        <f aca="false">IF($C157="","","QC-"&amp;TEXT(ROW()-4,"000"))</f>
        <v/>
      </c>
      <c r="B157" s="25"/>
      <c r="C157" s="24"/>
      <c r="D157" s="24"/>
      <c r="E157" s="24"/>
      <c r="F157" s="32"/>
      <c r="G157" s="33"/>
      <c r="H157" s="24"/>
      <c r="I157" s="24"/>
      <c r="J157" s="24"/>
      <c r="K157" s="24"/>
      <c r="L157" s="24"/>
      <c r="M157" s="24"/>
      <c r="N157" s="26" t="str">
        <f aca="false">IF($C157="","",IFERROR(INDEX(LOT_PRODE,MATCH($C157,LOT_KEY,0)),"LOT NON REFERENCE"))</f>
        <v/>
      </c>
      <c r="O157" s="26" t="str">
        <f aca="false">IF($C157="","",IFERROR(INDEX(LOT_CONSERVE,MATCH($C157,LOT_KEY,0)),""))</f>
        <v/>
      </c>
      <c r="P157" s="27" t="str">
        <f aca="false">IF(OR($C157="",$D157=""),"",SUMIFS(MVT_NET,MVT_LOT,$C157,MVT_EMPL,$D157))</f>
        <v/>
      </c>
      <c r="Q157" s="26" t="str">
        <f aca="false">IF($C157="","",IF(OR($B157="",AND($F157="",$G157="",$H157="",$I157="",$J157="",$K157="")),"DONNEES MANQUANTES",IF(AND($D157&lt;&gt;"",$P157&lt;=0),"EMPLACEMENT INCOHERENT","OK")))</f>
        <v/>
      </c>
      <c r="R157" s="26" t="str">
        <f aca="false">IF($C157="","",IF(AND(ISNUMBER($G157),$G157&gt;P_HIST),"HISTAMINE "&amp;TEXT($G157,"#,##0")&amp;" mg/kg &gt; seuil "&amp;TEXT(P_HIST,"#,##0")&amp;". ","")&amp;IF(AND(ISNUMBER($F157),$O157="CONGELE",$F157&gt;P_TCONG),"TEMPERATURE "&amp;TEXT($F157,"0.0")&amp;" C hors seuil congele. ","")&amp;IF(AND(ISNUMBER($F157),$O157="FRAIS",$F157&gt;P_TFRAIS),"TEMPERATURE "&amp;TEXT($F157,"0.0")&amp;" C hors seuil frais. ","")&amp;IF($Q157="EMPLACEMENT INCOHERENT","Lot absent de cet emplacement : controle conserve, stock inchange. ","")&amp;IF($Q157="DONNEES MANQUANTES","Renseigner la DATE et au moins une mesure. ",""))</f>
        <v/>
      </c>
      <c r="S157" s="28" t="n">
        <f aca="false">IF($C157="",0,IF($C157=R_LOT,1,0))</f>
        <v>0</v>
      </c>
      <c r="T157" s="26" t="str">
        <f aca="false">IF($S157=0,"",COUNTIF($S$5:$S157,1))</f>
        <v/>
      </c>
    </row>
    <row r="158" customFormat="false" ht="15" hidden="false" customHeight="false" outlineLevel="0" collapsed="false">
      <c r="A158" s="26" t="str">
        <f aca="false">IF($C158="","","QC-"&amp;TEXT(ROW()-4,"000"))</f>
        <v/>
      </c>
      <c r="B158" s="25"/>
      <c r="C158" s="24"/>
      <c r="D158" s="24"/>
      <c r="E158" s="24"/>
      <c r="F158" s="32"/>
      <c r="G158" s="33"/>
      <c r="H158" s="24"/>
      <c r="I158" s="24"/>
      <c r="J158" s="24"/>
      <c r="K158" s="24"/>
      <c r="L158" s="24"/>
      <c r="M158" s="24"/>
      <c r="N158" s="26" t="str">
        <f aca="false">IF($C158="","",IFERROR(INDEX(LOT_PRODE,MATCH($C158,LOT_KEY,0)),"LOT NON REFERENCE"))</f>
        <v/>
      </c>
      <c r="O158" s="26" t="str">
        <f aca="false">IF($C158="","",IFERROR(INDEX(LOT_CONSERVE,MATCH($C158,LOT_KEY,0)),""))</f>
        <v/>
      </c>
      <c r="P158" s="27" t="str">
        <f aca="false">IF(OR($C158="",$D158=""),"",SUMIFS(MVT_NET,MVT_LOT,$C158,MVT_EMPL,$D158))</f>
        <v/>
      </c>
      <c r="Q158" s="26" t="str">
        <f aca="false">IF($C158="","",IF(OR($B158="",AND($F158="",$G158="",$H158="",$I158="",$J158="",$K158="")),"DONNEES MANQUANTES",IF(AND($D158&lt;&gt;"",$P158&lt;=0),"EMPLACEMENT INCOHERENT","OK")))</f>
        <v/>
      </c>
      <c r="R158" s="26" t="str">
        <f aca="false">IF($C158="","",IF(AND(ISNUMBER($G158),$G158&gt;P_HIST),"HISTAMINE "&amp;TEXT($G158,"#,##0")&amp;" mg/kg &gt; seuil "&amp;TEXT(P_HIST,"#,##0")&amp;". ","")&amp;IF(AND(ISNUMBER($F158),$O158="CONGELE",$F158&gt;P_TCONG),"TEMPERATURE "&amp;TEXT($F158,"0.0")&amp;" C hors seuil congele. ","")&amp;IF(AND(ISNUMBER($F158),$O158="FRAIS",$F158&gt;P_TFRAIS),"TEMPERATURE "&amp;TEXT($F158,"0.0")&amp;" C hors seuil frais. ","")&amp;IF($Q158="EMPLACEMENT INCOHERENT","Lot absent de cet emplacement : controle conserve, stock inchange. ","")&amp;IF($Q158="DONNEES MANQUANTES","Renseigner la DATE et au moins une mesure. ",""))</f>
        <v/>
      </c>
      <c r="S158" s="28" t="n">
        <f aca="false">IF($C158="",0,IF($C158=R_LOT,1,0))</f>
        <v>0</v>
      </c>
      <c r="T158" s="26" t="str">
        <f aca="false">IF($S158=0,"",COUNTIF($S$5:$S158,1))</f>
        <v/>
      </c>
    </row>
    <row r="159" customFormat="false" ht="15" hidden="false" customHeight="false" outlineLevel="0" collapsed="false">
      <c r="A159" s="26" t="str">
        <f aca="false">IF($C159="","","QC-"&amp;TEXT(ROW()-4,"000"))</f>
        <v/>
      </c>
      <c r="B159" s="25"/>
      <c r="C159" s="24"/>
      <c r="D159" s="24"/>
      <c r="E159" s="24"/>
      <c r="F159" s="32"/>
      <c r="G159" s="33"/>
      <c r="H159" s="24"/>
      <c r="I159" s="24"/>
      <c r="J159" s="24"/>
      <c r="K159" s="24"/>
      <c r="L159" s="24"/>
      <c r="M159" s="24"/>
      <c r="N159" s="26" t="str">
        <f aca="false">IF($C159="","",IFERROR(INDEX(LOT_PRODE,MATCH($C159,LOT_KEY,0)),"LOT NON REFERENCE"))</f>
        <v/>
      </c>
      <c r="O159" s="26" t="str">
        <f aca="false">IF($C159="","",IFERROR(INDEX(LOT_CONSERVE,MATCH($C159,LOT_KEY,0)),""))</f>
        <v/>
      </c>
      <c r="P159" s="27" t="str">
        <f aca="false">IF(OR($C159="",$D159=""),"",SUMIFS(MVT_NET,MVT_LOT,$C159,MVT_EMPL,$D159))</f>
        <v/>
      </c>
      <c r="Q159" s="26" t="str">
        <f aca="false">IF($C159="","",IF(OR($B159="",AND($F159="",$G159="",$H159="",$I159="",$J159="",$K159="")),"DONNEES MANQUANTES",IF(AND($D159&lt;&gt;"",$P159&lt;=0),"EMPLACEMENT INCOHERENT","OK")))</f>
        <v/>
      </c>
      <c r="R159" s="26" t="str">
        <f aca="false">IF($C159="","",IF(AND(ISNUMBER($G159),$G159&gt;P_HIST),"HISTAMINE "&amp;TEXT($G159,"#,##0")&amp;" mg/kg &gt; seuil "&amp;TEXT(P_HIST,"#,##0")&amp;". ","")&amp;IF(AND(ISNUMBER($F159),$O159="CONGELE",$F159&gt;P_TCONG),"TEMPERATURE "&amp;TEXT($F159,"0.0")&amp;" C hors seuil congele. ","")&amp;IF(AND(ISNUMBER($F159),$O159="FRAIS",$F159&gt;P_TFRAIS),"TEMPERATURE "&amp;TEXT($F159,"0.0")&amp;" C hors seuil frais. ","")&amp;IF($Q159="EMPLACEMENT INCOHERENT","Lot absent de cet emplacement : controle conserve, stock inchange. ","")&amp;IF($Q159="DONNEES MANQUANTES","Renseigner la DATE et au moins une mesure. ",""))</f>
        <v/>
      </c>
      <c r="S159" s="28" t="n">
        <f aca="false">IF($C159="",0,IF($C159=R_LOT,1,0))</f>
        <v>0</v>
      </c>
      <c r="T159" s="26" t="str">
        <f aca="false">IF($S159=0,"",COUNTIF($S$5:$S159,1))</f>
        <v/>
      </c>
    </row>
    <row r="160" customFormat="false" ht="15" hidden="false" customHeight="false" outlineLevel="0" collapsed="false">
      <c r="A160" s="26" t="str">
        <f aca="false">IF($C160="","","QC-"&amp;TEXT(ROW()-4,"000"))</f>
        <v/>
      </c>
      <c r="B160" s="25"/>
      <c r="C160" s="24"/>
      <c r="D160" s="24"/>
      <c r="E160" s="24"/>
      <c r="F160" s="32"/>
      <c r="G160" s="33"/>
      <c r="H160" s="24"/>
      <c r="I160" s="24"/>
      <c r="J160" s="24"/>
      <c r="K160" s="24"/>
      <c r="L160" s="24"/>
      <c r="M160" s="24"/>
      <c r="N160" s="26" t="str">
        <f aca="false">IF($C160="","",IFERROR(INDEX(LOT_PRODE,MATCH($C160,LOT_KEY,0)),"LOT NON REFERENCE"))</f>
        <v/>
      </c>
      <c r="O160" s="26" t="str">
        <f aca="false">IF($C160="","",IFERROR(INDEX(LOT_CONSERVE,MATCH($C160,LOT_KEY,0)),""))</f>
        <v/>
      </c>
      <c r="P160" s="27" t="str">
        <f aca="false">IF(OR($C160="",$D160=""),"",SUMIFS(MVT_NET,MVT_LOT,$C160,MVT_EMPL,$D160))</f>
        <v/>
      </c>
      <c r="Q160" s="26" t="str">
        <f aca="false">IF($C160="","",IF(OR($B160="",AND($F160="",$G160="",$H160="",$I160="",$J160="",$K160="")),"DONNEES MANQUANTES",IF(AND($D160&lt;&gt;"",$P160&lt;=0),"EMPLACEMENT INCOHERENT","OK")))</f>
        <v/>
      </c>
      <c r="R160" s="26" t="str">
        <f aca="false">IF($C160="","",IF(AND(ISNUMBER($G160),$G160&gt;P_HIST),"HISTAMINE "&amp;TEXT($G160,"#,##0")&amp;" mg/kg &gt; seuil "&amp;TEXT(P_HIST,"#,##0")&amp;". ","")&amp;IF(AND(ISNUMBER($F160),$O160="CONGELE",$F160&gt;P_TCONG),"TEMPERATURE "&amp;TEXT($F160,"0.0")&amp;" C hors seuil congele. ","")&amp;IF(AND(ISNUMBER($F160),$O160="FRAIS",$F160&gt;P_TFRAIS),"TEMPERATURE "&amp;TEXT($F160,"0.0")&amp;" C hors seuil frais. ","")&amp;IF($Q160="EMPLACEMENT INCOHERENT","Lot absent de cet emplacement : controle conserve, stock inchange. ","")&amp;IF($Q160="DONNEES MANQUANTES","Renseigner la DATE et au moins une mesure. ",""))</f>
        <v/>
      </c>
      <c r="S160" s="28" t="n">
        <f aca="false">IF($C160="",0,IF($C160=R_LOT,1,0))</f>
        <v>0</v>
      </c>
      <c r="T160" s="26" t="str">
        <f aca="false">IF($S160=0,"",COUNTIF($S$5:$S160,1))</f>
        <v/>
      </c>
    </row>
    <row r="161" customFormat="false" ht="15" hidden="false" customHeight="false" outlineLevel="0" collapsed="false">
      <c r="A161" s="26" t="str">
        <f aca="false">IF($C161="","","QC-"&amp;TEXT(ROW()-4,"000"))</f>
        <v/>
      </c>
      <c r="B161" s="25"/>
      <c r="C161" s="24"/>
      <c r="D161" s="24"/>
      <c r="E161" s="24"/>
      <c r="F161" s="32"/>
      <c r="G161" s="33"/>
      <c r="H161" s="24"/>
      <c r="I161" s="24"/>
      <c r="J161" s="24"/>
      <c r="K161" s="24"/>
      <c r="L161" s="24"/>
      <c r="M161" s="24"/>
      <c r="N161" s="26" t="str">
        <f aca="false">IF($C161="","",IFERROR(INDEX(LOT_PRODE,MATCH($C161,LOT_KEY,0)),"LOT NON REFERENCE"))</f>
        <v/>
      </c>
      <c r="O161" s="26" t="str">
        <f aca="false">IF($C161="","",IFERROR(INDEX(LOT_CONSERVE,MATCH($C161,LOT_KEY,0)),""))</f>
        <v/>
      </c>
      <c r="P161" s="27" t="str">
        <f aca="false">IF(OR($C161="",$D161=""),"",SUMIFS(MVT_NET,MVT_LOT,$C161,MVT_EMPL,$D161))</f>
        <v/>
      </c>
      <c r="Q161" s="26" t="str">
        <f aca="false">IF($C161="","",IF(OR($B161="",AND($F161="",$G161="",$H161="",$I161="",$J161="",$K161="")),"DONNEES MANQUANTES",IF(AND($D161&lt;&gt;"",$P161&lt;=0),"EMPLACEMENT INCOHERENT","OK")))</f>
        <v/>
      </c>
      <c r="R161" s="26" t="str">
        <f aca="false">IF($C161="","",IF(AND(ISNUMBER($G161),$G161&gt;P_HIST),"HISTAMINE "&amp;TEXT($G161,"#,##0")&amp;" mg/kg &gt; seuil "&amp;TEXT(P_HIST,"#,##0")&amp;". ","")&amp;IF(AND(ISNUMBER($F161),$O161="CONGELE",$F161&gt;P_TCONG),"TEMPERATURE "&amp;TEXT($F161,"0.0")&amp;" C hors seuil congele. ","")&amp;IF(AND(ISNUMBER($F161),$O161="FRAIS",$F161&gt;P_TFRAIS),"TEMPERATURE "&amp;TEXT($F161,"0.0")&amp;" C hors seuil frais. ","")&amp;IF($Q161="EMPLACEMENT INCOHERENT","Lot absent de cet emplacement : controle conserve, stock inchange. ","")&amp;IF($Q161="DONNEES MANQUANTES","Renseigner la DATE et au moins une mesure. ",""))</f>
        <v/>
      </c>
      <c r="S161" s="28" t="n">
        <f aca="false">IF($C161="",0,IF($C161=R_LOT,1,0))</f>
        <v>0</v>
      </c>
      <c r="T161" s="26" t="str">
        <f aca="false">IF($S161=0,"",COUNTIF($S$5:$S161,1))</f>
        <v/>
      </c>
    </row>
    <row r="162" customFormat="false" ht="15" hidden="false" customHeight="false" outlineLevel="0" collapsed="false">
      <c r="A162" s="26" t="str">
        <f aca="false">IF($C162="","","QC-"&amp;TEXT(ROW()-4,"000"))</f>
        <v/>
      </c>
      <c r="B162" s="25"/>
      <c r="C162" s="24"/>
      <c r="D162" s="24"/>
      <c r="E162" s="24"/>
      <c r="F162" s="32"/>
      <c r="G162" s="33"/>
      <c r="H162" s="24"/>
      <c r="I162" s="24"/>
      <c r="J162" s="24"/>
      <c r="K162" s="24"/>
      <c r="L162" s="24"/>
      <c r="M162" s="24"/>
      <c r="N162" s="26" t="str">
        <f aca="false">IF($C162="","",IFERROR(INDEX(LOT_PRODE,MATCH($C162,LOT_KEY,0)),"LOT NON REFERENCE"))</f>
        <v/>
      </c>
      <c r="O162" s="26" t="str">
        <f aca="false">IF($C162="","",IFERROR(INDEX(LOT_CONSERVE,MATCH($C162,LOT_KEY,0)),""))</f>
        <v/>
      </c>
      <c r="P162" s="27" t="str">
        <f aca="false">IF(OR($C162="",$D162=""),"",SUMIFS(MVT_NET,MVT_LOT,$C162,MVT_EMPL,$D162))</f>
        <v/>
      </c>
      <c r="Q162" s="26" t="str">
        <f aca="false">IF($C162="","",IF(OR($B162="",AND($F162="",$G162="",$H162="",$I162="",$J162="",$K162="")),"DONNEES MANQUANTES",IF(AND($D162&lt;&gt;"",$P162&lt;=0),"EMPLACEMENT INCOHERENT","OK")))</f>
        <v/>
      </c>
      <c r="R162" s="26" t="str">
        <f aca="false">IF($C162="","",IF(AND(ISNUMBER($G162),$G162&gt;P_HIST),"HISTAMINE "&amp;TEXT($G162,"#,##0")&amp;" mg/kg &gt; seuil "&amp;TEXT(P_HIST,"#,##0")&amp;". ","")&amp;IF(AND(ISNUMBER($F162),$O162="CONGELE",$F162&gt;P_TCONG),"TEMPERATURE "&amp;TEXT($F162,"0.0")&amp;" C hors seuil congele. ","")&amp;IF(AND(ISNUMBER($F162),$O162="FRAIS",$F162&gt;P_TFRAIS),"TEMPERATURE "&amp;TEXT($F162,"0.0")&amp;" C hors seuil frais. ","")&amp;IF($Q162="EMPLACEMENT INCOHERENT","Lot absent de cet emplacement : controle conserve, stock inchange. ","")&amp;IF($Q162="DONNEES MANQUANTES","Renseigner la DATE et au moins une mesure. ",""))</f>
        <v/>
      </c>
      <c r="S162" s="28" t="n">
        <f aca="false">IF($C162="",0,IF($C162=R_LOT,1,0))</f>
        <v>0</v>
      </c>
      <c r="T162" s="26" t="str">
        <f aca="false">IF($S162=0,"",COUNTIF($S$5:$S162,1))</f>
        <v/>
      </c>
    </row>
    <row r="163" customFormat="false" ht="15" hidden="false" customHeight="false" outlineLevel="0" collapsed="false">
      <c r="A163" s="26" t="str">
        <f aca="false">IF($C163="","","QC-"&amp;TEXT(ROW()-4,"000"))</f>
        <v/>
      </c>
      <c r="B163" s="25"/>
      <c r="C163" s="24"/>
      <c r="D163" s="24"/>
      <c r="E163" s="24"/>
      <c r="F163" s="32"/>
      <c r="G163" s="33"/>
      <c r="H163" s="24"/>
      <c r="I163" s="24"/>
      <c r="J163" s="24"/>
      <c r="K163" s="24"/>
      <c r="L163" s="24"/>
      <c r="M163" s="24"/>
      <c r="N163" s="26" t="str">
        <f aca="false">IF($C163="","",IFERROR(INDEX(LOT_PRODE,MATCH($C163,LOT_KEY,0)),"LOT NON REFERENCE"))</f>
        <v/>
      </c>
      <c r="O163" s="26" t="str">
        <f aca="false">IF($C163="","",IFERROR(INDEX(LOT_CONSERVE,MATCH($C163,LOT_KEY,0)),""))</f>
        <v/>
      </c>
      <c r="P163" s="27" t="str">
        <f aca="false">IF(OR($C163="",$D163=""),"",SUMIFS(MVT_NET,MVT_LOT,$C163,MVT_EMPL,$D163))</f>
        <v/>
      </c>
      <c r="Q163" s="26" t="str">
        <f aca="false">IF($C163="","",IF(OR($B163="",AND($F163="",$G163="",$H163="",$I163="",$J163="",$K163="")),"DONNEES MANQUANTES",IF(AND($D163&lt;&gt;"",$P163&lt;=0),"EMPLACEMENT INCOHERENT","OK")))</f>
        <v/>
      </c>
      <c r="R163" s="26" t="str">
        <f aca="false">IF($C163="","",IF(AND(ISNUMBER($G163),$G163&gt;P_HIST),"HISTAMINE "&amp;TEXT($G163,"#,##0")&amp;" mg/kg &gt; seuil "&amp;TEXT(P_HIST,"#,##0")&amp;". ","")&amp;IF(AND(ISNUMBER($F163),$O163="CONGELE",$F163&gt;P_TCONG),"TEMPERATURE "&amp;TEXT($F163,"0.0")&amp;" C hors seuil congele. ","")&amp;IF(AND(ISNUMBER($F163),$O163="FRAIS",$F163&gt;P_TFRAIS),"TEMPERATURE "&amp;TEXT($F163,"0.0")&amp;" C hors seuil frais. ","")&amp;IF($Q163="EMPLACEMENT INCOHERENT","Lot absent de cet emplacement : controle conserve, stock inchange. ","")&amp;IF($Q163="DONNEES MANQUANTES","Renseigner la DATE et au moins une mesure. ",""))</f>
        <v/>
      </c>
      <c r="S163" s="28" t="n">
        <f aca="false">IF($C163="",0,IF($C163=R_LOT,1,0))</f>
        <v>0</v>
      </c>
      <c r="T163" s="26" t="str">
        <f aca="false">IF($S163=0,"",COUNTIF($S$5:$S163,1))</f>
        <v/>
      </c>
    </row>
    <row r="164" customFormat="false" ht="15" hidden="false" customHeight="false" outlineLevel="0" collapsed="false">
      <c r="A164" s="26" t="str">
        <f aca="false">IF($C164="","","QC-"&amp;TEXT(ROW()-4,"000"))</f>
        <v/>
      </c>
      <c r="B164" s="25"/>
      <c r="C164" s="24"/>
      <c r="D164" s="24"/>
      <c r="E164" s="24"/>
      <c r="F164" s="32"/>
      <c r="G164" s="33"/>
      <c r="H164" s="24"/>
      <c r="I164" s="24"/>
      <c r="J164" s="24"/>
      <c r="K164" s="24"/>
      <c r="L164" s="24"/>
      <c r="M164" s="24"/>
      <c r="N164" s="26" t="str">
        <f aca="false">IF($C164="","",IFERROR(INDEX(LOT_PRODE,MATCH($C164,LOT_KEY,0)),"LOT NON REFERENCE"))</f>
        <v/>
      </c>
      <c r="O164" s="26" t="str">
        <f aca="false">IF($C164="","",IFERROR(INDEX(LOT_CONSERVE,MATCH($C164,LOT_KEY,0)),""))</f>
        <v/>
      </c>
      <c r="P164" s="27" t="str">
        <f aca="false">IF(OR($C164="",$D164=""),"",SUMIFS(MVT_NET,MVT_LOT,$C164,MVT_EMPL,$D164))</f>
        <v/>
      </c>
      <c r="Q164" s="26" t="str">
        <f aca="false">IF($C164="","",IF(OR($B164="",AND($F164="",$G164="",$H164="",$I164="",$J164="",$K164="")),"DONNEES MANQUANTES",IF(AND($D164&lt;&gt;"",$P164&lt;=0),"EMPLACEMENT INCOHERENT","OK")))</f>
        <v/>
      </c>
      <c r="R164" s="26" t="str">
        <f aca="false">IF($C164="","",IF(AND(ISNUMBER($G164),$G164&gt;P_HIST),"HISTAMINE "&amp;TEXT($G164,"#,##0")&amp;" mg/kg &gt; seuil "&amp;TEXT(P_HIST,"#,##0")&amp;". ","")&amp;IF(AND(ISNUMBER($F164),$O164="CONGELE",$F164&gt;P_TCONG),"TEMPERATURE "&amp;TEXT($F164,"0.0")&amp;" C hors seuil congele. ","")&amp;IF(AND(ISNUMBER($F164),$O164="FRAIS",$F164&gt;P_TFRAIS),"TEMPERATURE "&amp;TEXT($F164,"0.0")&amp;" C hors seuil frais. ","")&amp;IF($Q164="EMPLACEMENT INCOHERENT","Lot absent de cet emplacement : controle conserve, stock inchange. ","")&amp;IF($Q164="DONNEES MANQUANTES","Renseigner la DATE et au moins une mesure. ",""))</f>
        <v/>
      </c>
      <c r="S164" s="28" t="n">
        <f aca="false">IF($C164="",0,IF($C164=R_LOT,1,0))</f>
        <v>0</v>
      </c>
      <c r="T164" s="26" t="str">
        <f aca="false">IF($S164=0,"",COUNTIF($S$5:$S164,1))</f>
        <v/>
      </c>
    </row>
    <row r="165" customFormat="false" ht="15" hidden="false" customHeight="false" outlineLevel="0" collapsed="false">
      <c r="A165" s="26" t="str">
        <f aca="false">IF($C165="","","QC-"&amp;TEXT(ROW()-4,"000"))</f>
        <v/>
      </c>
      <c r="B165" s="25"/>
      <c r="C165" s="24"/>
      <c r="D165" s="24"/>
      <c r="E165" s="24"/>
      <c r="F165" s="32"/>
      <c r="G165" s="33"/>
      <c r="H165" s="24"/>
      <c r="I165" s="24"/>
      <c r="J165" s="24"/>
      <c r="K165" s="24"/>
      <c r="L165" s="24"/>
      <c r="M165" s="24"/>
      <c r="N165" s="26" t="str">
        <f aca="false">IF($C165="","",IFERROR(INDEX(LOT_PRODE,MATCH($C165,LOT_KEY,0)),"LOT NON REFERENCE"))</f>
        <v/>
      </c>
      <c r="O165" s="26" t="str">
        <f aca="false">IF($C165="","",IFERROR(INDEX(LOT_CONSERVE,MATCH($C165,LOT_KEY,0)),""))</f>
        <v/>
      </c>
      <c r="P165" s="27" t="str">
        <f aca="false">IF(OR($C165="",$D165=""),"",SUMIFS(MVT_NET,MVT_LOT,$C165,MVT_EMPL,$D165))</f>
        <v/>
      </c>
      <c r="Q165" s="26" t="str">
        <f aca="false">IF($C165="","",IF(OR($B165="",AND($F165="",$G165="",$H165="",$I165="",$J165="",$K165="")),"DONNEES MANQUANTES",IF(AND($D165&lt;&gt;"",$P165&lt;=0),"EMPLACEMENT INCOHERENT","OK")))</f>
        <v/>
      </c>
      <c r="R165" s="26" t="str">
        <f aca="false">IF($C165="","",IF(AND(ISNUMBER($G165),$G165&gt;P_HIST),"HISTAMINE "&amp;TEXT($G165,"#,##0")&amp;" mg/kg &gt; seuil "&amp;TEXT(P_HIST,"#,##0")&amp;". ","")&amp;IF(AND(ISNUMBER($F165),$O165="CONGELE",$F165&gt;P_TCONG),"TEMPERATURE "&amp;TEXT($F165,"0.0")&amp;" C hors seuil congele. ","")&amp;IF(AND(ISNUMBER($F165),$O165="FRAIS",$F165&gt;P_TFRAIS),"TEMPERATURE "&amp;TEXT($F165,"0.0")&amp;" C hors seuil frais. ","")&amp;IF($Q165="EMPLACEMENT INCOHERENT","Lot absent de cet emplacement : controle conserve, stock inchange. ","")&amp;IF($Q165="DONNEES MANQUANTES","Renseigner la DATE et au moins une mesure. ",""))</f>
        <v/>
      </c>
      <c r="S165" s="28" t="n">
        <f aca="false">IF($C165="",0,IF($C165=R_LOT,1,0))</f>
        <v>0</v>
      </c>
      <c r="T165" s="26" t="str">
        <f aca="false">IF($S165=0,"",COUNTIF($S$5:$S165,1))</f>
        <v/>
      </c>
    </row>
    <row r="166" customFormat="false" ht="15" hidden="false" customHeight="false" outlineLevel="0" collapsed="false">
      <c r="A166" s="26" t="str">
        <f aca="false">IF($C166="","","QC-"&amp;TEXT(ROW()-4,"000"))</f>
        <v/>
      </c>
      <c r="B166" s="25"/>
      <c r="C166" s="24"/>
      <c r="D166" s="24"/>
      <c r="E166" s="24"/>
      <c r="F166" s="32"/>
      <c r="G166" s="33"/>
      <c r="H166" s="24"/>
      <c r="I166" s="24"/>
      <c r="J166" s="24"/>
      <c r="K166" s="24"/>
      <c r="L166" s="24"/>
      <c r="M166" s="24"/>
      <c r="N166" s="26" t="str">
        <f aca="false">IF($C166="","",IFERROR(INDEX(LOT_PRODE,MATCH($C166,LOT_KEY,0)),"LOT NON REFERENCE"))</f>
        <v/>
      </c>
      <c r="O166" s="26" t="str">
        <f aca="false">IF($C166="","",IFERROR(INDEX(LOT_CONSERVE,MATCH($C166,LOT_KEY,0)),""))</f>
        <v/>
      </c>
      <c r="P166" s="27" t="str">
        <f aca="false">IF(OR($C166="",$D166=""),"",SUMIFS(MVT_NET,MVT_LOT,$C166,MVT_EMPL,$D166))</f>
        <v/>
      </c>
      <c r="Q166" s="26" t="str">
        <f aca="false">IF($C166="","",IF(OR($B166="",AND($F166="",$G166="",$H166="",$I166="",$J166="",$K166="")),"DONNEES MANQUANTES",IF(AND($D166&lt;&gt;"",$P166&lt;=0),"EMPLACEMENT INCOHERENT","OK")))</f>
        <v/>
      </c>
      <c r="R166" s="26" t="str">
        <f aca="false">IF($C166="","",IF(AND(ISNUMBER($G166),$G166&gt;P_HIST),"HISTAMINE "&amp;TEXT($G166,"#,##0")&amp;" mg/kg &gt; seuil "&amp;TEXT(P_HIST,"#,##0")&amp;". ","")&amp;IF(AND(ISNUMBER($F166),$O166="CONGELE",$F166&gt;P_TCONG),"TEMPERATURE "&amp;TEXT($F166,"0.0")&amp;" C hors seuil congele. ","")&amp;IF(AND(ISNUMBER($F166),$O166="FRAIS",$F166&gt;P_TFRAIS),"TEMPERATURE "&amp;TEXT($F166,"0.0")&amp;" C hors seuil frais. ","")&amp;IF($Q166="EMPLACEMENT INCOHERENT","Lot absent de cet emplacement : controle conserve, stock inchange. ","")&amp;IF($Q166="DONNEES MANQUANTES","Renseigner la DATE et au moins une mesure. ",""))</f>
        <v/>
      </c>
      <c r="S166" s="28" t="n">
        <f aca="false">IF($C166="",0,IF($C166=R_LOT,1,0))</f>
        <v>0</v>
      </c>
      <c r="T166" s="26" t="str">
        <f aca="false">IF($S166=0,"",COUNTIF($S$5:$S166,1))</f>
        <v/>
      </c>
    </row>
    <row r="167" customFormat="false" ht="15" hidden="false" customHeight="false" outlineLevel="0" collapsed="false">
      <c r="A167" s="26" t="str">
        <f aca="false">IF($C167="","","QC-"&amp;TEXT(ROW()-4,"000"))</f>
        <v/>
      </c>
      <c r="B167" s="25"/>
      <c r="C167" s="24"/>
      <c r="D167" s="24"/>
      <c r="E167" s="24"/>
      <c r="F167" s="32"/>
      <c r="G167" s="33"/>
      <c r="H167" s="24"/>
      <c r="I167" s="24"/>
      <c r="J167" s="24"/>
      <c r="K167" s="24"/>
      <c r="L167" s="24"/>
      <c r="M167" s="24"/>
      <c r="N167" s="26" t="str">
        <f aca="false">IF($C167="","",IFERROR(INDEX(LOT_PRODE,MATCH($C167,LOT_KEY,0)),"LOT NON REFERENCE"))</f>
        <v/>
      </c>
      <c r="O167" s="26" t="str">
        <f aca="false">IF($C167="","",IFERROR(INDEX(LOT_CONSERVE,MATCH($C167,LOT_KEY,0)),""))</f>
        <v/>
      </c>
      <c r="P167" s="27" t="str">
        <f aca="false">IF(OR($C167="",$D167=""),"",SUMIFS(MVT_NET,MVT_LOT,$C167,MVT_EMPL,$D167))</f>
        <v/>
      </c>
      <c r="Q167" s="26" t="str">
        <f aca="false">IF($C167="","",IF(OR($B167="",AND($F167="",$G167="",$H167="",$I167="",$J167="",$K167="")),"DONNEES MANQUANTES",IF(AND($D167&lt;&gt;"",$P167&lt;=0),"EMPLACEMENT INCOHERENT","OK")))</f>
        <v/>
      </c>
      <c r="R167" s="26" t="str">
        <f aca="false">IF($C167="","",IF(AND(ISNUMBER($G167),$G167&gt;P_HIST),"HISTAMINE "&amp;TEXT($G167,"#,##0")&amp;" mg/kg &gt; seuil "&amp;TEXT(P_HIST,"#,##0")&amp;". ","")&amp;IF(AND(ISNUMBER($F167),$O167="CONGELE",$F167&gt;P_TCONG),"TEMPERATURE "&amp;TEXT($F167,"0.0")&amp;" C hors seuil congele. ","")&amp;IF(AND(ISNUMBER($F167),$O167="FRAIS",$F167&gt;P_TFRAIS),"TEMPERATURE "&amp;TEXT($F167,"0.0")&amp;" C hors seuil frais. ","")&amp;IF($Q167="EMPLACEMENT INCOHERENT","Lot absent de cet emplacement : controle conserve, stock inchange. ","")&amp;IF($Q167="DONNEES MANQUANTES","Renseigner la DATE et au moins une mesure. ",""))</f>
        <v/>
      </c>
      <c r="S167" s="28" t="n">
        <f aca="false">IF($C167="",0,IF($C167=R_LOT,1,0))</f>
        <v>0</v>
      </c>
      <c r="T167" s="26" t="str">
        <f aca="false">IF($S167=0,"",COUNTIF($S$5:$S167,1))</f>
        <v/>
      </c>
    </row>
    <row r="168" customFormat="false" ht="15" hidden="false" customHeight="false" outlineLevel="0" collapsed="false">
      <c r="A168" s="26" t="str">
        <f aca="false">IF($C168="","","QC-"&amp;TEXT(ROW()-4,"000"))</f>
        <v/>
      </c>
      <c r="B168" s="25"/>
      <c r="C168" s="24"/>
      <c r="D168" s="24"/>
      <c r="E168" s="24"/>
      <c r="F168" s="32"/>
      <c r="G168" s="33"/>
      <c r="H168" s="24"/>
      <c r="I168" s="24"/>
      <c r="J168" s="24"/>
      <c r="K168" s="24"/>
      <c r="L168" s="24"/>
      <c r="M168" s="24"/>
      <c r="N168" s="26" t="str">
        <f aca="false">IF($C168="","",IFERROR(INDEX(LOT_PRODE,MATCH($C168,LOT_KEY,0)),"LOT NON REFERENCE"))</f>
        <v/>
      </c>
      <c r="O168" s="26" t="str">
        <f aca="false">IF($C168="","",IFERROR(INDEX(LOT_CONSERVE,MATCH($C168,LOT_KEY,0)),""))</f>
        <v/>
      </c>
      <c r="P168" s="27" t="str">
        <f aca="false">IF(OR($C168="",$D168=""),"",SUMIFS(MVT_NET,MVT_LOT,$C168,MVT_EMPL,$D168))</f>
        <v/>
      </c>
      <c r="Q168" s="26" t="str">
        <f aca="false">IF($C168="","",IF(OR($B168="",AND($F168="",$G168="",$H168="",$I168="",$J168="",$K168="")),"DONNEES MANQUANTES",IF(AND($D168&lt;&gt;"",$P168&lt;=0),"EMPLACEMENT INCOHERENT","OK")))</f>
        <v/>
      </c>
      <c r="R168" s="26" t="str">
        <f aca="false">IF($C168="","",IF(AND(ISNUMBER($G168),$G168&gt;P_HIST),"HISTAMINE "&amp;TEXT($G168,"#,##0")&amp;" mg/kg &gt; seuil "&amp;TEXT(P_HIST,"#,##0")&amp;". ","")&amp;IF(AND(ISNUMBER($F168),$O168="CONGELE",$F168&gt;P_TCONG),"TEMPERATURE "&amp;TEXT($F168,"0.0")&amp;" C hors seuil congele. ","")&amp;IF(AND(ISNUMBER($F168),$O168="FRAIS",$F168&gt;P_TFRAIS),"TEMPERATURE "&amp;TEXT($F168,"0.0")&amp;" C hors seuil frais. ","")&amp;IF($Q168="EMPLACEMENT INCOHERENT","Lot absent de cet emplacement : controle conserve, stock inchange. ","")&amp;IF($Q168="DONNEES MANQUANTES","Renseigner la DATE et au moins une mesure. ",""))</f>
        <v/>
      </c>
      <c r="S168" s="28" t="n">
        <f aca="false">IF($C168="",0,IF($C168=R_LOT,1,0))</f>
        <v>0</v>
      </c>
      <c r="T168" s="26" t="str">
        <f aca="false">IF($S168=0,"",COUNTIF($S$5:$S168,1))</f>
        <v/>
      </c>
    </row>
    <row r="169" customFormat="false" ht="15" hidden="false" customHeight="false" outlineLevel="0" collapsed="false">
      <c r="A169" s="26" t="str">
        <f aca="false">IF($C169="","","QC-"&amp;TEXT(ROW()-4,"000"))</f>
        <v/>
      </c>
      <c r="B169" s="25"/>
      <c r="C169" s="24"/>
      <c r="D169" s="24"/>
      <c r="E169" s="24"/>
      <c r="F169" s="32"/>
      <c r="G169" s="33"/>
      <c r="H169" s="24"/>
      <c r="I169" s="24"/>
      <c r="J169" s="24"/>
      <c r="K169" s="24"/>
      <c r="L169" s="24"/>
      <c r="M169" s="24"/>
      <c r="N169" s="26" t="str">
        <f aca="false">IF($C169="","",IFERROR(INDEX(LOT_PRODE,MATCH($C169,LOT_KEY,0)),"LOT NON REFERENCE"))</f>
        <v/>
      </c>
      <c r="O169" s="26" t="str">
        <f aca="false">IF($C169="","",IFERROR(INDEX(LOT_CONSERVE,MATCH($C169,LOT_KEY,0)),""))</f>
        <v/>
      </c>
      <c r="P169" s="27" t="str">
        <f aca="false">IF(OR($C169="",$D169=""),"",SUMIFS(MVT_NET,MVT_LOT,$C169,MVT_EMPL,$D169))</f>
        <v/>
      </c>
      <c r="Q169" s="26" t="str">
        <f aca="false">IF($C169="","",IF(OR($B169="",AND($F169="",$G169="",$H169="",$I169="",$J169="",$K169="")),"DONNEES MANQUANTES",IF(AND($D169&lt;&gt;"",$P169&lt;=0),"EMPLACEMENT INCOHERENT","OK")))</f>
        <v/>
      </c>
      <c r="R169" s="26" t="str">
        <f aca="false">IF($C169="","",IF(AND(ISNUMBER($G169),$G169&gt;P_HIST),"HISTAMINE "&amp;TEXT($G169,"#,##0")&amp;" mg/kg &gt; seuil "&amp;TEXT(P_HIST,"#,##0")&amp;". ","")&amp;IF(AND(ISNUMBER($F169),$O169="CONGELE",$F169&gt;P_TCONG),"TEMPERATURE "&amp;TEXT($F169,"0.0")&amp;" C hors seuil congele. ","")&amp;IF(AND(ISNUMBER($F169),$O169="FRAIS",$F169&gt;P_TFRAIS),"TEMPERATURE "&amp;TEXT($F169,"0.0")&amp;" C hors seuil frais. ","")&amp;IF($Q169="EMPLACEMENT INCOHERENT","Lot absent de cet emplacement : controle conserve, stock inchange. ","")&amp;IF($Q169="DONNEES MANQUANTES","Renseigner la DATE et au moins une mesure. ",""))</f>
        <v/>
      </c>
      <c r="S169" s="28" t="n">
        <f aca="false">IF($C169="",0,IF($C169=R_LOT,1,0))</f>
        <v>0</v>
      </c>
      <c r="T169" s="26" t="str">
        <f aca="false">IF($S169=0,"",COUNTIF($S$5:$S169,1))</f>
        <v/>
      </c>
    </row>
    <row r="170" customFormat="false" ht="15" hidden="false" customHeight="false" outlineLevel="0" collapsed="false">
      <c r="A170" s="26" t="str">
        <f aca="false">IF($C170="","","QC-"&amp;TEXT(ROW()-4,"000"))</f>
        <v/>
      </c>
      <c r="B170" s="25"/>
      <c r="C170" s="24"/>
      <c r="D170" s="24"/>
      <c r="E170" s="24"/>
      <c r="F170" s="32"/>
      <c r="G170" s="33"/>
      <c r="H170" s="24"/>
      <c r="I170" s="24"/>
      <c r="J170" s="24"/>
      <c r="K170" s="24"/>
      <c r="L170" s="24"/>
      <c r="M170" s="24"/>
      <c r="N170" s="26" t="str">
        <f aca="false">IF($C170="","",IFERROR(INDEX(LOT_PRODE,MATCH($C170,LOT_KEY,0)),"LOT NON REFERENCE"))</f>
        <v/>
      </c>
      <c r="O170" s="26" t="str">
        <f aca="false">IF($C170="","",IFERROR(INDEX(LOT_CONSERVE,MATCH($C170,LOT_KEY,0)),""))</f>
        <v/>
      </c>
      <c r="P170" s="27" t="str">
        <f aca="false">IF(OR($C170="",$D170=""),"",SUMIFS(MVT_NET,MVT_LOT,$C170,MVT_EMPL,$D170))</f>
        <v/>
      </c>
      <c r="Q170" s="26" t="str">
        <f aca="false">IF($C170="","",IF(OR($B170="",AND($F170="",$G170="",$H170="",$I170="",$J170="",$K170="")),"DONNEES MANQUANTES",IF(AND($D170&lt;&gt;"",$P170&lt;=0),"EMPLACEMENT INCOHERENT","OK")))</f>
        <v/>
      </c>
      <c r="R170" s="26" t="str">
        <f aca="false">IF($C170="","",IF(AND(ISNUMBER($G170),$G170&gt;P_HIST),"HISTAMINE "&amp;TEXT($G170,"#,##0")&amp;" mg/kg &gt; seuil "&amp;TEXT(P_HIST,"#,##0")&amp;". ","")&amp;IF(AND(ISNUMBER($F170),$O170="CONGELE",$F170&gt;P_TCONG),"TEMPERATURE "&amp;TEXT($F170,"0.0")&amp;" C hors seuil congele. ","")&amp;IF(AND(ISNUMBER($F170),$O170="FRAIS",$F170&gt;P_TFRAIS),"TEMPERATURE "&amp;TEXT($F170,"0.0")&amp;" C hors seuil frais. ","")&amp;IF($Q170="EMPLACEMENT INCOHERENT","Lot absent de cet emplacement : controle conserve, stock inchange. ","")&amp;IF($Q170="DONNEES MANQUANTES","Renseigner la DATE et au moins une mesure. ",""))</f>
        <v/>
      </c>
      <c r="S170" s="28" t="n">
        <f aca="false">IF($C170="",0,IF($C170=R_LOT,1,0))</f>
        <v>0</v>
      </c>
      <c r="T170" s="26" t="str">
        <f aca="false">IF($S170=0,"",COUNTIF($S$5:$S170,1))</f>
        <v/>
      </c>
    </row>
    <row r="171" customFormat="false" ht="15" hidden="false" customHeight="false" outlineLevel="0" collapsed="false">
      <c r="A171" s="26" t="str">
        <f aca="false">IF($C171="","","QC-"&amp;TEXT(ROW()-4,"000"))</f>
        <v/>
      </c>
      <c r="B171" s="25"/>
      <c r="C171" s="24"/>
      <c r="D171" s="24"/>
      <c r="E171" s="24"/>
      <c r="F171" s="32"/>
      <c r="G171" s="33"/>
      <c r="H171" s="24"/>
      <c r="I171" s="24"/>
      <c r="J171" s="24"/>
      <c r="K171" s="24"/>
      <c r="L171" s="24"/>
      <c r="M171" s="24"/>
      <c r="N171" s="26" t="str">
        <f aca="false">IF($C171="","",IFERROR(INDEX(LOT_PRODE,MATCH($C171,LOT_KEY,0)),"LOT NON REFERENCE"))</f>
        <v/>
      </c>
      <c r="O171" s="26" t="str">
        <f aca="false">IF($C171="","",IFERROR(INDEX(LOT_CONSERVE,MATCH($C171,LOT_KEY,0)),""))</f>
        <v/>
      </c>
      <c r="P171" s="27" t="str">
        <f aca="false">IF(OR($C171="",$D171=""),"",SUMIFS(MVT_NET,MVT_LOT,$C171,MVT_EMPL,$D171))</f>
        <v/>
      </c>
      <c r="Q171" s="26" t="str">
        <f aca="false">IF($C171="","",IF(OR($B171="",AND($F171="",$G171="",$H171="",$I171="",$J171="",$K171="")),"DONNEES MANQUANTES",IF(AND($D171&lt;&gt;"",$P171&lt;=0),"EMPLACEMENT INCOHERENT","OK")))</f>
        <v/>
      </c>
      <c r="R171" s="26" t="str">
        <f aca="false">IF($C171="","",IF(AND(ISNUMBER($G171),$G171&gt;P_HIST),"HISTAMINE "&amp;TEXT($G171,"#,##0")&amp;" mg/kg &gt; seuil "&amp;TEXT(P_HIST,"#,##0")&amp;". ","")&amp;IF(AND(ISNUMBER($F171),$O171="CONGELE",$F171&gt;P_TCONG),"TEMPERATURE "&amp;TEXT($F171,"0.0")&amp;" C hors seuil congele. ","")&amp;IF(AND(ISNUMBER($F171),$O171="FRAIS",$F171&gt;P_TFRAIS),"TEMPERATURE "&amp;TEXT($F171,"0.0")&amp;" C hors seuil frais. ","")&amp;IF($Q171="EMPLACEMENT INCOHERENT","Lot absent de cet emplacement : controle conserve, stock inchange. ","")&amp;IF($Q171="DONNEES MANQUANTES","Renseigner la DATE et au moins une mesure. ",""))</f>
        <v/>
      </c>
      <c r="S171" s="28" t="n">
        <f aca="false">IF($C171="",0,IF($C171=R_LOT,1,0))</f>
        <v>0</v>
      </c>
      <c r="T171" s="26" t="str">
        <f aca="false">IF($S171=0,"",COUNTIF($S$5:$S171,1))</f>
        <v/>
      </c>
    </row>
    <row r="172" customFormat="false" ht="15" hidden="false" customHeight="false" outlineLevel="0" collapsed="false">
      <c r="A172" s="26" t="str">
        <f aca="false">IF($C172="","","QC-"&amp;TEXT(ROW()-4,"000"))</f>
        <v/>
      </c>
      <c r="B172" s="25"/>
      <c r="C172" s="24"/>
      <c r="D172" s="24"/>
      <c r="E172" s="24"/>
      <c r="F172" s="32"/>
      <c r="G172" s="33"/>
      <c r="H172" s="24"/>
      <c r="I172" s="24"/>
      <c r="J172" s="24"/>
      <c r="K172" s="24"/>
      <c r="L172" s="24"/>
      <c r="M172" s="24"/>
      <c r="N172" s="26" t="str">
        <f aca="false">IF($C172="","",IFERROR(INDEX(LOT_PRODE,MATCH($C172,LOT_KEY,0)),"LOT NON REFERENCE"))</f>
        <v/>
      </c>
      <c r="O172" s="26" t="str">
        <f aca="false">IF($C172="","",IFERROR(INDEX(LOT_CONSERVE,MATCH($C172,LOT_KEY,0)),""))</f>
        <v/>
      </c>
      <c r="P172" s="27" t="str">
        <f aca="false">IF(OR($C172="",$D172=""),"",SUMIFS(MVT_NET,MVT_LOT,$C172,MVT_EMPL,$D172))</f>
        <v/>
      </c>
      <c r="Q172" s="26" t="str">
        <f aca="false">IF($C172="","",IF(OR($B172="",AND($F172="",$G172="",$H172="",$I172="",$J172="",$K172="")),"DONNEES MANQUANTES",IF(AND($D172&lt;&gt;"",$P172&lt;=0),"EMPLACEMENT INCOHERENT","OK")))</f>
        <v/>
      </c>
      <c r="R172" s="26" t="str">
        <f aca="false">IF($C172="","",IF(AND(ISNUMBER($G172),$G172&gt;P_HIST),"HISTAMINE "&amp;TEXT($G172,"#,##0")&amp;" mg/kg &gt; seuil "&amp;TEXT(P_HIST,"#,##0")&amp;". ","")&amp;IF(AND(ISNUMBER($F172),$O172="CONGELE",$F172&gt;P_TCONG),"TEMPERATURE "&amp;TEXT($F172,"0.0")&amp;" C hors seuil congele. ","")&amp;IF(AND(ISNUMBER($F172),$O172="FRAIS",$F172&gt;P_TFRAIS),"TEMPERATURE "&amp;TEXT($F172,"0.0")&amp;" C hors seuil frais. ","")&amp;IF($Q172="EMPLACEMENT INCOHERENT","Lot absent de cet emplacement : controle conserve, stock inchange. ","")&amp;IF($Q172="DONNEES MANQUANTES","Renseigner la DATE et au moins une mesure. ",""))</f>
        <v/>
      </c>
      <c r="S172" s="28" t="n">
        <f aca="false">IF($C172="",0,IF($C172=R_LOT,1,0))</f>
        <v>0</v>
      </c>
      <c r="T172" s="26" t="str">
        <f aca="false">IF($S172=0,"",COUNTIF($S$5:$S172,1))</f>
        <v/>
      </c>
    </row>
    <row r="173" customFormat="false" ht="15" hidden="false" customHeight="false" outlineLevel="0" collapsed="false">
      <c r="A173" s="26" t="str">
        <f aca="false">IF($C173="","","QC-"&amp;TEXT(ROW()-4,"000"))</f>
        <v/>
      </c>
      <c r="B173" s="25"/>
      <c r="C173" s="24"/>
      <c r="D173" s="24"/>
      <c r="E173" s="24"/>
      <c r="F173" s="32"/>
      <c r="G173" s="33"/>
      <c r="H173" s="24"/>
      <c r="I173" s="24"/>
      <c r="J173" s="24"/>
      <c r="K173" s="24"/>
      <c r="L173" s="24"/>
      <c r="M173" s="24"/>
      <c r="N173" s="26" t="str">
        <f aca="false">IF($C173="","",IFERROR(INDEX(LOT_PRODE,MATCH($C173,LOT_KEY,0)),"LOT NON REFERENCE"))</f>
        <v/>
      </c>
      <c r="O173" s="26" t="str">
        <f aca="false">IF($C173="","",IFERROR(INDEX(LOT_CONSERVE,MATCH($C173,LOT_KEY,0)),""))</f>
        <v/>
      </c>
      <c r="P173" s="27" t="str">
        <f aca="false">IF(OR($C173="",$D173=""),"",SUMIFS(MVT_NET,MVT_LOT,$C173,MVT_EMPL,$D173))</f>
        <v/>
      </c>
      <c r="Q173" s="26" t="str">
        <f aca="false">IF($C173="","",IF(OR($B173="",AND($F173="",$G173="",$H173="",$I173="",$J173="",$K173="")),"DONNEES MANQUANTES",IF(AND($D173&lt;&gt;"",$P173&lt;=0),"EMPLACEMENT INCOHERENT","OK")))</f>
        <v/>
      </c>
      <c r="R173" s="26" t="str">
        <f aca="false">IF($C173="","",IF(AND(ISNUMBER($G173),$G173&gt;P_HIST),"HISTAMINE "&amp;TEXT($G173,"#,##0")&amp;" mg/kg &gt; seuil "&amp;TEXT(P_HIST,"#,##0")&amp;". ","")&amp;IF(AND(ISNUMBER($F173),$O173="CONGELE",$F173&gt;P_TCONG),"TEMPERATURE "&amp;TEXT($F173,"0.0")&amp;" C hors seuil congele. ","")&amp;IF(AND(ISNUMBER($F173),$O173="FRAIS",$F173&gt;P_TFRAIS),"TEMPERATURE "&amp;TEXT($F173,"0.0")&amp;" C hors seuil frais. ","")&amp;IF($Q173="EMPLACEMENT INCOHERENT","Lot absent de cet emplacement : controle conserve, stock inchange. ","")&amp;IF($Q173="DONNEES MANQUANTES","Renseigner la DATE et au moins une mesure. ",""))</f>
        <v/>
      </c>
      <c r="S173" s="28" t="n">
        <f aca="false">IF($C173="",0,IF($C173=R_LOT,1,0))</f>
        <v>0</v>
      </c>
      <c r="T173" s="26" t="str">
        <f aca="false">IF($S173=0,"",COUNTIF($S$5:$S173,1))</f>
        <v/>
      </c>
    </row>
    <row r="174" customFormat="false" ht="15" hidden="false" customHeight="false" outlineLevel="0" collapsed="false">
      <c r="A174" s="26" t="str">
        <f aca="false">IF($C174="","","QC-"&amp;TEXT(ROW()-4,"000"))</f>
        <v/>
      </c>
      <c r="B174" s="25"/>
      <c r="C174" s="24"/>
      <c r="D174" s="24"/>
      <c r="E174" s="24"/>
      <c r="F174" s="32"/>
      <c r="G174" s="33"/>
      <c r="H174" s="24"/>
      <c r="I174" s="24"/>
      <c r="J174" s="24"/>
      <c r="K174" s="24"/>
      <c r="L174" s="24"/>
      <c r="M174" s="24"/>
      <c r="N174" s="26" t="str">
        <f aca="false">IF($C174="","",IFERROR(INDEX(LOT_PRODE,MATCH($C174,LOT_KEY,0)),"LOT NON REFERENCE"))</f>
        <v/>
      </c>
      <c r="O174" s="26" t="str">
        <f aca="false">IF($C174="","",IFERROR(INDEX(LOT_CONSERVE,MATCH($C174,LOT_KEY,0)),""))</f>
        <v/>
      </c>
      <c r="P174" s="27" t="str">
        <f aca="false">IF(OR($C174="",$D174=""),"",SUMIFS(MVT_NET,MVT_LOT,$C174,MVT_EMPL,$D174))</f>
        <v/>
      </c>
      <c r="Q174" s="26" t="str">
        <f aca="false">IF($C174="","",IF(OR($B174="",AND($F174="",$G174="",$H174="",$I174="",$J174="",$K174="")),"DONNEES MANQUANTES",IF(AND($D174&lt;&gt;"",$P174&lt;=0),"EMPLACEMENT INCOHERENT","OK")))</f>
        <v/>
      </c>
      <c r="R174" s="26" t="str">
        <f aca="false">IF($C174="","",IF(AND(ISNUMBER($G174),$G174&gt;P_HIST),"HISTAMINE "&amp;TEXT($G174,"#,##0")&amp;" mg/kg &gt; seuil "&amp;TEXT(P_HIST,"#,##0")&amp;". ","")&amp;IF(AND(ISNUMBER($F174),$O174="CONGELE",$F174&gt;P_TCONG),"TEMPERATURE "&amp;TEXT($F174,"0.0")&amp;" C hors seuil congele. ","")&amp;IF(AND(ISNUMBER($F174),$O174="FRAIS",$F174&gt;P_TFRAIS),"TEMPERATURE "&amp;TEXT($F174,"0.0")&amp;" C hors seuil frais. ","")&amp;IF($Q174="EMPLACEMENT INCOHERENT","Lot absent de cet emplacement : controle conserve, stock inchange. ","")&amp;IF($Q174="DONNEES MANQUANTES","Renseigner la DATE et au moins une mesure. ",""))</f>
        <v/>
      </c>
      <c r="S174" s="28" t="n">
        <f aca="false">IF($C174="",0,IF($C174=R_LOT,1,0))</f>
        <v>0</v>
      </c>
      <c r="T174" s="26" t="str">
        <f aca="false">IF($S174=0,"",COUNTIF($S$5:$S174,1))</f>
        <v/>
      </c>
    </row>
    <row r="175" customFormat="false" ht="15" hidden="false" customHeight="false" outlineLevel="0" collapsed="false">
      <c r="A175" s="26" t="str">
        <f aca="false">IF($C175="","","QC-"&amp;TEXT(ROW()-4,"000"))</f>
        <v/>
      </c>
      <c r="B175" s="25"/>
      <c r="C175" s="24"/>
      <c r="D175" s="24"/>
      <c r="E175" s="24"/>
      <c r="F175" s="32"/>
      <c r="G175" s="33"/>
      <c r="H175" s="24"/>
      <c r="I175" s="24"/>
      <c r="J175" s="24"/>
      <c r="K175" s="24"/>
      <c r="L175" s="24"/>
      <c r="M175" s="24"/>
      <c r="N175" s="26" t="str">
        <f aca="false">IF($C175="","",IFERROR(INDEX(LOT_PRODE,MATCH($C175,LOT_KEY,0)),"LOT NON REFERENCE"))</f>
        <v/>
      </c>
      <c r="O175" s="26" t="str">
        <f aca="false">IF($C175="","",IFERROR(INDEX(LOT_CONSERVE,MATCH($C175,LOT_KEY,0)),""))</f>
        <v/>
      </c>
      <c r="P175" s="27" t="str">
        <f aca="false">IF(OR($C175="",$D175=""),"",SUMIFS(MVT_NET,MVT_LOT,$C175,MVT_EMPL,$D175))</f>
        <v/>
      </c>
      <c r="Q175" s="26" t="str">
        <f aca="false">IF($C175="","",IF(OR($B175="",AND($F175="",$G175="",$H175="",$I175="",$J175="",$K175="")),"DONNEES MANQUANTES",IF(AND($D175&lt;&gt;"",$P175&lt;=0),"EMPLACEMENT INCOHERENT","OK")))</f>
        <v/>
      </c>
      <c r="R175" s="26" t="str">
        <f aca="false">IF($C175="","",IF(AND(ISNUMBER($G175),$G175&gt;P_HIST),"HISTAMINE "&amp;TEXT($G175,"#,##0")&amp;" mg/kg &gt; seuil "&amp;TEXT(P_HIST,"#,##0")&amp;". ","")&amp;IF(AND(ISNUMBER($F175),$O175="CONGELE",$F175&gt;P_TCONG),"TEMPERATURE "&amp;TEXT($F175,"0.0")&amp;" C hors seuil congele. ","")&amp;IF(AND(ISNUMBER($F175),$O175="FRAIS",$F175&gt;P_TFRAIS),"TEMPERATURE "&amp;TEXT($F175,"0.0")&amp;" C hors seuil frais. ","")&amp;IF($Q175="EMPLACEMENT INCOHERENT","Lot absent de cet emplacement : controle conserve, stock inchange. ","")&amp;IF($Q175="DONNEES MANQUANTES","Renseigner la DATE et au moins une mesure. ",""))</f>
        <v/>
      </c>
      <c r="S175" s="28" t="n">
        <f aca="false">IF($C175="",0,IF($C175=R_LOT,1,0))</f>
        <v>0</v>
      </c>
      <c r="T175" s="26" t="str">
        <f aca="false">IF($S175=0,"",COUNTIF($S$5:$S175,1))</f>
        <v/>
      </c>
    </row>
    <row r="176" customFormat="false" ht="15" hidden="false" customHeight="false" outlineLevel="0" collapsed="false">
      <c r="A176" s="26" t="str">
        <f aca="false">IF($C176="","","QC-"&amp;TEXT(ROW()-4,"000"))</f>
        <v/>
      </c>
      <c r="B176" s="25"/>
      <c r="C176" s="24"/>
      <c r="D176" s="24"/>
      <c r="E176" s="24"/>
      <c r="F176" s="32"/>
      <c r="G176" s="33"/>
      <c r="H176" s="24"/>
      <c r="I176" s="24"/>
      <c r="J176" s="24"/>
      <c r="K176" s="24"/>
      <c r="L176" s="24"/>
      <c r="M176" s="24"/>
      <c r="N176" s="26" t="str">
        <f aca="false">IF($C176="","",IFERROR(INDEX(LOT_PRODE,MATCH($C176,LOT_KEY,0)),"LOT NON REFERENCE"))</f>
        <v/>
      </c>
      <c r="O176" s="26" t="str">
        <f aca="false">IF($C176="","",IFERROR(INDEX(LOT_CONSERVE,MATCH($C176,LOT_KEY,0)),""))</f>
        <v/>
      </c>
      <c r="P176" s="27" t="str">
        <f aca="false">IF(OR($C176="",$D176=""),"",SUMIFS(MVT_NET,MVT_LOT,$C176,MVT_EMPL,$D176))</f>
        <v/>
      </c>
      <c r="Q176" s="26" t="str">
        <f aca="false">IF($C176="","",IF(OR($B176="",AND($F176="",$G176="",$H176="",$I176="",$J176="",$K176="")),"DONNEES MANQUANTES",IF(AND($D176&lt;&gt;"",$P176&lt;=0),"EMPLACEMENT INCOHERENT","OK")))</f>
        <v/>
      </c>
      <c r="R176" s="26" t="str">
        <f aca="false">IF($C176="","",IF(AND(ISNUMBER($G176),$G176&gt;P_HIST),"HISTAMINE "&amp;TEXT($G176,"#,##0")&amp;" mg/kg &gt; seuil "&amp;TEXT(P_HIST,"#,##0")&amp;". ","")&amp;IF(AND(ISNUMBER($F176),$O176="CONGELE",$F176&gt;P_TCONG),"TEMPERATURE "&amp;TEXT($F176,"0.0")&amp;" C hors seuil congele. ","")&amp;IF(AND(ISNUMBER($F176),$O176="FRAIS",$F176&gt;P_TFRAIS),"TEMPERATURE "&amp;TEXT($F176,"0.0")&amp;" C hors seuil frais. ","")&amp;IF($Q176="EMPLACEMENT INCOHERENT","Lot absent de cet emplacement : controle conserve, stock inchange. ","")&amp;IF($Q176="DONNEES MANQUANTES","Renseigner la DATE et au moins une mesure. ",""))</f>
        <v/>
      </c>
      <c r="S176" s="28" t="n">
        <f aca="false">IF($C176="",0,IF($C176=R_LOT,1,0))</f>
        <v>0</v>
      </c>
      <c r="T176" s="26" t="str">
        <f aca="false">IF($S176=0,"",COUNTIF($S$5:$S176,1))</f>
        <v/>
      </c>
    </row>
    <row r="177" customFormat="false" ht="15" hidden="false" customHeight="false" outlineLevel="0" collapsed="false">
      <c r="A177" s="26" t="str">
        <f aca="false">IF($C177="","","QC-"&amp;TEXT(ROW()-4,"000"))</f>
        <v/>
      </c>
      <c r="B177" s="25"/>
      <c r="C177" s="24"/>
      <c r="D177" s="24"/>
      <c r="E177" s="24"/>
      <c r="F177" s="32"/>
      <c r="G177" s="33"/>
      <c r="H177" s="24"/>
      <c r="I177" s="24"/>
      <c r="J177" s="24"/>
      <c r="K177" s="24"/>
      <c r="L177" s="24"/>
      <c r="M177" s="24"/>
      <c r="N177" s="26" t="str">
        <f aca="false">IF($C177="","",IFERROR(INDEX(LOT_PRODE,MATCH($C177,LOT_KEY,0)),"LOT NON REFERENCE"))</f>
        <v/>
      </c>
      <c r="O177" s="26" t="str">
        <f aca="false">IF($C177="","",IFERROR(INDEX(LOT_CONSERVE,MATCH($C177,LOT_KEY,0)),""))</f>
        <v/>
      </c>
      <c r="P177" s="27" t="str">
        <f aca="false">IF(OR($C177="",$D177=""),"",SUMIFS(MVT_NET,MVT_LOT,$C177,MVT_EMPL,$D177))</f>
        <v/>
      </c>
      <c r="Q177" s="26" t="str">
        <f aca="false">IF($C177="","",IF(OR($B177="",AND($F177="",$G177="",$H177="",$I177="",$J177="",$K177="")),"DONNEES MANQUANTES",IF(AND($D177&lt;&gt;"",$P177&lt;=0),"EMPLACEMENT INCOHERENT","OK")))</f>
        <v/>
      </c>
      <c r="R177" s="26" t="str">
        <f aca="false">IF($C177="","",IF(AND(ISNUMBER($G177),$G177&gt;P_HIST),"HISTAMINE "&amp;TEXT($G177,"#,##0")&amp;" mg/kg &gt; seuil "&amp;TEXT(P_HIST,"#,##0")&amp;". ","")&amp;IF(AND(ISNUMBER($F177),$O177="CONGELE",$F177&gt;P_TCONG),"TEMPERATURE "&amp;TEXT($F177,"0.0")&amp;" C hors seuil congele. ","")&amp;IF(AND(ISNUMBER($F177),$O177="FRAIS",$F177&gt;P_TFRAIS),"TEMPERATURE "&amp;TEXT($F177,"0.0")&amp;" C hors seuil frais. ","")&amp;IF($Q177="EMPLACEMENT INCOHERENT","Lot absent de cet emplacement : controle conserve, stock inchange. ","")&amp;IF($Q177="DONNEES MANQUANTES","Renseigner la DATE et au moins une mesure. ",""))</f>
        <v/>
      </c>
      <c r="S177" s="28" t="n">
        <f aca="false">IF($C177="",0,IF($C177=R_LOT,1,0))</f>
        <v>0</v>
      </c>
      <c r="T177" s="26" t="str">
        <f aca="false">IF($S177=0,"",COUNTIF($S$5:$S177,1))</f>
        <v/>
      </c>
    </row>
    <row r="178" customFormat="false" ht="15" hidden="false" customHeight="false" outlineLevel="0" collapsed="false">
      <c r="A178" s="26" t="str">
        <f aca="false">IF($C178="","","QC-"&amp;TEXT(ROW()-4,"000"))</f>
        <v/>
      </c>
      <c r="B178" s="25"/>
      <c r="C178" s="24"/>
      <c r="D178" s="24"/>
      <c r="E178" s="24"/>
      <c r="F178" s="32"/>
      <c r="G178" s="33"/>
      <c r="H178" s="24"/>
      <c r="I178" s="24"/>
      <c r="J178" s="24"/>
      <c r="K178" s="24"/>
      <c r="L178" s="24"/>
      <c r="M178" s="24"/>
      <c r="N178" s="26" t="str">
        <f aca="false">IF($C178="","",IFERROR(INDEX(LOT_PRODE,MATCH($C178,LOT_KEY,0)),"LOT NON REFERENCE"))</f>
        <v/>
      </c>
      <c r="O178" s="26" t="str">
        <f aca="false">IF($C178="","",IFERROR(INDEX(LOT_CONSERVE,MATCH($C178,LOT_KEY,0)),""))</f>
        <v/>
      </c>
      <c r="P178" s="27" t="str">
        <f aca="false">IF(OR($C178="",$D178=""),"",SUMIFS(MVT_NET,MVT_LOT,$C178,MVT_EMPL,$D178))</f>
        <v/>
      </c>
      <c r="Q178" s="26" t="str">
        <f aca="false">IF($C178="","",IF(OR($B178="",AND($F178="",$G178="",$H178="",$I178="",$J178="",$K178="")),"DONNEES MANQUANTES",IF(AND($D178&lt;&gt;"",$P178&lt;=0),"EMPLACEMENT INCOHERENT","OK")))</f>
        <v/>
      </c>
      <c r="R178" s="26" t="str">
        <f aca="false">IF($C178="","",IF(AND(ISNUMBER($G178),$G178&gt;P_HIST),"HISTAMINE "&amp;TEXT($G178,"#,##0")&amp;" mg/kg &gt; seuil "&amp;TEXT(P_HIST,"#,##0")&amp;". ","")&amp;IF(AND(ISNUMBER($F178),$O178="CONGELE",$F178&gt;P_TCONG),"TEMPERATURE "&amp;TEXT($F178,"0.0")&amp;" C hors seuil congele. ","")&amp;IF(AND(ISNUMBER($F178),$O178="FRAIS",$F178&gt;P_TFRAIS),"TEMPERATURE "&amp;TEXT($F178,"0.0")&amp;" C hors seuil frais. ","")&amp;IF($Q178="EMPLACEMENT INCOHERENT","Lot absent de cet emplacement : controle conserve, stock inchange. ","")&amp;IF($Q178="DONNEES MANQUANTES","Renseigner la DATE et au moins une mesure. ",""))</f>
        <v/>
      </c>
      <c r="S178" s="28" t="n">
        <f aca="false">IF($C178="",0,IF($C178=R_LOT,1,0))</f>
        <v>0</v>
      </c>
      <c r="T178" s="26" t="str">
        <f aca="false">IF($S178=0,"",COUNTIF($S$5:$S178,1))</f>
        <v/>
      </c>
    </row>
    <row r="179" customFormat="false" ht="15" hidden="false" customHeight="false" outlineLevel="0" collapsed="false">
      <c r="A179" s="26" t="str">
        <f aca="false">IF($C179="","","QC-"&amp;TEXT(ROW()-4,"000"))</f>
        <v/>
      </c>
      <c r="B179" s="25"/>
      <c r="C179" s="24"/>
      <c r="D179" s="24"/>
      <c r="E179" s="24"/>
      <c r="F179" s="32"/>
      <c r="G179" s="33"/>
      <c r="H179" s="24"/>
      <c r="I179" s="24"/>
      <c r="J179" s="24"/>
      <c r="K179" s="24"/>
      <c r="L179" s="24"/>
      <c r="M179" s="24"/>
      <c r="N179" s="26" t="str">
        <f aca="false">IF($C179="","",IFERROR(INDEX(LOT_PRODE,MATCH($C179,LOT_KEY,0)),"LOT NON REFERENCE"))</f>
        <v/>
      </c>
      <c r="O179" s="26" t="str">
        <f aca="false">IF($C179="","",IFERROR(INDEX(LOT_CONSERVE,MATCH($C179,LOT_KEY,0)),""))</f>
        <v/>
      </c>
      <c r="P179" s="27" t="str">
        <f aca="false">IF(OR($C179="",$D179=""),"",SUMIFS(MVT_NET,MVT_LOT,$C179,MVT_EMPL,$D179))</f>
        <v/>
      </c>
      <c r="Q179" s="26" t="str">
        <f aca="false">IF($C179="","",IF(OR($B179="",AND($F179="",$G179="",$H179="",$I179="",$J179="",$K179="")),"DONNEES MANQUANTES",IF(AND($D179&lt;&gt;"",$P179&lt;=0),"EMPLACEMENT INCOHERENT","OK")))</f>
        <v/>
      </c>
      <c r="R179" s="26" t="str">
        <f aca="false">IF($C179="","",IF(AND(ISNUMBER($G179),$G179&gt;P_HIST),"HISTAMINE "&amp;TEXT($G179,"#,##0")&amp;" mg/kg &gt; seuil "&amp;TEXT(P_HIST,"#,##0")&amp;". ","")&amp;IF(AND(ISNUMBER($F179),$O179="CONGELE",$F179&gt;P_TCONG),"TEMPERATURE "&amp;TEXT($F179,"0.0")&amp;" C hors seuil congele. ","")&amp;IF(AND(ISNUMBER($F179),$O179="FRAIS",$F179&gt;P_TFRAIS),"TEMPERATURE "&amp;TEXT($F179,"0.0")&amp;" C hors seuil frais. ","")&amp;IF($Q179="EMPLACEMENT INCOHERENT","Lot absent de cet emplacement : controle conserve, stock inchange. ","")&amp;IF($Q179="DONNEES MANQUANTES","Renseigner la DATE et au moins une mesure. ",""))</f>
        <v/>
      </c>
      <c r="S179" s="28" t="n">
        <f aca="false">IF($C179="",0,IF($C179=R_LOT,1,0))</f>
        <v>0</v>
      </c>
      <c r="T179" s="26" t="str">
        <f aca="false">IF($S179=0,"",COUNTIF($S$5:$S179,1))</f>
        <v/>
      </c>
    </row>
    <row r="180" customFormat="false" ht="15" hidden="false" customHeight="false" outlineLevel="0" collapsed="false">
      <c r="A180" s="26" t="str">
        <f aca="false">IF($C180="","","QC-"&amp;TEXT(ROW()-4,"000"))</f>
        <v/>
      </c>
      <c r="B180" s="25"/>
      <c r="C180" s="24"/>
      <c r="D180" s="24"/>
      <c r="E180" s="24"/>
      <c r="F180" s="32"/>
      <c r="G180" s="33"/>
      <c r="H180" s="24"/>
      <c r="I180" s="24"/>
      <c r="J180" s="24"/>
      <c r="K180" s="24"/>
      <c r="L180" s="24"/>
      <c r="M180" s="24"/>
      <c r="N180" s="26" t="str">
        <f aca="false">IF($C180="","",IFERROR(INDEX(LOT_PRODE,MATCH($C180,LOT_KEY,0)),"LOT NON REFERENCE"))</f>
        <v/>
      </c>
      <c r="O180" s="26" t="str">
        <f aca="false">IF($C180="","",IFERROR(INDEX(LOT_CONSERVE,MATCH($C180,LOT_KEY,0)),""))</f>
        <v/>
      </c>
      <c r="P180" s="27" t="str">
        <f aca="false">IF(OR($C180="",$D180=""),"",SUMIFS(MVT_NET,MVT_LOT,$C180,MVT_EMPL,$D180))</f>
        <v/>
      </c>
      <c r="Q180" s="26" t="str">
        <f aca="false">IF($C180="","",IF(OR($B180="",AND($F180="",$G180="",$H180="",$I180="",$J180="",$K180="")),"DONNEES MANQUANTES",IF(AND($D180&lt;&gt;"",$P180&lt;=0),"EMPLACEMENT INCOHERENT","OK")))</f>
        <v/>
      </c>
      <c r="R180" s="26" t="str">
        <f aca="false">IF($C180="","",IF(AND(ISNUMBER($G180),$G180&gt;P_HIST),"HISTAMINE "&amp;TEXT($G180,"#,##0")&amp;" mg/kg &gt; seuil "&amp;TEXT(P_HIST,"#,##0")&amp;". ","")&amp;IF(AND(ISNUMBER($F180),$O180="CONGELE",$F180&gt;P_TCONG),"TEMPERATURE "&amp;TEXT($F180,"0.0")&amp;" C hors seuil congele. ","")&amp;IF(AND(ISNUMBER($F180),$O180="FRAIS",$F180&gt;P_TFRAIS),"TEMPERATURE "&amp;TEXT($F180,"0.0")&amp;" C hors seuil frais. ","")&amp;IF($Q180="EMPLACEMENT INCOHERENT","Lot absent de cet emplacement : controle conserve, stock inchange. ","")&amp;IF($Q180="DONNEES MANQUANTES","Renseigner la DATE et au moins une mesure. ",""))</f>
        <v/>
      </c>
      <c r="S180" s="28" t="n">
        <f aca="false">IF($C180="",0,IF($C180=R_LOT,1,0))</f>
        <v>0</v>
      </c>
      <c r="T180" s="26" t="str">
        <f aca="false">IF($S180=0,"",COUNTIF($S$5:$S180,1))</f>
        <v/>
      </c>
    </row>
    <row r="181" customFormat="false" ht="15" hidden="false" customHeight="false" outlineLevel="0" collapsed="false">
      <c r="A181" s="26" t="str">
        <f aca="false">IF($C181="","","QC-"&amp;TEXT(ROW()-4,"000"))</f>
        <v/>
      </c>
      <c r="B181" s="25"/>
      <c r="C181" s="24"/>
      <c r="D181" s="24"/>
      <c r="E181" s="24"/>
      <c r="F181" s="32"/>
      <c r="G181" s="33"/>
      <c r="H181" s="24"/>
      <c r="I181" s="24"/>
      <c r="J181" s="24"/>
      <c r="K181" s="24"/>
      <c r="L181" s="24"/>
      <c r="M181" s="24"/>
      <c r="N181" s="26" t="str">
        <f aca="false">IF($C181="","",IFERROR(INDEX(LOT_PRODE,MATCH($C181,LOT_KEY,0)),"LOT NON REFERENCE"))</f>
        <v/>
      </c>
      <c r="O181" s="26" t="str">
        <f aca="false">IF($C181="","",IFERROR(INDEX(LOT_CONSERVE,MATCH($C181,LOT_KEY,0)),""))</f>
        <v/>
      </c>
      <c r="P181" s="27" t="str">
        <f aca="false">IF(OR($C181="",$D181=""),"",SUMIFS(MVT_NET,MVT_LOT,$C181,MVT_EMPL,$D181))</f>
        <v/>
      </c>
      <c r="Q181" s="26" t="str">
        <f aca="false">IF($C181="","",IF(OR($B181="",AND($F181="",$G181="",$H181="",$I181="",$J181="",$K181="")),"DONNEES MANQUANTES",IF(AND($D181&lt;&gt;"",$P181&lt;=0),"EMPLACEMENT INCOHERENT","OK")))</f>
        <v/>
      </c>
      <c r="R181" s="26" t="str">
        <f aca="false">IF($C181="","",IF(AND(ISNUMBER($G181),$G181&gt;P_HIST),"HISTAMINE "&amp;TEXT($G181,"#,##0")&amp;" mg/kg &gt; seuil "&amp;TEXT(P_HIST,"#,##0")&amp;". ","")&amp;IF(AND(ISNUMBER($F181),$O181="CONGELE",$F181&gt;P_TCONG),"TEMPERATURE "&amp;TEXT($F181,"0.0")&amp;" C hors seuil congele. ","")&amp;IF(AND(ISNUMBER($F181),$O181="FRAIS",$F181&gt;P_TFRAIS),"TEMPERATURE "&amp;TEXT($F181,"0.0")&amp;" C hors seuil frais. ","")&amp;IF($Q181="EMPLACEMENT INCOHERENT","Lot absent de cet emplacement : controle conserve, stock inchange. ","")&amp;IF($Q181="DONNEES MANQUANTES","Renseigner la DATE et au moins une mesure. ",""))</f>
        <v/>
      </c>
      <c r="S181" s="28" t="n">
        <f aca="false">IF($C181="",0,IF($C181=R_LOT,1,0))</f>
        <v>0</v>
      </c>
      <c r="T181" s="26" t="str">
        <f aca="false">IF($S181=0,"",COUNTIF($S$5:$S181,1))</f>
        <v/>
      </c>
    </row>
    <row r="182" customFormat="false" ht="15" hidden="false" customHeight="false" outlineLevel="0" collapsed="false">
      <c r="A182" s="26" t="str">
        <f aca="false">IF($C182="","","QC-"&amp;TEXT(ROW()-4,"000"))</f>
        <v/>
      </c>
      <c r="B182" s="25"/>
      <c r="C182" s="24"/>
      <c r="D182" s="24"/>
      <c r="E182" s="24"/>
      <c r="F182" s="32"/>
      <c r="G182" s="33"/>
      <c r="H182" s="24"/>
      <c r="I182" s="24"/>
      <c r="J182" s="24"/>
      <c r="K182" s="24"/>
      <c r="L182" s="24"/>
      <c r="M182" s="24"/>
      <c r="N182" s="26" t="str">
        <f aca="false">IF($C182="","",IFERROR(INDEX(LOT_PRODE,MATCH($C182,LOT_KEY,0)),"LOT NON REFERENCE"))</f>
        <v/>
      </c>
      <c r="O182" s="26" t="str">
        <f aca="false">IF($C182="","",IFERROR(INDEX(LOT_CONSERVE,MATCH($C182,LOT_KEY,0)),""))</f>
        <v/>
      </c>
      <c r="P182" s="27" t="str">
        <f aca="false">IF(OR($C182="",$D182=""),"",SUMIFS(MVT_NET,MVT_LOT,$C182,MVT_EMPL,$D182))</f>
        <v/>
      </c>
      <c r="Q182" s="26" t="str">
        <f aca="false">IF($C182="","",IF(OR($B182="",AND($F182="",$G182="",$H182="",$I182="",$J182="",$K182="")),"DONNEES MANQUANTES",IF(AND($D182&lt;&gt;"",$P182&lt;=0),"EMPLACEMENT INCOHERENT","OK")))</f>
        <v/>
      </c>
      <c r="R182" s="26" t="str">
        <f aca="false">IF($C182="","",IF(AND(ISNUMBER($G182),$G182&gt;P_HIST),"HISTAMINE "&amp;TEXT($G182,"#,##0")&amp;" mg/kg &gt; seuil "&amp;TEXT(P_HIST,"#,##0")&amp;". ","")&amp;IF(AND(ISNUMBER($F182),$O182="CONGELE",$F182&gt;P_TCONG),"TEMPERATURE "&amp;TEXT($F182,"0.0")&amp;" C hors seuil congele. ","")&amp;IF(AND(ISNUMBER($F182),$O182="FRAIS",$F182&gt;P_TFRAIS),"TEMPERATURE "&amp;TEXT($F182,"0.0")&amp;" C hors seuil frais. ","")&amp;IF($Q182="EMPLACEMENT INCOHERENT","Lot absent de cet emplacement : controle conserve, stock inchange. ","")&amp;IF($Q182="DONNEES MANQUANTES","Renseigner la DATE et au moins une mesure. ",""))</f>
        <v/>
      </c>
      <c r="S182" s="28" t="n">
        <f aca="false">IF($C182="",0,IF($C182=R_LOT,1,0))</f>
        <v>0</v>
      </c>
      <c r="T182" s="26" t="str">
        <f aca="false">IF($S182=0,"",COUNTIF($S$5:$S182,1))</f>
        <v/>
      </c>
    </row>
    <row r="183" customFormat="false" ht="15" hidden="false" customHeight="false" outlineLevel="0" collapsed="false">
      <c r="A183" s="26" t="str">
        <f aca="false">IF($C183="","","QC-"&amp;TEXT(ROW()-4,"000"))</f>
        <v/>
      </c>
      <c r="B183" s="25"/>
      <c r="C183" s="24"/>
      <c r="D183" s="24"/>
      <c r="E183" s="24"/>
      <c r="F183" s="32"/>
      <c r="G183" s="33"/>
      <c r="H183" s="24"/>
      <c r="I183" s="24"/>
      <c r="J183" s="24"/>
      <c r="K183" s="24"/>
      <c r="L183" s="24"/>
      <c r="M183" s="24"/>
      <c r="N183" s="26" t="str">
        <f aca="false">IF($C183="","",IFERROR(INDEX(LOT_PRODE,MATCH($C183,LOT_KEY,0)),"LOT NON REFERENCE"))</f>
        <v/>
      </c>
      <c r="O183" s="26" t="str">
        <f aca="false">IF($C183="","",IFERROR(INDEX(LOT_CONSERVE,MATCH($C183,LOT_KEY,0)),""))</f>
        <v/>
      </c>
      <c r="P183" s="27" t="str">
        <f aca="false">IF(OR($C183="",$D183=""),"",SUMIFS(MVT_NET,MVT_LOT,$C183,MVT_EMPL,$D183))</f>
        <v/>
      </c>
      <c r="Q183" s="26" t="str">
        <f aca="false">IF($C183="","",IF(OR($B183="",AND($F183="",$G183="",$H183="",$I183="",$J183="",$K183="")),"DONNEES MANQUANTES",IF(AND($D183&lt;&gt;"",$P183&lt;=0),"EMPLACEMENT INCOHERENT","OK")))</f>
        <v/>
      </c>
      <c r="R183" s="26" t="str">
        <f aca="false">IF($C183="","",IF(AND(ISNUMBER($G183),$G183&gt;P_HIST),"HISTAMINE "&amp;TEXT($G183,"#,##0")&amp;" mg/kg &gt; seuil "&amp;TEXT(P_HIST,"#,##0")&amp;". ","")&amp;IF(AND(ISNUMBER($F183),$O183="CONGELE",$F183&gt;P_TCONG),"TEMPERATURE "&amp;TEXT($F183,"0.0")&amp;" C hors seuil congele. ","")&amp;IF(AND(ISNUMBER($F183),$O183="FRAIS",$F183&gt;P_TFRAIS),"TEMPERATURE "&amp;TEXT($F183,"0.0")&amp;" C hors seuil frais. ","")&amp;IF($Q183="EMPLACEMENT INCOHERENT","Lot absent de cet emplacement : controle conserve, stock inchange. ","")&amp;IF($Q183="DONNEES MANQUANTES","Renseigner la DATE et au moins une mesure. ",""))</f>
        <v/>
      </c>
      <c r="S183" s="28" t="n">
        <f aca="false">IF($C183="",0,IF($C183=R_LOT,1,0))</f>
        <v>0</v>
      </c>
      <c r="T183" s="26" t="str">
        <f aca="false">IF($S183=0,"",COUNTIF($S$5:$S183,1))</f>
        <v/>
      </c>
    </row>
    <row r="184" customFormat="false" ht="15" hidden="false" customHeight="false" outlineLevel="0" collapsed="false">
      <c r="A184" s="26" t="str">
        <f aca="false">IF($C184="","","QC-"&amp;TEXT(ROW()-4,"000"))</f>
        <v/>
      </c>
      <c r="B184" s="25"/>
      <c r="C184" s="24"/>
      <c r="D184" s="24"/>
      <c r="E184" s="24"/>
      <c r="F184" s="32"/>
      <c r="G184" s="33"/>
      <c r="H184" s="24"/>
      <c r="I184" s="24"/>
      <c r="J184" s="24"/>
      <c r="K184" s="24"/>
      <c r="L184" s="24"/>
      <c r="M184" s="24"/>
      <c r="N184" s="26" t="str">
        <f aca="false">IF($C184="","",IFERROR(INDEX(LOT_PRODE,MATCH($C184,LOT_KEY,0)),"LOT NON REFERENCE"))</f>
        <v/>
      </c>
      <c r="O184" s="26" t="str">
        <f aca="false">IF($C184="","",IFERROR(INDEX(LOT_CONSERVE,MATCH($C184,LOT_KEY,0)),""))</f>
        <v/>
      </c>
      <c r="P184" s="27" t="str">
        <f aca="false">IF(OR($C184="",$D184=""),"",SUMIFS(MVT_NET,MVT_LOT,$C184,MVT_EMPL,$D184))</f>
        <v/>
      </c>
      <c r="Q184" s="26" t="str">
        <f aca="false">IF($C184="","",IF(OR($B184="",AND($F184="",$G184="",$H184="",$I184="",$J184="",$K184="")),"DONNEES MANQUANTES",IF(AND($D184&lt;&gt;"",$P184&lt;=0),"EMPLACEMENT INCOHERENT","OK")))</f>
        <v/>
      </c>
      <c r="R184" s="26" t="str">
        <f aca="false">IF($C184="","",IF(AND(ISNUMBER($G184),$G184&gt;P_HIST),"HISTAMINE "&amp;TEXT($G184,"#,##0")&amp;" mg/kg &gt; seuil "&amp;TEXT(P_HIST,"#,##0")&amp;". ","")&amp;IF(AND(ISNUMBER($F184),$O184="CONGELE",$F184&gt;P_TCONG),"TEMPERATURE "&amp;TEXT($F184,"0.0")&amp;" C hors seuil congele. ","")&amp;IF(AND(ISNUMBER($F184),$O184="FRAIS",$F184&gt;P_TFRAIS),"TEMPERATURE "&amp;TEXT($F184,"0.0")&amp;" C hors seuil frais. ","")&amp;IF($Q184="EMPLACEMENT INCOHERENT","Lot absent de cet emplacement : controle conserve, stock inchange. ","")&amp;IF($Q184="DONNEES MANQUANTES","Renseigner la DATE et au moins une mesure. ",""))</f>
        <v/>
      </c>
      <c r="S184" s="28" t="n">
        <f aca="false">IF($C184="",0,IF($C184=R_LOT,1,0))</f>
        <v>0</v>
      </c>
      <c r="T184" s="26" t="str">
        <f aca="false">IF($S184=0,"",COUNTIF($S$5:$S184,1))</f>
        <v/>
      </c>
    </row>
    <row r="185" customFormat="false" ht="15" hidden="false" customHeight="false" outlineLevel="0" collapsed="false">
      <c r="A185" s="26" t="str">
        <f aca="false">IF($C185="","","QC-"&amp;TEXT(ROW()-4,"000"))</f>
        <v/>
      </c>
      <c r="B185" s="25"/>
      <c r="C185" s="24"/>
      <c r="D185" s="24"/>
      <c r="E185" s="24"/>
      <c r="F185" s="32"/>
      <c r="G185" s="33"/>
      <c r="H185" s="24"/>
      <c r="I185" s="24"/>
      <c r="J185" s="24"/>
      <c r="K185" s="24"/>
      <c r="L185" s="24"/>
      <c r="M185" s="24"/>
      <c r="N185" s="26" t="str">
        <f aca="false">IF($C185="","",IFERROR(INDEX(LOT_PRODE,MATCH($C185,LOT_KEY,0)),"LOT NON REFERENCE"))</f>
        <v/>
      </c>
      <c r="O185" s="26" t="str">
        <f aca="false">IF($C185="","",IFERROR(INDEX(LOT_CONSERVE,MATCH($C185,LOT_KEY,0)),""))</f>
        <v/>
      </c>
      <c r="P185" s="27" t="str">
        <f aca="false">IF(OR($C185="",$D185=""),"",SUMIFS(MVT_NET,MVT_LOT,$C185,MVT_EMPL,$D185))</f>
        <v/>
      </c>
      <c r="Q185" s="26" t="str">
        <f aca="false">IF($C185="","",IF(OR($B185="",AND($F185="",$G185="",$H185="",$I185="",$J185="",$K185="")),"DONNEES MANQUANTES",IF(AND($D185&lt;&gt;"",$P185&lt;=0),"EMPLACEMENT INCOHERENT","OK")))</f>
        <v/>
      </c>
      <c r="R185" s="26" t="str">
        <f aca="false">IF($C185="","",IF(AND(ISNUMBER($G185),$G185&gt;P_HIST),"HISTAMINE "&amp;TEXT($G185,"#,##0")&amp;" mg/kg &gt; seuil "&amp;TEXT(P_HIST,"#,##0")&amp;". ","")&amp;IF(AND(ISNUMBER($F185),$O185="CONGELE",$F185&gt;P_TCONG),"TEMPERATURE "&amp;TEXT($F185,"0.0")&amp;" C hors seuil congele. ","")&amp;IF(AND(ISNUMBER($F185),$O185="FRAIS",$F185&gt;P_TFRAIS),"TEMPERATURE "&amp;TEXT($F185,"0.0")&amp;" C hors seuil frais. ","")&amp;IF($Q185="EMPLACEMENT INCOHERENT","Lot absent de cet emplacement : controle conserve, stock inchange. ","")&amp;IF($Q185="DONNEES MANQUANTES","Renseigner la DATE et au moins une mesure. ",""))</f>
        <v/>
      </c>
      <c r="S185" s="28" t="n">
        <f aca="false">IF($C185="",0,IF($C185=R_LOT,1,0))</f>
        <v>0</v>
      </c>
      <c r="T185" s="26" t="str">
        <f aca="false">IF($S185=0,"",COUNTIF($S$5:$S185,1))</f>
        <v/>
      </c>
    </row>
    <row r="186" customFormat="false" ht="15" hidden="false" customHeight="false" outlineLevel="0" collapsed="false">
      <c r="A186" s="26" t="str">
        <f aca="false">IF($C186="","","QC-"&amp;TEXT(ROW()-4,"000"))</f>
        <v/>
      </c>
      <c r="B186" s="25"/>
      <c r="C186" s="24"/>
      <c r="D186" s="24"/>
      <c r="E186" s="24"/>
      <c r="F186" s="32"/>
      <c r="G186" s="33"/>
      <c r="H186" s="24"/>
      <c r="I186" s="24"/>
      <c r="J186" s="24"/>
      <c r="K186" s="24"/>
      <c r="L186" s="24"/>
      <c r="M186" s="24"/>
      <c r="N186" s="26" t="str">
        <f aca="false">IF($C186="","",IFERROR(INDEX(LOT_PRODE,MATCH($C186,LOT_KEY,0)),"LOT NON REFERENCE"))</f>
        <v/>
      </c>
      <c r="O186" s="26" t="str">
        <f aca="false">IF($C186="","",IFERROR(INDEX(LOT_CONSERVE,MATCH($C186,LOT_KEY,0)),""))</f>
        <v/>
      </c>
      <c r="P186" s="27" t="str">
        <f aca="false">IF(OR($C186="",$D186=""),"",SUMIFS(MVT_NET,MVT_LOT,$C186,MVT_EMPL,$D186))</f>
        <v/>
      </c>
      <c r="Q186" s="26" t="str">
        <f aca="false">IF($C186="","",IF(OR($B186="",AND($F186="",$G186="",$H186="",$I186="",$J186="",$K186="")),"DONNEES MANQUANTES",IF(AND($D186&lt;&gt;"",$P186&lt;=0),"EMPLACEMENT INCOHERENT","OK")))</f>
        <v/>
      </c>
      <c r="R186" s="26" t="str">
        <f aca="false">IF($C186="","",IF(AND(ISNUMBER($G186),$G186&gt;P_HIST),"HISTAMINE "&amp;TEXT($G186,"#,##0")&amp;" mg/kg &gt; seuil "&amp;TEXT(P_HIST,"#,##0")&amp;". ","")&amp;IF(AND(ISNUMBER($F186),$O186="CONGELE",$F186&gt;P_TCONG),"TEMPERATURE "&amp;TEXT($F186,"0.0")&amp;" C hors seuil congele. ","")&amp;IF(AND(ISNUMBER($F186),$O186="FRAIS",$F186&gt;P_TFRAIS),"TEMPERATURE "&amp;TEXT($F186,"0.0")&amp;" C hors seuil frais. ","")&amp;IF($Q186="EMPLACEMENT INCOHERENT","Lot absent de cet emplacement : controle conserve, stock inchange. ","")&amp;IF($Q186="DONNEES MANQUANTES","Renseigner la DATE et au moins une mesure. ",""))</f>
        <v/>
      </c>
      <c r="S186" s="28" t="n">
        <f aca="false">IF($C186="",0,IF($C186=R_LOT,1,0))</f>
        <v>0</v>
      </c>
      <c r="T186" s="26" t="str">
        <f aca="false">IF($S186=0,"",COUNTIF($S$5:$S186,1))</f>
        <v/>
      </c>
    </row>
    <row r="187" customFormat="false" ht="15" hidden="false" customHeight="false" outlineLevel="0" collapsed="false">
      <c r="A187" s="26" t="str">
        <f aca="false">IF($C187="","","QC-"&amp;TEXT(ROW()-4,"000"))</f>
        <v/>
      </c>
      <c r="B187" s="25"/>
      <c r="C187" s="24"/>
      <c r="D187" s="24"/>
      <c r="E187" s="24"/>
      <c r="F187" s="32"/>
      <c r="G187" s="33"/>
      <c r="H187" s="24"/>
      <c r="I187" s="24"/>
      <c r="J187" s="24"/>
      <c r="K187" s="24"/>
      <c r="L187" s="24"/>
      <c r="M187" s="24"/>
      <c r="N187" s="26" t="str">
        <f aca="false">IF($C187="","",IFERROR(INDEX(LOT_PRODE,MATCH($C187,LOT_KEY,0)),"LOT NON REFERENCE"))</f>
        <v/>
      </c>
      <c r="O187" s="26" t="str">
        <f aca="false">IF($C187="","",IFERROR(INDEX(LOT_CONSERVE,MATCH($C187,LOT_KEY,0)),""))</f>
        <v/>
      </c>
      <c r="P187" s="27" t="str">
        <f aca="false">IF(OR($C187="",$D187=""),"",SUMIFS(MVT_NET,MVT_LOT,$C187,MVT_EMPL,$D187))</f>
        <v/>
      </c>
      <c r="Q187" s="26" t="str">
        <f aca="false">IF($C187="","",IF(OR($B187="",AND($F187="",$G187="",$H187="",$I187="",$J187="",$K187="")),"DONNEES MANQUANTES",IF(AND($D187&lt;&gt;"",$P187&lt;=0),"EMPLACEMENT INCOHERENT","OK")))</f>
        <v/>
      </c>
      <c r="R187" s="26" t="str">
        <f aca="false">IF($C187="","",IF(AND(ISNUMBER($G187),$G187&gt;P_HIST),"HISTAMINE "&amp;TEXT($G187,"#,##0")&amp;" mg/kg &gt; seuil "&amp;TEXT(P_HIST,"#,##0")&amp;". ","")&amp;IF(AND(ISNUMBER($F187),$O187="CONGELE",$F187&gt;P_TCONG),"TEMPERATURE "&amp;TEXT($F187,"0.0")&amp;" C hors seuil congele. ","")&amp;IF(AND(ISNUMBER($F187),$O187="FRAIS",$F187&gt;P_TFRAIS),"TEMPERATURE "&amp;TEXT($F187,"0.0")&amp;" C hors seuil frais. ","")&amp;IF($Q187="EMPLACEMENT INCOHERENT","Lot absent de cet emplacement : controle conserve, stock inchange. ","")&amp;IF($Q187="DONNEES MANQUANTES","Renseigner la DATE et au moins une mesure. ",""))</f>
        <v/>
      </c>
      <c r="S187" s="28" t="n">
        <f aca="false">IF($C187="",0,IF($C187=R_LOT,1,0))</f>
        <v>0</v>
      </c>
      <c r="T187" s="26" t="str">
        <f aca="false">IF($S187=0,"",COUNTIF($S$5:$S187,1))</f>
        <v/>
      </c>
    </row>
    <row r="188" customFormat="false" ht="15" hidden="false" customHeight="false" outlineLevel="0" collapsed="false">
      <c r="A188" s="26" t="str">
        <f aca="false">IF($C188="","","QC-"&amp;TEXT(ROW()-4,"000"))</f>
        <v/>
      </c>
      <c r="B188" s="25"/>
      <c r="C188" s="24"/>
      <c r="D188" s="24"/>
      <c r="E188" s="24"/>
      <c r="F188" s="32"/>
      <c r="G188" s="33"/>
      <c r="H188" s="24"/>
      <c r="I188" s="24"/>
      <c r="J188" s="24"/>
      <c r="K188" s="24"/>
      <c r="L188" s="24"/>
      <c r="M188" s="24"/>
      <c r="N188" s="26" t="str">
        <f aca="false">IF($C188="","",IFERROR(INDEX(LOT_PRODE,MATCH($C188,LOT_KEY,0)),"LOT NON REFERENCE"))</f>
        <v/>
      </c>
      <c r="O188" s="26" t="str">
        <f aca="false">IF($C188="","",IFERROR(INDEX(LOT_CONSERVE,MATCH($C188,LOT_KEY,0)),""))</f>
        <v/>
      </c>
      <c r="P188" s="27" t="str">
        <f aca="false">IF(OR($C188="",$D188=""),"",SUMIFS(MVT_NET,MVT_LOT,$C188,MVT_EMPL,$D188))</f>
        <v/>
      </c>
      <c r="Q188" s="26" t="str">
        <f aca="false">IF($C188="","",IF(OR($B188="",AND($F188="",$G188="",$H188="",$I188="",$J188="",$K188="")),"DONNEES MANQUANTES",IF(AND($D188&lt;&gt;"",$P188&lt;=0),"EMPLACEMENT INCOHERENT","OK")))</f>
        <v/>
      </c>
      <c r="R188" s="26" t="str">
        <f aca="false">IF($C188="","",IF(AND(ISNUMBER($G188),$G188&gt;P_HIST),"HISTAMINE "&amp;TEXT($G188,"#,##0")&amp;" mg/kg &gt; seuil "&amp;TEXT(P_HIST,"#,##0")&amp;". ","")&amp;IF(AND(ISNUMBER($F188),$O188="CONGELE",$F188&gt;P_TCONG),"TEMPERATURE "&amp;TEXT($F188,"0.0")&amp;" C hors seuil congele. ","")&amp;IF(AND(ISNUMBER($F188),$O188="FRAIS",$F188&gt;P_TFRAIS),"TEMPERATURE "&amp;TEXT($F188,"0.0")&amp;" C hors seuil frais. ","")&amp;IF($Q188="EMPLACEMENT INCOHERENT","Lot absent de cet emplacement : controle conserve, stock inchange. ","")&amp;IF($Q188="DONNEES MANQUANTES","Renseigner la DATE et au moins une mesure. ",""))</f>
        <v/>
      </c>
      <c r="S188" s="28" t="n">
        <f aca="false">IF($C188="",0,IF($C188=R_LOT,1,0))</f>
        <v>0</v>
      </c>
      <c r="T188" s="26" t="str">
        <f aca="false">IF($S188=0,"",COUNTIF($S$5:$S188,1))</f>
        <v/>
      </c>
    </row>
    <row r="189" customFormat="false" ht="15" hidden="false" customHeight="false" outlineLevel="0" collapsed="false">
      <c r="A189" s="26" t="str">
        <f aca="false">IF($C189="","","QC-"&amp;TEXT(ROW()-4,"000"))</f>
        <v/>
      </c>
      <c r="B189" s="25"/>
      <c r="C189" s="24"/>
      <c r="D189" s="24"/>
      <c r="E189" s="24"/>
      <c r="F189" s="32"/>
      <c r="G189" s="33"/>
      <c r="H189" s="24"/>
      <c r="I189" s="24"/>
      <c r="J189" s="24"/>
      <c r="K189" s="24"/>
      <c r="L189" s="24"/>
      <c r="M189" s="24"/>
      <c r="N189" s="26" t="str">
        <f aca="false">IF($C189="","",IFERROR(INDEX(LOT_PRODE,MATCH($C189,LOT_KEY,0)),"LOT NON REFERENCE"))</f>
        <v/>
      </c>
      <c r="O189" s="26" t="str">
        <f aca="false">IF($C189="","",IFERROR(INDEX(LOT_CONSERVE,MATCH($C189,LOT_KEY,0)),""))</f>
        <v/>
      </c>
      <c r="P189" s="27" t="str">
        <f aca="false">IF(OR($C189="",$D189=""),"",SUMIFS(MVT_NET,MVT_LOT,$C189,MVT_EMPL,$D189))</f>
        <v/>
      </c>
      <c r="Q189" s="26" t="str">
        <f aca="false">IF($C189="","",IF(OR($B189="",AND($F189="",$G189="",$H189="",$I189="",$J189="",$K189="")),"DONNEES MANQUANTES",IF(AND($D189&lt;&gt;"",$P189&lt;=0),"EMPLACEMENT INCOHERENT","OK")))</f>
        <v/>
      </c>
      <c r="R189" s="26" t="str">
        <f aca="false">IF($C189="","",IF(AND(ISNUMBER($G189),$G189&gt;P_HIST),"HISTAMINE "&amp;TEXT($G189,"#,##0")&amp;" mg/kg &gt; seuil "&amp;TEXT(P_HIST,"#,##0")&amp;". ","")&amp;IF(AND(ISNUMBER($F189),$O189="CONGELE",$F189&gt;P_TCONG),"TEMPERATURE "&amp;TEXT($F189,"0.0")&amp;" C hors seuil congele. ","")&amp;IF(AND(ISNUMBER($F189),$O189="FRAIS",$F189&gt;P_TFRAIS),"TEMPERATURE "&amp;TEXT($F189,"0.0")&amp;" C hors seuil frais. ","")&amp;IF($Q189="EMPLACEMENT INCOHERENT","Lot absent de cet emplacement : controle conserve, stock inchange. ","")&amp;IF($Q189="DONNEES MANQUANTES","Renseigner la DATE et au moins une mesure. ",""))</f>
        <v/>
      </c>
      <c r="S189" s="28" t="n">
        <f aca="false">IF($C189="",0,IF($C189=R_LOT,1,0))</f>
        <v>0</v>
      </c>
      <c r="T189" s="26" t="str">
        <f aca="false">IF($S189=0,"",COUNTIF($S$5:$S189,1))</f>
        <v/>
      </c>
    </row>
    <row r="190" customFormat="false" ht="15" hidden="false" customHeight="false" outlineLevel="0" collapsed="false">
      <c r="A190" s="26" t="str">
        <f aca="false">IF($C190="","","QC-"&amp;TEXT(ROW()-4,"000"))</f>
        <v/>
      </c>
      <c r="B190" s="25"/>
      <c r="C190" s="24"/>
      <c r="D190" s="24"/>
      <c r="E190" s="24"/>
      <c r="F190" s="32"/>
      <c r="G190" s="33"/>
      <c r="H190" s="24"/>
      <c r="I190" s="24"/>
      <c r="J190" s="24"/>
      <c r="K190" s="24"/>
      <c r="L190" s="24"/>
      <c r="M190" s="24"/>
      <c r="N190" s="26" t="str">
        <f aca="false">IF($C190="","",IFERROR(INDEX(LOT_PRODE,MATCH($C190,LOT_KEY,0)),"LOT NON REFERENCE"))</f>
        <v/>
      </c>
      <c r="O190" s="26" t="str">
        <f aca="false">IF($C190="","",IFERROR(INDEX(LOT_CONSERVE,MATCH($C190,LOT_KEY,0)),""))</f>
        <v/>
      </c>
      <c r="P190" s="27" t="str">
        <f aca="false">IF(OR($C190="",$D190=""),"",SUMIFS(MVT_NET,MVT_LOT,$C190,MVT_EMPL,$D190))</f>
        <v/>
      </c>
      <c r="Q190" s="26" t="str">
        <f aca="false">IF($C190="","",IF(OR($B190="",AND($F190="",$G190="",$H190="",$I190="",$J190="",$K190="")),"DONNEES MANQUANTES",IF(AND($D190&lt;&gt;"",$P190&lt;=0),"EMPLACEMENT INCOHERENT","OK")))</f>
        <v/>
      </c>
      <c r="R190" s="26" t="str">
        <f aca="false">IF($C190="","",IF(AND(ISNUMBER($G190),$G190&gt;P_HIST),"HISTAMINE "&amp;TEXT($G190,"#,##0")&amp;" mg/kg &gt; seuil "&amp;TEXT(P_HIST,"#,##0")&amp;". ","")&amp;IF(AND(ISNUMBER($F190),$O190="CONGELE",$F190&gt;P_TCONG),"TEMPERATURE "&amp;TEXT($F190,"0.0")&amp;" C hors seuil congele. ","")&amp;IF(AND(ISNUMBER($F190),$O190="FRAIS",$F190&gt;P_TFRAIS),"TEMPERATURE "&amp;TEXT($F190,"0.0")&amp;" C hors seuil frais. ","")&amp;IF($Q190="EMPLACEMENT INCOHERENT","Lot absent de cet emplacement : controle conserve, stock inchange. ","")&amp;IF($Q190="DONNEES MANQUANTES","Renseigner la DATE et au moins une mesure. ",""))</f>
        <v/>
      </c>
      <c r="S190" s="28" t="n">
        <f aca="false">IF($C190="",0,IF($C190=R_LOT,1,0))</f>
        <v>0</v>
      </c>
      <c r="T190" s="26" t="str">
        <f aca="false">IF($S190=0,"",COUNTIF($S$5:$S190,1))</f>
        <v/>
      </c>
    </row>
    <row r="191" customFormat="false" ht="15" hidden="false" customHeight="false" outlineLevel="0" collapsed="false">
      <c r="A191" s="26" t="str">
        <f aca="false">IF($C191="","","QC-"&amp;TEXT(ROW()-4,"000"))</f>
        <v/>
      </c>
      <c r="B191" s="25"/>
      <c r="C191" s="24"/>
      <c r="D191" s="24"/>
      <c r="E191" s="24"/>
      <c r="F191" s="32"/>
      <c r="G191" s="33"/>
      <c r="H191" s="24"/>
      <c r="I191" s="24"/>
      <c r="J191" s="24"/>
      <c r="K191" s="24"/>
      <c r="L191" s="24"/>
      <c r="M191" s="24"/>
      <c r="N191" s="26" t="str">
        <f aca="false">IF($C191="","",IFERROR(INDEX(LOT_PRODE,MATCH($C191,LOT_KEY,0)),"LOT NON REFERENCE"))</f>
        <v/>
      </c>
      <c r="O191" s="26" t="str">
        <f aca="false">IF($C191="","",IFERROR(INDEX(LOT_CONSERVE,MATCH($C191,LOT_KEY,0)),""))</f>
        <v/>
      </c>
      <c r="P191" s="27" t="str">
        <f aca="false">IF(OR($C191="",$D191=""),"",SUMIFS(MVT_NET,MVT_LOT,$C191,MVT_EMPL,$D191))</f>
        <v/>
      </c>
      <c r="Q191" s="26" t="str">
        <f aca="false">IF($C191="","",IF(OR($B191="",AND($F191="",$G191="",$H191="",$I191="",$J191="",$K191="")),"DONNEES MANQUANTES",IF(AND($D191&lt;&gt;"",$P191&lt;=0),"EMPLACEMENT INCOHERENT","OK")))</f>
        <v/>
      </c>
      <c r="R191" s="26" t="str">
        <f aca="false">IF($C191="","",IF(AND(ISNUMBER($G191),$G191&gt;P_HIST),"HISTAMINE "&amp;TEXT($G191,"#,##0")&amp;" mg/kg &gt; seuil "&amp;TEXT(P_HIST,"#,##0")&amp;". ","")&amp;IF(AND(ISNUMBER($F191),$O191="CONGELE",$F191&gt;P_TCONG),"TEMPERATURE "&amp;TEXT($F191,"0.0")&amp;" C hors seuil congele. ","")&amp;IF(AND(ISNUMBER($F191),$O191="FRAIS",$F191&gt;P_TFRAIS),"TEMPERATURE "&amp;TEXT($F191,"0.0")&amp;" C hors seuil frais. ","")&amp;IF($Q191="EMPLACEMENT INCOHERENT","Lot absent de cet emplacement : controle conserve, stock inchange. ","")&amp;IF($Q191="DONNEES MANQUANTES","Renseigner la DATE et au moins une mesure. ",""))</f>
        <v/>
      </c>
      <c r="S191" s="28" t="n">
        <f aca="false">IF($C191="",0,IF($C191=R_LOT,1,0))</f>
        <v>0</v>
      </c>
      <c r="T191" s="26" t="str">
        <f aca="false">IF($S191=0,"",COUNTIF($S$5:$S191,1))</f>
        <v/>
      </c>
    </row>
    <row r="192" customFormat="false" ht="15" hidden="false" customHeight="false" outlineLevel="0" collapsed="false">
      <c r="A192" s="26" t="str">
        <f aca="false">IF($C192="","","QC-"&amp;TEXT(ROW()-4,"000"))</f>
        <v/>
      </c>
      <c r="B192" s="25"/>
      <c r="C192" s="24"/>
      <c r="D192" s="24"/>
      <c r="E192" s="24"/>
      <c r="F192" s="32"/>
      <c r="G192" s="33"/>
      <c r="H192" s="24"/>
      <c r="I192" s="24"/>
      <c r="J192" s="24"/>
      <c r="K192" s="24"/>
      <c r="L192" s="24"/>
      <c r="M192" s="24"/>
      <c r="N192" s="26" t="str">
        <f aca="false">IF($C192="","",IFERROR(INDEX(LOT_PRODE,MATCH($C192,LOT_KEY,0)),"LOT NON REFERENCE"))</f>
        <v/>
      </c>
      <c r="O192" s="26" t="str">
        <f aca="false">IF($C192="","",IFERROR(INDEX(LOT_CONSERVE,MATCH($C192,LOT_KEY,0)),""))</f>
        <v/>
      </c>
      <c r="P192" s="27" t="str">
        <f aca="false">IF(OR($C192="",$D192=""),"",SUMIFS(MVT_NET,MVT_LOT,$C192,MVT_EMPL,$D192))</f>
        <v/>
      </c>
      <c r="Q192" s="26" t="str">
        <f aca="false">IF($C192="","",IF(OR($B192="",AND($F192="",$G192="",$H192="",$I192="",$J192="",$K192="")),"DONNEES MANQUANTES",IF(AND($D192&lt;&gt;"",$P192&lt;=0),"EMPLACEMENT INCOHERENT","OK")))</f>
        <v/>
      </c>
      <c r="R192" s="26" t="str">
        <f aca="false">IF($C192="","",IF(AND(ISNUMBER($G192),$G192&gt;P_HIST),"HISTAMINE "&amp;TEXT($G192,"#,##0")&amp;" mg/kg &gt; seuil "&amp;TEXT(P_HIST,"#,##0")&amp;". ","")&amp;IF(AND(ISNUMBER($F192),$O192="CONGELE",$F192&gt;P_TCONG),"TEMPERATURE "&amp;TEXT($F192,"0.0")&amp;" C hors seuil congele. ","")&amp;IF(AND(ISNUMBER($F192),$O192="FRAIS",$F192&gt;P_TFRAIS),"TEMPERATURE "&amp;TEXT($F192,"0.0")&amp;" C hors seuil frais. ","")&amp;IF($Q192="EMPLACEMENT INCOHERENT","Lot absent de cet emplacement : controle conserve, stock inchange. ","")&amp;IF($Q192="DONNEES MANQUANTES","Renseigner la DATE et au moins une mesure. ",""))</f>
        <v/>
      </c>
      <c r="S192" s="28" t="n">
        <f aca="false">IF($C192="",0,IF($C192=R_LOT,1,0))</f>
        <v>0</v>
      </c>
      <c r="T192" s="26" t="str">
        <f aca="false">IF($S192=0,"",COUNTIF($S$5:$S192,1))</f>
        <v/>
      </c>
    </row>
    <row r="193" customFormat="false" ht="15" hidden="false" customHeight="false" outlineLevel="0" collapsed="false">
      <c r="A193" s="26" t="str">
        <f aca="false">IF($C193="","","QC-"&amp;TEXT(ROW()-4,"000"))</f>
        <v/>
      </c>
      <c r="B193" s="25"/>
      <c r="C193" s="24"/>
      <c r="D193" s="24"/>
      <c r="E193" s="24"/>
      <c r="F193" s="32"/>
      <c r="G193" s="33"/>
      <c r="H193" s="24"/>
      <c r="I193" s="24"/>
      <c r="J193" s="24"/>
      <c r="K193" s="24"/>
      <c r="L193" s="24"/>
      <c r="M193" s="24"/>
      <c r="N193" s="26" t="str">
        <f aca="false">IF($C193="","",IFERROR(INDEX(LOT_PRODE,MATCH($C193,LOT_KEY,0)),"LOT NON REFERENCE"))</f>
        <v/>
      </c>
      <c r="O193" s="26" t="str">
        <f aca="false">IF($C193="","",IFERROR(INDEX(LOT_CONSERVE,MATCH($C193,LOT_KEY,0)),""))</f>
        <v/>
      </c>
      <c r="P193" s="27" t="str">
        <f aca="false">IF(OR($C193="",$D193=""),"",SUMIFS(MVT_NET,MVT_LOT,$C193,MVT_EMPL,$D193))</f>
        <v/>
      </c>
      <c r="Q193" s="26" t="str">
        <f aca="false">IF($C193="","",IF(OR($B193="",AND($F193="",$G193="",$H193="",$I193="",$J193="",$K193="")),"DONNEES MANQUANTES",IF(AND($D193&lt;&gt;"",$P193&lt;=0),"EMPLACEMENT INCOHERENT","OK")))</f>
        <v/>
      </c>
      <c r="R193" s="26" t="str">
        <f aca="false">IF($C193="","",IF(AND(ISNUMBER($G193),$G193&gt;P_HIST),"HISTAMINE "&amp;TEXT($G193,"#,##0")&amp;" mg/kg &gt; seuil "&amp;TEXT(P_HIST,"#,##0")&amp;". ","")&amp;IF(AND(ISNUMBER($F193),$O193="CONGELE",$F193&gt;P_TCONG),"TEMPERATURE "&amp;TEXT($F193,"0.0")&amp;" C hors seuil congele. ","")&amp;IF(AND(ISNUMBER($F193),$O193="FRAIS",$F193&gt;P_TFRAIS),"TEMPERATURE "&amp;TEXT($F193,"0.0")&amp;" C hors seuil frais. ","")&amp;IF($Q193="EMPLACEMENT INCOHERENT","Lot absent de cet emplacement : controle conserve, stock inchange. ","")&amp;IF($Q193="DONNEES MANQUANTES","Renseigner la DATE et au moins une mesure. ",""))</f>
        <v/>
      </c>
      <c r="S193" s="28" t="n">
        <f aca="false">IF($C193="",0,IF($C193=R_LOT,1,0))</f>
        <v>0</v>
      </c>
      <c r="T193" s="26" t="str">
        <f aca="false">IF($S193=0,"",COUNTIF($S$5:$S193,1))</f>
        <v/>
      </c>
    </row>
    <row r="194" customFormat="false" ht="15" hidden="false" customHeight="false" outlineLevel="0" collapsed="false">
      <c r="A194" s="26" t="str">
        <f aca="false">IF($C194="","","QC-"&amp;TEXT(ROW()-4,"000"))</f>
        <v/>
      </c>
      <c r="B194" s="25"/>
      <c r="C194" s="24"/>
      <c r="D194" s="24"/>
      <c r="E194" s="24"/>
      <c r="F194" s="32"/>
      <c r="G194" s="33"/>
      <c r="H194" s="24"/>
      <c r="I194" s="24"/>
      <c r="J194" s="24"/>
      <c r="K194" s="24"/>
      <c r="L194" s="24"/>
      <c r="M194" s="24"/>
      <c r="N194" s="26" t="str">
        <f aca="false">IF($C194="","",IFERROR(INDEX(LOT_PRODE,MATCH($C194,LOT_KEY,0)),"LOT NON REFERENCE"))</f>
        <v/>
      </c>
      <c r="O194" s="26" t="str">
        <f aca="false">IF($C194="","",IFERROR(INDEX(LOT_CONSERVE,MATCH($C194,LOT_KEY,0)),""))</f>
        <v/>
      </c>
      <c r="P194" s="27" t="str">
        <f aca="false">IF(OR($C194="",$D194=""),"",SUMIFS(MVT_NET,MVT_LOT,$C194,MVT_EMPL,$D194))</f>
        <v/>
      </c>
      <c r="Q194" s="26" t="str">
        <f aca="false">IF($C194="","",IF(OR($B194="",AND($F194="",$G194="",$H194="",$I194="",$J194="",$K194="")),"DONNEES MANQUANTES",IF(AND($D194&lt;&gt;"",$P194&lt;=0),"EMPLACEMENT INCOHERENT","OK")))</f>
        <v/>
      </c>
      <c r="R194" s="26" t="str">
        <f aca="false">IF($C194="","",IF(AND(ISNUMBER($G194),$G194&gt;P_HIST),"HISTAMINE "&amp;TEXT($G194,"#,##0")&amp;" mg/kg &gt; seuil "&amp;TEXT(P_HIST,"#,##0")&amp;". ","")&amp;IF(AND(ISNUMBER($F194),$O194="CONGELE",$F194&gt;P_TCONG),"TEMPERATURE "&amp;TEXT($F194,"0.0")&amp;" C hors seuil congele. ","")&amp;IF(AND(ISNUMBER($F194),$O194="FRAIS",$F194&gt;P_TFRAIS),"TEMPERATURE "&amp;TEXT($F194,"0.0")&amp;" C hors seuil frais. ","")&amp;IF($Q194="EMPLACEMENT INCOHERENT","Lot absent de cet emplacement : controle conserve, stock inchange. ","")&amp;IF($Q194="DONNEES MANQUANTES","Renseigner la DATE et au moins une mesure. ",""))</f>
        <v/>
      </c>
      <c r="S194" s="28" t="n">
        <f aca="false">IF($C194="",0,IF($C194=R_LOT,1,0))</f>
        <v>0</v>
      </c>
      <c r="T194" s="26" t="str">
        <f aca="false">IF($S194=0,"",COUNTIF($S$5:$S194,1))</f>
        <v/>
      </c>
    </row>
    <row r="195" customFormat="false" ht="15" hidden="false" customHeight="false" outlineLevel="0" collapsed="false">
      <c r="A195" s="26" t="str">
        <f aca="false">IF($C195="","","QC-"&amp;TEXT(ROW()-4,"000"))</f>
        <v/>
      </c>
      <c r="B195" s="25"/>
      <c r="C195" s="24"/>
      <c r="D195" s="24"/>
      <c r="E195" s="24"/>
      <c r="F195" s="32"/>
      <c r="G195" s="33"/>
      <c r="H195" s="24"/>
      <c r="I195" s="24"/>
      <c r="J195" s="24"/>
      <c r="K195" s="24"/>
      <c r="L195" s="24"/>
      <c r="M195" s="24"/>
      <c r="N195" s="26" t="str">
        <f aca="false">IF($C195="","",IFERROR(INDEX(LOT_PRODE,MATCH($C195,LOT_KEY,0)),"LOT NON REFERENCE"))</f>
        <v/>
      </c>
      <c r="O195" s="26" t="str">
        <f aca="false">IF($C195="","",IFERROR(INDEX(LOT_CONSERVE,MATCH($C195,LOT_KEY,0)),""))</f>
        <v/>
      </c>
      <c r="P195" s="27" t="str">
        <f aca="false">IF(OR($C195="",$D195=""),"",SUMIFS(MVT_NET,MVT_LOT,$C195,MVT_EMPL,$D195))</f>
        <v/>
      </c>
      <c r="Q195" s="26" t="str">
        <f aca="false">IF($C195="","",IF(OR($B195="",AND($F195="",$G195="",$H195="",$I195="",$J195="",$K195="")),"DONNEES MANQUANTES",IF(AND($D195&lt;&gt;"",$P195&lt;=0),"EMPLACEMENT INCOHERENT","OK")))</f>
        <v/>
      </c>
      <c r="R195" s="26" t="str">
        <f aca="false">IF($C195="","",IF(AND(ISNUMBER($G195),$G195&gt;P_HIST),"HISTAMINE "&amp;TEXT($G195,"#,##0")&amp;" mg/kg &gt; seuil "&amp;TEXT(P_HIST,"#,##0")&amp;". ","")&amp;IF(AND(ISNUMBER($F195),$O195="CONGELE",$F195&gt;P_TCONG),"TEMPERATURE "&amp;TEXT($F195,"0.0")&amp;" C hors seuil congele. ","")&amp;IF(AND(ISNUMBER($F195),$O195="FRAIS",$F195&gt;P_TFRAIS),"TEMPERATURE "&amp;TEXT($F195,"0.0")&amp;" C hors seuil frais. ","")&amp;IF($Q195="EMPLACEMENT INCOHERENT","Lot absent de cet emplacement : controle conserve, stock inchange. ","")&amp;IF($Q195="DONNEES MANQUANTES","Renseigner la DATE et au moins une mesure. ",""))</f>
        <v/>
      </c>
      <c r="S195" s="28" t="n">
        <f aca="false">IF($C195="",0,IF($C195=R_LOT,1,0))</f>
        <v>0</v>
      </c>
      <c r="T195" s="26" t="str">
        <f aca="false">IF($S195=0,"",COUNTIF($S$5:$S195,1))</f>
        <v/>
      </c>
    </row>
    <row r="196" customFormat="false" ht="15" hidden="false" customHeight="false" outlineLevel="0" collapsed="false">
      <c r="A196" s="26" t="str">
        <f aca="false">IF($C196="","","QC-"&amp;TEXT(ROW()-4,"000"))</f>
        <v/>
      </c>
      <c r="B196" s="25"/>
      <c r="C196" s="24"/>
      <c r="D196" s="24"/>
      <c r="E196" s="24"/>
      <c r="F196" s="32"/>
      <c r="G196" s="33"/>
      <c r="H196" s="24"/>
      <c r="I196" s="24"/>
      <c r="J196" s="24"/>
      <c r="K196" s="24"/>
      <c r="L196" s="24"/>
      <c r="M196" s="24"/>
      <c r="N196" s="26" t="str">
        <f aca="false">IF($C196="","",IFERROR(INDEX(LOT_PRODE,MATCH($C196,LOT_KEY,0)),"LOT NON REFERENCE"))</f>
        <v/>
      </c>
      <c r="O196" s="26" t="str">
        <f aca="false">IF($C196="","",IFERROR(INDEX(LOT_CONSERVE,MATCH($C196,LOT_KEY,0)),""))</f>
        <v/>
      </c>
      <c r="P196" s="27" t="str">
        <f aca="false">IF(OR($C196="",$D196=""),"",SUMIFS(MVT_NET,MVT_LOT,$C196,MVT_EMPL,$D196))</f>
        <v/>
      </c>
      <c r="Q196" s="26" t="str">
        <f aca="false">IF($C196="","",IF(OR($B196="",AND($F196="",$G196="",$H196="",$I196="",$J196="",$K196="")),"DONNEES MANQUANTES",IF(AND($D196&lt;&gt;"",$P196&lt;=0),"EMPLACEMENT INCOHERENT","OK")))</f>
        <v/>
      </c>
      <c r="R196" s="26" t="str">
        <f aca="false">IF($C196="","",IF(AND(ISNUMBER($G196),$G196&gt;P_HIST),"HISTAMINE "&amp;TEXT($G196,"#,##0")&amp;" mg/kg &gt; seuil "&amp;TEXT(P_HIST,"#,##0")&amp;". ","")&amp;IF(AND(ISNUMBER($F196),$O196="CONGELE",$F196&gt;P_TCONG),"TEMPERATURE "&amp;TEXT($F196,"0.0")&amp;" C hors seuil congele. ","")&amp;IF(AND(ISNUMBER($F196),$O196="FRAIS",$F196&gt;P_TFRAIS),"TEMPERATURE "&amp;TEXT($F196,"0.0")&amp;" C hors seuil frais. ","")&amp;IF($Q196="EMPLACEMENT INCOHERENT","Lot absent de cet emplacement : controle conserve, stock inchange. ","")&amp;IF($Q196="DONNEES MANQUANTES","Renseigner la DATE et au moins une mesure. ",""))</f>
        <v/>
      </c>
      <c r="S196" s="28" t="n">
        <f aca="false">IF($C196="",0,IF($C196=R_LOT,1,0))</f>
        <v>0</v>
      </c>
      <c r="T196" s="26" t="str">
        <f aca="false">IF($S196=0,"",COUNTIF($S$5:$S196,1))</f>
        <v/>
      </c>
    </row>
    <row r="197" customFormat="false" ht="15" hidden="false" customHeight="false" outlineLevel="0" collapsed="false">
      <c r="A197" s="26" t="str">
        <f aca="false">IF($C197="","","QC-"&amp;TEXT(ROW()-4,"000"))</f>
        <v/>
      </c>
      <c r="B197" s="25"/>
      <c r="C197" s="24"/>
      <c r="D197" s="24"/>
      <c r="E197" s="24"/>
      <c r="F197" s="32"/>
      <c r="G197" s="33"/>
      <c r="H197" s="24"/>
      <c r="I197" s="24"/>
      <c r="J197" s="24"/>
      <c r="K197" s="24"/>
      <c r="L197" s="24"/>
      <c r="M197" s="24"/>
      <c r="N197" s="26" t="str">
        <f aca="false">IF($C197="","",IFERROR(INDEX(LOT_PRODE,MATCH($C197,LOT_KEY,0)),"LOT NON REFERENCE"))</f>
        <v/>
      </c>
      <c r="O197" s="26" t="str">
        <f aca="false">IF($C197="","",IFERROR(INDEX(LOT_CONSERVE,MATCH($C197,LOT_KEY,0)),""))</f>
        <v/>
      </c>
      <c r="P197" s="27" t="str">
        <f aca="false">IF(OR($C197="",$D197=""),"",SUMIFS(MVT_NET,MVT_LOT,$C197,MVT_EMPL,$D197))</f>
        <v/>
      </c>
      <c r="Q197" s="26" t="str">
        <f aca="false">IF($C197="","",IF(OR($B197="",AND($F197="",$G197="",$H197="",$I197="",$J197="",$K197="")),"DONNEES MANQUANTES",IF(AND($D197&lt;&gt;"",$P197&lt;=0),"EMPLACEMENT INCOHERENT","OK")))</f>
        <v/>
      </c>
      <c r="R197" s="26" t="str">
        <f aca="false">IF($C197="","",IF(AND(ISNUMBER($G197),$G197&gt;P_HIST),"HISTAMINE "&amp;TEXT($G197,"#,##0")&amp;" mg/kg &gt; seuil "&amp;TEXT(P_HIST,"#,##0")&amp;". ","")&amp;IF(AND(ISNUMBER($F197),$O197="CONGELE",$F197&gt;P_TCONG),"TEMPERATURE "&amp;TEXT($F197,"0.0")&amp;" C hors seuil congele. ","")&amp;IF(AND(ISNUMBER($F197),$O197="FRAIS",$F197&gt;P_TFRAIS),"TEMPERATURE "&amp;TEXT($F197,"0.0")&amp;" C hors seuil frais. ","")&amp;IF($Q197="EMPLACEMENT INCOHERENT","Lot absent de cet emplacement : controle conserve, stock inchange. ","")&amp;IF($Q197="DONNEES MANQUANTES","Renseigner la DATE et au moins une mesure. ",""))</f>
        <v/>
      </c>
      <c r="S197" s="28" t="n">
        <f aca="false">IF($C197="",0,IF($C197=R_LOT,1,0))</f>
        <v>0</v>
      </c>
      <c r="T197" s="26" t="str">
        <f aca="false">IF($S197=0,"",COUNTIF($S$5:$S197,1))</f>
        <v/>
      </c>
    </row>
    <row r="198" customFormat="false" ht="15" hidden="false" customHeight="false" outlineLevel="0" collapsed="false">
      <c r="A198" s="26" t="str">
        <f aca="false">IF($C198="","","QC-"&amp;TEXT(ROW()-4,"000"))</f>
        <v/>
      </c>
      <c r="B198" s="25"/>
      <c r="C198" s="24"/>
      <c r="D198" s="24"/>
      <c r="E198" s="24"/>
      <c r="F198" s="32"/>
      <c r="G198" s="33"/>
      <c r="H198" s="24"/>
      <c r="I198" s="24"/>
      <c r="J198" s="24"/>
      <c r="K198" s="24"/>
      <c r="L198" s="24"/>
      <c r="M198" s="24"/>
      <c r="N198" s="26" t="str">
        <f aca="false">IF($C198="","",IFERROR(INDEX(LOT_PRODE,MATCH($C198,LOT_KEY,0)),"LOT NON REFERENCE"))</f>
        <v/>
      </c>
      <c r="O198" s="26" t="str">
        <f aca="false">IF($C198="","",IFERROR(INDEX(LOT_CONSERVE,MATCH($C198,LOT_KEY,0)),""))</f>
        <v/>
      </c>
      <c r="P198" s="27" t="str">
        <f aca="false">IF(OR($C198="",$D198=""),"",SUMIFS(MVT_NET,MVT_LOT,$C198,MVT_EMPL,$D198))</f>
        <v/>
      </c>
      <c r="Q198" s="26" t="str">
        <f aca="false">IF($C198="","",IF(OR($B198="",AND($F198="",$G198="",$H198="",$I198="",$J198="",$K198="")),"DONNEES MANQUANTES",IF(AND($D198&lt;&gt;"",$P198&lt;=0),"EMPLACEMENT INCOHERENT","OK")))</f>
        <v/>
      </c>
      <c r="R198" s="26" t="str">
        <f aca="false">IF($C198="","",IF(AND(ISNUMBER($G198),$G198&gt;P_HIST),"HISTAMINE "&amp;TEXT($G198,"#,##0")&amp;" mg/kg &gt; seuil "&amp;TEXT(P_HIST,"#,##0")&amp;". ","")&amp;IF(AND(ISNUMBER($F198),$O198="CONGELE",$F198&gt;P_TCONG),"TEMPERATURE "&amp;TEXT($F198,"0.0")&amp;" C hors seuil congele. ","")&amp;IF(AND(ISNUMBER($F198),$O198="FRAIS",$F198&gt;P_TFRAIS),"TEMPERATURE "&amp;TEXT($F198,"0.0")&amp;" C hors seuil frais. ","")&amp;IF($Q198="EMPLACEMENT INCOHERENT","Lot absent de cet emplacement : controle conserve, stock inchange. ","")&amp;IF($Q198="DONNEES MANQUANTES","Renseigner la DATE et au moins une mesure. ",""))</f>
        <v/>
      </c>
      <c r="S198" s="28" t="n">
        <f aca="false">IF($C198="",0,IF($C198=R_LOT,1,0))</f>
        <v>0</v>
      </c>
      <c r="T198" s="26" t="str">
        <f aca="false">IF($S198=0,"",COUNTIF($S$5:$S198,1))</f>
        <v/>
      </c>
    </row>
    <row r="199" customFormat="false" ht="15" hidden="false" customHeight="false" outlineLevel="0" collapsed="false">
      <c r="A199" s="26" t="str">
        <f aca="false">IF($C199="","","QC-"&amp;TEXT(ROW()-4,"000"))</f>
        <v/>
      </c>
      <c r="B199" s="25"/>
      <c r="C199" s="24"/>
      <c r="D199" s="24"/>
      <c r="E199" s="24"/>
      <c r="F199" s="32"/>
      <c r="G199" s="33"/>
      <c r="H199" s="24"/>
      <c r="I199" s="24"/>
      <c r="J199" s="24"/>
      <c r="K199" s="24"/>
      <c r="L199" s="24"/>
      <c r="M199" s="24"/>
      <c r="N199" s="26" t="str">
        <f aca="false">IF($C199="","",IFERROR(INDEX(LOT_PRODE,MATCH($C199,LOT_KEY,0)),"LOT NON REFERENCE"))</f>
        <v/>
      </c>
      <c r="O199" s="26" t="str">
        <f aca="false">IF($C199="","",IFERROR(INDEX(LOT_CONSERVE,MATCH($C199,LOT_KEY,0)),""))</f>
        <v/>
      </c>
      <c r="P199" s="27" t="str">
        <f aca="false">IF(OR($C199="",$D199=""),"",SUMIFS(MVT_NET,MVT_LOT,$C199,MVT_EMPL,$D199))</f>
        <v/>
      </c>
      <c r="Q199" s="26" t="str">
        <f aca="false">IF($C199="","",IF(OR($B199="",AND($F199="",$G199="",$H199="",$I199="",$J199="",$K199="")),"DONNEES MANQUANTES",IF(AND($D199&lt;&gt;"",$P199&lt;=0),"EMPLACEMENT INCOHERENT","OK")))</f>
        <v/>
      </c>
      <c r="R199" s="26" t="str">
        <f aca="false">IF($C199="","",IF(AND(ISNUMBER($G199),$G199&gt;P_HIST),"HISTAMINE "&amp;TEXT($G199,"#,##0")&amp;" mg/kg &gt; seuil "&amp;TEXT(P_HIST,"#,##0")&amp;". ","")&amp;IF(AND(ISNUMBER($F199),$O199="CONGELE",$F199&gt;P_TCONG),"TEMPERATURE "&amp;TEXT($F199,"0.0")&amp;" C hors seuil congele. ","")&amp;IF(AND(ISNUMBER($F199),$O199="FRAIS",$F199&gt;P_TFRAIS),"TEMPERATURE "&amp;TEXT($F199,"0.0")&amp;" C hors seuil frais. ","")&amp;IF($Q199="EMPLACEMENT INCOHERENT","Lot absent de cet emplacement : controle conserve, stock inchange. ","")&amp;IF($Q199="DONNEES MANQUANTES","Renseigner la DATE et au moins une mesure. ",""))</f>
        <v/>
      </c>
      <c r="S199" s="28" t="n">
        <f aca="false">IF($C199="",0,IF($C199=R_LOT,1,0))</f>
        <v>0</v>
      </c>
      <c r="T199" s="26" t="str">
        <f aca="false">IF($S199=0,"",COUNTIF($S$5:$S199,1))</f>
        <v/>
      </c>
    </row>
    <row r="200" customFormat="false" ht="15" hidden="false" customHeight="false" outlineLevel="0" collapsed="false">
      <c r="A200" s="26" t="str">
        <f aca="false">IF($C200="","","QC-"&amp;TEXT(ROW()-4,"000"))</f>
        <v/>
      </c>
      <c r="B200" s="25"/>
      <c r="C200" s="24"/>
      <c r="D200" s="24"/>
      <c r="E200" s="24"/>
      <c r="F200" s="32"/>
      <c r="G200" s="33"/>
      <c r="H200" s="24"/>
      <c r="I200" s="24"/>
      <c r="J200" s="24"/>
      <c r="K200" s="24"/>
      <c r="L200" s="24"/>
      <c r="M200" s="24"/>
      <c r="N200" s="26" t="str">
        <f aca="false">IF($C200="","",IFERROR(INDEX(LOT_PRODE,MATCH($C200,LOT_KEY,0)),"LOT NON REFERENCE"))</f>
        <v/>
      </c>
      <c r="O200" s="26" t="str">
        <f aca="false">IF($C200="","",IFERROR(INDEX(LOT_CONSERVE,MATCH($C200,LOT_KEY,0)),""))</f>
        <v/>
      </c>
      <c r="P200" s="27" t="str">
        <f aca="false">IF(OR($C200="",$D200=""),"",SUMIFS(MVT_NET,MVT_LOT,$C200,MVT_EMPL,$D200))</f>
        <v/>
      </c>
      <c r="Q200" s="26" t="str">
        <f aca="false">IF($C200="","",IF(OR($B200="",AND($F200="",$G200="",$H200="",$I200="",$J200="",$K200="")),"DONNEES MANQUANTES",IF(AND($D200&lt;&gt;"",$P200&lt;=0),"EMPLACEMENT INCOHERENT","OK")))</f>
        <v/>
      </c>
      <c r="R200" s="26" t="str">
        <f aca="false">IF($C200="","",IF(AND(ISNUMBER($G200),$G200&gt;P_HIST),"HISTAMINE "&amp;TEXT($G200,"#,##0")&amp;" mg/kg &gt; seuil "&amp;TEXT(P_HIST,"#,##0")&amp;". ","")&amp;IF(AND(ISNUMBER($F200),$O200="CONGELE",$F200&gt;P_TCONG),"TEMPERATURE "&amp;TEXT($F200,"0.0")&amp;" C hors seuil congele. ","")&amp;IF(AND(ISNUMBER($F200),$O200="FRAIS",$F200&gt;P_TFRAIS),"TEMPERATURE "&amp;TEXT($F200,"0.0")&amp;" C hors seuil frais. ","")&amp;IF($Q200="EMPLACEMENT INCOHERENT","Lot absent de cet emplacement : controle conserve, stock inchange. ","")&amp;IF($Q200="DONNEES MANQUANTES","Renseigner la DATE et au moins une mesure. ",""))</f>
        <v/>
      </c>
      <c r="S200" s="28" t="n">
        <f aca="false">IF($C200="",0,IF($C200=R_LOT,1,0))</f>
        <v>0</v>
      </c>
      <c r="T200" s="26" t="str">
        <f aca="false">IF($S200=0,"",COUNTIF($S$5:$S200,1))</f>
        <v/>
      </c>
    </row>
    <row r="201" customFormat="false" ht="15" hidden="false" customHeight="false" outlineLevel="0" collapsed="false">
      <c r="A201" s="26" t="str">
        <f aca="false">IF($C201="","","QC-"&amp;TEXT(ROW()-4,"000"))</f>
        <v/>
      </c>
      <c r="B201" s="25"/>
      <c r="C201" s="24"/>
      <c r="D201" s="24"/>
      <c r="E201" s="24"/>
      <c r="F201" s="32"/>
      <c r="G201" s="33"/>
      <c r="H201" s="24"/>
      <c r="I201" s="24"/>
      <c r="J201" s="24"/>
      <c r="K201" s="24"/>
      <c r="L201" s="24"/>
      <c r="M201" s="24"/>
      <c r="N201" s="26" t="str">
        <f aca="false">IF($C201="","",IFERROR(INDEX(LOT_PRODE,MATCH($C201,LOT_KEY,0)),"LOT NON REFERENCE"))</f>
        <v/>
      </c>
      <c r="O201" s="26" t="str">
        <f aca="false">IF($C201="","",IFERROR(INDEX(LOT_CONSERVE,MATCH($C201,LOT_KEY,0)),""))</f>
        <v/>
      </c>
      <c r="P201" s="27" t="str">
        <f aca="false">IF(OR($C201="",$D201=""),"",SUMIFS(MVT_NET,MVT_LOT,$C201,MVT_EMPL,$D201))</f>
        <v/>
      </c>
      <c r="Q201" s="26" t="str">
        <f aca="false">IF($C201="","",IF(OR($B201="",AND($F201="",$G201="",$H201="",$I201="",$J201="",$K201="")),"DONNEES MANQUANTES",IF(AND($D201&lt;&gt;"",$P201&lt;=0),"EMPLACEMENT INCOHERENT","OK")))</f>
        <v/>
      </c>
      <c r="R201" s="26" t="str">
        <f aca="false">IF($C201="","",IF(AND(ISNUMBER($G201),$G201&gt;P_HIST),"HISTAMINE "&amp;TEXT($G201,"#,##0")&amp;" mg/kg &gt; seuil "&amp;TEXT(P_HIST,"#,##0")&amp;". ","")&amp;IF(AND(ISNUMBER($F201),$O201="CONGELE",$F201&gt;P_TCONG),"TEMPERATURE "&amp;TEXT($F201,"0.0")&amp;" C hors seuil congele. ","")&amp;IF(AND(ISNUMBER($F201),$O201="FRAIS",$F201&gt;P_TFRAIS),"TEMPERATURE "&amp;TEXT($F201,"0.0")&amp;" C hors seuil frais. ","")&amp;IF($Q201="EMPLACEMENT INCOHERENT","Lot absent de cet emplacement : controle conserve, stock inchange. ","")&amp;IF($Q201="DONNEES MANQUANTES","Renseigner la DATE et au moins une mesure. ",""))</f>
        <v/>
      </c>
      <c r="S201" s="28" t="n">
        <f aca="false">IF($C201="",0,IF($C201=R_LOT,1,0))</f>
        <v>0</v>
      </c>
      <c r="T201" s="26" t="str">
        <f aca="false">IF($S201=0,"",COUNTIF($S$5:$S201,1))</f>
        <v/>
      </c>
    </row>
    <row r="202" customFormat="false" ht="15" hidden="false" customHeight="false" outlineLevel="0" collapsed="false">
      <c r="A202" s="26" t="str">
        <f aca="false">IF($C202="","","QC-"&amp;TEXT(ROW()-4,"000"))</f>
        <v/>
      </c>
      <c r="B202" s="25"/>
      <c r="C202" s="24"/>
      <c r="D202" s="24"/>
      <c r="E202" s="24"/>
      <c r="F202" s="32"/>
      <c r="G202" s="33"/>
      <c r="H202" s="24"/>
      <c r="I202" s="24"/>
      <c r="J202" s="24"/>
      <c r="K202" s="24"/>
      <c r="L202" s="24"/>
      <c r="M202" s="24"/>
      <c r="N202" s="26" t="str">
        <f aca="false">IF($C202="","",IFERROR(INDEX(LOT_PRODE,MATCH($C202,LOT_KEY,0)),"LOT NON REFERENCE"))</f>
        <v/>
      </c>
      <c r="O202" s="26" t="str">
        <f aca="false">IF($C202="","",IFERROR(INDEX(LOT_CONSERVE,MATCH($C202,LOT_KEY,0)),""))</f>
        <v/>
      </c>
      <c r="P202" s="27" t="str">
        <f aca="false">IF(OR($C202="",$D202=""),"",SUMIFS(MVT_NET,MVT_LOT,$C202,MVT_EMPL,$D202))</f>
        <v/>
      </c>
      <c r="Q202" s="26" t="str">
        <f aca="false">IF($C202="","",IF(OR($B202="",AND($F202="",$G202="",$H202="",$I202="",$J202="",$K202="")),"DONNEES MANQUANTES",IF(AND($D202&lt;&gt;"",$P202&lt;=0),"EMPLACEMENT INCOHERENT","OK")))</f>
        <v/>
      </c>
      <c r="R202" s="26" t="str">
        <f aca="false">IF($C202="","",IF(AND(ISNUMBER($G202),$G202&gt;P_HIST),"HISTAMINE "&amp;TEXT($G202,"#,##0")&amp;" mg/kg &gt; seuil "&amp;TEXT(P_HIST,"#,##0")&amp;". ","")&amp;IF(AND(ISNUMBER($F202),$O202="CONGELE",$F202&gt;P_TCONG),"TEMPERATURE "&amp;TEXT($F202,"0.0")&amp;" C hors seuil congele. ","")&amp;IF(AND(ISNUMBER($F202),$O202="FRAIS",$F202&gt;P_TFRAIS),"TEMPERATURE "&amp;TEXT($F202,"0.0")&amp;" C hors seuil frais. ","")&amp;IF($Q202="EMPLACEMENT INCOHERENT","Lot absent de cet emplacement : controle conserve, stock inchange. ","")&amp;IF($Q202="DONNEES MANQUANTES","Renseigner la DATE et au moins une mesure. ",""))</f>
        <v/>
      </c>
      <c r="S202" s="28" t="n">
        <f aca="false">IF($C202="",0,IF($C202=R_LOT,1,0))</f>
        <v>0</v>
      </c>
      <c r="T202" s="26" t="str">
        <f aca="false">IF($S202=0,"",COUNTIF($S$5:$S202,1))</f>
        <v/>
      </c>
    </row>
    <row r="203" customFormat="false" ht="15" hidden="false" customHeight="false" outlineLevel="0" collapsed="false">
      <c r="A203" s="26" t="str">
        <f aca="false">IF($C203="","","QC-"&amp;TEXT(ROW()-4,"000"))</f>
        <v/>
      </c>
      <c r="B203" s="25"/>
      <c r="C203" s="24"/>
      <c r="D203" s="24"/>
      <c r="E203" s="24"/>
      <c r="F203" s="32"/>
      <c r="G203" s="33"/>
      <c r="H203" s="24"/>
      <c r="I203" s="24"/>
      <c r="J203" s="24"/>
      <c r="K203" s="24"/>
      <c r="L203" s="24"/>
      <c r="M203" s="24"/>
      <c r="N203" s="26" t="str">
        <f aca="false">IF($C203="","",IFERROR(INDEX(LOT_PRODE,MATCH($C203,LOT_KEY,0)),"LOT NON REFERENCE"))</f>
        <v/>
      </c>
      <c r="O203" s="26" t="str">
        <f aca="false">IF($C203="","",IFERROR(INDEX(LOT_CONSERVE,MATCH($C203,LOT_KEY,0)),""))</f>
        <v/>
      </c>
      <c r="P203" s="27" t="str">
        <f aca="false">IF(OR($C203="",$D203=""),"",SUMIFS(MVT_NET,MVT_LOT,$C203,MVT_EMPL,$D203))</f>
        <v/>
      </c>
      <c r="Q203" s="26" t="str">
        <f aca="false">IF($C203="","",IF(OR($B203="",AND($F203="",$G203="",$H203="",$I203="",$J203="",$K203="")),"DONNEES MANQUANTES",IF(AND($D203&lt;&gt;"",$P203&lt;=0),"EMPLACEMENT INCOHERENT","OK")))</f>
        <v/>
      </c>
      <c r="R203" s="26" t="str">
        <f aca="false">IF($C203="","",IF(AND(ISNUMBER($G203),$G203&gt;P_HIST),"HISTAMINE "&amp;TEXT($G203,"#,##0")&amp;" mg/kg &gt; seuil "&amp;TEXT(P_HIST,"#,##0")&amp;". ","")&amp;IF(AND(ISNUMBER($F203),$O203="CONGELE",$F203&gt;P_TCONG),"TEMPERATURE "&amp;TEXT($F203,"0.0")&amp;" C hors seuil congele. ","")&amp;IF(AND(ISNUMBER($F203),$O203="FRAIS",$F203&gt;P_TFRAIS),"TEMPERATURE "&amp;TEXT($F203,"0.0")&amp;" C hors seuil frais. ","")&amp;IF($Q203="EMPLACEMENT INCOHERENT","Lot absent de cet emplacement : controle conserve, stock inchange. ","")&amp;IF($Q203="DONNEES MANQUANTES","Renseigner la DATE et au moins une mesure. ",""))</f>
        <v/>
      </c>
      <c r="S203" s="28" t="n">
        <f aca="false">IF($C203="",0,IF($C203=R_LOT,1,0))</f>
        <v>0</v>
      </c>
      <c r="T203" s="26" t="str">
        <f aca="false">IF($S203=0,"",COUNTIF($S$5:$S203,1))</f>
        <v/>
      </c>
    </row>
    <row r="204" customFormat="false" ht="15" hidden="false" customHeight="false" outlineLevel="0" collapsed="false">
      <c r="A204" s="26" t="str">
        <f aca="false">IF($C204="","","QC-"&amp;TEXT(ROW()-4,"000"))</f>
        <v/>
      </c>
      <c r="B204" s="25"/>
      <c r="C204" s="24"/>
      <c r="D204" s="24"/>
      <c r="E204" s="24"/>
      <c r="F204" s="32"/>
      <c r="G204" s="33"/>
      <c r="H204" s="24"/>
      <c r="I204" s="24"/>
      <c r="J204" s="24"/>
      <c r="K204" s="24"/>
      <c r="L204" s="24"/>
      <c r="M204" s="24"/>
      <c r="N204" s="26" t="str">
        <f aca="false">IF($C204="","",IFERROR(INDEX(LOT_PRODE,MATCH($C204,LOT_KEY,0)),"LOT NON REFERENCE"))</f>
        <v/>
      </c>
      <c r="O204" s="26" t="str">
        <f aca="false">IF($C204="","",IFERROR(INDEX(LOT_CONSERVE,MATCH($C204,LOT_KEY,0)),""))</f>
        <v/>
      </c>
      <c r="P204" s="27" t="str">
        <f aca="false">IF(OR($C204="",$D204=""),"",SUMIFS(MVT_NET,MVT_LOT,$C204,MVT_EMPL,$D204))</f>
        <v/>
      </c>
      <c r="Q204" s="26" t="str">
        <f aca="false">IF($C204="","",IF(OR($B204="",AND($F204="",$G204="",$H204="",$I204="",$J204="",$K204="")),"DONNEES MANQUANTES",IF(AND($D204&lt;&gt;"",$P204&lt;=0),"EMPLACEMENT INCOHERENT","OK")))</f>
        <v/>
      </c>
      <c r="R204" s="26" t="str">
        <f aca="false">IF($C204="","",IF(AND(ISNUMBER($G204),$G204&gt;P_HIST),"HISTAMINE "&amp;TEXT($G204,"#,##0")&amp;" mg/kg &gt; seuil "&amp;TEXT(P_HIST,"#,##0")&amp;". ","")&amp;IF(AND(ISNUMBER($F204),$O204="CONGELE",$F204&gt;P_TCONG),"TEMPERATURE "&amp;TEXT($F204,"0.0")&amp;" C hors seuil congele. ","")&amp;IF(AND(ISNUMBER($F204),$O204="FRAIS",$F204&gt;P_TFRAIS),"TEMPERATURE "&amp;TEXT($F204,"0.0")&amp;" C hors seuil frais. ","")&amp;IF($Q204="EMPLACEMENT INCOHERENT","Lot absent de cet emplacement : controle conserve, stock inchange. ","")&amp;IF($Q204="DONNEES MANQUANTES","Renseigner la DATE et au moins une mesure. ",""))</f>
        <v/>
      </c>
      <c r="S204" s="28" t="n">
        <f aca="false">IF($C204="",0,IF($C204=R_LOT,1,0))</f>
        <v>0</v>
      </c>
      <c r="T204" s="26" t="str">
        <f aca="false">IF($S204=0,"",COUNTIF($S$5:$S204,1))</f>
        <v/>
      </c>
    </row>
    <row r="205" customFormat="false" ht="15" hidden="false" customHeight="false" outlineLevel="0" collapsed="false">
      <c r="A205" s="26" t="str">
        <f aca="false">IF($C205="","","QC-"&amp;TEXT(ROW()-4,"000"))</f>
        <v/>
      </c>
      <c r="B205" s="25"/>
      <c r="C205" s="24"/>
      <c r="D205" s="24"/>
      <c r="E205" s="24"/>
      <c r="F205" s="32"/>
      <c r="G205" s="33"/>
      <c r="H205" s="24"/>
      <c r="I205" s="24"/>
      <c r="J205" s="24"/>
      <c r="K205" s="24"/>
      <c r="L205" s="24"/>
      <c r="M205" s="24"/>
      <c r="N205" s="26" t="str">
        <f aca="false">IF($C205="","",IFERROR(INDEX(LOT_PRODE,MATCH($C205,LOT_KEY,0)),"LOT NON REFERENCE"))</f>
        <v/>
      </c>
      <c r="O205" s="26" t="str">
        <f aca="false">IF($C205="","",IFERROR(INDEX(LOT_CONSERVE,MATCH($C205,LOT_KEY,0)),""))</f>
        <v/>
      </c>
      <c r="P205" s="27" t="str">
        <f aca="false">IF(OR($C205="",$D205=""),"",SUMIFS(MVT_NET,MVT_LOT,$C205,MVT_EMPL,$D205))</f>
        <v/>
      </c>
      <c r="Q205" s="26" t="str">
        <f aca="false">IF($C205="","",IF(OR($B205="",AND($F205="",$G205="",$H205="",$I205="",$J205="",$K205="")),"DONNEES MANQUANTES",IF(AND($D205&lt;&gt;"",$P205&lt;=0),"EMPLACEMENT INCOHERENT","OK")))</f>
        <v/>
      </c>
      <c r="R205" s="26" t="str">
        <f aca="false">IF($C205="","",IF(AND(ISNUMBER($G205),$G205&gt;P_HIST),"HISTAMINE "&amp;TEXT($G205,"#,##0")&amp;" mg/kg &gt; seuil "&amp;TEXT(P_HIST,"#,##0")&amp;". ","")&amp;IF(AND(ISNUMBER($F205),$O205="CONGELE",$F205&gt;P_TCONG),"TEMPERATURE "&amp;TEXT($F205,"0.0")&amp;" C hors seuil congele. ","")&amp;IF(AND(ISNUMBER($F205),$O205="FRAIS",$F205&gt;P_TFRAIS),"TEMPERATURE "&amp;TEXT($F205,"0.0")&amp;" C hors seuil frais. ","")&amp;IF($Q205="EMPLACEMENT INCOHERENT","Lot absent de cet emplacement : controle conserve, stock inchange. ","")&amp;IF($Q205="DONNEES MANQUANTES","Renseigner la DATE et au moins une mesure. ",""))</f>
        <v/>
      </c>
      <c r="S205" s="28" t="n">
        <f aca="false">IF($C205="",0,IF($C205=R_LOT,1,0))</f>
        <v>0</v>
      </c>
      <c r="T205" s="26" t="str">
        <f aca="false">IF($S205=0,"",COUNTIF($S$5:$S205,1))</f>
        <v/>
      </c>
    </row>
    <row r="206" customFormat="false" ht="15" hidden="false" customHeight="false" outlineLevel="0" collapsed="false">
      <c r="A206" s="26" t="str">
        <f aca="false">IF($C206="","","QC-"&amp;TEXT(ROW()-4,"000"))</f>
        <v/>
      </c>
      <c r="B206" s="25"/>
      <c r="C206" s="24"/>
      <c r="D206" s="24"/>
      <c r="E206" s="24"/>
      <c r="F206" s="32"/>
      <c r="G206" s="33"/>
      <c r="H206" s="24"/>
      <c r="I206" s="24"/>
      <c r="J206" s="24"/>
      <c r="K206" s="24"/>
      <c r="L206" s="24"/>
      <c r="M206" s="24"/>
      <c r="N206" s="26" t="str">
        <f aca="false">IF($C206="","",IFERROR(INDEX(LOT_PRODE,MATCH($C206,LOT_KEY,0)),"LOT NON REFERENCE"))</f>
        <v/>
      </c>
      <c r="O206" s="26" t="str">
        <f aca="false">IF($C206="","",IFERROR(INDEX(LOT_CONSERVE,MATCH($C206,LOT_KEY,0)),""))</f>
        <v/>
      </c>
      <c r="P206" s="27" t="str">
        <f aca="false">IF(OR($C206="",$D206=""),"",SUMIFS(MVT_NET,MVT_LOT,$C206,MVT_EMPL,$D206))</f>
        <v/>
      </c>
      <c r="Q206" s="26" t="str">
        <f aca="false">IF($C206="","",IF(OR($B206="",AND($F206="",$G206="",$H206="",$I206="",$J206="",$K206="")),"DONNEES MANQUANTES",IF(AND($D206&lt;&gt;"",$P206&lt;=0),"EMPLACEMENT INCOHERENT","OK")))</f>
        <v/>
      </c>
      <c r="R206" s="26" t="str">
        <f aca="false">IF($C206="","",IF(AND(ISNUMBER($G206),$G206&gt;P_HIST),"HISTAMINE "&amp;TEXT($G206,"#,##0")&amp;" mg/kg &gt; seuil "&amp;TEXT(P_HIST,"#,##0")&amp;". ","")&amp;IF(AND(ISNUMBER($F206),$O206="CONGELE",$F206&gt;P_TCONG),"TEMPERATURE "&amp;TEXT($F206,"0.0")&amp;" C hors seuil congele. ","")&amp;IF(AND(ISNUMBER($F206),$O206="FRAIS",$F206&gt;P_TFRAIS),"TEMPERATURE "&amp;TEXT($F206,"0.0")&amp;" C hors seuil frais. ","")&amp;IF($Q206="EMPLACEMENT INCOHERENT","Lot absent de cet emplacement : controle conserve, stock inchange. ","")&amp;IF($Q206="DONNEES MANQUANTES","Renseigner la DATE et au moins une mesure. ",""))</f>
        <v/>
      </c>
      <c r="S206" s="28" t="n">
        <f aca="false">IF($C206="",0,IF($C206=R_LOT,1,0))</f>
        <v>0</v>
      </c>
      <c r="T206" s="26" t="str">
        <f aca="false">IF($S206=0,"",COUNTIF($S$5:$S206,1))</f>
        <v/>
      </c>
    </row>
    <row r="207" customFormat="false" ht="15" hidden="false" customHeight="false" outlineLevel="0" collapsed="false">
      <c r="A207" s="26" t="str">
        <f aca="false">IF($C207="","","QC-"&amp;TEXT(ROW()-4,"000"))</f>
        <v/>
      </c>
      <c r="B207" s="25"/>
      <c r="C207" s="24"/>
      <c r="D207" s="24"/>
      <c r="E207" s="24"/>
      <c r="F207" s="32"/>
      <c r="G207" s="33"/>
      <c r="H207" s="24"/>
      <c r="I207" s="24"/>
      <c r="J207" s="24"/>
      <c r="K207" s="24"/>
      <c r="L207" s="24"/>
      <c r="M207" s="24"/>
      <c r="N207" s="26" t="str">
        <f aca="false">IF($C207="","",IFERROR(INDEX(LOT_PRODE,MATCH($C207,LOT_KEY,0)),"LOT NON REFERENCE"))</f>
        <v/>
      </c>
      <c r="O207" s="26" t="str">
        <f aca="false">IF($C207="","",IFERROR(INDEX(LOT_CONSERVE,MATCH($C207,LOT_KEY,0)),""))</f>
        <v/>
      </c>
      <c r="P207" s="27" t="str">
        <f aca="false">IF(OR($C207="",$D207=""),"",SUMIFS(MVT_NET,MVT_LOT,$C207,MVT_EMPL,$D207))</f>
        <v/>
      </c>
      <c r="Q207" s="26" t="str">
        <f aca="false">IF($C207="","",IF(OR($B207="",AND($F207="",$G207="",$H207="",$I207="",$J207="",$K207="")),"DONNEES MANQUANTES",IF(AND($D207&lt;&gt;"",$P207&lt;=0),"EMPLACEMENT INCOHERENT","OK")))</f>
        <v/>
      </c>
      <c r="R207" s="26" t="str">
        <f aca="false">IF($C207="","",IF(AND(ISNUMBER($G207),$G207&gt;P_HIST),"HISTAMINE "&amp;TEXT($G207,"#,##0")&amp;" mg/kg &gt; seuil "&amp;TEXT(P_HIST,"#,##0")&amp;". ","")&amp;IF(AND(ISNUMBER($F207),$O207="CONGELE",$F207&gt;P_TCONG),"TEMPERATURE "&amp;TEXT($F207,"0.0")&amp;" C hors seuil congele. ","")&amp;IF(AND(ISNUMBER($F207),$O207="FRAIS",$F207&gt;P_TFRAIS),"TEMPERATURE "&amp;TEXT($F207,"0.0")&amp;" C hors seuil frais. ","")&amp;IF($Q207="EMPLACEMENT INCOHERENT","Lot absent de cet emplacement : controle conserve, stock inchange. ","")&amp;IF($Q207="DONNEES MANQUANTES","Renseigner la DATE et au moins une mesure. ",""))</f>
        <v/>
      </c>
      <c r="S207" s="28" t="n">
        <f aca="false">IF($C207="",0,IF($C207=R_LOT,1,0))</f>
        <v>0</v>
      </c>
      <c r="T207" s="26" t="str">
        <f aca="false">IF($S207=0,"",COUNTIF($S$5:$S207,1))</f>
        <v/>
      </c>
    </row>
    <row r="208" customFormat="false" ht="15" hidden="false" customHeight="false" outlineLevel="0" collapsed="false">
      <c r="A208" s="26" t="str">
        <f aca="false">IF($C208="","","QC-"&amp;TEXT(ROW()-4,"000"))</f>
        <v/>
      </c>
      <c r="B208" s="25"/>
      <c r="C208" s="24"/>
      <c r="D208" s="24"/>
      <c r="E208" s="24"/>
      <c r="F208" s="32"/>
      <c r="G208" s="33"/>
      <c r="H208" s="24"/>
      <c r="I208" s="24"/>
      <c r="J208" s="24"/>
      <c r="K208" s="24"/>
      <c r="L208" s="24"/>
      <c r="M208" s="24"/>
      <c r="N208" s="26" t="str">
        <f aca="false">IF($C208="","",IFERROR(INDEX(LOT_PRODE,MATCH($C208,LOT_KEY,0)),"LOT NON REFERENCE"))</f>
        <v/>
      </c>
      <c r="O208" s="26" t="str">
        <f aca="false">IF($C208="","",IFERROR(INDEX(LOT_CONSERVE,MATCH($C208,LOT_KEY,0)),""))</f>
        <v/>
      </c>
      <c r="P208" s="27" t="str">
        <f aca="false">IF(OR($C208="",$D208=""),"",SUMIFS(MVT_NET,MVT_LOT,$C208,MVT_EMPL,$D208))</f>
        <v/>
      </c>
      <c r="Q208" s="26" t="str">
        <f aca="false">IF($C208="","",IF(OR($B208="",AND($F208="",$G208="",$H208="",$I208="",$J208="",$K208="")),"DONNEES MANQUANTES",IF(AND($D208&lt;&gt;"",$P208&lt;=0),"EMPLACEMENT INCOHERENT","OK")))</f>
        <v/>
      </c>
      <c r="R208" s="26" t="str">
        <f aca="false">IF($C208="","",IF(AND(ISNUMBER($G208),$G208&gt;P_HIST),"HISTAMINE "&amp;TEXT($G208,"#,##0")&amp;" mg/kg &gt; seuil "&amp;TEXT(P_HIST,"#,##0")&amp;". ","")&amp;IF(AND(ISNUMBER($F208),$O208="CONGELE",$F208&gt;P_TCONG),"TEMPERATURE "&amp;TEXT($F208,"0.0")&amp;" C hors seuil congele. ","")&amp;IF(AND(ISNUMBER($F208),$O208="FRAIS",$F208&gt;P_TFRAIS),"TEMPERATURE "&amp;TEXT($F208,"0.0")&amp;" C hors seuil frais. ","")&amp;IF($Q208="EMPLACEMENT INCOHERENT","Lot absent de cet emplacement : controle conserve, stock inchange. ","")&amp;IF($Q208="DONNEES MANQUANTES","Renseigner la DATE et au moins une mesure. ",""))</f>
        <v/>
      </c>
      <c r="S208" s="28" t="n">
        <f aca="false">IF($C208="",0,IF($C208=R_LOT,1,0))</f>
        <v>0</v>
      </c>
      <c r="T208" s="26" t="str">
        <f aca="false">IF($S208=0,"",COUNTIF($S$5:$S208,1))</f>
        <v/>
      </c>
    </row>
    <row r="209" customFormat="false" ht="15" hidden="false" customHeight="false" outlineLevel="0" collapsed="false">
      <c r="A209" s="26" t="str">
        <f aca="false">IF($C209="","","QC-"&amp;TEXT(ROW()-4,"000"))</f>
        <v/>
      </c>
      <c r="B209" s="25"/>
      <c r="C209" s="24"/>
      <c r="D209" s="24"/>
      <c r="E209" s="24"/>
      <c r="F209" s="32"/>
      <c r="G209" s="33"/>
      <c r="H209" s="24"/>
      <c r="I209" s="24"/>
      <c r="J209" s="24"/>
      <c r="K209" s="24"/>
      <c r="L209" s="24"/>
      <c r="M209" s="24"/>
      <c r="N209" s="26" t="str">
        <f aca="false">IF($C209="","",IFERROR(INDEX(LOT_PRODE,MATCH($C209,LOT_KEY,0)),"LOT NON REFERENCE"))</f>
        <v/>
      </c>
      <c r="O209" s="26" t="str">
        <f aca="false">IF($C209="","",IFERROR(INDEX(LOT_CONSERVE,MATCH($C209,LOT_KEY,0)),""))</f>
        <v/>
      </c>
      <c r="P209" s="27" t="str">
        <f aca="false">IF(OR($C209="",$D209=""),"",SUMIFS(MVT_NET,MVT_LOT,$C209,MVT_EMPL,$D209))</f>
        <v/>
      </c>
      <c r="Q209" s="26" t="str">
        <f aca="false">IF($C209="","",IF(OR($B209="",AND($F209="",$G209="",$H209="",$I209="",$J209="",$K209="")),"DONNEES MANQUANTES",IF(AND($D209&lt;&gt;"",$P209&lt;=0),"EMPLACEMENT INCOHERENT","OK")))</f>
        <v/>
      </c>
      <c r="R209" s="26" t="str">
        <f aca="false">IF($C209="","",IF(AND(ISNUMBER($G209),$G209&gt;P_HIST),"HISTAMINE "&amp;TEXT($G209,"#,##0")&amp;" mg/kg &gt; seuil "&amp;TEXT(P_HIST,"#,##0")&amp;". ","")&amp;IF(AND(ISNUMBER($F209),$O209="CONGELE",$F209&gt;P_TCONG),"TEMPERATURE "&amp;TEXT($F209,"0.0")&amp;" C hors seuil congele. ","")&amp;IF(AND(ISNUMBER($F209),$O209="FRAIS",$F209&gt;P_TFRAIS),"TEMPERATURE "&amp;TEXT($F209,"0.0")&amp;" C hors seuil frais. ","")&amp;IF($Q209="EMPLACEMENT INCOHERENT","Lot absent de cet emplacement : controle conserve, stock inchange. ","")&amp;IF($Q209="DONNEES MANQUANTES","Renseigner la DATE et au moins une mesure. ",""))</f>
        <v/>
      </c>
      <c r="S209" s="28" t="n">
        <f aca="false">IF($C209="",0,IF($C209=R_LOT,1,0))</f>
        <v>0</v>
      </c>
      <c r="T209" s="26" t="str">
        <f aca="false">IF($S209=0,"",COUNTIF($S$5:$S209,1))</f>
        <v/>
      </c>
    </row>
    <row r="210" customFormat="false" ht="15" hidden="false" customHeight="false" outlineLevel="0" collapsed="false">
      <c r="A210" s="26" t="str">
        <f aca="false">IF($C210="","","QC-"&amp;TEXT(ROW()-4,"000"))</f>
        <v/>
      </c>
      <c r="B210" s="25"/>
      <c r="C210" s="24"/>
      <c r="D210" s="24"/>
      <c r="E210" s="24"/>
      <c r="F210" s="32"/>
      <c r="G210" s="33"/>
      <c r="H210" s="24"/>
      <c r="I210" s="24"/>
      <c r="J210" s="24"/>
      <c r="K210" s="24"/>
      <c r="L210" s="24"/>
      <c r="M210" s="24"/>
      <c r="N210" s="26" t="str">
        <f aca="false">IF($C210="","",IFERROR(INDEX(LOT_PRODE,MATCH($C210,LOT_KEY,0)),"LOT NON REFERENCE"))</f>
        <v/>
      </c>
      <c r="O210" s="26" t="str">
        <f aca="false">IF($C210="","",IFERROR(INDEX(LOT_CONSERVE,MATCH($C210,LOT_KEY,0)),""))</f>
        <v/>
      </c>
      <c r="P210" s="27" t="str">
        <f aca="false">IF(OR($C210="",$D210=""),"",SUMIFS(MVT_NET,MVT_LOT,$C210,MVT_EMPL,$D210))</f>
        <v/>
      </c>
      <c r="Q210" s="26" t="str">
        <f aca="false">IF($C210="","",IF(OR($B210="",AND($F210="",$G210="",$H210="",$I210="",$J210="",$K210="")),"DONNEES MANQUANTES",IF(AND($D210&lt;&gt;"",$P210&lt;=0),"EMPLACEMENT INCOHERENT","OK")))</f>
        <v/>
      </c>
      <c r="R210" s="26" t="str">
        <f aca="false">IF($C210="","",IF(AND(ISNUMBER($G210),$G210&gt;P_HIST),"HISTAMINE "&amp;TEXT($G210,"#,##0")&amp;" mg/kg &gt; seuil "&amp;TEXT(P_HIST,"#,##0")&amp;". ","")&amp;IF(AND(ISNUMBER($F210),$O210="CONGELE",$F210&gt;P_TCONG),"TEMPERATURE "&amp;TEXT($F210,"0.0")&amp;" C hors seuil congele. ","")&amp;IF(AND(ISNUMBER($F210),$O210="FRAIS",$F210&gt;P_TFRAIS),"TEMPERATURE "&amp;TEXT($F210,"0.0")&amp;" C hors seuil frais. ","")&amp;IF($Q210="EMPLACEMENT INCOHERENT","Lot absent de cet emplacement : controle conserve, stock inchange. ","")&amp;IF($Q210="DONNEES MANQUANTES","Renseigner la DATE et au moins une mesure. ",""))</f>
        <v/>
      </c>
      <c r="S210" s="28" t="n">
        <f aca="false">IF($C210="",0,IF($C210=R_LOT,1,0))</f>
        <v>0</v>
      </c>
      <c r="T210" s="26" t="str">
        <f aca="false">IF($S210=0,"",COUNTIF($S$5:$S210,1))</f>
        <v/>
      </c>
    </row>
    <row r="211" customFormat="false" ht="15" hidden="false" customHeight="false" outlineLevel="0" collapsed="false">
      <c r="A211" s="26" t="str">
        <f aca="false">IF($C211="","","QC-"&amp;TEXT(ROW()-4,"000"))</f>
        <v/>
      </c>
      <c r="B211" s="25"/>
      <c r="C211" s="24"/>
      <c r="D211" s="24"/>
      <c r="E211" s="24"/>
      <c r="F211" s="32"/>
      <c r="G211" s="33"/>
      <c r="H211" s="24"/>
      <c r="I211" s="24"/>
      <c r="J211" s="24"/>
      <c r="K211" s="24"/>
      <c r="L211" s="24"/>
      <c r="M211" s="24"/>
      <c r="N211" s="26" t="str">
        <f aca="false">IF($C211="","",IFERROR(INDEX(LOT_PRODE,MATCH($C211,LOT_KEY,0)),"LOT NON REFERENCE"))</f>
        <v/>
      </c>
      <c r="O211" s="26" t="str">
        <f aca="false">IF($C211="","",IFERROR(INDEX(LOT_CONSERVE,MATCH($C211,LOT_KEY,0)),""))</f>
        <v/>
      </c>
      <c r="P211" s="27" t="str">
        <f aca="false">IF(OR($C211="",$D211=""),"",SUMIFS(MVT_NET,MVT_LOT,$C211,MVT_EMPL,$D211))</f>
        <v/>
      </c>
      <c r="Q211" s="26" t="str">
        <f aca="false">IF($C211="","",IF(OR($B211="",AND($F211="",$G211="",$H211="",$I211="",$J211="",$K211="")),"DONNEES MANQUANTES",IF(AND($D211&lt;&gt;"",$P211&lt;=0),"EMPLACEMENT INCOHERENT","OK")))</f>
        <v/>
      </c>
      <c r="R211" s="26" t="str">
        <f aca="false">IF($C211="","",IF(AND(ISNUMBER($G211),$G211&gt;P_HIST),"HISTAMINE "&amp;TEXT($G211,"#,##0")&amp;" mg/kg &gt; seuil "&amp;TEXT(P_HIST,"#,##0")&amp;". ","")&amp;IF(AND(ISNUMBER($F211),$O211="CONGELE",$F211&gt;P_TCONG),"TEMPERATURE "&amp;TEXT($F211,"0.0")&amp;" C hors seuil congele. ","")&amp;IF(AND(ISNUMBER($F211),$O211="FRAIS",$F211&gt;P_TFRAIS),"TEMPERATURE "&amp;TEXT($F211,"0.0")&amp;" C hors seuil frais. ","")&amp;IF($Q211="EMPLACEMENT INCOHERENT","Lot absent de cet emplacement : controle conserve, stock inchange. ","")&amp;IF($Q211="DONNEES MANQUANTES","Renseigner la DATE et au moins une mesure. ",""))</f>
        <v/>
      </c>
      <c r="S211" s="28" t="n">
        <f aca="false">IF($C211="",0,IF($C211=R_LOT,1,0))</f>
        <v>0</v>
      </c>
      <c r="T211" s="26" t="str">
        <f aca="false">IF($S211=0,"",COUNTIF($S$5:$S211,1))</f>
        <v/>
      </c>
    </row>
    <row r="212" customFormat="false" ht="15" hidden="false" customHeight="false" outlineLevel="0" collapsed="false">
      <c r="A212" s="26" t="str">
        <f aca="false">IF($C212="","","QC-"&amp;TEXT(ROW()-4,"000"))</f>
        <v/>
      </c>
      <c r="B212" s="25"/>
      <c r="C212" s="24"/>
      <c r="D212" s="24"/>
      <c r="E212" s="24"/>
      <c r="F212" s="32"/>
      <c r="G212" s="33"/>
      <c r="H212" s="24"/>
      <c r="I212" s="24"/>
      <c r="J212" s="24"/>
      <c r="K212" s="24"/>
      <c r="L212" s="24"/>
      <c r="M212" s="24"/>
      <c r="N212" s="26" t="str">
        <f aca="false">IF($C212="","",IFERROR(INDEX(LOT_PRODE,MATCH($C212,LOT_KEY,0)),"LOT NON REFERENCE"))</f>
        <v/>
      </c>
      <c r="O212" s="26" t="str">
        <f aca="false">IF($C212="","",IFERROR(INDEX(LOT_CONSERVE,MATCH($C212,LOT_KEY,0)),""))</f>
        <v/>
      </c>
      <c r="P212" s="27" t="str">
        <f aca="false">IF(OR($C212="",$D212=""),"",SUMIFS(MVT_NET,MVT_LOT,$C212,MVT_EMPL,$D212))</f>
        <v/>
      </c>
      <c r="Q212" s="26" t="str">
        <f aca="false">IF($C212="","",IF(OR($B212="",AND($F212="",$G212="",$H212="",$I212="",$J212="",$K212="")),"DONNEES MANQUANTES",IF(AND($D212&lt;&gt;"",$P212&lt;=0),"EMPLACEMENT INCOHERENT","OK")))</f>
        <v/>
      </c>
      <c r="R212" s="26" t="str">
        <f aca="false">IF($C212="","",IF(AND(ISNUMBER($G212),$G212&gt;P_HIST),"HISTAMINE "&amp;TEXT($G212,"#,##0")&amp;" mg/kg &gt; seuil "&amp;TEXT(P_HIST,"#,##0")&amp;". ","")&amp;IF(AND(ISNUMBER($F212),$O212="CONGELE",$F212&gt;P_TCONG),"TEMPERATURE "&amp;TEXT($F212,"0.0")&amp;" C hors seuil congele. ","")&amp;IF(AND(ISNUMBER($F212),$O212="FRAIS",$F212&gt;P_TFRAIS),"TEMPERATURE "&amp;TEXT($F212,"0.0")&amp;" C hors seuil frais. ","")&amp;IF($Q212="EMPLACEMENT INCOHERENT","Lot absent de cet emplacement : controle conserve, stock inchange. ","")&amp;IF($Q212="DONNEES MANQUANTES","Renseigner la DATE et au moins une mesure. ",""))</f>
        <v/>
      </c>
      <c r="S212" s="28" t="n">
        <f aca="false">IF($C212="",0,IF($C212=R_LOT,1,0))</f>
        <v>0</v>
      </c>
      <c r="T212" s="26" t="str">
        <f aca="false">IF($S212=0,"",COUNTIF($S$5:$S212,1))</f>
        <v/>
      </c>
    </row>
    <row r="213" customFormat="false" ht="15" hidden="false" customHeight="false" outlineLevel="0" collapsed="false">
      <c r="A213" s="26" t="str">
        <f aca="false">IF($C213="","","QC-"&amp;TEXT(ROW()-4,"000"))</f>
        <v/>
      </c>
      <c r="B213" s="25"/>
      <c r="C213" s="24"/>
      <c r="D213" s="24"/>
      <c r="E213" s="24"/>
      <c r="F213" s="32"/>
      <c r="G213" s="33"/>
      <c r="H213" s="24"/>
      <c r="I213" s="24"/>
      <c r="J213" s="24"/>
      <c r="K213" s="24"/>
      <c r="L213" s="24"/>
      <c r="M213" s="24"/>
      <c r="N213" s="26" t="str">
        <f aca="false">IF($C213="","",IFERROR(INDEX(LOT_PRODE,MATCH($C213,LOT_KEY,0)),"LOT NON REFERENCE"))</f>
        <v/>
      </c>
      <c r="O213" s="26" t="str">
        <f aca="false">IF($C213="","",IFERROR(INDEX(LOT_CONSERVE,MATCH($C213,LOT_KEY,0)),""))</f>
        <v/>
      </c>
      <c r="P213" s="27" t="str">
        <f aca="false">IF(OR($C213="",$D213=""),"",SUMIFS(MVT_NET,MVT_LOT,$C213,MVT_EMPL,$D213))</f>
        <v/>
      </c>
      <c r="Q213" s="26" t="str">
        <f aca="false">IF($C213="","",IF(OR($B213="",AND($F213="",$G213="",$H213="",$I213="",$J213="",$K213="")),"DONNEES MANQUANTES",IF(AND($D213&lt;&gt;"",$P213&lt;=0),"EMPLACEMENT INCOHERENT","OK")))</f>
        <v/>
      </c>
      <c r="R213" s="26" t="str">
        <f aca="false">IF($C213="","",IF(AND(ISNUMBER($G213),$G213&gt;P_HIST),"HISTAMINE "&amp;TEXT($G213,"#,##0")&amp;" mg/kg &gt; seuil "&amp;TEXT(P_HIST,"#,##0")&amp;". ","")&amp;IF(AND(ISNUMBER($F213),$O213="CONGELE",$F213&gt;P_TCONG),"TEMPERATURE "&amp;TEXT($F213,"0.0")&amp;" C hors seuil congele. ","")&amp;IF(AND(ISNUMBER($F213),$O213="FRAIS",$F213&gt;P_TFRAIS),"TEMPERATURE "&amp;TEXT($F213,"0.0")&amp;" C hors seuil frais. ","")&amp;IF($Q213="EMPLACEMENT INCOHERENT","Lot absent de cet emplacement : controle conserve, stock inchange. ","")&amp;IF($Q213="DONNEES MANQUANTES","Renseigner la DATE et au moins une mesure. ",""))</f>
        <v/>
      </c>
      <c r="S213" s="28" t="n">
        <f aca="false">IF($C213="",0,IF($C213=R_LOT,1,0))</f>
        <v>0</v>
      </c>
      <c r="T213" s="26" t="str">
        <f aca="false">IF($S213=0,"",COUNTIF($S$5:$S213,1))</f>
        <v/>
      </c>
    </row>
    <row r="214" customFormat="false" ht="15" hidden="false" customHeight="false" outlineLevel="0" collapsed="false">
      <c r="A214" s="26" t="str">
        <f aca="false">IF($C214="","","QC-"&amp;TEXT(ROW()-4,"000"))</f>
        <v/>
      </c>
      <c r="B214" s="25"/>
      <c r="C214" s="24"/>
      <c r="D214" s="24"/>
      <c r="E214" s="24"/>
      <c r="F214" s="32"/>
      <c r="G214" s="33"/>
      <c r="H214" s="24"/>
      <c r="I214" s="24"/>
      <c r="J214" s="24"/>
      <c r="K214" s="24"/>
      <c r="L214" s="24"/>
      <c r="M214" s="24"/>
      <c r="N214" s="26" t="str">
        <f aca="false">IF($C214="","",IFERROR(INDEX(LOT_PRODE,MATCH($C214,LOT_KEY,0)),"LOT NON REFERENCE"))</f>
        <v/>
      </c>
      <c r="O214" s="26" t="str">
        <f aca="false">IF($C214="","",IFERROR(INDEX(LOT_CONSERVE,MATCH($C214,LOT_KEY,0)),""))</f>
        <v/>
      </c>
      <c r="P214" s="27" t="str">
        <f aca="false">IF(OR($C214="",$D214=""),"",SUMIFS(MVT_NET,MVT_LOT,$C214,MVT_EMPL,$D214))</f>
        <v/>
      </c>
      <c r="Q214" s="26" t="str">
        <f aca="false">IF($C214="","",IF(OR($B214="",AND($F214="",$G214="",$H214="",$I214="",$J214="",$K214="")),"DONNEES MANQUANTES",IF(AND($D214&lt;&gt;"",$P214&lt;=0),"EMPLACEMENT INCOHERENT","OK")))</f>
        <v/>
      </c>
      <c r="R214" s="26" t="str">
        <f aca="false">IF($C214="","",IF(AND(ISNUMBER($G214),$G214&gt;P_HIST),"HISTAMINE "&amp;TEXT($G214,"#,##0")&amp;" mg/kg &gt; seuil "&amp;TEXT(P_HIST,"#,##0")&amp;". ","")&amp;IF(AND(ISNUMBER($F214),$O214="CONGELE",$F214&gt;P_TCONG),"TEMPERATURE "&amp;TEXT($F214,"0.0")&amp;" C hors seuil congele. ","")&amp;IF(AND(ISNUMBER($F214),$O214="FRAIS",$F214&gt;P_TFRAIS),"TEMPERATURE "&amp;TEXT($F214,"0.0")&amp;" C hors seuil frais. ","")&amp;IF($Q214="EMPLACEMENT INCOHERENT","Lot absent de cet emplacement : controle conserve, stock inchange. ","")&amp;IF($Q214="DONNEES MANQUANTES","Renseigner la DATE et au moins une mesure. ",""))</f>
        <v/>
      </c>
      <c r="S214" s="28" t="n">
        <f aca="false">IF($C214="",0,IF($C214=R_LOT,1,0))</f>
        <v>0</v>
      </c>
      <c r="T214" s="26" t="str">
        <f aca="false">IF($S214=0,"",COUNTIF($S$5:$S214,1))</f>
        <v/>
      </c>
    </row>
    <row r="215" customFormat="false" ht="15" hidden="false" customHeight="false" outlineLevel="0" collapsed="false">
      <c r="A215" s="26" t="str">
        <f aca="false">IF($C215="","","QC-"&amp;TEXT(ROW()-4,"000"))</f>
        <v/>
      </c>
      <c r="B215" s="25"/>
      <c r="C215" s="24"/>
      <c r="D215" s="24"/>
      <c r="E215" s="24"/>
      <c r="F215" s="32"/>
      <c r="G215" s="33"/>
      <c r="H215" s="24"/>
      <c r="I215" s="24"/>
      <c r="J215" s="24"/>
      <c r="K215" s="24"/>
      <c r="L215" s="24"/>
      <c r="M215" s="24"/>
      <c r="N215" s="26" t="str">
        <f aca="false">IF($C215="","",IFERROR(INDEX(LOT_PRODE,MATCH($C215,LOT_KEY,0)),"LOT NON REFERENCE"))</f>
        <v/>
      </c>
      <c r="O215" s="26" t="str">
        <f aca="false">IF($C215="","",IFERROR(INDEX(LOT_CONSERVE,MATCH($C215,LOT_KEY,0)),""))</f>
        <v/>
      </c>
      <c r="P215" s="27" t="str">
        <f aca="false">IF(OR($C215="",$D215=""),"",SUMIFS(MVT_NET,MVT_LOT,$C215,MVT_EMPL,$D215))</f>
        <v/>
      </c>
      <c r="Q215" s="26" t="str">
        <f aca="false">IF($C215="","",IF(OR($B215="",AND($F215="",$G215="",$H215="",$I215="",$J215="",$K215="")),"DONNEES MANQUANTES",IF(AND($D215&lt;&gt;"",$P215&lt;=0),"EMPLACEMENT INCOHERENT","OK")))</f>
        <v/>
      </c>
      <c r="R215" s="26" t="str">
        <f aca="false">IF($C215="","",IF(AND(ISNUMBER($G215),$G215&gt;P_HIST),"HISTAMINE "&amp;TEXT($G215,"#,##0")&amp;" mg/kg &gt; seuil "&amp;TEXT(P_HIST,"#,##0")&amp;". ","")&amp;IF(AND(ISNUMBER($F215),$O215="CONGELE",$F215&gt;P_TCONG),"TEMPERATURE "&amp;TEXT($F215,"0.0")&amp;" C hors seuil congele. ","")&amp;IF(AND(ISNUMBER($F215),$O215="FRAIS",$F215&gt;P_TFRAIS),"TEMPERATURE "&amp;TEXT($F215,"0.0")&amp;" C hors seuil frais. ","")&amp;IF($Q215="EMPLACEMENT INCOHERENT","Lot absent de cet emplacement : controle conserve, stock inchange. ","")&amp;IF($Q215="DONNEES MANQUANTES","Renseigner la DATE et au moins une mesure. ",""))</f>
        <v/>
      </c>
      <c r="S215" s="28" t="n">
        <f aca="false">IF($C215="",0,IF($C215=R_LOT,1,0))</f>
        <v>0</v>
      </c>
      <c r="T215" s="26" t="str">
        <f aca="false">IF($S215=0,"",COUNTIF($S$5:$S215,1))</f>
        <v/>
      </c>
    </row>
    <row r="216" customFormat="false" ht="15" hidden="false" customHeight="false" outlineLevel="0" collapsed="false">
      <c r="A216" s="26" t="str">
        <f aca="false">IF($C216="","","QC-"&amp;TEXT(ROW()-4,"000"))</f>
        <v/>
      </c>
      <c r="B216" s="25"/>
      <c r="C216" s="24"/>
      <c r="D216" s="24"/>
      <c r="E216" s="24"/>
      <c r="F216" s="32"/>
      <c r="G216" s="33"/>
      <c r="H216" s="24"/>
      <c r="I216" s="24"/>
      <c r="J216" s="24"/>
      <c r="K216" s="24"/>
      <c r="L216" s="24"/>
      <c r="M216" s="24"/>
      <c r="N216" s="26" t="str">
        <f aca="false">IF($C216="","",IFERROR(INDEX(LOT_PRODE,MATCH($C216,LOT_KEY,0)),"LOT NON REFERENCE"))</f>
        <v/>
      </c>
      <c r="O216" s="26" t="str">
        <f aca="false">IF($C216="","",IFERROR(INDEX(LOT_CONSERVE,MATCH($C216,LOT_KEY,0)),""))</f>
        <v/>
      </c>
      <c r="P216" s="27" t="str">
        <f aca="false">IF(OR($C216="",$D216=""),"",SUMIFS(MVT_NET,MVT_LOT,$C216,MVT_EMPL,$D216))</f>
        <v/>
      </c>
      <c r="Q216" s="26" t="str">
        <f aca="false">IF($C216="","",IF(OR($B216="",AND($F216="",$G216="",$H216="",$I216="",$J216="",$K216="")),"DONNEES MANQUANTES",IF(AND($D216&lt;&gt;"",$P216&lt;=0),"EMPLACEMENT INCOHERENT","OK")))</f>
        <v/>
      </c>
      <c r="R216" s="26" t="str">
        <f aca="false">IF($C216="","",IF(AND(ISNUMBER($G216),$G216&gt;P_HIST),"HISTAMINE "&amp;TEXT($G216,"#,##0")&amp;" mg/kg &gt; seuil "&amp;TEXT(P_HIST,"#,##0")&amp;". ","")&amp;IF(AND(ISNUMBER($F216),$O216="CONGELE",$F216&gt;P_TCONG),"TEMPERATURE "&amp;TEXT($F216,"0.0")&amp;" C hors seuil congele. ","")&amp;IF(AND(ISNUMBER($F216),$O216="FRAIS",$F216&gt;P_TFRAIS),"TEMPERATURE "&amp;TEXT($F216,"0.0")&amp;" C hors seuil frais. ","")&amp;IF($Q216="EMPLACEMENT INCOHERENT","Lot absent de cet emplacement : controle conserve, stock inchange. ","")&amp;IF($Q216="DONNEES MANQUANTES","Renseigner la DATE et au moins une mesure. ",""))</f>
        <v/>
      </c>
      <c r="S216" s="28" t="n">
        <f aca="false">IF($C216="",0,IF($C216=R_LOT,1,0))</f>
        <v>0</v>
      </c>
      <c r="T216" s="26" t="str">
        <f aca="false">IF($S216=0,"",COUNTIF($S$5:$S216,1))</f>
        <v/>
      </c>
    </row>
    <row r="217" customFormat="false" ht="15" hidden="false" customHeight="false" outlineLevel="0" collapsed="false">
      <c r="A217" s="26" t="str">
        <f aca="false">IF($C217="","","QC-"&amp;TEXT(ROW()-4,"000"))</f>
        <v/>
      </c>
      <c r="B217" s="25"/>
      <c r="C217" s="24"/>
      <c r="D217" s="24"/>
      <c r="E217" s="24"/>
      <c r="F217" s="32"/>
      <c r="G217" s="33"/>
      <c r="H217" s="24"/>
      <c r="I217" s="24"/>
      <c r="J217" s="24"/>
      <c r="K217" s="24"/>
      <c r="L217" s="24"/>
      <c r="M217" s="24"/>
      <c r="N217" s="26" t="str">
        <f aca="false">IF($C217="","",IFERROR(INDEX(LOT_PRODE,MATCH($C217,LOT_KEY,0)),"LOT NON REFERENCE"))</f>
        <v/>
      </c>
      <c r="O217" s="26" t="str">
        <f aca="false">IF($C217="","",IFERROR(INDEX(LOT_CONSERVE,MATCH($C217,LOT_KEY,0)),""))</f>
        <v/>
      </c>
      <c r="P217" s="27" t="str">
        <f aca="false">IF(OR($C217="",$D217=""),"",SUMIFS(MVT_NET,MVT_LOT,$C217,MVT_EMPL,$D217))</f>
        <v/>
      </c>
      <c r="Q217" s="26" t="str">
        <f aca="false">IF($C217="","",IF(OR($B217="",AND($F217="",$G217="",$H217="",$I217="",$J217="",$K217="")),"DONNEES MANQUANTES",IF(AND($D217&lt;&gt;"",$P217&lt;=0),"EMPLACEMENT INCOHERENT","OK")))</f>
        <v/>
      </c>
      <c r="R217" s="26" t="str">
        <f aca="false">IF($C217="","",IF(AND(ISNUMBER($G217),$G217&gt;P_HIST),"HISTAMINE "&amp;TEXT($G217,"#,##0")&amp;" mg/kg &gt; seuil "&amp;TEXT(P_HIST,"#,##0")&amp;". ","")&amp;IF(AND(ISNUMBER($F217),$O217="CONGELE",$F217&gt;P_TCONG),"TEMPERATURE "&amp;TEXT($F217,"0.0")&amp;" C hors seuil congele. ","")&amp;IF(AND(ISNUMBER($F217),$O217="FRAIS",$F217&gt;P_TFRAIS),"TEMPERATURE "&amp;TEXT($F217,"0.0")&amp;" C hors seuil frais. ","")&amp;IF($Q217="EMPLACEMENT INCOHERENT","Lot absent de cet emplacement : controle conserve, stock inchange. ","")&amp;IF($Q217="DONNEES MANQUANTES","Renseigner la DATE et au moins une mesure. ",""))</f>
        <v/>
      </c>
      <c r="S217" s="28" t="n">
        <f aca="false">IF($C217="",0,IF($C217=R_LOT,1,0))</f>
        <v>0</v>
      </c>
      <c r="T217" s="26" t="str">
        <f aca="false">IF($S217=0,"",COUNTIF($S$5:$S217,1))</f>
        <v/>
      </c>
    </row>
    <row r="218" customFormat="false" ht="15" hidden="false" customHeight="false" outlineLevel="0" collapsed="false">
      <c r="A218" s="26" t="str">
        <f aca="false">IF($C218="","","QC-"&amp;TEXT(ROW()-4,"000"))</f>
        <v/>
      </c>
      <c r="B218" s="25"/>
      <c r="C218" s="24"/>
      <c r="D218" s="24"/>
      <c r="E218" s="24"/>
      <c r="F218" s="32"/>
      <c r="G218" s="33"/>
      <c r="H218" s="24"/>
      <c r="I218" s="24"/>
      <c r="J218" s="24"/>
      <c r="K218" s="24"/>
      <c r="L218" s="24"/>
      <c r="M218" s="24"/>
      <c r="N218" s="26" t="str">
        <f aca="false">IF($C218="","",IFERROR(INDEX(LOT_PRODE,MATCH($C218,LOT_KEY,0)),"LOT NON REFERENCE"))</f>
        <v/>
      </c>
      <c r="O218" s="26" t="str">
        <f aca="false">IF($C218="","",IFERROR(INDEX(LOT_CONSERVE,MATCH($C218,LOT_KEY,0)),""))</f>
        <v/>
      </c>
      <c r="P218" s="27" t="str">
        <f aca="false">IF(OR($C218="",$D218=""),"",SUMIFS(MVT_NET,MVT_LOT,$C218,MVT_EMPL,$D218))</f>
        <v/>
      </c>
      <c r="Q218" s="26" t="str">
        <f aca="false">IF($C218="","",IF(OR($B218="",AND($F218="",$G218="",$H218="",$I218="",$J218="",$K218="")),"DONNEES MANQUANTES",IF(AND($D218&lt;&gt;"",$P218&lt;=0),"EMPLACEMENT INCOHERENT","OK")))</f>
        <v/>
      </c>
      <c r="R218" s="26" t="str">
        <f aca="false">IF($C218="","",IF(AND(ISNUMBER($G218),$G218&gt;P_HIST),"HISTAMINE "&amp;TEXT($G218,"#,##0")&amp;" mg/kg &gt; seuil "&amp;TEXT(P_HIST,"#,##0")&amp;". ","")&amp;IF(AND(ISNUMBER($F218),$O218="CONGELE",$F218&gt;P_TCONG),"TEMPERATURE "&amp;TEXT($F218,"0.0")&amp;" C hors seuil congele. ","")&amp;IF(AND(ISNUMBER($F218),$O218="FRAIS",$F218&gt;P_TFRAIS),"TEMPERATURE "&amp;TEXT($F218,"0.0")&amp;" C hors seuil frais. ","")&amp;IF($Q218="EMPLACEMENT INCOHERENT","Lot absent de cet emplacement : controle conserve, stock inchange. ","")&amp;IF($Q218="DONNEES MANQUANTES","Renseigner la DATE et au moins une mesure. ",""))</f>
        <v/>
      </c>
      <c r="S218" s="28" t="n">
        <f aca="false">IF($C218="",0,IF($C218=R_LOT,1,0))</f>
        <v>0</v>
      </c>
      <c r="T218" s="26" t="str">
        <f aca="false">IF($S218=0,"",COUNTIF($S$5:$S218,1))</f>
        <v/>
      </c>
    </row>
    <row r="219" customFormat="false" ht="15" hidden="false" customHeight="false" outlineLevel="0" collapsed="false">
      <c r="A219" s="26" t="str">
        <f aca="false">IF($C219="","","QC-"&amp;TEXT(ROW()-4,"000"))</f>
        <v/>
      </c>
      <c r="B219" s="25"/>
      <c r="C219" s="24"/>
      <c r="D219" s="24"/>
      <c r="E219" s="24"/>
      <c r="F219" s="32"/>
      <c r="G219" s="33"/>
      <c r="H219" s="24"/>
      <c r="I219" s="24"/>
      <c r="J219" s="24"/>
      <c r="K219" s="24"/>
      <c r="L219" s="24"/>
      <c r="M219" s="24"/>
      <c r="N219" s="26" t="str">
        <f aca="false">IF($C219="","",IFERROR(INDEX(LOT_PRODE,MATCH($C219,LOT_KEY,0)),"LOT NON REFERENCE"))</f>
        <v/>
      </c>
      <c r="O219" s="26" t="str">
        <f aca="false">IF($C219="","",IFERROR(INDEX(LOT_CONSERVE,MATCH($C219,LOT_KEY,0)),""))</f>
        <v/>
      </c>
      <c r="P219" s="27" t="str">
        <f aca="false">IF(OR($C219="",$D219=""),"",SUMIFS(MVT_NET,MVT_LOT,$C219,MVT_EMPL,$D219))</f>
        <v/>
      </c>
      <c r="Q219" s="26" t="str">
        <f aca="false">IF($C219="","",IF(OR($B219="",AND($F219="",$G219="",$H219="",$I219="",$J219="",$K219="")),"DONNEES MANQUANTES",IF(AND($D219&lt;&gt;"",$P219&lt;=0),"EMPLACEMENT INCOHERENT","OK")))</f>
        <v/>
      </c>
      <c r="R219" s="26" t="str">
        <f aca="false">IF($C219="","",IF(AND(ISNUMBER($G219),$G219&gt;P_HIST),"HISTAMINE "&amp;TEXT($G219,"#,##0")&amp;" mg/kg &gt; seuil "&amp;TEXT(P_HIST,"#,##0")&amp;". ","")&amp;IF(AND(ISNUMBER($F219),$O219="CONGELE",$F219&gt;P_TCONG),"TEMPERATURE "&amp;TEXT($F219,"0.0")&amp;" C hors seuil congele. ","")&amp;IF(AND(ISNUMBER($F219),$O219="FRAIS",$F219&gt;P_TFRAIS),"TEMPERATURE "&amp;TEXT($F219,"0.0")&amp;" C hors seuil frais. ","")&amp;IF($Q219="EMPLACEMENT INCOHERENT","Lot absent de cet emplacement : controle conserve, stock inchange. ","")&amp;IF($Q219="DONNEES MANQUANTES","Renseigner la DATE et au moins une mesure. ",""))</f>
        <v/>
      </c>
      <c r="S219" s="28" t="n">
        <f aca="false">IF($C219="",0,IF($C219=R_LOT,1,0))</f>
        <v>0</v>
      </c>
      <c r="T219" s="26" t="str">
        <f aca="false">IF($S219=0,"",COUNTIF($S$5:$S219,1))</f>
        <v/>
      </c>
    </row>
    <row r="220" customFormat="false" ht="15" hidden="false" customHeight="false" outlineLevel="0" collapsed="false">
      <c r="A220" s="26" t="str">
        <f aca="false">IF($C220="","","QC-"&amp;TEXT(ROW()-4,"000"))</f>
        <v/>
      </c>
      <c r="B220" s="25"/>
      <c r="C220" s="24"/>
      <c r="D220" s="24"/>
      <c r="E220" s="24"/>
      <c r="F220" s="32"/>
      <c r="G220" s="33"/>
      <c r="H220" s="24"/>
      <c r="I220" s="24"/>
      <c r="J220" s="24"/>
      <c r="K220" s="24"/>
      <c r="L220" s="24"/>
      <c r="M220" s="24"/>
      <c r="N220" s="26" t="str">
        <f aca="false">IF($C220="","",IFERROR(INDEX(LOT_PRODE,MATCH($C220,LOT_KEY,0)),"LOT NON REFERENCE"))</f>
        <v/>
      </c>
      <c r="O220" s="26" t="str">
        <f aca="false">IF($C220="","",IFERROR(INDEX(LOT_CONSERVE,MATCH($C220,LOT_KEY,0)),""))</f>
        <v/>
      </c>
      <c r="P220" s="27" t="str">
        <f aca="false">IF(OR($C220="",$D220=""),"",SUMIFS(MVT_NET,MVT_LOT,$C220,MVT_EMPL,$D220))</f>
        <v/>
      </c>
      <c r="Q220" s="26" t="str">
        <f aca="false">IF($C220="","",IF(OR($B220="",AND($F220="",$G220="",$H220="",$I220="",$J220="",$K220="")),"DONNEES MANQUANTES",IF(AND($D220&lt;&gt;"",$P220&lt;=0),"EMPLACEMENT INCOHERENT","OK")))</f>
        <v/>
      </c>
      <c r="R220" s="26" t="str">
        <f aca="false">IF($C220="","",IF(AND(ISNUMBER($G220),$G220&gt;P_HIST),"HISTAMINE "&amp;TEXT($G220,"#,##0")&amp;" mg/kg &gt; seuil "&amp;TEXT(P_HIST,"#,##0")&amp;". ","")&amp;IF(AND(ISNUMBER($F220),$O220="CONGELE",$F220&gt;P_TCONG),"TEMPERATURE "&amp;TEXT($F220,"0.0")&amp;" C hors seuil congele. ","")&amp;IF(AND(ISNUMBER($F220),$O220="FRAIS",$F220&gt;P_TFRAIS),"TEMPERATURE "&amp;TEXT($F220,"0.0")&amp;" C hors seuil frais. ","")&amp;IF($Q220="EMPLACEMENT INCOHERENT","Lot absent de cet emplacement : controle conserve, stock inchange. ","")&amp;IF($Q220="DONNEES MANQUANTES","Renseigner la DATE et au moins une mesure. ",""))</f>
        <v/>
      </c>
      <c r="S220" s="28" t="n">
        <f aca="false">IF($C220="",0,IF($C220=R_LOT,1,0))</f>
        <v>0</v>
      </c>
      <c r="T220" s="26" t="str">
        <f aca="false">IF($S220=0,"",COUNTIF($S$5:$S220,1))</f>
        <v/>
      </c>
    </row>
    <row r="221" customFormat="false" ht="15" hidden="false" customHeight="false" outlineLevel="0" collapsed="false">
      <c r="A221" s="26" t="str">
        <f aca="false">IF($C221="","","QC-"&amp;TEXT(ROW()-4,"000"))</f>
        <v/>
      </c>
      <c r="B221" s="25"/>
      <c r="C221" s="24"/>
      <c r="D221" s="24"/>
      <c r="E221" s="24"/>
      <c r="F221" s="32"/>
      <c r="G221" s="33"/>
      <c r="H221" s="24"/>
      <c r="I221" s="24"/>
      <c r="J221" s="24"/>
      <c r="K221" s="24"/>
      <c r="L221" s="24"/>
      <c r="M221" s="24"/>
      <c r="N221" s="26" t="str">
        <f aca="false">IF($C221="","",IFERROR(INDEX(LOT_PRODE,MATCH($C221,LOT_KEY,0)),"LOT NON REFERENCE"))</f>
        <v/>
      </c>
      <c r="O221" s="26" t="str">
        <f aca="false">IF($C221="","",IFERROR(INDEX(LOT_CONSERVE,MATCH($C221,LOT_KEY,0)),""))</f>
        <v/>
      </c>
      <c r="P221" s="27" t="str">
        <f aca="false">IF(OR($C221="",$D221=""),"",SUMIFS(MVT_NET,MVT_LOT,$C221,MVT_EMPL,$D221))</f>
        <v/>
      </c>
      <c r="Q221" s="26" t="str">
        <f aca="false">IF($C221="","",IF(OR($B221="",AND($F221="",$G221="",$H221="",$I221="",$J221="",$K221="")),"DONNEES MANQUANTES",IF(AND($D221&lt;&gt;"",$P221&lt;=0),"EMPLACEMENT INCOHERENT","OK")))</f>
        <v/>
      </c>
      <c r="R221" s="26" t="str">
        <f aca="false">IF($C221="","",IF(AND(ISNUMBER($G221),$G221&gt;P_HIST),"HISTAMINE "&amp;TEXT($G221,"#,##0")&amp;" mg/kg &gt; seuil "&amp;TEXT(P_HIST,"#,##0")&amp;". ","")&amp;IF(AND(ISNUMBER($F221),$O221="CONGELE",$F221&gt;P_TCONG),"TEMPERATURE "&amp;TEXT($F221,"0.0")&amp;" C hors seuil congele. ","")&amp;IF(AND(ISNUMBER($F221),$O221="FRAIS",$F221&gt;P_TFRAIS),"TEMPERATURE "&amp;TEXT($F221,"0.0")&amp;" C hors seuil frais. ","")&amp;IF($Q221="EMPLACEMENT INCOHERENT","Lot absent de cet emplacement : controle conserve, stock inchange. ","")&amp;IF($Q221="DONNEES MANQUANTES","Renseigner la DATE et au moins une mesure. ",""))</f>
        <v/>
      </c>
      <c r="S221" s="28" t="n">
        <f aca="false">IF($C221="",0,IF($C221=R_LOT,1,0))</f>
        <v>0</v>
      </c>
      <c r="T221" s="26" t="str">
        <f aca="false">IF($S221=0,"",COUNTIF($S$5:$S221,1))</f>
        <v/>
      </c>
    </row>
    <row r="222" customFormat="false" ht="15" hidden="false" customHeight="false" outlineLevel="0" collapsed="false">
      <c r="A222" s="26" t="str">
        <f aca="false">IF($C222="","","QC-"&amp;TEXT(ROW()-4,"000"))</f>
        <v/>
      </c>
      <c r="B222" s="25"/>
      <c r="C222" s="24"/>
      <c r="D222" s="24"/>
      <c r="E222" s="24"/>
      <c r="F222" s="32"/>
      <c r="G222" s="33"/>
      <c r="H222" s="24"/>
      <c r="I222" s="24"/>
      <c r="J222" s="24"/>
      <c r="K222" s="24"/>
      <c r="L222" s="24"/>
      <c r="M222" s="24"/>
      <c r="N222" s="26" t="str">
        <f aca="false">IF($C222="","",IFERROR(INDEX(LOT_PRODE,MATCH($C222,LOT_KEY,0)),"LOT NON REFERENCE"))</f>
        <v/>
      </c>
      <c r="O222" s="26" t="str">
        <f aca="false">IF($C222="","",IFERROR(INDEX(LOT_CONSERVE,MATCH($C222,LOT_KEY,0)),""))</f>
        <v/>
      </c>
      <c r="P222" s="27" t="str">
        <f aca="false">IF(OR($C222="",$D222=""),"",SUMIFS(MVT_NET,MVT_LOT,$C222,MVT_EMPL,$D222))</f>
        <v/>
      </c>
      <c r="Q222" s="26" t="str">
        <f aca="false">IF($C222="","",IF(OR($B222="",AND($F222="",$G222="",$H222="",$I222="",$J222="",$K222="")),"DONNEES MANQUANTES",IF(AND($D222&lt;&gt;"",$P222&lt;=0),"EMPLACEMENT INCOHERENT","OK")))</f>
        <v/>
      </c>
      <c r="R222" s="26" t="str">
        <f aca="false">IF($C222="","",IF(AND(ISNUMBER($G222),$G222&gt;P_HIST),"HISTAMINE "&amp;TEXT($G222,"#,##0")&amp;" mg/kg &gt; seuil "&amp;TEXT(P_HIST,"#,##0")&amp;". ","")&amp;IF(AND(ISNUMBER($F222),$O222="CONGELE",$F222&gt;P_TCONG),"TEMPERATURE "&amp;TEXT($F222,"0.0")&amp;" C hors seuil congele. ","")&amp;IF(AND(ISNUMBER($F222),$O222="FRAIS",$F222&gt;P_TFRAIS),"TEMPERATURE "&amp;TEXT($F222,"0.0")&amp;" C hors seuil frais. ","")&amp;IF($Q222="EMPLACEMENT INCOHERENT","Lot absent de cet emplacement : controle conserve, stock inchange. ","")&amp;IF($Q222="DONNEES MANQUANTES","Renseigner la DATE et au moins une mesure. ",""))</f>
        <v/>
      </c>
      <c r="S222" s="28" t="n">
        <f aca="false">IF($C222="",0,IF($C222=R_LOT,1,0))</f>
        <v>0</v>
      </c>
      <c r="T222" s="26" t="str">
        <f aca="false">IF($S222=0,"",COUNTIF($S$5:$S222,1))</f>
        <v/>
      </c>
    </row>
    <row r="223" customFormat="false" ht="15" hidden="false" customHeight="false" outlineLevel="0" collapsed="false">
      <c r="A223" s="26" t="str">
        <f aca="false">IF($C223="","","QC-"&amp;TEXT(ROW()-4,"000"))</f>
        <v/>
      </c>
      <c r="B223" s="25"/>
      <c r="C223" s="24"/>
      <c r="D223" s="24"/>
      <c r="E223" s="24"/>
      <c r="F223" s="32"/>
      <c r="G223" s="33"/>
      <c r="H223" s="24"/>
      <c r="I223" s="24"/>
      <c r="J223" s="24"/>
      <c r="K223" s="24"/>
      <c r="L223" s="24"/>
      <c r="M223" s="24"/>
      <c r="N223" s="26" t="str">
        <f aca="false">IF($C223="","",IFERROR(INDEX(LOT_PRODE,MATCH($C223,LOT_KEY,0)),"LOT NON REFERENCE"))</f>
        <v/>
      </c>
      <c r="O223" s="26" t="str">
        <f aca="false">IF($C223="","",IFERROR(INDEX(LOT_CONSERVE,MATCH($C223,LOT_KEY,0)),""))</f>
        <v/>
      </c>
      <c r="P223" s="27" t="str">
        <f aca="false">IF(OR($C223="",$D223=""),"",SUMIFS(MVT_NET,MVT_LOT,$C223,MVT_EMPL,$D223))</f>
        <v/>
      </c>
      <c r="Q223" s="26" t="str">
        <f aca="false">IF($C223="","",IF(OR($B223="",AND($F223="",$G223="",$H223="",$I223="",$J223="",$K223="")),"DONNEES MANQUANTES",IF(AND($D223&lt;&gt;"",$P223&lt;=0),"EMPLACEMENT INCOHERENT","OK")))</f>
        <v/>
      </c>
      <c r="R223" s="26" t="str">
        <f aca="false">IF($C223="","",IF(AND(ISNUMBER($G223),$G223&gt;P_HIST),"HISTAMINE "&amp;TEXT($G223,"#,##0")&amp;" mg/kg &gt; seuil "&amp;TEXT(P_HIST,"#,##0")&amp;". ","")&amp;IF(AND(ISNUMBER($F223),$O223="CONGELE",$F223&gt;P_TCONG),"TEMPERATURE "&amp;TEXT($F223,"0.0")&amp;" C hors seuil congele. ","")&amp;IF(AND(ISNUMBER($F223),$O223="FRAIS",$F223&gt;P_TFRAIS),"TEMPERATURE "&amp;TEXT($F223,"0.0")&amp;" C hors seuil frais. ","")&amp;IF($Q223="EMPLACEMENT INCOHERENT","Lot absent de cet emplacement : controle conserve, stock inchange. ","")&amp;IF($Q223="DONNEES MANQUANTES","Renseigner la DATE et au moins une mesure. ",""))</f>
        <v/>
      </c>
      <c r="S223" s="28" t="n">
        <f aca="false">IF($C223="",0,IF($C223=R_LOT,1,0))</f>
        <v>0</v>
      </c>
      <c r="T223" s="26" t="str">
        <f aca="false">IF($S223=0,"",COUNTIF($S$5:$S223,1))</f>
        <v/>
      </c>
    </row>
    <row r="224" customFormat="false" ht="15" hidden="false" customHeight="false" outlineLevel="0" collapsed="false">
      <c r="A224" s="26" t="str">
        <f aca="false">IF($C224="","","QC-"&amp;TEXT(ROW()-4,"000"))</f>
        <v/>
      </c>
      <c r="B224" s="25"/>
      <c r="C224" s="24"/>
      <c r="D224" s="24"/>
      <c r="E224" s="24"/>
      <c r="F224" s="32"/>
      <c r="G224" s="33"/>
      <c r="H224" s="24"/>
      <c r="I224" s="24"/>
      <c r="J224" s="24"/>
      <c r="K224" s="24"/>
      <c r="L224" s="24"/>
      <c r="M224" s="24"/>
      <c r="N224" s="26" t="str">
        <f aca="false">IF($C224="","",IFERROR(INDEX(LOT_PRODE,MATCH($C224,LOT_KEY,0)),"LOT NON REFERENCE"))</f>
        <v/>
      </c>
      <c r="O224" s="26" t="str">
        <f aca="false">IF($C224="","",IFERROR(INDEX(LOT_CONSERVE,MATCH($C224,LOT_KEY,0)),""))</f>
        <v/>
      </c>
      <c r="P224" s="27" t="str">
        <f aca="false">IF(OR($C224="",$D224=""),"",SUMIFS(MVT_NET,MVT_LOT,$C224,MVT_EMPL,$D224))</f>
        <v/>
      </c>
      <c r="Q224" s="26" t="str">
        <f aca="false">IF($C224="","",IF(OR($B224="",AND($F224="",$G224="",$H224="",$I224="",$J224="",$K224="")),"DONNEES MANQUANTES",IF(AND($D224&lt;&gt;"",$P224&lt;=0),"EMPLACEMENT INCOHERENT","OK")))</f>
        <v/>
      </c>
      <c r="R224" s="26" t="str">
        <f aca="false">IF($C224="","",IF(AND(ISNUMBER($G224),$G224&gt;P_HIST),"HISTAMINE "&amp;TEXT($G224,"#,##0")&amp;" mg/kg &gt; seuil "&amp;TEXT(P_HIST,"#,##0")&amp;". ","")&amp;IF(AND(ISNUMBER($F224),$O224="CONGELE",$F224&gt;P_TCONG),"TEMPERATURE "&amp;TEXT($F224,"0.0")&amp;" C hors seuil congele. ","")&amp;IF(AND(ISNUMBER($F224),$O224="FRAIS",$F224&gt;P_TFRAIS),"TEMPERATURE "&amp;TEXT($F224,"0.0")&amp;" C hors seuil frais. ","")&amp;IF($Q224="EMPLACEMENT INCOHERENT","Lot absent de cet emplacement : controle conserve, stock inchange. ","")&amp;IF($Q224="DONNEES MANQUANTES","Renseigner la DATE et au moins une mesure. ",""))</f>
        <v/>
      </c>
      <c r="S224" s="28" t="n">
        <f aca="false">IF($C224="",0,IF($C224=R_LOT,1,0))</f>
        <v>0</v>
      </c>
      <c r="T224" s="26" t="str">
        <f aca="false">IF($S224=0,"",COUNTIF($S$5:$S224,1))</f>
        <v/>
      </c>
    </row>
    <row r="225" customFormat="false" ht="15" hidden="false" customHeight="false" outlineLevel="0" collapsed="false">
      <c r="A225" s="26" t="str">
        <f aca="false">IF($C225="","","QC-"&amp;TEXT(ROW()-4,"000"))</f>
        <v/>
      </c>
      <c r="B225" s="25"/>
      <c r="C225" s="24"/>
      <c r="D225" s="24"/>
      <c r="E225" s="24"/>
      <c r="F225" s="32"/>
      <c r="G225" s="33"/>
      <c r="H225" s="24"/>
      <c r="I225" s="24"/>
      <c r="J225" s="24"/>
      <c r="K225" s="24"/>
      <c r="L225" s="24"/>
      <c r="M225" s="24"/>
      <c r="N225" s="26" t="str">
        <f aca="false">IF($C225="","",IFERROR(INDEX(LOT_PRODE,MATCH($C225,LOT_KEY,0)),"LOT NON REFERENCE"))</f>
        <v/>
      </c>
      <c r="O225" s="26" t="str">
        <f aca="false">IF($C225="","",IFERROR(INDEX(LOT_CONSERVE,MATCH($C225,LOT_KEY,0)),""))</f>
        <v/>
      </c>
      <c r="P225" s="27" t="str">
        <f aca="false">IF(OR($C225="",$D225=""),"",SUMIFS(MVT_NET,MVT_LOT,$C225,MVT_EMPL,$D225))</f>
        <v/>
      </c>
      <c r="Q225" s="26" t="str">
        <f aca="false">IF($C225="","",IF(OR($B225="",AND($F225="",$G225="",$H225="",$I225="",$J225="",$K225="")),"DONNEES MANQUANTES",IF(AND($D225&lt;&gt;"",$P225&lt;=0),"EMPLACEMENT INCOHERENT","OK")))</f>
        <v/>
      </c>
      <c r="R225" s="26" t="str">
        <f aca="false">IF($C225="","",IF(AND(ISNUMBER($G225),$G225&gt;P_HIST),"HISTAMINE "&amp;TEXT($G225,"#,##0")&amp;" mg/kg &gt; seuil "&amp;TEXT(P_HIST,"#,##0")&amp;". ","")&amp;IF(AND(ISNUMBER($F225),$O225="CONGELE",$F225&gt;P_TCONG),"TEMPERATURE "&amp;TEXT($F225,"0.0")&amp;" C hors seuil congele. ","")&amp;IF(AND(ISNUMBER($F225),$O225="FRAIS",$F225&gt;P_TFRAIS),"TEMPERATURE "&amp;TEXT($F225,"0.0")&amp;" C hors seuil frais. ","")&amp;IF($Q225="EMPLACEMENT INCOHERENT","Lot absent de cet emplacement : controle conserve, stock inchange. ","")&amp;IF($Q225="DONNEES MANQUANTES","Renseigner la DATE et au moins une mesure. ",""))</f>
        <v/>
      </c>
      <c r="S225" s="28" t="n">
        <f aca="false">IF($C225="",0,IF($C225=R_LOT,1,0))</f>
        <v>0</v>
      </c>
      <c r="T225" s="26" t="str">
        <f aca="false">IF($S225=0,"",COUNTIF($S$5:$S225,1))</f>
        <v/>
      </c>
    </row>
    <row r="226" customFormat="false" ht="15" hidden="false" customHeight="false" outlineLevel="0" collapsed="false">
      <c r="A226" s="26" t="str">
        <f aca="false">IF($C226="","","QC-"&amp;TEXT(ROW()-4,"000"))</f>
        <v/>
      </c>
      <c r="B226" s="25"/>
      <c r="C226" s="24"/>
      <c r="D226" s="24"/>
      <c r="E226" s="24"/>
      <c r="F226" s="32"/>
      <c r="G226" s="33"/>
      <c r="H226" s="24"/>
      <c r="I226" s="24"/>
      <c r="J226" s="24"/>
      <c r="K226" s="24"/>
      <c r="L226" s="24"/>
      <c r="M226" s="24"/>
      <c r="N226" s="26" t="str">
        <f aca="false">IF($C226="","",IFERROR(INDEX(LOT_PRODE,MATCH($C226,LOT_KEY,0)),"LOT NON REFERENCE"))</f>
        <v/>
      </c>
      <c r="O226" s="26" t="str">
        <f aca="false">IF($C226="","",IFERROR(INDEX(LOT_CONSERVE,MATCH($C226,LOT_KEY,0)),""))</f>
        <v/>
      </c>
      <c r="P226" s="27" t="str">
        <f aca="false">IF(OR($C226="",$D226=""),"",SUMIFS(MVT_NET,MVT_LOT,$C226,MVT_EMPL,$D226))</f>
        <v/>
      </c>
      <c r="Q226" s="26" t="str">
        <f aca="false">IF($C226="","",IF(OR($B226="",AND($F226="",$G226="",$H226="",$I226="",$J226="",$K226="")),"DONNEES MANQUANTES",IF(AND($D226&lt;&gt;"",$P226&lt;=0),"EMPLACEMENT INCOHERENT","OK")))</f>
        <v/>
      </c>
      <c r="R226" s="26" t="str">
        <f aca="false">IF($C226="","",IF(AND(ISNUMBER($G226),$G226&gt;P_HIST),"HISTAMINE "&amp;TEXT($G226,"#,##0")&amp;" mg/kg &gt; seuil "&amp;TEXT(P_HIST,"#,##0")&amp;". ","")&amp;IF(AND(ISNUMBER($F226),$O226="CONGELE",$F226&gt;P_TCONG),"TEMPERATURE "&amp;TEXT($F226,"0.0")&amp;" C hors seuil congele. ","")&amp;IF(AND(ISNUMBER($F226),$O226="FRAIS",$F226&gt;P_TFRAIS),"TEMPERATURE "&amp;TEXT($F226,"0.0")&amp;" C hors seuil frais. ","")&amp;IF($Q226="EMPLACEMENT INCOHERENT","Lot absent de cet emplacement : controle conserve, stock inchange. ","")&amp;IF($Q226="DONNEES MANQUANTES","Renseigner la DATE et au moins une mesure. ",""))</f>
        <v/>
      </c>
      <c r="S226" s="28" t="n">
        <f aca="false">IF($C226="",0,IF($C226=R_LOT,1,0))</f>
        <v>0</v>
      </c>
      <c r="T226" s="26" t="str">
        <f aca="false">IF($S226=0,"",COUNTIF($S$5:$S226,1))</f>
        <v/>
      </c>
    </row>
    <row r="227" customFormat="false" ht="15" hidden="false" customHeight="false" outlineLevel="0" collapsed="false">
      <c r="A227" s="26" t="str">
        <f aca="false">IF($C227="","","QC-"&amp;TEXT(ROW()-4,"000"))</f>
        <v/>
      </c>
      <c r="B227" s="25"/>
      <c r="C227" s="24"/>
      <c r="D227" s="24"/>
      <c r="E227" s="24"/>
      <c r="F227" s="32"/>
      <c r="G227" s="33"/>
      <c r="H227" s="24"/>
      <c r="I227" s="24"/>
      <c r="J227" s="24"/>
      <c r="K227" s="24"/>
      <c r="L227" s="24"/>
      <c r="M227" s="24"/>
      <c r="N227" s="26" t="str">
        <f aca="false">IF($C227="","",IFERROR(INDEX(LOT_PRODE,MATCH($C227,LOT_KEY,0)),"LOT NON REFERENCE"))</f>
        <v/>
      </c>
      <c r="O227" s="26" t="str">
        <f aca="false">IF($C227="","",IFERROR(INDEX(LOT_CONSERVE,MATCH($C227,LOT_KEY,0)),""))</f>
        <v/>
      </c>
      <c r="P227" s="27" t="str">
        <f aca="false">IF(OR($C227="",$D227=""),"",SUMIFS(MVT_NET,MVT_LOT,$C227,MVT_EMPL,$D227))</f>
        <v/>
      </c>
      <c r="Q227" s="26" t="str">
        <f aca="false">IF($C227="","",IF(OR($B227="",AND($F227="",$G227="",$H227="",$I227="",$J227="",$K227="")),"DONNEES MANQUANTES",IF(AND($D227&lt;&gt;"",$P227&lt;=0),"EMPLACEMENT INCOHERENT","OK")))</f>
        <v/>
      </c>
      <c r="R227" s="26" t="str">
        <f aca="false">IF($C227="","",IF(AND(ISNUMBER($G227),$G227&gt;P_HIST),"HISTAMINE "&amp;TEXT($G227,"#,##0")&amp;" mg/kg &gt; seuil "&amp;TEXT(P_HIST,"#,##0")&amp;". ","")&amp;IF(AND(ISNUMBER($F227),$O227="CONGELE",$F227&gt;P_TCONG),"TEMPERATURE "&amp;TEXT($F227,"0.0")&amp;" C hors seuil congele. ","")&amp;IF(AND(ISNUMBER($F227),$O227="FRAIS",$F227&gt;P_TFRAIS),"TEMPERATURE "&amp;TEXT($F227,"0.0")&amp;" C hors seuil frais. ","")&amp;IF($Q227="EMPLACEMENT INCOHERENT","Lot absent de cet emplacement : controle conserve, stock inchange. ","")&amp;IF($Q227="DONNEES MANQUANTES","Renseigner la DATE et au moins une mesure. ",""))</f>
        <v/>
      </c>
      <c r="S227" s="28" t="n">
        <f aca="false">IF($C227="",0,IF($C227=R_LOT,1,0))</f>
        <v>0</v>
      </c>
      <c r="T227" s="26" t="str">
        <f aca="false">IF($S227=0,"",COUNTIF($S$5:$S227,1))</f>
        <v/>
      </c>
    </row>
    <row r="228" customFormat="false" ht="15" hidden="false" customHeight="false" outlineLevel="0" collapsed="false">
      <c r="A228" s="26" t="str">
        <f aca="false">IF($C228="","","QC-"&amp;TEXT(ROW()-4,"000"))</f>
        <v/>
      </c>
      <c r="B228" s="25"/>
      <c r="C228" s="24"/>
      <c r="D228" s="24"/>
      <c r="E228" s="24"/>
      <c r="F228" s="32"/>
      <c r="G228" s="33"/>
      <c r="H228" s="24"/>
      <c r="I228" s="24"/>
      <c r="J228" s="24"/>
      <c r="K228" s="24"/>
      <c r="L228" s="24"/>
      <c r="M228" s="24"/>
      <c r="N228" s="26" t="str">
        <f aca="false">IF($C228="","",IFERROR(INDEX(LOT_PRODE,MATCH($C228,LOT_KEY,0)),"LOT NON REFERENCE"))</f>
        <v/>
      </c>
      <c r="O228" s="26" t="str">
        <f aca="false">IF($C228="","",IFERROR(INDEX(LOT_CONSERVE,MATCH($C228,LOT_KEY,0)),""))</f>
        <v/>
      </c>
      <c r="P228" s="27" t="str">
        <f aca="false">IF(OR($C228="",$D228=""),"",SUMIFS(MVT_NET,MVT_LOT,$C228,MVT_EMPL,$D228))</f>
        <v/>
      </c>
      <c r="Q228" s="26" t="str">
        <f aca="false">IF($C228="","",IF(OR($B228="",AND($F228="",$G228="",$H228="",$I228="",$J228="",$K228="")),"DONNEES MANQUANTES",IF(AND($D228&lt;&gt;"",$P228&lt;=0),"EMPLACEMENT INCOHERENT","OK")))</f>
        <v/>
      </c>
      <c r="R228" s="26" t="str">
        <f aca="false">IF($C228="","",IF(AND(ISNUMBER($G228),$G228&gt;P_HIST),"HISTAMINE "&amp;TEXT($G228,"#,##0")&amp;" mg/kg &gt; seuil "&amp;TEXT(P_HIST,"#,##0")&amp;". ","")&amp;IF(AND(ISNUMBER($F228),$O228="CONGELE",$F228&gt;P_TCONG),"TEMPERATURE "&amp;TEXT($F228,"0.0")&amp;" C hors seuil congele. ","")&amp;IF(AND(ISNUMBER($F228),$O228="FRAIS",$F228&gt;P_TFRAIS),"TEMPERATURE "&amp;TEXT($F228,"0.0")&amp;" C hors seuil frais. ","")&amp;IF($Q228="EMPLACEMENT INCOHERENT","Lot absent de cet emplacement : controle conserve, stock inchange. ","")&amp;IF($Q228="DONNEES MANQUANTES","Renseigner la DATE et au moins une mesure. ",""))</f>
        <v/>
      </c>
      <c r="S228" s="28" t="n">
        <f aca="false">IF($C228="",0,IF($C228=R_LOT,1,0))</f>
        <v>0</v>
      </c>
      <c r="T228" s="26" t="str">
        <f aca="false">IF($S228=0,"",COUNTIF($S$5:$S228,1))</f>
        <v/>
      </c>
    </row>
    <row r="229" customFormat="false" ht="15" hidden="false" customHeight="false" outlineLevel="0" collapsed="false">
      <c r="A229" s="26" t="str">
        <f aca="false">IF($C229="","","QC-"&amp;TEXT(ROW()-4,"000"))</f>
        <v/>
      </c>
      <c r="B229" s="25"/>
      <c r="C229" s="24"/>
      <c r="D229" s="24"/>
      <c r="E229" s="24"/>
      <c r="F229" s="32"/>
      <c r="G229" s="33"/>
      <c r="H229" s="24"/>
      <c r="I229" s="24"/>
      <c r="J229" s="24"/>
      <c r="K229" s="24"/>
      <c r="L229" s="24"/>
      <c r="M229" s="24"/>
      <c r="N229" s="26" t="str">
        <f aca="false">IF($C229="","",IFERROR(INDEX(LOT_PRODE,MATCH($C229,LOT_KEY,0)),"LOT NON REFERENCE"))</f>
        <v/>
      </c>
      <c r="O229" s="26" t="str">
        <f aca="false">IF($C229="","",IFERROR(INDEX(LOT_CONSERVE,MATCH($C229,LOT_KEY,0)),""))</f>
        <v/>
      </c>
      <c r="P229" s="27" t="str">
        <f aca="false">IF(OR($C229="",$D229=""),"",SUMIFS(MVT_NET,MVT_LOT,$C229,MVT_EMPL,$D229))</f>
        <v/>
      </c>
      <c r="Q229" s="26" t="str">
        <f aca="false">IF($C229="","",IF(OR($B229="",AND($F229="",$G229="",$H229="",$I229="",$J229="",$K229="")),"DONNEES MANQUANTES",IF(AND($D229&lt;&gt;"",$P229&lt;=0),"EMPLACEMENT INCOHERENT","OK")))</f>
        <v/>
      </c>
      <c r="R229" s="26" t="str">
        <f aca="false">IF($C229="","",IF(AND(ISNUMBER($G229),$G229&gt;P_HIST),"HISTAMINE "&amp;TEXT($G229,"#,##0")&amp;" mg/kg &gt; seuil "&amp;TEXT(P_HIST,"#,##0")&amp;". ","")&amp;IF(AND(ISNUMBER($F229),$O229="CONGELE",$F229&gt;P_TCONG),"TEMPERATURE "&amp;TEXT($F229,"0.0")&amp;" C hors seuil congele. ","")&amp;IF(AND(ISNUMBER($F229),$O229="FRAIS",$F229&gt;P_TFRAIS),"TEMPERATURE "&amp;TEXT($F229,"0.0")&amp;" C hors seuil frais. ","")&amp;IF($Q229="EMPLACEMENT INCOHERENT","Lot absent de cet emplacement : controle conserve, stock inchange. ","")&amp;IF($Q229="DONNEES MANQUANTES","Renseigner la DATE et au moins une mesure. ",""))</f>
        <v/>
      </c>
      <c r="S229" s="28" t="n">
        <f aca="false">IF($C229="",0,IF($C229=R_LOT,1,0))</f>
        <v>0</v>
      </c>
      <c r="T229" s="26" t="str">
        <f aca="false">IF($S229=0,"",COUNTIF($S$5:$S229,1))</f>
        <v/>
      </c>
    </row>
    <row r="230" customFormat="false" ht="15" hidden="false" customHeight="false" outlineLevel="0" collapsed="false">
      <c r="A230" s="26" t="str">
        <f aca="false">IF($C230="","","QC-"&amp;TEXT(ROW()-4,"000"))</f>
        <v/>
      </c>
      <c r="B230" s="25"/>
      <c r="C230" s="24"/>
      <c r="D230" s="24"/>
      <c r="E230" s="24"/>
      <c r="F230" s="32"/>
      <c r="G230" s="33"/>
      <c r="H230" s="24"/>
      <c r="I230" s="24"/>
      <c r="J230" s="24"/>
      <c r="K230" s="24"/>
      <c r="L230" s="24"/>
      <c r="M230" s="24"/>
      <c r="N230" s="26" t="str">
        <f aca="false">IF($C230="","",IFERROR(INDEX(LOT_PRODE,MATCH($C230,LOT_KEY,0)),"LOT NON REFERENCE"))</f>
        <v/>
      </c>
      <c r="O230" s="26" t="str">
        <f aca="false">IF($C230="","",IFERROR(INDEX(LOT_CONSERVE,MATCH($C230,LOT_KEY,0)),""))</f>
        <v/>
      </c>
      <c r="P230" s="27" t="str">
        <f aca="false">IF(OR($C230="",$D230=""),"",SUMIFS(MVT_NET,MVT_LOT,$C230,MVT_EMPL,$D230))</f>
        <v/>
      </c>
      <c r="Q230" s="26" t="str">
        <f aca="false">IF($C230="","",IF(OR($B230="",AND($F230="",$G230="",$H230="",$I230="",$J230="",$K230="")),"DONNEES MANQUANTES",IF(AND($D230&lt;&gt;"",$P230&lt;=0),"EMPLACEMENT INCOHERENT","OK")))</f>
        <v/>
      </c>
      <c r="R230" s="26" t="str">
        <f aca="false">IF($C230="","",IF(AND(ISNUMBER($G230),$G230&gt;P_HIST),"HISTAMINE "&amp;TEXT($G230,"#,##0")&amp;" mg/kg &gt; seuil "&amp;TEXT(P_HIST,"#,##0")&amp;". ","")&amp;IF(AND(ISNUMBER($F230),$O230="CONGELE",$F230&gt;P_TCONG),"TEMPERATURE "&amp;TEXT($F230,"0.0")&amp;" C hors seuil congele. ","")&amp;IF(AND(ISNUMBER($F230),$O230="FRAIS",$F230&gt;P_TFRAIS),"TEMPERATURE "&amp;TEXT($F230,"0.0")&amp;" C hors seuil frais. ","")&amp;IF($Q230="EMPLACEMENT INCOHERENT","Lot absent de cet emplacement : controle conserve, stock inchange. ","")&amp;IF($Q230="DONNEES MANQUANTES","Renseigner la DATE et au moins une mesure. ",""))</f>
        <v/>
      </c>
      <c r="S230" s="28" t="n">
        <f aca="false">IF($C230="",0,IF($C230=R_LOT,1,0))</f>
        <v>0</v>
      </c>
      <c r="T230" s="26" t="str">
        <f aca="false">IF($S230=0,"",COUNTIF($S$5:$S230,1))</f>
        <v/>
      </c>
    </row>
    <row r="231" customFormat="false" ht="15" hidden="false" customHeight="false" outlineLevel="0" collapsed="false">
      <c r="A231" s="26" t="str">
        <f aca="false">IF($C231="","","QC-"&amp;TEXT(ROW()-4,"000"))</f>
        <v/>
      </c>
      <c r="B231" s="25"/>
      <c r="C231" s="24"/>
      <c r="D231" s="24"/>
      <c r="E231" s="24"/>
      <c r="F231" s="32"/>
      <c r="G231" s="33"/>
      <c r="H231" s="24"/>
      <c r="I231" s="24"/>
      <c r="J231" s="24"/>
      <c r="K231" s="24"/>
      <c r="L231" s="24"/>
      <c r="M231" s="24"/>
      <c r="N231" s="26" t="str">
        <f aca="false">IF($C231="","",IFERROR(INDEX(LOT_PRODE,MATCH($C231,LOT_KEY,0)),"LOT NON REFERENCE"))</f>
        <v/>
      </c>
      <c r="O231" s="26" t="str">
        <f aca="false">IF($C231="","",IFERROR(INDEX(LOT_CONSERVE,MATCH($C231,LOT_KEY,0)),""))</f>
        <v/>
      </c>
      <c r="P231" s="27" t="str">
        <f aca="false">IF(OR($C231="",$D231=""),"",SUMIFS(MVT_NET,MVT_LOT,$C231,MVT_EMPL,$D231))</f>
        <v/>
      </c>
      <c r="Q231" s="26" t="str">
        <f aca="false">IF($C231="","",IF(OR($B231="",AND($F231="",$G231="",$H231="",$I231="",$J231="",$K231="")),"DONNEES MANQUANTES",IF(AND($D231&lt;&gt;"",$P231&lt;=0),"EMPLACEMENT INCOHERENT","OK")))</f>
        <v/>
      </c>
      <c r="R231" s="26" t="str">
        <f aca="false">IF($C231="","",IF(AND(ISNUMBER($G231),$G231&gt;P_HIST),"HISTAMINE "&amp;TEXT($G231,"#,##0")&amp;" mg/kg &gt; seuil "&amp;TEXT(P_HIST,"#,##0")&amp;". ","")&amp;IF(AND(ISNUMBER($F231),$O231="CONGELE",$F231&gt;P_TCONG),"TEMPERATURE "&amp;TEXT($F231,"0.0")&amp;" C hors seuil congele. ","")&amp;IF(AND(ISNUMBER($F231),$O231="FRAIS",$F231&gt;P_TFRAIS),"TEMPERATURE "&amp;TEXT($F231,"0.0")&amp;" C hors seuil frais. ","")&amp;IF($Q231="EMPLACEMENT INCOHERENT","Lot absent de cet emplacement : controle conserve, stock inchange. ","")&amp;IF($Q231="DONNEES MANQUANTES","Renseigner la DATE et au moins une mesure. ",""))</f>
        <v/>
      </c>
      <c r="S231" s="28" t="n">
        <f aca="false">IF($C231="",0,IF($C231=R_LOT,1,0))</f>
        <v>0</v>
      </c>
      <c r="T231" s="26" t="str">
        <f aca="false">IF($S231=0,"",COUNTIF($S$5:$S231,1))</f>
        <v/>
      </c>
    </row>
    <row r="232" customFormat="false" ht="15" hidden="false" customHeight="false" outlineLevel="0" collapsed="false">
      <c r="A232" s="26" t="str">
        <f aca="false">IF($C232="","","QC-"&amp;TEXT(ROW()-4,"000"))</f>
        <v/>
      </c>
      <c r="B232" s="25"/>
      <c r="C232" s="24"/>
      <c r="D232" s="24"/>
      <c r="E232" s="24"/>
      <c r="F232" s="32"/>
      <c r="G232" s="33"/>
      <c r="H232" s="24"/>
      <c r="I232" s="24"/>
      <c r="J232" s="24"/>
      <c r="K232" s="24"/>
      <c r="L232" s="24"/>
      <c r="M232" s="24"/>
      <c r="N232" s="26" t="str">
        <f aca="false">IF($C232="","",IFERROR(INDEX(LOT_PRODE,MATCH($C232,LOT_KEY,0)),"LOT NON REFERENCE"))</f>
        <v/>
      </c>
      <c r="O232" s="26" t="str">
        <f aca="false">IF($C232="","",IFERROR(INDEX(LOT_CONSERVE,MATCH($C232,LOT_KEY,0)),""))</f>
        <v/>
      </c>
      <c r="P232" s="27" t="str">
        <f aca="false">IF(OR($C232="",$D232=""),"",SUMIFS(MVT_NET,MVT_LOT,$C232,MVT_EMPL,$D232))</f>
        <v/>
      </c>
      <c r="Q232" s="26" t="str">
        <f aca="false">IF($C232="","",IF(OR($B232="",AND($F232="",$G232="",$H232="",$I232="",$J232="",$K232="")),"DONNEES MANQUANTES",IF(AND($D232&lt;&gt;"",$P232&lt;=0),"EMPLACEMENT INCOHERENT","OK")))</f>
        <v/>
      </c>
      <c r="R232" s="26" t="str">
        <f aca="false">IF($C232="","",IF(AND(ISNUMBER($G232),$G232&gt;P_HIST),"HISTAMINE "&amp;TEXT($G232,"#,##0")&amp;" mg/kg &gt; seuil "&amp;TEXT(P_HIST,"#,##0")&amp;". ","")&amp;IF(AND(ISNUMBER($F232),$O232="CONGELE",$F232&gt;P_TCONG),"TEMPERATURE "&amp;TEXT($F232,"0.0")&amp;" C hors seuil congele. ","")&amp;IF(AND(ISNUMBER($F232),$O232="FRAIS",$F232&gt;P_TFRAIS),"TEMPERATURE "&amp;TEXT($F232,"0.0")&amp;" C hors seuil frais. ","")&amp;IF($Q232="EMPLACEMENT INCOHERENT","Lot absent de cet emplacement : controle conserve, stock inchange. ","")&amp;IF($Q232="DONNEES MANQUANTES","Renseigner la DATE et au moins une mesure. ",""))</f>
        <v/>
      </c>
      <c r="S232" s="28" t="n">
        <f aca="false">IF($C232="",0,IF($C232=R_LOT,1,0))</f>
        <v>0</v>
      </c>
      <c r="T232" s="26" t="str">
        <f aca="false">IF($S232=0,"",COUNTIF($S$5:$S232,1))</f>
        <v/>
      </c>
    </row>
    <row r="233" customFormat="false" ht="15" hidden="false" customHeight="false" outlineLevel="0" collapsed="false">
      <c r="A233" s="26" t="str">
        <f aca="false">IF($C233="","","QC-"&amp;TEXT(ROW()-4,"000"))</f>
        <v/>
      </c>
      <c r="B233" s="25"/>
      <c r="C233" s="24"/>
      <c r="D233" s="24"/>
      <c r="E233" s="24"/>
      <c r="F233" s="32"/>
      <c r="G233" s="33"/>
      <c r="H233" s="24"/>
      <c r="I233" s="24"/>
      <c r="J233" s="24"/>
      <c r="K233" s="24"/>
      <c r="L233" s="24"/>
      <c r="M233" s="24"/>
      <c r="N233" s="26" t="str">
        <f aca="false">IF($C233="","",IFERROR(INDEX(LOT_PRODE,MATCH($C233,LOT_KEY,0)),"LOT NON REFERENCE"))</f>
        <v/>
      </c>
      <c r="O233" s="26" t="str">
        <f aca="false">IF($C233="","",IFERROR(INDEX(LOT_CONSERVE,MATCH($C233,LOT_KEY,0)),""))</f>
        <v/>
      </c>
      <c r="P233" s="27" t="str">
        <f aca="false">IF(OR($C233="",$D233=""),"",SUMIFS(MVT_NET,MVT_LOT,$C233,MVT_EMPL,$D233))</f>
        <v/>
      </c>
      <c r="Q233" s="26" t="str">
        <f aca="false">IF($C233="","",IF(OR($B233="",AND($F233="",$G233="",$H233="",$I233="",$J233="",$K233="")),"DONNEES MANQUANTES",IF(AND($D233&lt;&gt;"",$P233&lt;=0),"EMPLACEMENT INCOHERENT","OK")))</f>
        <v/>
      </c>
      <c r="R233" s="26" t="str">
        <f aca="false">IF($C233="","",IF(AND(ISNUMBER($G233),$G233&gt;P_HIST),"HISTAMINE "&amp;TEXT($G233,"#,##0")&amp;" mg/kg &gt; seuil "&amp;TEXT(P_HIST,"#,##0")&amp;". ","")&amp;IF(AND(ISNUMBER($F233),$O233="CONGELE",$F233&gt;P_TCONG),"TEMPERATURE "&amp;TEXT($F233,"0.0")&amp;" C hors seuil congele. ","")&amp;IF(AND(ISNUMBER($F233),$O233="FRAIS",$F233&gt;P_TFRAIS),"TEMPERATURE "&amp;TEXT($F233,"0.0")&amp;" C hors seuil frais. ","")&amp;IF($Q233="EMPLACEMENT INCOHERENT","Lot absent de cet emplacement : controle conserve, stock inchange. ","")&amp;IF($Q233="DONNEES MANQUANTES","Renseigner la DATE et au moins une mesure. ",""))</f>
        <v/>
      </c>
      <c r="S233" s="28" t="n">
        <f aca="false">IF($C233="",0,IF($C233=R_LOT,1,0))</f>
        <v>0</v>
      </c>
      <c r="T233" s="26" t="str">
        <f aca="false">IF($S233=0,"",COUNTIF($S$5:$S233,1))</f>
        <v/>
      </c>
    </row>
    <row r="234" customFormat="false" ht="15" hidden="false" customHeight="false" outlineLevel="0" collapsed="false">
      <c r="A234" s="26" t="str">
        <f aca="false">IF($C234="","","QC-"&amp;TEXT(ROW()-4,"000"))</f>
        <v/>
      </c>
      <c r="B234" s="25"/>
      <c r="C234" s="24"/>
      <c r="D234" s="24"/>
      <c r="E234" s="24"/>
      <c r="F234" s="32"/>
      <c r="G234" s="33"/>
      <c r="H234" s="24"/>
      <c r="I234" s="24"/>
      <c r="J234" s="24"/>
      <c r="K234" s="24"/>
      <c r="L234" s="24"/>
      <c r="M234" s="24"/>
      <c r="N234" s="26" t="str">
        <f aca="false">IF($C234="","",IFERROR(INDEX(LOT_PRODE,MATCH($C234,LOT_KEY,0)),"LOT NON REFERENCE"))</f>
        <v/>
      </c>
      <c r="O234" s="26" t="str">
        <f aca="false">IF($C234="","",IFERROR(INDEX(LOT_CONSERVE,MATCH($C234,LOT_KEY,0)),""))</f>
        <v/>
      </c>
      <c r="P234" s="27" t="str">
        <f aca="false">IF(OR($C234="",$D234=""),"",SUMIFS(MVT_NET,MVT_LOT,$C234,MVT_EMPL,$D234))</f>
        <v/>
      </c>
      <c r="Q234" s="26" t="str">
        <f aca="false">IF($C234="","",IF(OR($B234="",AND($F234="",$G234="",$H234="",$I234="",$J234="",$K234="")),"DONNEES MANQUANTES",IF(AND($D234&lt;&gt;"",$P234&lt;=0),"EMPLACEMENT INCOHERENT","OK")))</f>
        <v/>
      </c>
      <c r="R234" s="26" t="str">
        <f aca="false">IF($C234="","",IF(AND(ISNUMBER($G234),$G234&gt;P_HIST),"HISTAMINE "&amp;TEXT($G234,"#,##0")&amp;" mg/kg &gt; seuil "&amp;TEXT(P_HIST,"#,##0")&amp;". ","")&amp;IF(AND(ISNUMBER($F234),$O234="CONGELE",$F234&gt;P_TCONG),"TEMPERATURE "&amp;TEXT($F234,"0.0")&amp;" C hors seuil congele. ","")&amp;IF(AND(ISNUMBER($F234),$O234="FRAIS",$F234&gt;P_TFRAIS),"TEMPERATURE "&amp;TEXT($F234,"0.0")&amp;" C hors seuil frais. ","")&amp;IF($Q234="EMPLACEMENT INCOHERENT","Lot absent de cet emplacement : controle conserve, stock inchange. ","")&amp;IF($Q234="DONNEES MANQUANTES","Renseigner la DATE et au moins une mesure. ",""))</f>
        <v/>
      </c>
      <c r="S234" s="28" t="n">
        <f aca="false">IF($C234="",0,IF($C234=R_LOT,1,0))</f>
        <v>0</v>
      </c>
      <c r="T234" s="26" t="str">
        <f aca="false">IF($S234=0,"",COUNTIF($S$5:$S234,1))</f>
        <v/>
      </c>
    </row>
    <row r="235" customFormat="false" ht="15" hidden="false" customHeight="false" outlineLevel="0" collapsed="false">
      <c r="A235" s="26" t="str">
        <f aca="false">IF($C235="","","QC-"&amp;TEXT(ROW()-4,"000"))</f>
        <v/>
      </c>
      <c r="B235" s="25"/>
      <c r="C235" s="24"/>
      <c r="D235" s="24"/>
      <c r="E235" s="24"/>
      <c r="F235" s="32"/>
      <c r="G235" s="33"/>
      <c r="H235" s="24"/>
      <c r="I235" s="24"/>
      <c r="J235" s="24"/>
      <c r="K235" s="24"/>
      <c r="L235" s="24"/>
      <c r="M235" s="24"/>
      <c r="N235" s="26" t="str">
        <f aca="false">IF($C235="","",IFERROR(INDEX(LOT_PRODE,MATCH($C235,LOT_KEY,0)),"LOT NON REFERENCE"))</f>
        <v/>
      </c>
      <c r="O235" s="26" t="str">
        <f aca="false">IF($C235="","",IFERROR(INDEX(LOT_CONSERVE,MATCH($C235,LOT_KEY,0)),""))</f>
        <v/>
      </c>
      <c r="P235" s="27" t="str">
        <f aca="false">IF(OR($C235="",$D235=""),"",SUMIFS(MVT_NET,MVT_LOT,$C235,MVT_EMPL,$D235))</f>
        <v/>
      </c>
      <c r="Q235" s="26" t="str">
        <f aca="false">IF($C235="","",IF(OR($B235="",AND($F235="",$G235="",$H235="",$I235="",$J235="",$K235="")),"DONNEES MANQUANTES",IF(AND($D235&lt;&gt;"",$P235&lt;=0),"EMPLACEMENT INCOHERENT","OK")))</f>
        <v/>
      </c>
      <c r="R235" s="26" t="str">
        <f aca="false">IF($C235="","",IF(AND(ISNUMBER($G235),$G235&gt;P_HIST),"HISTAMINE "&amp;TEXT($G235,"#,##0")&amp;" mg/kg &gt; seuil "&amp;TEXT(P_HIST,"#,##0")&amp;". ","")&amp;IF(AND(ISNUMBER($F235),$O235="CONGELE",$F235&gt;P_TCONG),"TEMPERATURE "&amp;TEXT($F235,"0.0")&amp;" C hors seuil congele. ","")&amp;IF(AND(ISNUMBER($F235),$O235="FRAIS",$F235&gt;P_TFRAIS),"TEMPERATURE "&amp;TEXT($F235,"0.0")&amp;" C hors seuil frais. ","")&amp;IF($Q235="EMPLACEMENT INCOHERENT","Lot absent de cet emplacement : controle conserve, stock inchange. ","")&amp;IF($Q235="DONNEES MANQUANTES","Renseigner la DATE et au moins une mesure. ",""))</f>
        <v/>
      </c>
      <c r="S235" s="28" t="n">
        <f aca="false">IF($C235="",0,IF($C235=R_LOT,1,0))</f>
        <v>0</v>
      </c>
      <c r="T235" s="26" t="str">
        <f aca="false">IF($S235=0,"",COUNTIF($S$5:$S235,1))</f>
        <v/>
      </c>
    </row>
    <row r="236" customFormat="false" ht="15" hidden="false" customHeight="false" outlineLevel="0" collapsed="false">
      <c r="A236" s="26" t="str">
        <f aca="false">IF($C236="","","QC-"&amp;TEXT(ROW()-4,"000"))</f>
        <v/>
      </c>
      <c r="B236" s="25"/>
      <c r="C236" s="24"/>
      <c r="D236" s="24"/>
      <c r="E236" s="24"/>
      <c r="F236" s="32"/>
      <c r="G236" s="33"/>
      <c r="H236" s="24"/>
      <c r="I236" s="24"/>
      <c r="J236" s="24"/>
      <c r="K236" s="24"/>
      <c r="L236" s="24"/>
      <c r="M236" s="24"/>
      <c r="N236" s="26" t="str">
        <f aca="false">IF($C236="","",IFERROR(INDEX(LOT_PRODE,MATCH($C236,LOT_KEY,0)),"LOT NON REFERENCE"))</f>
        <v/>
      </c>
      <c r="O236" s="26" t="str">
        <f aca="false">IF($C236="","",IFERROR(INDEX(LOT_CONSERVE,MATCH($C236,LOT_KEY,0)),""))</f>
        <v/>
      </c>
      <c r="P236" s="27" t="str">
        <f aca="false">IF(OR($C236="",$D236=""),"",SUMIFS(MVT_NET,MVT_LOT,$C236,MVT_EMPL,$D236))</f>
        <v/>
      </c>
      <c r="Q236" s="26" t="str">
        <f aca="false">IF($C236="","",IF(OR($B236="",AND($F236="",$G236="",$H236="",$I236="",$J236="",$K236="")),"DONNEES MANQUANTES",IF(AND($D236&lt;&gt;"",$P236&lt;=0),"EMPLACEMENT INCOHERENT","OK")))</f>
        <v/>
      </c>
      <c r="R236" s="26" t="str">
        <f aca="false">IF($C236="","",IF(AND(ISNUMBER($G236),$G236&gt;P_HIST),"HISTAMINE "&amp;TEXT($G236,"#,##0")&amp;" mg/kg &gt; seuil "&amp;TEXT(P_HIST,"#,##0")&amp;". ","")&amp;IF(AND(ISNUMBER($F236),$O236="CONGELE",$F236&gt;P_TCONG),"TEMPERATURE "&amp;TEXT($F236,"0.0")&amp;" C hors seuil congele. ","")&amp;IF(AND(ISNUMBER($F236),$O236="FRAIS",$F236&gt;P_TFRAIS),"TEMPERATURE "&amp;TEXT($F236,"0.0")&amp;" C hors seuil frais. ","")&amp;IF($Q236="EMPLACEMENT INCOHERENT","Lot absent de cet emplacement : controle conserve, stock inchange. ","")&amp;IF($Q236="DONNEES MANQUANTES","Renseigner la DATE et au moins une mesure. ",""))</f>
        <v/>
      </c>
      <c r="S236" s="28" t="n">
        <f aca="false">IF($C236="",0,IF($C236=R_LOT,1,0))</f>
        <v>0</v>
      </c>
      <c r="T236" s="26" t="str">
        <f aca="false">IF($S236=0,"",COUNTIF($S$5:$S236,1))</f>
        <v/>
      </c>
    </row>
    <row r="237" customFormat="false" ht="15" hidden="false" customHeight="false" outlineLevel="0" collapsed="false">
      <c r="A237" s="26" t="str">
        <f aca="false">IF($C237="","","QC-"&amp;TEXT(ROW()-4,"000"))</f>
        <v/>
      </c>
      <c r="B237" s="25"/>
      <c r="C237" s="24"/>
      <c r="D237" s="24"/>
      <c r="E237" s="24"/>
      <c r="F237" s="32"/>
      <c r="G237" s="33"/>
      <c r="H237" s="24"/>
      <c r="I237" s="24"/>
      <c r="J237" s="24"/>
      <c r="K237" s="24"/>
      <c r="L237" s="24"/>
      <c r="M237" s="24"/>
      <c r="N237" s="26" t="str">
        <f aca="false">IF($C237="","",IFERROR(INDEX(LOT_PRODE,MATCH($C237,LOT_KEY,0)),"LOT NON REFERENCE"))</f>
        <v/>
      </c>
      <c r="O237" s="26" t="str">
        <f aca="false">IF($C237="","",IFERROR(INDEX(LOT_CONSERVE,MATCH($C237,LOT_KEY,0)),""))</f>
        <v/>
      </c>
      <c r="P237" s="27" t="str">
        <f aca="false">IF(OR($C237="",$D237=""),"",SUMIFS(MVT_NET,MVT_LOT,$C237,MVT_EMPL,$D237))</f>
        <v/>
      </c>
      <c r="Q237" s="26" t="str">
        <f aca="false">IF($C237="","",IF(OR($B237="",AND($F237="",$G237="",$H237="",$I237="",$J237="",$K237="")),"DONNEES MANQUANTES",IF(AND($D237&lt;&gt;"",$P237&lt;=0),"EMPLACEMENT INCOHERENT","OK")))</f>
        <v/>
      </c>
      <c r="R237" s="26" t="str">
        <f aca="false">IF($C237="","",IF(AND(ISNUMBER($G237),$G237&gt;P_HIST),"HISTAMINE "&amp;TEXT($G237,"#,##0")&amp;" mg/kg &gt; seuil "&amp;TEXT(P_HIST,"#,##0")&amp;". ","")&amp;IF(AND(ISNUMBER($F237),$O237="CONGELE",$F237&gt;P_TCONG),"TEMPERATURE "&amp;TEXT($F237,"0.0")&amp;" C hors seuil congele. ","")&amp;IF(AND(ISNUMBER($F237),$O237="FRAIS",$F237&gt;P_TFRAIS),"TEMPERATURE "&amp;TEXT($F237,"0.0")&amp;" C hors seuil frais. ","")&amp;IF($Q237="EMPLACEMENT INCOHERENT","Lot absent de cet emplacement : controle conserve, stock inchange. ","")&amp;IF($Q237="DONNEES MANQUANTES","Renseigner la DATE et au moins une mesure. ",""))</f>
        <v/>
      </c>
      <c r="S237" s="28" t="n">
        <f aca="false">IF($C237="",0,IF($C237=R_LOT,1,0))</f>
        <v>0</v>
      </c>
      <c r="T237" s="26" t="str">
        <f aca="false">IF($S237=0,"",COUNTIF($S$5:$S237,1))</f>
        <v/>
      </c>
    </row>
    <row r="238" customFormat="false" ht="15" hidden="false" customHeight="false" outlineLevel="0" collapsed="false">
      <c r="A238" s="26" t="str">
        <f aca="false">IF($C238="","","QC-"&amp;TEXT(ROW()-4,"000"))</f>
        <v/>
      </c>
      <c r="B238" s="25"/>
      <c r="C238" s="24"/>
      <c r="D238" s="24"/>
      <c r="E238" s="24"/>
      <c r="F238" s="32"/>
      <c r="G238" s="33"/>
      <c r="H238" s="24"/>
      <c r="I238" s="24"/>
      <c r="J238" s="24"/>
      <c r="K238" s="24"/>
      <c r="L238" s="24"/>
      <c r="M238" s="24"/>
      <c r="N238" s="26" t="str">
        <f aca="false">IF($C238="","",IFERROR(INDEX(LOT_PRODE,MATCH($C238,LOT_KEY,0)),"LOT NON REFERENCE"))</f>
        <v/>
      </c>
      <c r="O238" s="26" t="str">
        <f aca="false">IF($C238="","",IFERROR(INDEX(LOT_CONSERVE,MATCH($C238,LOT_KEY,0)),""))</f>
        <v/>
      </c>
      <c r="P238" s="27" t="str">
        <f aca="false">IF(OR($C238="",$D238=""),"",SUMIFS(MVT_NET,MVT_LOT,$C238,MVT_EMPL,$D238))</f>
        <v/>
      </c>
      <c r="Q238" s="26" t="str">
        <f aca="false">IF($C238="","",IF(OR($B238="",AND($F238="",$G238="",$H238="",$I238="",$J238="",$K238="")),"DONNEES MANQUANTES",IF(AND($D238&lt;&gt;"",$P238&lt;=0),"EMPLACEMENT INCOHERENT","OK")))</f>
        <v/>
      </c>
      <c r="R238" s="26" t="str">
        <f aca="false">IF($C238="","",IF(AND(ISNUMBER($G238),$G238&gt;P_HIST),"HISTAMINE "&amp;TEXT($G238,"#,##0")&amp;" mg/kg &gt; seuil "&amp;TEXT(P_HIST,"#,##0")&amp;". ","")&amp;IF(AND(ISNUMBER($F238),$O238="CONGELE",$F238&gt;P_TCONG),"TEMPERATURE "&amp;TEXT($F238,"0.0")&amp;" C hors seuil congele. ","")&amp;IF(AND(ISNUMBER($F238),$O238="FRAIS",$F238&gt;P_TFRAIS),"TEMPERATURE "&amp;TEXT($F238,"0.0")&amp;" C hors seuil frais. ","")&amp;IF($Q238="EMPLACEMENT INCOHERENT","Lot absent de cet emplacement : controle conserve, stock inchange. ","")&amp;IF($Q238="DONNEES MANQUANTES","Renseigner la DATE et au moins une mesure. ",""))</f>
        <v/>
      </c>
      <c r="S238" s="28" t="n">
        <f aca="false">IF($C238="",0,IF($C238=R_LOT,1,0))</f>
        <v>0</v>
      </c>
      <c r="T238" s="26" t="str">
        <f aca="false">IF($S238=0,"",COUNTIF($S$5:$S238,1))</f>
        <v/>
      </c>
    </row>
    <row r="239" customFormat="false" ht="15" hidden="false" customHeight="false" outlineLevel="0" collapsed="false">
      <c r="A239" s="26" t="str">
        <f aca="false">IF($C239="","","QC-"&amp;TEXT(ROW()-4,"000"))</f>
        <v/>
      </c>
      <c r="B239" s="25"/>
      <c r="C239" s="24"/>
      <c r="D239" s="24"/>
      <c r="E239" s="24"/>
      <c r="F239" s="32"/>
      <c r="G239" s="33"/>
      <c r="H239" s="24"/>
      <c r="I239" s="24"/>
      <c r="J239" s="24"/>
      <c r="K239" s="24"/>
      <c r="L239" s="24"/>
      <c r="M239" s="24"/>
      <c r="N239" s="26" t="str">
        <f aca="false">IF($C239="","",IFERROR(INDEX(LOT_PRODE,MATCH($C239,LOT_KEY,0)),"LOT NON REFERENCE"))</f>
        <v/>
      </c>
      <c r="O239" s="26" t="str">
        <f aca="false">IF($C239="","",IFERROR(INDEX(LOT_CONSERVE,MATCH($C239,LOT_KEY,0)),""))</f>
        <v/>
      </c>
      <c r="P239" s="27" t="str">
        <f aca="false">IF(OR($C239="",$D239=""),"",SUMIFS(MVT_NET,MVT_LOT,$C239,MVT_EMPL,$D239))</f>
        <v/>
      </c>
      <c r="Q239" s="26" t="str">
        <f aca="false">IF($C239="","",IF(OR($B239="",AND($F239="",$G239="",$H239="",$I239="",$J239="",$K239="")),"DONNEES MANQUANTES",IF(AND($D239&lt;&gt;"",$P239&lt;=0),"EMPLACEMENT INCOHERENT","OK")))</f>
        <v/>
      </c>
      <c r="R239" s="26" t="str">
        <f aca="false">IF($C239="","",IF(AND(ISNUMBER($G239),$G239&gt;P_HIST),"HISTAMINE "&amp;TEXT($G239,"#,##0")&amp;" mg/kg &gt; seuil "&amp;TEXT(P_HIST,"#,##0")&amp;". ","")&amp;IF(AND(ISNUMBER($F239),$O239="CONGELE",$F239&gt;P_TCONG),"TEMPERATURE "&amp;TEXT($F239,"0.0")&amp;" C hors seuil congele. ","")&amp;IF(AND(ISNUMBER($F239),$O239="FRAIS",$F239&gt;P_TFRAIS),"TEMPERATURE "&amp;TEXT($F239,"0.0")&amp;" C hors seuil frais. ","")&amp;IF($Q239="EMPLACEMENT INCOHERENT","Lot absent de cet emplacement : controle conserve, stock inchange. ","")&amp;IF($Q239="DONNEES MANQUANTES","Renseigner la DATE et au moins une mesure. ",""))</f>
        <v/>
      </c>
      <c r="S239" s="28" t="n">
        <f aca="false">IF($C239="",0,IF($C239=R_LOT,1,0))</f>
        <v>0</v>
      </c>
      <c r="T239" s="26" t="str">
        <f aca="false">IF($S239=0,"",COUNTIF($S$5:$S239,1))</f>
        <v/>
      </c>
    </row>
    <row r="240" customFormat="false" ht="15" hidden="false" customHeight="false" outlineLevel="0" collapsed="false">
      <c r="A240" s="26" t="str">
        <f aca="false">IF($C240="","","QC-"&amp;TEXT(ROW()-4,"000"))</f>
        <v/>
      </c>
      <c r="B240" s="25"/>
      <c r="C240" s="24"/>
      <c r="D240" s="24"/>
      <c r="E240" s="24"/>
      <c r="F240" s="32"/>
      <c r="G240" s="33"/>
      <c r="H240" s="24"/>
      <c r="I240" s="24"/>
      <c r="J240" s="24"/>
      <c r="K240" s="24"/>
      <c r="L240" s="24"/>
      <c r="M240" s="24"/>
      <c r="N240" s="26" t="str">
        <f aca="false">IF($C240="","",IFERROR(INDEX(LOT_PRODE,MATCH($C240,LOT_KEY,0)),"LOT NON REFERENCE"))</f>
        <v/>
      </c>
      <c r="O240" s="26" t="str">
        <f aca="false">IF($C240="","",IFERROR(INDEX(LOT_CONSERVE,MATCH($C240,LOT_KEY,0)),""))</f>
        <v/>
      </c>
      <c r="P240" s="27" t="str">
        <f aca="false">IF(OR($C240="",$D240=""),"",SUMIFS(MVT_NET,MVT_LOT,$C240,MVT_EMPL,$D240))</f>
        <v/>
      </c>
      <c r="Q240" s="26" t="str">
        <f aca="false">IF($C240="","",IF(OR($B240="",AND($F240="",$G240="",$H240="",$I240="",$J240="",$K240="")),"DONNEES MANQUANTES",IF(AND($D240&lt;&gt;"",$P240&lt;=0),"EMPLACEMENT INCOHERENT","OK")))</f>
        <v/>
      </c>
      <c r="R240" s="26" t="str">
        <f aca="false">IF($C240="","",IF(AND(ISNUMBER($G240),$G240&gt;P_HIST),"HISTAMINE "&amp;TEXT($G240,"#,##0")&amp;" mg/kg &gt; seuil "&amp;TEXT(P_HIST,"#,##0")&amp;". ","")&amp;IF(AND(ISNUMBER($F240),$O240="CONGELE",$F240&gt;P_TCONG),"TEMPERATURE "&amp;TEXT($F240,"0.0")&amp;" C hors seuil congele. ","")&amp;IF(AND(ISNUMBER($F240),$O240="FRAIS",$F240&gt;P_TFRAIS),"TEMPERATURE "&amp;TEXT($F240,"0.0")&amp;" C hors seuil frais. ","")&amp;IF($Q240="EMPLACEMENT INCOHERENT","Lot absent de cet emplacement : controle conserve, stock inchange. ","")&amp;IF($Q240="DONNEES MANQUANTES","Renseigner la DATE et au moins une mesure. ",""))</f>
        <v/>
      </c>
      <c r="S240" s="28" t="n">
        <f aca="false">IF($C240="",0,IF($C240=R_LOT,1,0))</f>
        <v>0</v>
      </c>
      <c r="T240" s="26" t="str">
        <f aca="false">IF($S240=0,"",COUNTIF($S$5:$S240,1))</f>
        <v/>
      </c>
    </row>
    <row r="241" customFormat="false" ht="15" hidden="false" customHeight="false" outlineLevel="0" collapsed="false">
      <c r="A241" s="26" t="str">
        <f aca="false">IF($C241="","","QC-"&amp;TEXT(ROW()-4,"000"))</f>
        <v/>
      </c>
      <c r="B241" s="25"/>
      <c r="C241" s="24"/>
      <c r="D241" s="24"/>
      <c r="E241" s="24"/>
      <c r="F241" s="32"/>
      <c r="G241" s="33"/>
      <c r="H241" s="24"/>
      <c r="I241" s="24"/>
      <c r="J241" s="24"/>
      <c r="K241" s="24"/>
      <c r="L241" s="24"/>
      <c r="M241" s="24"/>
      <c r="N241" s="26" t="str">
        <f aca="false">IF($C241="","",IFERROR(INDEX(LOT_PRODE,MATCH($C241,LOT_KEY,0)),"LOT NON REFERENCE"))</f>
        <v/>
      </c>
      <c r="O241" s="26" t="str">
        <f aca="false">IF($C241="","",IFERROR(INDEX(LOT_CONSERVE,MATCH($C241,LOT_KEY,0)),""))</f>
        <v/>
      </c>
      <c r="P241" s="27" t="str">
        <f aca="false">IF(OR($C241="",$D241=""),"",SUMIFS(MVT_NET,MVT_LOT,$C241,MVT_EMPL,$D241))</f>
        <v/>
      </c>
      <c r="Q241" s="26" t="str">
        <f aca="false">IF($C241="","",IF(OR($B241="",AND($F241="",$G241="",$H241="",$I241="",$J241="",$K241="")),"DONNEES MANQUANTES",IF(AND($D241&lt;&gt;"",$P241&lt;=0),"EMPLACEMENT INCOHERENT","OK")))</f>
        <v/>
      </c>
      <c r="R241" s="26" t="str">
        <f aca="false">IF($C241="","",IF(AND(ISNUMBER($G241),$G241&gt;P_HIST),"HISTAMINE "&amp;TEXT($G241,"#,##0")&amp;" mg/kg &gt; seuil "&amp;TEXT(P_HIST,"#,##0")&amp;". ","")&amp;IF(AND(ISNUMBER($F241),$O241="CONGELE",$F241&gt;P_TCONG),"TEMPERATURE "&amp;TEXT($F241,"0.0")&amp;" C hors seuil congele. ","")&amp;IF(AND(ISNUMBER($F241),$O241="FRAIS",$F241&gt;P_TFRAIS),"TEMPERATURE "&amp;TEXT($F241,"0.0")&amp;" C hors seuil frais. ","")&amp;IF($Q241="EMPLACEMENT INCOHERENT","Lot absent de cet emplacement : controle conserve, stock inchange. ","")&amp;IF($Q241="DONNEES MANQUANTES","Renseigner la DATE et au moins une mesure. ",""))</f>
        <v/>
      </c>
      <c r="S241" s="28" t="n">
        <f aca="false">IF($C241="",0,IF($C241=R_LOT,1,0))</f>
        <v>0</v>
      </c>
      <c r="T241" s="26" t="str">
        <f aca="false">IF($S241=0,"",COUNTIF($S$5:$S241,1))</f>
        <v/>
      </c>
    </row>
    <row r="242" customFormat="false" ht="15" hidden="false" customHeight="false" outlineLevel="0" collapsed="false">
      <c r="A242" s="26" t="str">
        <f aca="false">IF($C242="","","QC-"&amp;TEXT(ROW()-4,"000"))</f>
        <v/>
      </c>
      <c r="B242" s="25"/>
      <c r="C242" s="24"/>
      <c r="D242" s="24"/>
      <c r="E242" s="24"/>
      <c r="F242" s="32"/>
      <c r="G242" s="33"/>
      <c r="H242" s="24"/>
      <c r="I242" s="24"/>
      <c r="J242" s="24"/>
      <c r="K242" s="24"/>
      <c r="L242" s="24"/>
      <c r="M242" s="24"/>
      <c r="N242" s="26" t="str">
        <f aca="false">IF($C242="","",IFERROR(INDEX(LOT_PRODE,MATCH($C242,LOT_KEY,0)),"LOT NON REFERENCE"))</f>
        <v/>
      </c>
      <c r="O242" s="26" t="str">
        <f aca="false">IF($C242="","",IFERROR(INDEX(LOT_CONSERVE,MATCH($C242,LOT_KEY,0)),""))</f>
        <v/>
      </c>
      <c r="P242" s="27" t="str">
        <f aca="false">IF(OR($C242="",$D242=""),"",SUMIFS(MVT_NET,MVT_LOT,$C242,MVT_EMPL,$D242))</f>
        <v/>
      </c>
      <c r="Q242" s="26" t="str">
        <f aca="false">IF($C242="","",IF(OR($B242="",AND($F242="",$G242="",$H242="",$I242="",$J242="",$K242="")),"DONNEES MANQUANTES",IF(AND($D242&lt;&gt;"",$P242&lt;=0),"EMPLACEMENT INCOHERENT","OK")))</f>
        <v/>
      </c>
      <c r="R242" s="26" t="str">
        <f aca="false">IF($C242="","",IF(AND(ISNUMBER($G242),$G242&gt;P_HIST),"HISTAMINE "&amp;TEXT($G242,"#,##0")&amp;" mg/kg &gt; seuil "&amp;TEXT(P_HIST,"#,##0")&amp;". ","")&amp;IF(AND(ISNUMBER($F242),$O242="CONGELE",$F242&gt;P_TCONG),"TEMPERATURE "&amp;TEXT($F242,"0.0")&amp;" C hors seuil congele. ","")&amp;IF(AND(ISNUMBER($F242),$O242="FRAIS",$F242&gt;P_TFRAIS),"TEMPERATURE "&amp;TEXT($F242,"0.0")&amp;" C hors seuil frais. ","")&amp;IF($Q242="EMPLACEMENT INCOHERENT","Lot absent de cet emplacement : controle conserve, stock inchange. ","")&amp;IF($Q242="DONNEES MANQUANTES","Renseigner la DATE et au moins une mesure. ",""))</f>
        <v/>
      </c>
      <c r="S242" s="28" t="n">
        <f aca="false">IF($C242="",0,IF($C242=R_LOT,1,0))</f>
        <v>0</v>
      </c>
      <c r="T242" s="26" t="str">
        <f aca="false">IF($S242=0,"",COUNTIF($S$5:$S242,1))</f>
        <v/>
      </c>
    </row>
    <row r="243" customFormat="false" ht="15" hidden="false" customHeight="false" outlineLevel="0" collapsed="false">
      <c r="A243" s="26" t="str">
        <f aca="false">IF($C243="","","QC-"&amp;TEXT(ROW()-4,"000"))</f>
        <v/>
      </c>
      <c r="B243" s="25"/>
      <c r="C243" s="24"/>
      <c r="D243" s="24"/>
      <c r="E243" s="24"/>
      <c r="F243" s="32"/>
      <c r="G243" s="33"/>
      <c r="H243" s="24"/>
      <c r="I243" s="24"/>
      <c r="J243" s="24"/>
      <c r="K243" s="24"/>
      <c r="L243" s="24"/>
      <c r="M243" s="24"/>
      <c r="N243" s="26" t="str">
        <f aca="false">IF($C243="","",IFERROR(INDEX(LOT_PRODE,MATCH($C243,LOT_KEY,0)),"LOT NON REFERENCE"))</f>
        <v/>
      </c>
      <c r="O243" s="26" t="str">
        <f aca="false">IF($C243="","",IFERROR(INDEX(LOT_CONSERVE,MATCH($C243,LOT_KEY,0)),""))</f>
        <v/>
      </c>
      <c r="P243" s="27" t="str">
        <f aca="false">IF(OR($C243="",$D243=""),"",SUMIFS(MVT_NET,MVT_LOT,$C243,MVT_EMPL,$D243))</f>
        <v/>
      </c>
      <c r="Q243" s="26" t="str">
        <f aca="false">IF($C243="","",IF(OR($B243="",AND($F243="",$G243="",$H243="",$I243="",$J243="",$K243="")),"DONNEES MANQUANTES",IF(AND($D243&lt;&gt;"",$P243&lt;=0),"EMPLACEMENT INCOHERENT","OK")))</f>
        <v/>
      </c>
      <c r="R243" s="26" t="str">
        <f aca="false">IF($C243="","",IF(AND(ISNUMBER($G243),$G243&gt;P_HIST),"HISTAMINE "&amp;TEXT($G243,"#,##0")&amp;" mg/kg &gt; seuil "&amp;TEXT(P_HIST,"#,##0")&amp;". ","")&amp;IF(AND(ISNUMBER($F243),$O243="CONGELE",$F243&gt;P_TCONG),"TEMPERATURE "&amp;TEXT($F243,"0.0")&amp;" C hors seuil congele. ","")&amp;IF(AND(ISNUMBER($F243),$O243="FRAIS",$F243&gt;P_TFRAIS),"TEMPERATURE "&amp;TEXT($F243,"0.0")&amp;" C hors seuil frais. ","")&amp;IF($Q243="EMPLACEMENT INCOHERENT","Lot absent de cet emplacement : controle conserve, stock inchange. ","")&amp;IF($Q243="DONNEES MANQUANTES","Renseigner la DATE et au moins une mesure. ",""))</f>
        <v/>
      </c>
      <c r="S243" s="28" t="n">
        <f aca="false">IF($C243="",0,IF($C243=R_LOT,1,0))</f>
        <v>0</v>
      </c>
      <c r="T243" s="26" t="str">
        <f aca="false">IF($S243=0,"",COUNTIF($S$5:$S243,1))</f>
        <v/>
      </c>
    </row>
    <row r="244" customFormat="false" ht="15" hidden="false" customHeight="false" outlineLevel="0" collapsed="false">
      <c r="A244" s="26" t="str">
        <f aca="false">IF($C244="","","QC-"&amp;TEXT(ROW()-4,"000"))</f>
        <v/>
      </c>
      <c r="B244" s="25"/>
      <c r="C244" s="24"/>
      <c r="D244" s="24"/>
      <c r="E244" s="24"/>
      <c r="F244" s="32"/>
      <c r="G244" s="33"/>
      <c r="H244" s="24"/>
      <c r="I244" s="24"/>
      <c r="J244" s="24"/>
      <c r="K244" s="24"/>
      <c r="L244" s="24"/>
      <c r="M244" s="24"/>
      <c r="N244" s="26" t="str">
        <f aca="false">IF($C244="","",IFERROR(INDEX(LOT_PRODE,MATCH($C244,LOT_KEY,0)),"LOT NON REFERENCE"))</f>
        <v/>
      </c>
      <c r="O244" s="26" t="str">
        <f aca="false">IF($C244="","",IFERROR(INDEX(LOT_CONSERVE,MATCH($C244,LOT_KEY,0)),""))</f>
        <v/>
      </c>
      <c r="P244" s="27" t="str">
        <f aca="false">IF(OR($C244="",$D244=""),"",SUMIFS(MVT_NET,MVT_LOT,$C244,MVT_EMPL,$D244))</f>
        <v/>
      </c>
      <c r="Q244" s="26" t="str">
        <f aca="false">IF($C244="","",IF(OR($B244="",AND($F244="",$G244="",$H244="",$I244="",$J244="",$K244="")),"DONNEES MANQUANTES",IF(AND($D244&lt;&gt;"",$P244&lt;=0),"EMPLACEMENT INCOHERENT","OK")))</f>
        <v/>
      </c>
      <c r="R244" s="26" t="str">
        <f aca="false">IF($C244="","",IF(AND(ISNUMBER($G244),$G244&gt;P_HIST),"HISTAMINE "&amp;TEXT($G244,"#,##0")&amp;" mg/kg &gt; seuil "&amp;TEXT(P_HIST,"#,##0")&amp;". ","")&amp;IF(AND(ISNUMBER($F244),$O244="CONGELE",$F244&gt;P_TCONG),"TEMPERATURE "&amp;TEXT($F244,"0.0")&amp;" C hors seuil congele. ","")&amp;IF(AND(ISNUMBER($F244),$O244="FRAIS",$F244&gt;P_TFRAIS),"TEMPERATURE "&amp;TEXT($F244,"0.0")&amp;" C hors seuil frais. ","")&amp;IF($Q244="EMPLACEMENT INCOHERENT","Lot absent de cet emplacement : controle conserve, stock inchange. ","")&amp;IF($Q244="DONNEES MANQUANTES","Renseigner la DATE et au moins une mesure. ",""))</f>
        <v/>
      </c>
      <c r="S244" s="28" t="n">
        <f aca="false">IF($C244="",0,IF($C244=R_LOT,1,0))</f>
        <v>0</v>
      </c>
      <c r="T244" s="26" t="str">
        <f aca="false">IF($S244=0,"",COUNTIF($S$5:$S244,1))</f>
        <v/>
      </c>
    </row>
    <row r="245" customFormat="false" ht="15" hidden="false" customHeight="false" outlineLevel="0" collapsed="false">
      <c r="A245" s="26" t="str">
        <f aca="false">IF($C245="","","QC-"&amp;TEXT(ROW()-4,"000"))</f>
        <v/>
      </c>
      <c r="B245" s="25"/>
      <c r="C245" s="24"/>
      <c r="D245" s="24"/>
      <c r="E245" s="24"/>
      <c r="F245" s="32"/>
      <c r="G245" s="33"/>
      <c r="H245" s="24"/>
      <c r="I245" s="24"/>
      <c r="J245" s="24"/>
      <c r="K245" s="24"/>
      <c r="L245" s="24"/>
      <c r="M245" s="24"/>
      <c r="N245" s="26" t="str">
        <f aca="false">IF($C245="","",IFERROR(INDEX(LOT_PRODE,MATCH($C245,LOT_KEY,0)),"LOT NON REFERENCE"))</f>
        <v/>
      </c>
      <c r="O245" s="26" t="str">
        <f aca="false">IF($C245="","",IFERROR(INDEX(LOT_CONSERVE,MATCH($C245,LOT_KEY,0)),""))</f>
        <v/>
      </c>
      <c r="P245" s="27" t="str">
        <f aca="false">IF(OR($C245="",$D245=""),"",SUMIFS(MVT_NET,MVT_LOT,$C245,MVT_EMPL,$D245))</f>
        <v/>
      </c>
      <c r="Q245" s="26" t="str">
        <f aca="false">IF($C245="","",IF(OR($B245="",AND($F245="",$G245="",$H245="",$I245="",$J245="",$K245="")),"DONNEES MANQUANTES",IF(AND($D245&lt;&gt;"",$P245&lt;=0),"EMPLACEMENT INCOHERENT","OK")))</f>
        <v/>
      </c>
      <c r="R245" s="26" t="str">
        <f aca="false">IF($C245="","",IF(AND(ISNUMBER($G245),$G245&gt;P_HIST),"HISTAMINE "&amp;TEXT($G245,"#,##0")&amp;" mg/kg &gt; seuil "&amp;TEXT(P_HIST,"#,##0")&amp;". ","")&amp;IF(AND(ISNUMBER($F245),$O245="CONGELE",$F245&gt;P_TCONG),"TEMPERATURE "&amp;TEXT($F245,"0.0")&amp;" C hors seuil congele. ","")&amp;IF(AND(ISNUMBER($F245),$O245="FRAIS",$F245&gt;P_TFRAIS),"TEMPERATURE "&amp;TEXT($F245,"0.0")&amp;" C hors seuil frais. ","")&amp;IF($Q245="EMPLACEMENT INCOHERENT","Lot absent de cet emplacement : controle conserve, stock inchange. ","")&amp;IF($Q245="DONNEES MANQUANTES","Renseigner la DATE et au moins une mesure. ",""))</f>
        <v/>
      </c>
      <c r="S245" s="28" t="n">
        <f aca="false">IF($C245="",0,IF($C245=R_LOT,1,0))</f>
        <v>0</v>
      </c>
      <c r="T245" s="26" t="str">
        <f aca="false">IF($S245=0,"",COUNTIF($S$5:$S245,1))</f>
        <v/>
      </c>
    </row>
    <row r="246" customFormat="false" ht="15" hidden="false" customHeight="false" outlineLevel="0" collapsed="false">
      <c r="A246" s="26" t="str">
        <f aca="false">IF($C246="","","QC-"&amp;TEXT(ROW()-4,"000"))</f>
        <v/>
      </c>
      <c r="B246" s="25"/>
      <c r="C246" s="24"/>
      <c r="D246" s="24"/>
      <c r="E246" s="24"/>
      <c r="F246" s="32"/>
      <c r="G246" s="33"/>
      <c r="H246" s="24"/>
      <c r="I246" s="24"/>
      <c r="J246" s="24"/>
      <c r="K246" s="24"/>
      <c r="L246" s="24"/>
      <c r="M246" s="24"/>
      <c r="N246" s="26" t="str">
        <f aca="false">IF($C246="","",IFERROR(INDEX(LOT_PRODE,MATCH($C246,LOT_KEY,0)),"LOT NON REFERENCE"))</f>
        <v/>
      </c>
      <c r="O246" s="26" t="str">
        <f aca="false">IF($C246="","",IFERROR(INDEX(LOT_CONSERVE,MATCH($C246,LOT_KEY,0)),""))</f>
        <v/>
      </c>
      <c r="P246" s="27" t="str">
        <f aca="false">IF(OR($C246="",$D246=""),"",SUMIFS(MVT_NET,MVT_LOT,$C246,MVT_EMPL,$D246))</f>
        <v/>
      </c>
      <c r="Q246" s="26" t="str">
        <f aca="false">IF($C246="","",IF(OR($B246="",AND($F246="",$G246="",$H246="",$I246="",$J246="",$K246="")),"DONNEES MANQUANTES",IF(AND($D246&lt;&gt;"",$P246&lt;=0),"EMPLACEMENT INCOHERENT","OK")))</f>
        <v/>
      </c>
      <c r="R246" s="26" t="str">
        <f aca="false">IF($C246="","",IF(AND(ISNUMBER($G246),$G246&gt;P_HIST),"HISTAMINE "&amp;TEXT($G246,"#,##0")&amp;" mg/kg &gt; seuil "&amp;TEXT(P_HIST,"#,##0")&amp;". ","")&amp;IF(AND(ISNUMBER($F246),$O246="CONGELE",$F246&gt;P_TCONG),"TEMPERATURE "&amp;TEXT($F246,"0.0")&amp;" C hors seuil congele. ","")&amp;IF(AND(ISNUMBER($F246),$O246="FRAIS",$F246&gt;P_TFRAIS),"TEMPERATURE "&amp;TEXT($F246,"0.0")&amp;" C hors seuil frais. ","")&amp;IF($Q246="EMPLACEMENT INCOHERENT","Lot absent de cet emplacement : controle conserve, stock inchange. ","")&amp;IF($Q246="DONNEES MANQUANTES","Renseigner la DATE et au moins une mesure. ",""))</f>
        <v/>
      </c>
      <c r="S246" s="28" t="n">
        <f aca="false">IF($C246="",0,IF($C246=R_LOT,1,0))</f>
        <v>0</v>
      </c>
      <c r="T246" s="26" t="str">
        <f aca="false">IF($S246=0,"",COUNTIF($S$5:$S246,1))</f>
        <v/>
      </c>
    </row>
    <row r="247" customFormat="false" ht="15" hidden="false" customHeight="false" outlineLevel="0" collapsed="false">
      <c r="A247" s="26" t="str">
        <f aca="false">IF($C247="","","QC-"&amp;TEXT(ROW()-4,"000"))</f>
        <v/>
      </c>
      <c r="B247" s="25"/>
      <c r="C247" s="24"/>
      <c r="D247" s="24"/>
      <c r="E247" s="24"/>
      <c r="F247" s="32"/>
      <c r="G247" s="33"/>
      <c r="H247" s="24"/>
      <c r="I247" s="24"/>
      <c r="J247" s="24"/>
      <c r="K247" s="24"/>
      <c r="L247" s="24"/>
      <c r="M247" s="24"/>
      <c r="N247" s="26" t="str">
        <f aca="false">IF($C247="","",IFERROR(INDEX(LOT_PRODE,MATCH($C247,LOT_KEY,0)),"LOT NON REFERENCE"))</f>
        <v/>
      </c>
      <c r="O247" s="26" t="str">
        <f aca="false">IF($C247="","",IFERROR(INDEX(LOT_CONSERVE,MATCH($C247,LOT_KEY,0)),""))</f>
        <v/>
      </c>
      <c r="P247" s="27" t="str">
        <f aca="false">IF(OR($C247="",$D247=""),"",SUMIFS(MVT_NET,MVT_LOT,$C247,MVT_EMPL,$D247))</f>
        <v/>
      </c>
      <c r="Q247" s="26" t="str">
        <f aca="false">IF($C247="","",IF(OR($B247="",AND($F247="",$G247="",$H247="",$I247="",$J247="",$K247="")),"DONNEES MANQUANTES",IF(AND($D247&lt;&gt;"",$P247&lt;=0),"EMPLACEMENT INCOHERENT","OK")))</f>
        <v/>
      </c>
      <c r="R247" s="26" t="str">
        <f aca="false">IF($C247="","",IF(AND(ISNUMBER($G247),$G247&gt;P_HIST),"HISTAMINE "&amp;TEXT($G247,"#,##0")&amp;" mg/kg &gt; seuil "&amp;TEXT(P_HIST,"#,##0")&amp;". ","")&amp;IF(AND(ISNUMBER($F247),$O247="CONGELE",$F247&gt;P_TCONG),"TEMPERATURE "&amp;TEXT($F247,"0.0")&amp;" C hors seuil congele. ","")&amp;IF(AND(ISNUMBER($F247),$O247="FRAIS",$F247&gt;P_TFRAIS),"TEMPERATURE "&amp;TEXT($F247,"0.0")&amp;" C hors seuil frais. ","")&amp;IF($Q247="EMPLACEMENT INCOHERENT","Lot absent de cet emplacement : controle conserve, stock inchange. ","")&amp;IF($Q247="DONNEES MANQUANTES","Renseigner la DATE et au moins une mesure. ",""))</f>
        <v/>
      </c>
      <c r="S247" s="28" t="n">
        <f aca="false">IF($C247="",0,IF($C247=R_LOT,1,0))</f>
        <v>0</v>
      </c>
      <c r="T247" s="26" t="str">
        <f aca="false">IF($S247=0,"",COUNTIF($S$5:$S247,1))</f>
        <v/>
      </c>
    </row>
    <row r="248" customFormat="false" ht="15" hidden="false" customHeight="false" outlineLevel="0" collapsed="false">
      <c r="A248" s="26" t="str">
        <f aca="false">IF($C248="","","QC-"&amp;TEXT(ROW()-4,"000"))</f>
        <v/>
      </c>
      <c r="B248" s="25"/>
      <c r="C248" s="24"/>
      <c r="D248" s="24"/>
      <c r="E248" s="24"/>
      <c r="F248" s="32"/>
      <c r="G248" s="33"/>
      <c r="H248" s="24"/>
      <c r="I248" s="24"/>
      <c r="J248" s="24"/>
      <c r="K248" s="24"/>
      <c r="L248" s="24"/>
      <c r="M248" s="24"/>
      <c r="N248" s="26" t="str">
        <f aca="false">IF($C248="","",IFERROR(INDEX(LOT_PRODE,MATCH($C248,LOT_KEY,0)),"LOT NON REFERENCE"))</f>
        <v/>
      </c>
      <c r="O248" s="26" t="str">
        <f aca="false">IF($C248="","",IFERROR(INDEX(LOT_CONSERVE,MATCH($C248,LOT_KEY,0)),""))</f>
        <v/>
      </c>
      <c r="P248" s="27" t="str">
        <f aca="false">IF(OR($C248="",$D248=""),"",SUMIFS(MVT_NET,MVT_LOT,$C248,MVT_EMPL,$D248))</f>
        <v/>
      </c>
      <c r="Q248" s="26" t="str">
        <f aca="false">IF($C248="","",IF(OR($B248="",AND($F248="",$G248="",$H248="",$I248="",$J248="",$K248="")),"DONNEES MANQUANTES",IF(AND($D248&lt;&gt;"",$P248&lt;=0),"EMPLACEMENT INCOHERENT","OK")))</f>
        <v/>
      </c>
      <c r="R248" s="26" t="str">
        <f aca="false">IF($C248="","",IF(AND(ISNUMBER($G248),$G248&gt;P_HIST),"HISTAMINE "&amp;TEXT($G248,"#,##0")&amp;" mg/kg &gt; seuil "&amp;TEXT(P_HIST,"#,##0")&amp;". ","")&amp;IF(AND(ISNUMBER($F248),$O248="CONGELE",$F248&gt;P_TCONG),"TEMPERATURE "&amp;TEXT($F248,"0.0")&amp;" C hors seuil congele. ","")&amp;IF(AND(ISNUMBER($F248),$O248="FRAIS",$F248&gt;P_TFRAIS),"TEMPERATURE "&amp;TEXT($F248,"0.0")&amp;" C hors seuil frais. ","")&amp;IF($Q248="EMPLACEMENT INCOHERENT","Lot absent de cet emplacement : controle conserve, stock inchange. ","")&amp;IF($Q248="DONNEES MANQUANTES","Renseigner la DATE et au moins une mesure. ",""))</f>
        <v/>
      </c>
      <c r="S248" s="28" t="n">
        <f aca="false">IF($C248="",0,IF($C248=R_LOT,1,0))</f>
        <v>0</v>
      </c>
      <c r="T248" s="26" t="str">
        <f aca="false">IF($S248=0,"",COUNTIF($S$5:$S248,1))</f>
        <v/>
      </c>
    </row>
    <row r="249" customFormat="false" ht="15" hidden="false" customHeight="false" outlineLevel="0" collapsed="false">
      <c r="A249" s="26" t="str">
        <f aca="false">IF($C249="","","QC-"&amp;TEXT(ROW()-4,"000"))</f>
        <v/>
      </c>
      <c r="B249" s="25"/>
      <c r="C249" s="24"/>
      <c r="D249" s="24"/>
      <c r="E249" s="24"/>
      <c r="F249" s="32"/>
      <c r="G249" s="33"/>
      <c r="H249" s="24"/>
      <c r="I249" s="24"/>
      <c r="J249" s="24"/>
      <c r="K249" s="24"/>
      <c r="L249" s="24"/>
      <c r="M249" s="24"/>
      <c r="N249" s="26" t="str">
        <f aca="false">IF($C249="","",IFERROR(INDEX(LOT_PRODE,MATCH($C249,LOT_KEY,0)),"LOT NON REFERENCE"))</f>
        <v/>
      </c>
      <c r="O249" s="26" t="str">
        <f aca="false">IF($C249="","",IFERROR(INDEX(LOT_CONSERVE,MATCH($C249,LOT_KEY,0)),""))</f>
        <v/>
      </c>
      <c r="P249" s="27" t="str">
        <f aca="false">IF(OR($C249="",$D249=""),"",SUMIFS(MVT_NET,MVT_LOT,$C249,MVT_EMPL,$D249))</f>
        <v/>
      </c>
      <c r="Q249" s="26" t="str">
        <f aca="false">IF($C249="","",IF(OR($B249="",AND($F249="",$G249="",$H249="",$I249="",$J249="",$K249="")),"DONNEES MANQUANTES",IF(AND($D249&lt;&gt;"",$P249&lt;=0),"EMPLACEMENT INCOHERENT","OK")))</f>
        <v/>
      </c>
      <c r="R249" s="26" t="str">
        <f aca="false">IF($C249="","",IF(AND(ISNUMBER($G249),$G249&gt;P_HIST),"HISTAMINE "&amp;TEXT($G249,"#,##0")&amp;" mg/kg &gt; seuil "&amp;TEXT(P_HIST,"#,##0")&amp;". ","")&amp;IF(AND(ISNUMBER($F249),$O249="CONGELE",$F249&gt;P_TCONG),"TEMPERATURE "&amp;TEXT($F249,"0.0")&amp;" C hors seuil congele. ","")&amp;IF(AND(ISNUMBER($F249),$O249="FRAIS",$F249&gt;P_TFRAIS),"TEMPERATURE "&amp;TEXT($F249,"0.0")&amp;" C hors seuil frais. ","")&amp;IF($Q249="EMPLACEMENT INCOHERENT","Lot absent de cet emplacement : controle conserve, stock inchange. ","")&amp;IF($Q249="DONNEES MANQUANTES","Renseigner la DATE et au moins une mesure. ",""))</f>
        <v/>
      </c>
      <c r="S249" s="28" t="n">
        <f aca="false">IF($C249="",0,IF($C249=R_LOT,1,0))</f>
        <v>0</v>
      </c>
      <c r="T249" s="26" t="str">
        <f aca="false">IF($S249=0,"",COUNTIF($S$5:$S249,1))</f>
        <v/>
      </c>
    </row>
    <row r="250" customFormat="false" ht="15" hidden="false" customHeight="false" outlineLevel="0" collapsed="false">
      <c r="A250" s="26" t="str">
        <f aca="false">IF($C250="","","QC-"&amp;TEXT(ROW()-4,"000"))</f>
        <v/>
      </c>
      <c r="B250" s="25"/>
      <c r="C250" s="24"/>
      <c r="D250" s="24"/>
      <c r="E250" s="24"/>
      <c r="F250" s="32"/>
      <c r="G250" s="33"/>
      <c r="H250" s="24"/>
      <c r="I250" s="24"/>
      <c r="J250" s="24"/>
      <c r="K250" s="24"/>
      <c r="L250" s="24"/>
      <c r="M250" s="24"/>
      <c r="N250" s="26" t="str">
        <f aca="false">IF($C250="","",IFERROR(INDEX(LOT_PRODE,MATCH($C250,LOT_KEY,0)),"LOT NON REFERENCE"))</f>
        <v/>
      </c>
      <c r="O250" s="26" t="str">
        <f aca="false">IF($C250="","",IFERROR(INDEX(LOT_CONSERVE,MATCH($C250,LOT_KEY,0)),""))</f>
        <v/>
      </c>
      <c r="P250" s="27" t="str">
        <f aca="false">IF(OR($C250="",$D250=""),"",SUMIFS(MVT_NET,MVT_LOT,$C250,MVT_EMPL,$D250))</f>
        <v/>
      </c>
      <c r="Q250" s="26" t="str">
        <f aca="false">IF($C250="","",IF(OR($B250="",AND($F250="",$G250="",$H250="",$I250="",$J250="",$K250="")),"DONNEES MANQUANTES",IF(AND($D250&lt;&gt;"",$P250&lt;=0),"EMPLACEMENT INCOHERENT","OK")))</f>
        <v/>
      </c>
      <c r="R250" s="26" t="str">
        <f aca="false">IF($C250="","",IF(AND(ISNUMBER($G250),$G250&gt;P_HIST),"HISTAMINE "&amp;TEXT($G250,"#,##0")&amp;" mg/kg &gt; seuil "&amp;TEXT(P_HIST,"#,##0")&amp;". ","")&amp;IF(AND(ISNUMBER($F250),$O250="CONGELE",$F250&gt;P_TCONG),"TEMPERATURE "&amp;TEXT($F250,"0.0")&amp;" C hors seuil congele. ","")&amp;IF(AND(ISNUMBER($F250),$O250="FRAIS",$F250&gt;P_TFRAIS),"TEMPERATURE "&amp;TEXT($F250,"0.0")&amp;" C hors seuil frais. ","")&amp;IF($Q250="EMPLACEMENT INCOHERENT","Lot absent de cet emplacement : controle conserve, stock inchange. ","")&amp;IF($Q250="DONNEES MANQUANTES","Renseigner la DATE et au moins une mesure. ",""))</f>
        <v/>
      </c>
      <c r="S250" s="28" t="n">
        <f aca="false">IF($C250="",0,IF($C250=R_LOT,1,0))</f>
        <v>0</v>
      </c>
      <c r="T250" s="26" t="str">
        <f aca="false">IF($S250=0,"",COUNTIF($S$5:$S250,1))</f>
        <v/>
      </c>
    </row>
    <row r="251" customFormat="false" ht="15" hidden="false" customHeight="false" outlineLevel="0" collapsed="false">
      <c r="A251" s="26" t="str">
        <f aca="false">IF($C251="","","QC-"&amp;TEXT(ROW()-4,"000"))</f>
        <v/>
      </c>
      <c r="B251" s="25"/>
      <c r="C251" s="24"/>
      <c r="D251" s="24"/>
      <c r="E251" s="24"/>
      <c r="F251" s="32"/>
      <c r="G251" s="33"/>
      <c r="H251" s="24"/>
      <c r="I251" s="24"/>
      <c r="J251" s="24"/>
      <c r="K251" s="24"/>
      <c r="L251" s="24"/>
      <c r="M251" s="24"/>
      <c r="N251" s="26" t="str">
        <f aca="false">IF($C251="","",IFERROR(INDEX(LOT_PRODE,MATCH($C251,LOT_KEY,0)),"LOT NON REFERENCE"))</f>
        <v/>
      </c>
      <c r="O251" s="26" t="str">
        <f aca="false">IF($C251="","",IFERROR(INDEX(LOT_CONSERVE,MATCH($C251,LOT_KEY,0)),""))</f>
        <v/>
      </c>
      <c r="P251" s="27" t="str">
        <f aca="false">IF(OR($C251="",$D251=""),"",SUMIFS(MVT_NET,MVT_LOT,$C251,MVT_EMPL,$D251))</f>
        <v/>
      </c>
      <c r="Q251" s="26" t="str">
        <f aca="false">IF($C251="","",IF(OR($B251="",AND($F251="",$G251="",$H251="",$I251="",$J251="",$K251="")),"DONNEES MANQUANTES",IF(AND($D251&lt;&gt;"",$P251&lt;=0),"EMPLACEMENT INCOHERENT","OK")))</f>
        <v/>
      </c>
      <c r="R251" s="26" t="str">
        <f aca="false">IF($C251="","",IF(AND(ISNUMBER($G251),$G251&gt;P_HIST),"HISTAMINE "&amp;TEXT($G251,"#,##0")&amp;" mg/kg &gt; seuil "&amp;TEXT(P_HIST,"#,##0")&amp;". ","")&amp;IF(AND(ISNUMBER($F251),$O251="CONGELE",$F251&gt;P_TCONG),"TEMPERATURE "&amp;TEXT($F251,"0.0")&amp;" C hors seuil congele. ","")&amp;IF(AND(ISNUMBER($F251),$O251="FRAIS",$F251&gt;P_TFRAIS),"TEMPERATURE "&amp;TEXT($F251,"0.0")&amp;" C hors seuil frais. ","")&amp;IF($Q251="EMPLACEMENT INCOHERENT","Lot absent de cet emplacement : controle conserve, stock inchange. ","")&amp;IF($Q251="DONNEES MANQUANTES","Renseigner la DATE et au moins une mesure. ",""))</f>
        <v/>
      </c>
      <c r="S251" s="28" t="n">
        <f aca="false">IF($C251="",0,IF($C251=R_LOT,1,0))</f>
        <v>0</v>
      </c>
      <c r="T251" s="26" t="str">
        <f aca="false">IF($S251=0,"",COUNTIF($S$5:$S251,1))</f>
        <v/>
      </c>
    </row>
    <row r="252" customFormat="false" ht="15" hidden="false" customHeight="false" outlineLevel="0" collapsed="false">
      <c r="A252" s="26" t="str">
        <f aca="false">IF($C252="","","QC-"&amp;TEXT(ROW()-4,"000"))</f>
        <v/>
      </c>
      <c r="B252" s="25"/>
      <c r="C252" s="24"/>
      <c r="D252" s="24"/>
      <c r="E252" s="24"/>
      <c r="F252" s="32"/>
      <c r="G252" s="33"/>
      <c r="H252" s="24"/>
      <c r="I252" s="24"/>
      <c r="J252" s="24"/>
      <c r="K252" s="24"/>
      <c r="L252" s="24"/>
      <c r="M252" s="24"/>
      <c r="N252" s="26" t="str">
        <f aca="false">IF($C252="","",IFERROR(INDEX(LOT_PRODE,MATCH($C252,LOT_KEY,0)),"LOT NON REFERENCE"))</f>
        <v/>
      </c>
      <c r="O252" s="26" t="str">
        <f aca="false">IF($C252="","",IFERROR(INDEX(LOT_CONSERVE,MATCH($C252,LOT_KEY,0)),""))</f>
        <v/>
      </c>
      <c r="P252" s="27" t="str">
        <f aca="false">IF(OR($C252="",$D252=""),"",SUMIFS(MVT_NET,MVT_LOT,$C252,MVT_EMPL,$D252))</f>
        <v/>
      </c>
      <c r="Q252" s="26" t="str">
        <f aca="false">IF($C252="","",IF(OR($B252="",AND($F252="",$G252="",$H252="",$I252="",$J252="",$K252="")),"DONNEES MANQUANTES",IF(AND($D252&lt;&gt;"",$P252&lt;=0),"EMPLACEMENT INCOHERENT","OK")))</f>
        <v/>
      </c>
      <c r="R252" s="26" t="str">
        <f aca="false">IF($C252="","",IF(AND(ISNUMBER($G252),$G252&gt;P_HIST),"HISTAMINE "&amp;TEXT($G252,"#,##0")&amp;" mg/kg &gt; seuil "&amp;TEXT(P_HIST,"#,##0")&amp;". ","")&amp;IF(AND(ISNUMBER($F252),$O252="CONGELE",$F252&gt;P_TCONG),"TEMPERATURE "&amp;TEXT($F252,"0.0")&amp;" C hors seuil congele. ","")&amp;IF(AND(ISNUMBER($F252),$O252="FRAIS",$F252&gt;P_TFRAIS),"TEMPERATURE "&amp;TEXT($F252,"0.0")&amp;" C hors seuil frais. ","")&amp;IF($Q252="EMPLACEMENT INCOHERENT","Lot absent de cet emplacement : controle conserve, stock inchange. ","")&amp;IF($Q252="DONNEES MANQUANTES","Renseigner la DATE et au moins une mesure. ",""))</f>
        <v/>
      </c>
      <c r="S252" s="28" t="n">
        <f aca="false">IF($C252="",0,IF($C252=R_LOT,1,0))</f>
        <v>0</v>
      </c>
      <c r="T252" s="26" t="str">
        <f aca="false">IF($S252=0,"",COUNTIF($S$5:$S252,1))</f>
        <v/>
      </c>
    </row>
    <row r="253" customFormat="false" ht="15" hidden="false" customHeight="false" outlineLevel="0" collapsed="false">
      <c r="A253" s="26" t="str">
        <f aca="false">IF($C253="","","QC-"&amp;TEXT(ROW()-4,"000"))</f>
        <v/>
      </c>
      <c r="B253" s="25"/>
      <c r="C253" s="24"/>
      <c r="D253" s="24"/>
      <c r="E253" s="24"/>
      <c r="F253" s="32"/>
      <c r="G253" s="33"/>
      <c r="H253" s="24"/>
      <c r="I253" s="24"/>
      <c r="J253" s="24"/>
      <c r="K253" s="24"/>
      <c r="L253" s="24"/>
      <c r="M253" s="24"/>
      <c r="N253" s="26" t="str">
        <f aca="false">IF($C253="","",IFERROR(INDEX(LOT_PRODE,MATCH($C253,LOT_KEY,0)),"LOT NON REFERENCE"))</f>
        <v/>
      </c>
      <c r="O253" s="26" t="str">
        <f aca="false">IF($C253="","",IFERROR(INDEX(LOT_CONSERVE,MATCH($C253,LOT_KEY,0)),""))</f>
        <v/>
      </c>
      <c r="P253" s="27" t="str">
        <f aca="false">IF(OR($C253="",$D253=""),"",SUMIFS(MVT_NET,MVT_LOT,$C253,MVT_EMPL,$D253))</f>
        <v/>
      </c>
      <c r="Q253" s="26" t="str">
        <f aca="false">IF($C253="","",IF(OR($B253="",AND($F253="",$G253="",$H253="",$I253="",$J253="",$K253="")),"DONNEES MANQUANTES",IF(AND($D253&lt;&gt;"",$P253&lt;=0),"EMPLACEMENT INCOHERENT","OK")))</f>
        <v/>
      </c>
      <c r="R253" s="26" t="str">
        <f aca="false">IF($C253="","",IF(AND(ISNUMBER($G253),$G253&gt;P_HIST),"HISTAMINE "&amp;TEXT($G253,"#,##0")&amp;" mg/kg &gt; seuil "&amp;TEXT(P_HIST,"#,##0")&amp;". ","")&amp;IF(AND(ISNUMBER($F253),$O253="CONGELE",$F253&gt;P_TCONG),"TEMPERATURE "&amp;TEXT($F253,"0.0")&amp;" C hors seuil congele. ","")&amp;IF(AND(ISNUMBER($F253),$O253="FRAIS",$F253&gt;P_TFRAIS),"TEMPERATURE "&amp;TEXT($F253,"0.0")&amp;" C hors seuil frais. ","")&amp;IF($Q253="EMPLACEMENT INCOHERENT","Lot absent de cet emplacement : controle conserve, stock inchange. ","")&amp;IF($Q253="DONNEES MANQUANTES","Renseigner la DATE et au moins une mesure. ",""))</f>
        <v/>
      </c>
      <c r="S253" s="28" t="n">
        <f aca="false">IF($C253="",0,IF($C253=R_LOT,1,0))</f>
        <v>0</v>
      </c>
      <c r="T253" s="26" t="str">
        <f aca="false">IF($S253=0,"",COUNTIF($S$5:$S253,1))</f>
        <v/>
      </c>
    </row>
    <row r="254" customFormat="false" ht="15" hidden="false" customHeight="false" outlineLevel="0" collapsed="false">
      <c r="A254" s="26" t="str">
        <f aca="false">IF($C254="","","QC-"&amp;TEXT(ROW()-4,"000"))</f>
        <v/>
      </c>
      <c r="B254" s="25"/>
      <c r="C254" s="24"/>
      <c r="D254" s="24"/>
      <c r="E254" s="24"/>
      <c r="F254" s="32"/>
      <c r="G254" s="33"/>
      <c r="H254" s="24"/>
      <c r="I254" s="24"/>
      <c r="J254" s="24"/>
      <c r="K254" s="24"/>
      <c r="L254" s="24"/>
      <c r="M254" s="24"/>
      <c r="N254" s="26" t="str">
        <f aca="false">IF($C254="","",IFERROR(INDEX(LOT_PRODE,MATCH($C254,LOT_KEY,0)),"LOT NON REFERENCE"))</f>
        <v/>
      </c>
      <c r="O254" s="26" t="str">
        <f aca="false">IF($C254="","",IFERROR(INDEX(LOT_CONSERVE,MATCH($C254,LOT_KEY,0)),""))</f>
        <v/>
      </c>
      <c r="P254" s="27" t="str">
        <f aca="false">IF(OR($C254="",$D254=""),"",SUMIFS(MVT_NET,MVT_LOT,$C254,MVT_EMPL,$D254))</f>
        <v/>
      </c>
      <c r="Q254" s="26" t="str">
        <f aca="false">IF($C254="","",IF(OR($B254="",AND($F254="",$G254="",$H254="",$I254="",$J254="",$K254="")),"DONNEES MANQUANTES",IF(AND($D254&lt;&gt;"",$P254&lt;=0),"EMPLACEMENT INCOHERENT","OK")))</f>
        <v/>
      </c>
      <c r="R254" s="26" t="str">
        <f aca="false">IF($C254="","",IF(AND(ISNUMBER($G254),$G254&gt;P_HIST),"HISTAMINE "&amp;TEXT($G254,"#,##0")&amp;" mg/kg &gt; seuil "&amp;TEXT(P_HIST,"#,##0")&amp;". ","")&amp;IF(AND(ISNUMBER($F254),$O254="CONGELE",$F254&gt;P_TCONG),"TEMPERATURE "&amp;TEXT($F254,"0.0")&amp;" C hors seuil congele. ","")&amp;IF(AND(ISNUMBER($F254),$O254="FRAIS",$F254&gt;P_TFRAIS),"TEMPERATURE "&amp;TEXT($F254,"0.0")&amp;" C hors seuil frais. ","")&amp;IF($Q254="EMPLACEMENT INCOHERENT","Lot absent de cet emplacement : controle conserve, stock inchange. ","")&amp;IF($Q254="DONNEES MANQUANTES","Renseigner la DATE et au moins une mesure. ",""))</f>
        <v/>
      </c>
      <c r="S254" s="28" t="n">
        <f aca="false">IF($C254="",0,IF($C254=R_LOT,1,0))</f>
        <v>0</v>
      </c>
      <c r="T254" s="26" t="str">
        <f aca="false">IF($S254=0,"",COUNTIF($S$5:$S254,1))</f>
        <v/>
      </c>
    </row>
  </sheetData>
  <autoFilter ref="A4:T254"/>
  <mergeCells count="3">
    <mergeCell ref="A1:T1"/>
    <mergeCell ref="A2:T2"/>
    <mergeCell ref="A3:T3"/>
  </mergeCells>
  <conditionalFormatting sqref="Q5:Q254">
    <cfRule type="cellIs" priority="2" operator="equal" aboveAverage="0" equalAverage="0" bottom="0" percent="0" rank="0" text="" dxfId="11">
      <formula>"OK"</formula>
    </cfRule>
    <cfRule type="cellIs" priority="3" operator="equal" aboveAverage="0" equalAverage="0" bottom="0" percent="0" rank="0" text="" dxfId="12">
      <formula>"EN COURS"</formula>
    </cfRule>
    <cfRule type="cellIs" priority="4" operator="equal" aboveAverage="0" equalAverage="0" bottom="0" percent="0" rank="0" text="" dxfId="13">
      <formula>"A JUSTIFIER"</formula>
    </cfRule>
    <cfRule type="cellIs" priority="5" operator="equal" aboveAverage="0" equalAverage="0" bottom="0" percent="0" rank="0" text="" dxfId="14">
      <formula>"DONNEES MANQUANTES"</formula>
    </cfRule>
    <cfRule type="cellIs" priority="6" operator="equal" aboveAverage="0" equalAverage="0" bottom="0" percent="0" rank="0" text="" dxfId="15">
      <formula>"STOCK INSUFFISANT"</formula>
    </cfRule>
    <cfRule type="cellIs" priority="7" operator="equal" aboveAverage="0" equalAverage="0" bottom="0" percent="0" rank="0" text="" dxfId="15">
      <formula>"EMPLACEMENT INCOHERENT"</formula>
    </cfRule>
    <cfRule type="cellIs" priority="8" operator="equal" aboveAverage="0" equalAverage="0" bottom="0" percent="0" rank="0" text="" dxfId="15">
      <formula>"BLOQUE"</formula>
    </cfRule>
    <cfRule type="cellIs" priority="9" operator="equal" aboveAverage="0" equalAverage="0" bottom="0" percent="0" rank="0" text="" dxfId="15">
      <formula>"INCOHERENCE"</formula>
    </cfRule>
    <cfRule type="cellIs" priority="10" operator="equal" aboveAverage="0" equalAverage="0" bottom="0" percent="0" rank="0" text="" dxfId="13">
      <formula>"LOT EN DOUBLE"</formula>
    </cfRule>
  </conditionalFormatting>
  <conditionalFormatting sqref="R5:R254">
    <cfRule type="expression" priority="11" aboveAverage="0" equalAverage="0" bottom="0" percent="0" rank="0" text="" dxfId="24">
      <formula>LEN($R5)&gt;0</formula>
    </cfRule>
  </conditionalFormatting>
  <dataValidations count="6">
    <dataValidation allowBlank="true" error="Choisissez une valeur dans la liste deroulante." errorStyle="stop" errorTitle="Valeur non autorisee" operator="between" showDropDown="false" showErrorMessage="true" showInputMessage="false" sqref="C5:C254" type="list">
      <formula1>L_LOTS</formula1>
      <formula2>0</formula2>
    </dataValidation>
    <dataValidation allowBlank="true" error="Choisissez une valeur dans la liste deroulante." errorStyle="stop" errorTitle="Valeur non autorisee" operator="between" prompt="Optionnel. Sert a verifier la coherence lot / emplacement." promptTitle="Aide" showDropDown="false" showErrorMessage="true" showInputMessage="true" sqref="D5:D254" type="list">
      <formula1>L_EMPL</formula1>
      <formula2>0</formula2>
    </dataValidation>
    <dataValidation allowBlank="true" errorStyle="stop" operator="between" showDropDown="false" showErrorMessage="false" showInputMessage="false" sqref="E5:E254" type="list">
      <formula1>L_TYPECTRL</formula1>
      <formula2>0</formula2>
    </dataValidation>
    <dataValidation allowBlank="true" errorStyle="stop" operator="between" showDropDown="false" showErrorMessage="false" showInputMessage="false" sqref="H5:H254" type="list">
      <formula1>L_QUALITE</formula1>
      <formula2>0</formula2>
    </dataValidation>
    <dataValidation allowBlank="true" errorStyle="stop" operator="between" showDropDown="false" showErrorMessage="false" showInputMessage="false" sqref="I5:I254" type="list">
      <formula1>L_MOULE</formula1>
      <formula2>0</formula2>
    </dataValidation>
    <dataValidation allowBlank="true" errorStyle="stop" operator="between" showDropDown="false" showErrorMessage="false" showInputMessage="false" sqref="K5:K254" type="list">
      <formula1>L_DECISION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3D5C"/>
    <pageSetUpPr fitToPage="false"/>
  </sheetPr>
  <dimension ref="A1:R2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3" topLeftCell="B14" activePane="bottomRight" state="frozen"/>
      <selection pane="topLeft" activeCell="A1" activeCellId="0" sqref="A1"/>
      <selection pane="topRight" activeCell="B1" activeCellId="0" sqref="B1"/>
      <selection pane="bottomLeft" activeCell="A14" activeCellId="0" sqref="A14"/>
      <selection pane="bottomRight" activeCell="A1" activeCellId="0" sqref="A1"/>
    </sheetView>
  </sheetViews>
  <sheetFormatPr defaultColWidth="8.5390625" defaultRowHeight="15" zeroHeight="false" outlineLevelRow="0" outlineLevelCol="0"/>
  <cols>
    <col collapsed="false" customWidth="true" hidden="false" outlineLevel="0" max="1" min="1" style="0" width="15"/>
    <col collapsed="false" customWidth="true" hidden="false" outlineLevel="0" max="13" min="2" style="0" width="13"/>
    <col collapsed="false" customWidth="true" hidden="false" outlineLevel="0" max="17" min="14" style="0" width="15"/>
    <col collapsed="false" customWidth="true" hidden="false" outlineLevel="0" max="18" min="18" style="0" width="22"/>
  </cols>
  <sheetData>
    <row r="1" customFormat="false" ht="30" hidden="false" customHeight="true" outlineLevel="0" collapsed="false">
      <c r="A1" s="1" t="s">
        <v>224</v>
      </c>
      <c r="B1" s="1"/>
      <c r="C1" s="1"/>
      <c r="D1" s="1"/>
      <c r="E1" s="1"/>
      <c r="F1" s="1"/>
      <c r="G1" s="1"/>
      <c r="H1" s="1"/>
      <c r="I1" s="1"/>
      <c r="J1" s="1"/>
      <c r="K1" s="1"/>
      <c r="L1" s="1"/>
      <c r="M1" s="1"/>
      <c r="N1" s="1"/>
      <c r="O1" s="1"/>
      <c r="P1" s="1"/>
      <c r="Q1" s="1"/>
      <c r="R1" s="1"/>
    </row>
    <row r="2" customFormat="false" ht="18" hidden="false" customHeight="true" outlineLevel="0" collapsed="false">
      <c r="A2" s="2" t="s">
        <v>225</v>
      </c>
      <c r="B2" s="2"/>
      <c r="C2" s="2"/>
      <c r="D2" s="2"/>
      <c r="E2" s="2"/>
      <c r="F2" s="2"/>
      <c r="G2" s="2"/>
      <c r="H2" s="2"/>
      <c r="I2" s="2"/>
      <c r="J2" s="2"/>
      <c r="K2" s="2"/>
      <c r="L2" s="2"/>
      <c r="M2" s="2"/>
      <c r="N2" s="2"/>
      <c r="O2" s="2"/>
      <c r="P2" s="2"/>
      <c r="Q2" s="2"/>
      <c r="R2" s="2"/>
    </row>
    <row r="4" customFormat="false" ht="15" hidden="false" customHeight="false" outlineLevel="0" collapsed="false">
      <c r="A4" s="34" t="s">
        <v>226</v>
      </c>
      <c r="B4" s="34"/>
      <c r="C4" s="34"/>
      <c r="D4" s="35" t="n">
        <f aca="false">SUMIFS(MVT_NET,MVT_CLASSE,"INTERNE")</f>
        <v>3090</v>
      </c>
    </row>
    <row r="5" customFormat="false" ht="15" hidden="false" customHeight="false" outlineLevel="0" collapsed="false">
      <c r="A5" s="34" t="s">
        <v>227</v>
      </c>
      <c r="B5" s="34"/>
      <c r="C5" s="34"/>
      <c r="D5" s="35" t="n">
        <f aca="false">SUMIFS(MVT_NET,MVT_CLASSE,"EXTERNE")</f>
        <v>1350</v>
      </c>
    </row>
    <row r="6" customFormat="false" ht="15" hidden="false" customHeight="false" outlineLevel="0" collapsed="false">
      <c r="A6" s="34" t="s">
        <v>6</v>
      </c>
      <c r="B6" s="34"/>
      <c r="C6" s="34"/>
      <c r="D6" s="35" t="n">
        <f aca="false">SUM(MVT_NET)</f>
        <v>4440</v>
      </c>
    </row>
    <row r="7" customFormat="false" ht="15" hidden="false" customHeight="false" outlineLevel="0" collapsed="false">
      <c r="A7" s="34" t="s">
        <v>228</v>
      </c>
      <c r="B7" s="34"/>
      <c r="C7" s="34"/>
      <c r="D7" s="36" t="n">
        <f aca="false">COUNTIF($N$14:$N$213,"&gt;0")</f>
        <v>8</v>
      </c>
    </row>
    <row r="8" customFormat="false" ht="15" hidden="false" customHeight="false" outlineLevel="0" collapsed="false">
      <c r="A8" s="34" t="s">
        <v>229</v>
      </c>
      <c r="B8" s="34"/>
      <c r="C8" s="34"/>
      <c r="D8" s="35" t="n">
        <f aca="false">SUM(ST_ENCOURS)</f>
        <v>200</v>
      </c>
    </row>
    <row r="9" customFormat="false" ht="15" hidden="false" customHeight="false" outlineLevel="0" collapsed="false">
      <c r="A9" s="37" t="s">
        <v>230</v>
      </c>
      <c r="B9" s="37"/>
      <c r="C9" s="37"/>
      <c r="D9" s="35" t="n">
        <f aca="false">ROUND(SUM(MVT_NET)-SUM($N$14:$N$213),3)</f>
        <v>0</v>
      </c>
      <c r="E9" s="38" t="s">
        <v>231</v>
      </c>
      <c r="F9" s="38"/>
      <c r="G9" s="38"/>
      <c r="H9" s="38"/>
      <c r="I9" s="38"/>
      <c r="J9" s="38"/>
      <c r="K9" s="38"/>
    </row>
    <row r="11" customFormat="false" ht="19.5" hidden="false" customHeight="true" outlineLevel="0" collapsed="false">
      <c r="A11" s="3" t="s">
        <v>232</v>
      </c>
      <c r="B11" s="3"/>
      <c r="C11" s="3"/>
      <c r="D11" s="3"/>
      <c r="E11" s="3"/>
      <c r="F11" s="3"/>
      <c r="G11" s="3"/>
      <c r="H11" s="3"/>
      <c r="I11" s="3"/>
      <c r="J11" s="3"/>
      <c r="K11" s="3"/>
      <c r="L11" s="3"/>
      <c r="M11" s="3"/>
      <c r="N11" s="3"/>
      <c r="O11" s="3"/>
      <c r="P11" s="3"/>
      <c r="Q11" s="3"/>
      <c r="R11" s="3"/>
    </row>
    <row r="12" customFormat="false" ht="15" hidden="false" customHeight="false" outlineLevel="0" collapsed="false">
      <c r="A12" s="39" t="s">
        <v>233</v>
      </c>
      <c r="B12" s="39" t="str">
        <f aca="false">IF(INDEX(EMPL_KEY,1)="","",IFERROR(INDEX(EMPL_CLASSE,1),""))</f>
        <v>INTERNE</v>
      </c>
      <c r="C12" s="39" t="str">
        <f aca="false">IF(INDEX(EMPL_KEY,2)="","",IFERROR(INDEX(EMPL_CLASSE,2),""))</f>
        <v>EXTERNE</v>
      </c>
      <c r="D12" s="39" t="str">
        <f aca="false">IF(INDEX(EMPL_KEY,3)="","",IFERROR(INDEX(EMPL_CLASSE,3),""))</f>
        <v>EXTERNE</v>
      </c>
      <c r="E12" s="39" t="str">
        <f aca="false">IF(INDEX(EMPL_KEY,4)="","",IFERROR(INDEX(EMPL_CLASSE,4),""))</f>
        <v>EXTERNE</v>
      </c>
      <c r="F12" s="39" t="str">
        <f aca="false">IF(INDEX(EMPL_KEY,5)="","",IFERROR(INDEX(EMPL_CLASSE,5),""))</f>
        <v>EXTERNE</v>
      </c>
      <c r="G12" s="39" t="str">
        <f aca="false">IF(INDEX(EMPL_KEY,6)="","",IFERROR(INDEX(EMPL_CLASSE,6),""))</f>
        <v/>
      </c>
      <c r="H12" s="39" t="str">
        <f aca="false">IF(INDEX(EMPL_KEY,7)="","",IFERROR(INDEX(EMPL_CLASSE,7),""))</f>
        <v/>
      </c>
      <c r="I12" s="39" t="str">
        <f aca="false">IF(INDEX(EMPL_KEY,8)="","",IFERROR(INDEX(EMPL_CLASSE,8),""))</f>
        <v/>
      </c>
      <c r="J12" s="39" t="str">
        <f aca="false">IF(INDEX(EMPL_KEY,9)="","",IFERROR(INDEX(EMPL_CLASSE,9),""))</f>
        <v/>
      </c>
      <c r="K12" s="39" t="str">
        <f aca="false">IF(INDEX(EMPL_KEY,10)="","",IFERROR(INDEX(EMPL_CLASSE,10),""))</f>
        <v/>
      </c>
      <c r="L12" s="39" t="str">
        <f aca="false">IF(INDEX(EMPL_KEY,11)="","",IFERROR(INDEX(EMPL_CLASSE,11),""))</f>
        <v/>
      </c>
      <c r="M12" s="39" t="str">
        <f aca="false">IF(INDEX(EMPL_KEY,12)="","",IFERROR(INDEX(EMPL_CLASSE,12),""))</f>
        <v/>
      </c>
    </row>
    <row r="13" customFormat="false" ht="27.75" hidden="false" customHeight="true" outlineLevel="0" collapsed="false">
      <c r="A13" s="40" t="s">
        <v>48</v>
      </c>
      <c r="B13" s="22" t="str">
        <f aca="false">IF(INDEX(EMPL_KEY,1)="","",INDEX(EMPL_KEY,1))</f>
        <v>OCEAMIC 2</v>
      </c>
      <c r="C13" s="22" t="str">
        <f aca="false">IF(INDEX(EMPL_KEY,2)="","",INDEX(EMPL_KEY,2))</f>
        <v>SARMA</v>
      </c>
      <c r="D13" s="22" t="str">
        <f aca="false">IF(INDEX(EMPL_KEY,3)="","",INDEX(EMPL_KEY,3))</f>
        <v>DAMSA</v>
      </c>
      <c r="E13" s="22" t="str">
        <f aca="false">IF(INDEX(EMPL_KEY,4)="","",INDEX(EMPL_KEY,4))</f>
        <v>COFRIGOP</v>
      </c>
      <c r="F13" s="22" t="str">
        <f aca="false">IF(INDEX(EMPL_KEY,5)="","",INDEX(EMPL_KEY,5))</f>
        <v>COFRIGOB</v>
      </c>
      <c r="G13" s="22" t="str">
        <f aca="false">IF(INDEX(EMPL_KEY,6)="","",INDEX(EMPL_KEY,6))</f>
        <v/>
      </c>
      <c r="H13" s="22" t="str">
        <f aca="false">IF(INDEX(EMPL_KEY,7)="","",INDEX(EMPL_KEY,7))</f>
        <v/>
      </c>
      <c r="I13" s="22" t="str">
        <f aca="false">IF(INDEX(EMPL_KEY,8)="","",INDEX(EMPL_KEY,8))</f>
        <v/>
      </c>
      <c r="J13" s="22" t="str">
        <f aca="false">IF(INDEX(EMPL_KEY,9)="","",INDEX(EMPL_KEY,9))</f>
        <v/>
      </c>
      <c r="K13" s="22" t="str">
        <f aca="false">IF(INDEX(EMPL_KEY,10)="","",INDEX(EMPL_KEY,10))</f>
        <v/>
      </c>
      <c r="L13" s="22" t="str">
        <f aca="false">IF(INDEX(EMPL_KEY,11)="","",INDEX(EMPL_KEY,11))</f>
        <v/>
      </c>
      <c r="M13" s="22" t="str">
        <f aca="false">IF(INDEX(EMPL_KEY,12)="","",INDEX(EMPL_KEY,12))</f>
        <v/>
      </c>
      <c r="N13" s="23" t="s">
        <v>234</v>
      </c>
      <c r="O13" s="23" t="s">
        <v>235</v>
      </c>
      <c r="P13" s="23" t="s">
        <v>236</v>
      </c>
      <c r="Q13" s="23" t="s">
        <v>237</v>
      </c>
      <c r="R13" s="23" t="s">
        <v>213</v>
      </c>
    </row>
    <row r="14" customFormat="false" ht="15" hidden="false" customHeight="false" outlineLevel="0" collapsed="false">
      <c r="A14" s="41" t="str">
        <f aca="false">IF(LOTS!$A5="","",LOTS!$A5)</f>
        <v>255</v>
      </c>
      <c r="B14" s="42" t="n">
        <f aca="false">IF(OR($A14="",B$13=""),0,SUMIFS(MVT_NET,MVT_LOT,$A14,MVT_EMPL,B$13))</f>
        <v>500</v>
      </c>
      <c r="C14" s="42" t="n">
        <f aca="false">IF(OR($A14="",C$13=""),0,SUMIFS(MVT_NET,MVT_LOT,$A14,MVT_EMPL,C$13))</f>
        <v>0</v>
      </c>
      <c r="D14" s="42" t="n">
        <f aca="false">IF(OR($A14="",D$13=""),0,SUMIFS(MVT_NET,MVT_LOT,$A14,MVT_EMPL,D$13))</f>
        <v>0</v>
      </c>
      <c r="E14" s="42" t="n">
        <f aca="false">IF(OR($A14="",E$13=""),0,SUMIFS(MVT_NET,MVT_LOT,$A14,MVT_EMPL,E$13))</f>
        <v>0</v>
      </c>
      <c r="F14" s="42" t="n">
        <f aca="false">IF(OR($A14="",F$13=""),0,SUMIFS(MVT_NET,MVT_LOT,$A14,MVT_EMPL,F$13))</f>
        <v>0</v>
      </c>
      <c r="G14" s="42" t="n">
        <f aca="false">IF(OR($A14="",G$13=""),0,SUMIFS(MVT_NET,MVT_LOT,$A14,MVT_EMPL,G$13))</f>
        <v>0</v>
      </c>
      <c r="H14" s="42" t="n">
        <f aca="false">IF(OR($A14="",H$13=""),0,SUMIFS(MVT_NET,MVT_LOT,$A14,MVT_EMPL,H$13))</f>
        <v>0</v>
      </c>
      <c r="I14" s="42" t="n">
        <f aca="false">IF(OR($A14="",I$13=""),0,SUMIFS(MVT_NET,MVT_LOT,$A14,MVT_EMPL,I$13))</f>
        <v>0</v>
      </c>
      <c r="J14" s="42" t="n">
        <f aca="false">IF(OR($A14="",J$13=""),0,SUMIFS(MVT_NET,MVT_LOT,$A14,MVT_EMPL,J$13))</f>
        <v>0</v>
      </c>
      <c r="K14" s="42" t="n">
        <f aca="false">IF(OR($A14="",K$13=""),0,SUMIFS(MVT_NET,MVT_LOT,$A14,MVT_EMPL,K$13))</f>
        <v>0</v>
      </c>
      <c r="L14" s="42" t="n">
        <f aca="false">IF(OR($A14="",L$13=""),0,SUMIFS(MVT_NET,MVT_LOT,$A14,MVT_EMPL,L$13))</f>
        <v>0</v>
      </c>
      <c r="M14" s="42" t="n">
        <f aca="false">IF(OR($A14="",M$13=""),0,SUMIFS(MVT_NET,MVT_LOT,$A14,MVT_EMPL,M$13))</f>
        <v>0</v>
      </c>
      <c r="N14" s="43" t="n">
        <f aca="false">SUM($B14:$M14)</f>
        <v>500</v>
      </c>
      <c r="O14" s="44" t="n">
        <f aca="false">SUMPRODUCT(($B$12:$M$12="INTERNE")*$B14:$M14)</f>
        <v>500</v>
      </c>
      <c r="P14" s="44" t="n">
        <f aca="false">SUMPRODUCT(($B$12:$M$12="EXTERNE")*$B14:$M14)</f>
        <v>0</v>
      </c>
      <c r="Q14" s="44" t="n">
        <f aca="false">IF($A14="",0,SUMIFS(ST_ENCOURS,ST_LOT,$A14))</f>
        <v>0</v>
      </c>
      <c r="R14" s="45" t="str">
        <f aca="false">IF($A14="","",IF($N14&lt;-0.001,"STOCK NEGATIF - ANOMALIE",""))</f>
        <v/>
      </c>
    </row>
    <row r="15" customFormat="false" ht="15" hidden="false" customHeight="false" outlineLevel="0" collapsed="false">
      <c r="A15" s="41" t="str">
        <f aca="false">IF(LOTS!$A6="","",LOTS!$A6)</f>
        <v>256</v>
      </c>
      <c r="B15" s="42" t="n">
        <f aca="false">IF(OR($A15="",B$13=""),0,SUMIFS(MVT_NET,MVT_LOT,$A15,MVT_EMPL,B$13))</f>
        <v>800</v>
      </c>
      <c r="C15" s="42" t="n">
        <f aca="false">IF(OR($A15="",C$13=""),0,SUMIFS(MVT_NET,MVT_LOT,$A15,MVT_EMPL,C$13))</f>
        <v>1200</v>
      </c>
      <c r="D15" s="42" t="n">
        <f aca="false">IF(OR($A15="",D$13=""),0,SUMIFS(MVT_NET,MVT_LOT,$A15,MVT_EMPL,D$13))</f>
        <v>0</v>
      </c>
      <c r="E15" s="42" t="n">
        <f aca="false">IF(OR($A15="",E$13=""),0,SUMIFS(MVT_NET,MVT_LOT,$A15,MVT_EMPL,E$13))</f>
        <v>0</v>
      </c>
      <c r="F15" s="42" t="n">
        <f aca="false">IF(OR($A15="",F$13=""),0,SUMIFS(MVT_NET,MVT_LOT,$A15,MVT_EMPL,F$13))</f>
        <v>0</v>
      </c>
      <c r="G15" s="42" t="n">
        <f aca="false">IF(OR($A15="",G$13=""),0,SUMIFS(MVT_NET,MVT_LOT,$A15,MVT_EMPL,G$13))</f>
        <v>0</v>
      </c>
      <c r="H15" s="42" t="n">
        <f aca="false">IF(OR($A15="",H$13=""),0,SUMIFS(MVT_NET,MVT_LOT,$A15,MVT_EMPL,H$13))</f>
        <v>0</v>
      </c>
      <c r="I15" s="42" t="n">
        <f aca="false">IF(OR($A15="",I$13=""),0,SUMIFS(MVT_NET,MVT_LOT,$A15,MVT_EMPL,I$13))</f>
        <v>0</v>
      </c>
      <c r="J15" s="42" t="n">
        <f aca="false">IF(OR($A15="",J$13=""),0,SUMIFS(MVT_NET,MVT_LOT,$A15,MVT_EMPL,J$13))</f>
        <v>0</v>
      </c>
      <c r="K15" s="42" t="n">
        <f aca="false">IF(OR($A15="",K$13=""),0,SUMIFS(MVT_NET,MVT_LOT,$A15,MVT_EMPL,K$13))</f>
        <v>0</v>
      </c>
      <c r="L15" s="42" t="n">
        <f aca="false">IF(OR($A15="",L$13=""),0,SUMIFS(MVT_NET,MVT_LOT,$A15,MVT_EMPL,L$13))</f>
        <v>0</v>
      </c>
      <c r="M15" s="42" t="n">
        <f aca="false">IF(OR($A15="",M$13=""),0,SUMIFS(MVT_NET,MVT_LOT,$A15,MVT_EMPL,M$13))</f>
        <v>0</v>
      </c>
      <c r="N15" s="43" t="n">
        <f aca="false">SUM($B15:$M15)</f>
        <v>2000</v>
      </c>
      <c r="O15" s="44" t="n">
        <f aca="false">SUMPRODUCT(($B$12:$M$12="INTERNE")*$B15:$M15)</f>
        <v>800</v>
      </c>
      <c r="P15" s="44" t="n">
        <f aca="false">SUMPRODUCT(($B$12:$M$12="EXTERNE")*$B15:$M15)</f>
        <v>1200</v>
      </c>
      <c r="Q15" s="44" t="n">
        <f aca="false">IF($A15="",0,SUMIFS(ST_ENCOURS,ST_LOT,$A15))</f>
        <v>0</v>
      </c>
      <c r="R15" s="45" t="str">
        <f aca="false">IF($A15="","",IF($N15&lt;-0.001,"STOCK NEGATIF - ANOMALIE",""))</f>
        <v/>
      </c>
    </row>
    <row r="16" customFormat="false" ht="15" hidden="false" customHeight="false" outlineLevel="0" collapsed="false">
      <c r="A16" s="41" t="str">
        <f aca="false">IF(LOTS!$A7="","",LOTS!$A7)</f>
        <v>257</v>
      </c>
      <c r="B16" s="42" t="n">
        <f aca="false">IF(OR($A16="",B$13=""),0,SUMIFS(MVT_NET,MVT_LOT,$A16,MVT_EMPL,B$13))</f>
        <v>500</v>
      </c>
      <c r="C16" s="42" t="n">
        <f aca="false">IF(OR($A16="",C$13=""),0,SUMIFS(MVT_NET,MVT_LOT,$A16,MVT_EMPL,C$13))</f>
        <v>0</v>
      </c>
      <c r="D16" s="42" t="n">
        <f aca="false">IF(OR($A16="",D$13=""),0,SUMIFS(MVT_NET,MVT_LOT,$A16,MVT_EMPL,D$13))</f>
        <v>0</v>
      </c>
      <c r="E16" s="42" t="n">
        <f aca="false">IF(OR($A16="",E$13=""),0,SUMIFS(MVT_NET,MVT_LOT,$A16,MVT_EMPL,E$13))</f>
        <v>0</v>
      </c>
      <c r="F16" s="42" t="n">
        <f aca="false">IF(OR($A16="",F$13=""),0,SUMIFS(MVT_NET,MVT_LOT,$A16,MVT_EMPL,F$13))</f>
        <v>0</v>
      </c>
      <c r="G16" s="42" t="n">
        <f aca="false">IF(OR($A16="",G$13=""),0,SUMIFS(MVT_NET,MVT_LOT,$A16,MVT_EMPL,G$13))</f>
        <v>0</v>
      </c>
      <c r="H16" s="42" t="n">
        <f aca="false">IF(OR($A16="",H$13=""),0,SUMIFS(MVT_NET,MVT_LOT,$A16,MVT_EMPL,H$13))</f>
        <v>0</v>
      </c>
      <c r="I16" s="42" t="n">
        <f aca="false">IF(OR($A16="",I$13=""),0,SUMIFS(MVT_NET,MVT_LOT,$A16,MVT_EMPL,I$13))</f>
        <v>0</v>
      </c>
      <c r="J16" s="42" t="n">
        <f aca="false">IF(OR($A16="",J$13=""),0,SUMIFS(MVT_NET,MVT_LOT,$A16,MVT_EMPL,J$13))</f>
        <v>0</v>
      </c>
      <c r="K16" s="42" t="n">
        <f aca="false">IF(OR($A16="",K$13=""),0,SUMIFS(MVT_NET,MVT_LOT,$A16,MVT_EMPL,K$13))</f>
        <v>0</v>
      </c>
      <c r="L16" s="42" t="n">
        <f aca="false">IF(OR($A16="",L$13=""),0,SUMIFS(MVT_NET,MVT_LOT,$A16,MVT_EMPL,L$13))</f>
        <v>0</v>
      </c>
      <c r="M16" s="42" t="n">
        <f aca="false">IF(OR($A16="",M$13=""),0,SUMIFS(MVT_NET,MVT_LOT,$A16,MVT_EMPL,M$13))</f>
        <v>0</v>
      </c>
      <c r="N16" s="43" t="n">
        <f aca="false">SUM($B16:$M16)</f>
        <v>500</v>
      </c>
      <c r="O16" s="44" t="n">
        <f aca="false">SUMPRODUCT(($B$12:$M$12="INTERNE")*$B16:$M16)</f>
        <v>500</v>
      </c>
      <c r="P16" s="44" t="n">
        <f aca="false">SUMPRODUCT(($B$12:$M$12="EXTERNE")*$B16:$M16)</f>
        <v>0</v>
      </c>
      <c r="Q16" s="44" t="n">
        <f aca="false">IF($A16="",0,SUMIFS(ST_ENCOURS,ST_LOT,$A16))</f>
        <v>0</v>
      </c>
      <c r="R16" s="45" t="str">
        <f aca="false">IF($A16="","",IF($N16&lt;-0.001,"STOCK NEGATIF - ANOMALIE",""))</f>
        <v/>
      </c>
    </row>
    <row r="17" customFormat="false" ht="15" hidden="false" customHeight="false" outlineLevel="0" collapsed="false">
      <c r="A17" s="41" t="str">
        <f aca="false">IF(LOTS!$A8="","",LOTS!$A8)</f>
        <v>258</v>
      </c>
      <c r="B17" s="42" t="n">
        <f aca="false">IF(OR($A17="",B$13=""),0,SUMIFS(MVT_NET,MVT_LOT,$A17,MVT_EMPL,B$13))</f>
        <v>200</v>
      </c>
      <c r="C17" s="42" t="n">
        <f aca="false">IF(OR($A17="",C$13=""),0,SUMIFS(MVT_NET,MVT_LOT,$A17,MVT_EMPL,C$13))</f>
        <v>0</v>
      </c>
      <c r="D17" s="42" t="n">
        <f aca="false">IF(OR($A17="",D$13=""),0,SUMIFS(MVT_NET,MVT_LOT,$A17,MVT_EMPL,D$13))</f>
        <v>0</v>
      </c>
      <c r="E17" s="42" t="n">
        <f aca="false">IF(OR($A17="",E$13=""),0,SUMIFS(MVT_NET,MVT_LOT,$A17,MVT_EMPL,E$13))</f>
        <v>0</v>
      </c>
      <c r="F17" s="42" t="n">
        <f aca="false">IF(OR($A17="",F$13=""),0,SUMIFS(MVT_NET,MVT_LOT,$A17,MVT_EMPL,F$13))</f>
        <v>0</v>
      </c>
      <c r="G17" s="42" t="n">
        <f aca="false">IF(OR($A17="",G$13=""),0,SUMIFS(MVT_NET,MVT_LOT,$A17,MVT_EMPL,G$13))</f>
        <v>0</v>
      </c>
      <c r="H17" s="42" t="n">
        <f aca="false">IF(OR($A17="",H$13=""),0,SUMIFS(MVT_NET,MVT_LOT,$A17,MVT_EMPL,H$13))</f>
        <v>0</v>
      </c>
      <c r="I17" s="42" t="n">
        <f aca="false">IF(OR($A17="",I$13=""),0,SUMIFS(MVT_NET,MVT_LOT,$A17,MVT_EMPL,I$13))</f>
        <v>0</v>
      </c>
      <c r="J17" s="42" t="n">
        <f aca="false">IF(OR($A17="",J$13=""),0,SUMIFS(MVT_NET,MVT_LOT,$A17,MVT_EMPL,J$13))</f>
        <v>0</v>
      </c>
      <c r="K17" s="42" t="n">
        <f aca="false">IF(OR($A17="",K$13=""),0,SUMIFS(MVT_NET,MVT_LOT,$A17,MVT_EMPL,K$13))</f>
        <v>0</v>
      </c>
      <c r="L17" s="42" t="n">
        <f aca="false">IF(OR($A17="",L$13=""),0,SUMIFS(MVT_NET,MVT_LOT,$A17,MVT_EMPL,L$13))</f>
        <v>0</v>
      </c>
      <c r="M17" s="42" t="n">
        <f aca="false">IF(OR($A17="",M$13=""),0,SUMIFS(MVT_NET,MVT_LOT,$A17,MVT_EMPL,M$13))</f>
        <v>0</v>
      </c>
      <c r="N17" s="43" t="n">
        <f aca="false">SUM($B17:$M17)</f>
        <v>200</v>
      </c>
      <c r="O17" s="44" t="n">
        <f aca="false">SUMPRODUCT(($B$12:$M$12="INTERNE")*$B17:$M17)</f>
        <v>200</v>
      </c>
      <c r="P17" s="44" t="n">
        <f aca="false">SUMPRODUCT(($B$12:$M$12="EXTERNE")*$B17:$M17)</f>
        <v>0</v>
      </c>
      <c r="Q17" s="44" t="n">
        <f aca="false">IF($A17="",0,SUMIFS(ST_ENCOURS,ST_LOT,$A17))</f>
        <v>0</v>
      </c>
      <c r="R17" s="45" t="str">
        <f aca="false">IF($A17="","",IF($N17&lt;-0.001,"STOCK NEGATIF - ANOMALIE",""))</f>
        <v/>
      </c>
    </row>
    <row r="18" customFormat="false" ht="15" hidden="false" customHeight="false" outlineLevel="0" collapsed="false">
      <c r="A18" s="41" t="str">
        <f aca="false">IF(LOTS!$A9="","",LOTS!$A9)</f>
        <v>300</v>
      </c>
      <c r="B18" s="42" t="n">
        <f aca="false">IF(OR($A18="",B$13=""),0,SUMIFS(MVT_NET,MVT_LOT,$A18,MVT_EMPL,B$13))</f>
        <v>0</v>
      </c>
      <c r="C18" s="42" t="n">
        <f aca="false">IF(OR($A18="",C$13=""),0,SUMIFS(MVT_NET,MVT_LOT,$A18,MVT_EMPL,C$13))</f>
        <v>0</v>
      </c>
      <c r="D18" s="42" t="n">
        <f aca="false">IF(OR($A18="",D$13=""),0,SUMIFS(MVT_NET,MVT_LOT,$A18,MVT_EMPL,D$13))</f>
        <v>0</v>
      </c>
      <c r="E18" s="42" t="n">
        <f aca="false">IF(OR($A18="",E$13=""),0,SUMIFS(MVT_NET,MVT_LOT,$A18,MVT_EMPL,E$13))</f>
        <v>0</v>
      </c>
      <c r="F18" s="42" t="n">
        <f aca="false">IF(OR($A18="",F$13=""),0,SUMIFS(MVT_NET,MVT_LOT,$A18,MVT_EMPL,F$13))</f>
        <v>0</v>
      </c>
      <c r="G18" s="42" t="n">
        <f aca="false">IF(OR($A18="",G$13=""),0,SUMIFS(MVT_NET,MVT_LOT,$A18,MVT_EMPL,G$13))</f>
        <v>0</v>
      </c>
      <c r="H18" s="42" t="n">
        <f aca="false">IF(OR($A18="",H$13=""),0,SUMIFS(MVT_NET,MVT_LOT,$A18,MVT_EMPL,H$13))</f>
        <v>0</v>
      </c>
      <c r="I18" s="42" t="n">
        <f aca="false">IF(OR($A18="",I$13=""),0,SUMIFS(MVT_NET,MVT_LOT,$A18,MVT_EMPL,I$13))</f>
        <v>0</v>
      </c>
      <c r="J18" s="42" t="n">
        <f aca="false">IF(OR($A18="",J$13=""),0,SUMIFS(MVT_NET,MVT_LOT,$A18,MVT_EMPL,J$13))</f>
        <v>0</v>
      </c>
      <c r="K18" s="42" t="n">
        <f aca="false">IF(OR($A18="",K$13=""),0,SUMIFS(MVT_NET,MVT_LOT,$A18,MVT_EMPL,K$13))</f>
        <v>0</v>
      </c>
      <c r="L18" s="42" t="n">
        <f aca="false">IF(OR($A18="",L$13=""),0,SUMIFS(MVT_NET,MVT_LOT,$A18,MVT_EMPL,L$13))</f>
        <v>0</v>
      </c>
      <c r="M18" s="42" t="n">
        <f aca="false">IF(OR($A18="",M$13=""),0,SUMIFS(MVT_NET,MVT_LOT,$A18,MVT_EMPL,M$13))</f>
        <v>0</v>
      </c>
      <c r="N18" s="43" t="n">
        <f aca="false">SUM($B18:$M18)</f>
        <v>0</v>
      </c>
      <c r="O18" s="44" t="n">
        <f aca="false">SUMPRODUCT(($B$12:$M$12="INTERNE")*$B18:$M18)</f>
        <v>0</v>
      </c>
      <c r="P18" s="44" t="n">
        <f aca="false">SUMPRODUCT(($B$12:$M$12="EXTERNE")*$B18:$M18)</f>
        <v>0</v>
      </c>
      <c r="Q18" s="44" t="n">
        <f aca="false">IF($A18="",0,SUMIFS(ST_ENCOURS,ST_LOT,$A18))</f>
        <v>0</v>
      </c>
      <c r="R18" s="45" t="str">
        <f aca="false">IF($A18="","",IF($N18&lt;-0.001,"STOCK NEGATIF - ANOMALIE",""))</f>
        <v/>
      </c>
    </row>
    <row r="19" customFormat="false" ht="15" hidden="false" customHeight="false" outlineLevel="0" collapsed="false">
      <c r="A19" s="41" t="str">
        <f aca="false">IF(LOTS!$A10="","",LOTS!$A10)</f>
        <v>301</v>
      </c>
      <c r="B19" s="42" t="n">
        <f aca="false">IF(OR($A19="",B$13=""),0,SUMIFS(MVT_NET,MVT_LOT,$A19,MVT_EMPL,B$13))</f>
        <v>200</v>
      </c>
      <c r="C19" s="42" t="n">
        <f aca="false">IF(OR($A19="",C$13=""),0,SUMIFS(MVT_NET,MVT_LOT,$A19,MVT_EMPL,C$13))</f>
        <v>0</v>
      </c>
      <c r="D19" s="42" t="n">
        <f aca="false">IF(OR($A19="",D$13=""),0,SUMIFS(MVT_NET,MVT_LOT,$A19,MVT_EMPL,D$13))</f>
        <v>0</v>
      </c>
      <c r="E19" s="42" t="n">
        <f aca="false">IF(OR($A19="",E$13=""),0,SUMIFS(MVT_NET,MVT_LOT,$A19,MVT_EMPL,E$13))</f>
        <v>0</v>
      </c>
      <c r="F19" s="42" t="n">
        <f aca="false">IF(OR($A19="",F$13=""),0,SUMIFS(MVT_NET,MVT_LOT,$A19,MVT_EMPL,F$13))</f>
        <v>0</v>
      </c>
      <c r="G19" s="42" t="n">
        <f aca="false">IF(OR($A19="",G$13=""),0,SUMIFS(MVT_NET,MVT_LOT,$A19,MVT_EMPL,G$13))</f>
        <v>0</v>
      </c>
      <c r="H19" s="42" t="n">
        <f aca="false">IF(OR($A19="",H$13=""),0,SUMIFS(MVT_NET,MVT_LOT,$A19,MVT_EMPL,H$13))</f>
        <v>0</v>
      </c>
      <c r="I19" s="42" t="n">
        <f aca="false">IF(OR($A19="",I$13=""),0,SUMIFS(MVT_NET,MVT_LOT,$A19,MVT_EMPL,I$13))</f>
        <v>0</v>
      </c>
      <c r="J19" s="42" t="n">
        <f aca="false">IF(OR($A19="",J$13=""),0,SUMIFS(MVT_NET,MVT_LOT,$A19,MVT_EMPL,J$13))</f>
        <v>0</v>
      </c>
      <c r="K19" s="42" t="n">
        <f aca="false">IF(OR($A19="",K$13=""),0,SUMIFS(MVT_NET,MVT_LOT,$A19,MVT_EMPL,K$13))</f>
        <v>0</v>
      </c>
      <c r="L19" s="42" t="n">
        <f aca="false">IF(OR($A19="",L$13=""),0,SUMIFS(MVT_NET,MVT_LOT,$A19,MVT_EMPL,L$13))</f>
        <v>0</v>
      </c>
      <c r="M19" s="42" t="n">
        <f aca="false">IF(OR($A19="",M$13=""),0,SUMIFS(MVT_NET,MVT_LOT,$A19,MVT_EMPL,M$13))</f>
        <v>0</v>
      </c>
      <c r="N19" s="43" t="n">
        <f aca="false">SUM($B19:$M19)</f>
        <v>200</v>
      </c>
      <c r="O19" s="44" t="n">
        <f aca="false">SUMPRODUCT(($B$12:$M$12="INTERNE")*$B19:$M19)</f>
        <v>200</v>
      </c>
      <c r="P19" s="44" t="n">
        <f aca="false">SUMPRODUCT(($B$12:$M$12="EXTERNE")*$B19:$M19)</f>
        <v>0</v>
      </c>
      <c r="Q19" s="44" t="n">
        <f aca="false">IF($A19="",0,SUMIFS(ST_ENCOURS,ST_LOT,$A19))</f>
        <v>200</v>
      </c>
      <c r="R19" s="45" t="str">
        <f aca="false">IF($A19="","",IF($N19&lt;-0.001,"STOCK NEGATIF - ANOMALIE",""))</f>
        <v/>
      </c>
    </row>
    <row r="20" customFormat="false" ht="15" hidden="false" customHeight="false" outlineLevel="0" collapsed="false">
      <c r="A20" s="41" t="str">
        <f aca="false">IF(LOTS!$A11="","",LOTS!$A11)</f>
        <v>255-HG</v>
      </c>
      <c r="B20" s="42" t="n">
        <f aca="false">IF(OR($A20="",B$13=""),0,SUMIFS(MVT_NET,MVT_LOT,$A20,MVT_EMPL,B$13))</f>
        <v>300</v>
      </c>
      <c r="C20" s="42" t="n">
        <f aca="false">IF(OR($A20="",C$13=""),0,SUMIFS(MVT_NET,MVT_LOT,$A20,MVT_EMPL,C$13))</f>
        <v>0</v>
      </c>
      <c r="D20" s="42" t="n">
        <f aca="false">IF(OR($A20="",D$13=""),0,SUMIFS(MVT_NET,MVT_LOT,$A20,MVT_EMPL,D$13))</f>
        <v>0</v>
      </c>
      <c r="E20" s="42" t="n">
        <f aca="false">IF(OR($A20="",E$13=""),0,SUMIFS(MVT_NET,MVT_LOT,$A20,MVT_EMPL,E$13))</f>
        <v>0</v>
      </c>
      <c r="F20" s="42" t="n">
        <f aca="false">IF(OR($A20="",F$13=""),0,SUMIFS(MVT_NET,MVT_LOT,$A20,MVT_EMPL,F$13))</f>
        <v>0</v>
      </c>
      <c r="G20" s="42" t="n">
        <f aca="false">IF(OR($A20="",G$13=""),0,SUMIFS(MVT_NET,MVT_LOT,$A20,MVT_EMPL,G$13))</f>
        <v>0</v>
      </c>
      <c r="H20" s="42" t="n">
        <f aca="false">IF(OR($A20="",H$13=""),0,SUMIFS(MVT_NET,MVT_LOT,$A20,MVT_EMPL,H$13))</f>
        <v>0</v>
      </c>
      <c r="I20" s="42" t="n">
        <f aca="false">IF(OR($A20="",I$13=""),0,SUMIFS(MVT_NET,MVT_LOT,$A20,MVT_EMPL,I$13))</f>
        <v>0</v>
      </c>
      <c r="J20" s="42" t="n">
        <f aca="false">IF(OR($A20="",J$13=""),0,SUMIFS(MVT_NET,MVT_LOT,$A20,MVT_EMPL,J$13))</f>
        <v>0</v>
      </c>
      <c r="K20" s="42" t="n">
        <f aca="false">IF(OR($A20="",K$13=""),0,SUMIFS(MVT_NET,MVT_LOT,$A20,MVT_EMPL,K$13))</f>
        <v>0</v>
      </c>
      <c r="L20" s="42" t="n">
        <f aca="false">IF(OR($A20="",L$13=""),0,SUMIFS(MVT_NET,MVT_LOT,$A20,MVT_EMPL,L$13))</f>
        <v>0</v>
      </c>
      <c r="M20" s="42" t="n">
        <f aca="false">IF(OR($A20="",M$13=""),0,SUMIFS(MVT_NET,MVT_LOT,$A20,MVT_EMPL,M$13))</f>
        <v>0</v>
      </c>
      <c r="N20" s="43" t="n">
        <f aca="false">SUM($B20:$M20)</f>
        <v>300</v>
      </c>
      <c r="O20" s="44" t="n">
        <f aca="false">SUMPRODUCT(($B$12:$M$12="INTERNE")*$B20:$M20)</f>
        <v>300</v>
      </c>
      <c r="P20" s="44" t="n">
        <f aca="false">SUMPRODUCT(($B$12:$M$12="EXTERNE")*$B20:$M20)</f>
        <v>0</v>
      </c>
      <c r="Q20" s="44" t="n">
        <f aca="false">IF($A20="",0,SUMIFS(ST_ENCOURS,ST_LOT,$A20))</f>
        <v>0</v>
      </c>
      <c r="R20" s="45" t="str">
        <f aca="false">IF($A20="","",IF($N20&lt;-0.001,"STOCK NEGATIF - ANOMALIE",""))</f>
        <v/>
      </c>
    </row>
    <row r="21" customFormat="false" ht="15" hidden="false" customHeight="false" outlineLevel="0" collapsed="false">
      <c r="A21" s="41" t="str">
        <f aca="false">IF(LOTS!$A12="","",LOTS!$A12)</f>
        <v>255-HGT</v>
      </c>
      <c r="B21" s="42" t="n">
        <f aca="false">IF(OR($A21="",B$13=""),0,SUMIFS(MVT_NET,MVT_LOT,$A21,MVT_EMPL,B$13))</f>
        <v>0</v>
      </c>
      <c r="C21" s="42" t="n">
        <f aca="false">IF(OR($A21="",C$13=""),0,SUMIFS(MVT_NET,MVT_LOT,$A21,MVT_EMPL,C$13))</f>
        <v>0</v>
      </c>
      <c r="D21" s="42" t="n">
        <f aca="false">IF(OR($A21="",D$13=""),0,SUMIFS(MVT_NET,MVT_LOT,$A21,MVT_EMPL,D$13))</f>
        <v>0</v>
      </c>
      <c r="E21" s="42" t="n">
        <f aca="false">IF(OR($A21="",E$13=""),0,SUMIFS(MVT_NET,MVT_LOT,$A21,MVT_EMPL,E$13))</f>
        <v>150</v>
      </c>
      <c r="F21" s="42" t="n">
        <f aca="false">IF(OR($A21="",F$13=""),0,SUMIFS(MVT_NET,MVT_LOT,$A21,MVT_EMPL,F$13))</f>
        <v>0</v>
      </c>
      <c r="G21" s="42" t="n">
        <f aca="false">IF(OR($A21="",G$13=""),0,SUMIFS(MVT_NET,MVT_LOT,$A21,MVT_EMPL,G$13))</f>
        <v>0</v>
      </c>
      <c r="H21" s="42" t="n">
        <f aca="false">IF(OR($A21="",H$13=""),0,SUMIFS(MVT_NET,MVT_LOT,$A21,MVT_EMPL,H$13))</f>
        <v>0</v>
      </c>
      <c r="I21" s="42" t="n">
        <f aca="false">IF(OR($A21="",I$13=""),0,SUMIFS(MVT_NET,MVT_LOT,$A21,MVT_EMPL,I$13))</f>
        <v>0</v>
      </c>
      <c r="J21" s="42" t="n">
        <f aca="false">IF(OR($A21="",J$13=""),0,SUMIFS(MVT_NET,MVT_LOT,$A21,MVT_EMPL,J$13))</f>
        <v>0</v>
      </c>
      <c r="K21" s="42" t="n">
        <f aca="false">IF(OR($A21="",K$13=""),0,SUMIFS(MVT_NET,MVT_LOT,$A21,MVT_EMPL,K$13))</f>
        <v>0</v>
      </c>
      <c r="L21" s="42" t="n">
        <f aca="false">IF(OR($A21="",L$13=""),0,SUMIFS(MVT_NET,MVT_LOT,$A21,MVT_EMPL,L$13))</f>
        <v>0</v>
      </c>
      <c r="M21" s="42" t="n">
        <f aca="false">IF(OR($A21="",M$13=""),0,SUMIFS(MVT_NET,MVT_LOT,$A21,MVT_EMPL,M$13))</f>
        <v>0</v>
      </c>
      <c r="N21" s="43" t="n">
        <f aca="false">SUM($B21:$M21)</f>
        <v>150</v>
      </c>
      <c r="O21" s="44" t="n">
        <f aca="false">SUMPRODUCT(($B$12:$M$12="INTERNE")*$B21:$M21)</f>
        <v>0</v>
      </c>
      <c r="P21" s="44" t="n">
        <f aca="false">SUMPRODUCT(($B$12:$M$12="EXTERNE")*$B21:$M21)</f>
        <v>150</v>
      </c>
      <c r="Q21" s="44" t="n">
        <f aca="false">IF($A21="",0,SUMIFS(ST_ENCOURS,ST_LOT,$A21))</f>
        <v>0</v>
      </c>
      <c r="R21" s="45" t="str">
        <f aca="false">IF($A21="","",IF($N21&lt;-0.001,"STOCK NEGATIF - ANOMALIE",""))</f>
        <v/>
      </c>
    </row>
    <row r="22" customFormat="false" ht="15" hidden="false" customHeight="false" outlineLevel="0" collapsed="false">
      <c r="A22" s="41" t="str">
        <f aca="false">IF(LOTS!$A13="","",LOTS!$A13)</f>
        <v>300-FIL</v>
      </c>
      <c r="B22" s="42" t="n">
        <f aca="false">IF(OR($A22="",B$13=""),0,SUMIFS(MVT_NET,MVT_LOT,$A22,MVT_EMPL,B$13))</f>
        <v>590</v>
      </c>
      <c r="C22" s="42" t="n">
        <f aca="false">IF(OR($A22="",C$13=""),0,SUMIFS(MVT_NET,MVT_LOT,$A22,MVT_EMPL,C$13))</f>
        <v>0</v>
      </c>
      <c r="D22" s="42" t="n">
        <f aca="false">IF(OR($A22="",D$13=""),0,SUMIFS(MVT_NET,MVT_LOT,$A22,MVT_EMPL,D$13))</f>
        <v>0</v>
      </c>
      <c r="E22" s="42" t="n">
        <f aca="false">IF(OR($A22="",E$13=""),0,SUMIFS(MVT_NET,MVT_LOT,$A22,MVT_EMPL,E$13))</f>
        <v>0</v>
      </c>
      <c r="F22" s="42" t="n">
        <f aca="false">IF(OR($A22="",F$13=""),0,SUMIFS(MVT_NET,MVT_LOT,$A22,MVT_EMPL,F$13))</f>
        <v>0</v>
      </c>
      <c r="G22" s="42" t="n">
        <f aca="false">IF(OR($A22="",G$13=""),0,SUMIFS(MVT_NET,MVT_LOT,$A22,MVT_EMPL,G$13))</f>
        <v>0</v>
      </c>
      <c r="H22" s="42" t="n">
        <f aca="false">IF(OR($A22="",H$13=""),0,SUMIFS(MVT_NET,MVT_LOT,$A22,MVT_EMPL,H$13))</f>
        <v>0</v>
      </c>
      <c r="I22" s="42" t="n">
        <f aca="false">IF(OR($A22="",I$13=""),0,SUMIFS(MVT_NET,MVT_LOT,$A22,MVT_EMPL,I$13))</f>
        <v>0</v>
      </c>
      <c r="J22" s="42" t="n">
        <f aca="false">IF(OR($A22="",J$13=""),0,SUMIFS(MVT_NET,MVT_LOT,$A22,MVT_EMPL,J$13))</f>
        <v>0</v>
      </c>
      <c r="K22" s="42" t="n">
        <f aca="false">IF(OR($A22="",K$13=""),0,SUMIFS(MVT_NET,MVT_LOT,$A22,MVT_EMPL,K$13))</f>
        <v>0</v>
      </c>
      <c r="L22" s="42" t="n">
        <f aca="false">IF(OR($A22="",L$13=""),0,SUMIFS(MVT_NET,MVT_LOT,$A22,MVT_EMPL,L$13))</f>
        <v>0</v>
      </c>
      <c r="M22" s="42" t="n">
        <f aca="false">IF(OR($A22="",M$13=""),0,SUMIFS(MVT_NET,MVT_LOT,$A22,MVT_EMPL,M$13))</f>
        <v>0</v>
      </c>
      <c r="N22" s="43" t="n">
        <f aca="false">SUM($B22:$M22)</f>
        <v>590</v>
      </c>
      <c r="O22" s="44" t="n">
        <f aca="false">SUMPRODUCT(($B$12:$M$12="INTERNE")*$B22:$M22)</f>
        <v>590</v>
      </c>
      <c r="P22" s="44" t="n">
        <f aca="false">SUMPRODUCT(($B$12:$M$12="EXTERNE")*$B22:$M22)</f>
        <v>0</v>
      </c>
      <c r="Q22" s="44" t="n">
        <f aca="false">IF($A22="",0,SUMIFS(ST_ENCOURS,ST_LOT,$A22))</f>
        <v>0</v>
      </c>
      <c r="R22" s="45" t="str">
        <f aca="false">IF($A22="","",IF($N22&lt;-0.001,"STOCK NEGATIF - ANOMALIE",""))</f>
        <v/>
      </c>
    </row>
    <row r="23" customFormat="false" ht="15" hidden="false" customHeight="false" outlineLevel="0" collapsed="false">
      <c r="A23" s="41" t="str">
        <f aca="false">IF(LOTS!$A14="","",LOTS!$A14)</f>
        <v/>
      </c>
      <c r="B23" s="42" t="n">
        <f aca="false">IF(OR($A23="",B$13=""),0,SUMIFS(MVT_NET,MVT_LOT,$A23,MVT_EMPL,B$13))</f>
        <v>0</v>
      </c>
      <c r="C23" s="42" t="n">
        <f aca="false">IF(OR($A23="",C$13=""),0,SUMIFS(MVT_NET,MVT_LOT,$A23,MVT_EMPL,C$13))</f>
        <v>0</v>
      </c>
      <c r="D23" s="42" t="n">
        <f aca="false">IF(OR($A23="",D$13=""),0,SUMIFS(MVT_NET,MVT_LOT,$A23,MVT_EMPL,D$13))</f>
        <v>0</v>
      </c>
      <c r="E23" s="42" t="n">
        <f aca="false">IF(OR($A23="",E$13=""),0,SUMIFS(MVT_NET,MVT_LOT,$A23,MVT_EMPL,E$13))</f>
        <v>0</v>
      </c>
      <c r="F23" s="42" t="n">
        <f aca="false">IF(OR($A23="",F$13=""),0,SUMIFS(MVT_NET,MVT_LOT,$A23,MVT_EMPL,F$13))</f>
        <v>0</v>
      </c>
      <c r="G23" s="42" t="n">
        <f aca="false">IF(OR($A23="",G$13=""),0,SUMIFS(MVT_NET,MVT_LOT,$A23,MVT_EMPL,G$13))</f>
        <v>0</v>
      </c>
      <c r="H23" s="42" t="n">
        <f aca="false">IF(OR($A23="",H$13=""),0,SUMIFS(MVT_NET,MVT_LOT,$A23,MVT_EMPL,H$13))</f>
        <v>0</v>
      </c>
      <c r="I23" s="42" t="n">
        <f aca="false">IF(OR($A23="",I$13=""),0,SUMIFS(MVT_NET,MVT_LOT,$A23,MVT_EMPL,I$13))</f>
        <v>0</v>
      </c>
      <c r="J23" s="42" t="n">
        <f aca="false">IF(OR($A23="",J$13=""),0,SUMIFS(MVT_NET,MVT_LOT,$A23,MVT_EMPL,J$13))</f>
        <v>0</v>
      </c>
      <c r="K23" s="42" t="n">
        <f aca="false">IF(OR($A23="",K$13=""),0,SUMIFS(MVT_NET,MVT_LOT,$A23,MVT_EMPL,K$13))</f>
        <v>0</v>
      </c>
      <c r="L23" s="42" t="n">
        <f aca="false">IF(OR($A23="",L$13=""),0,SUMIFS(MVT_NET,MVT_LOT,$A23,MVT_EMPL,L$13))</f>
        <v>0</v>
      </c>
      <c r="M23" s="42" t="n">
        <f aca="false">IF(OR($A23="",M$13=""),0,SUMIFS(MVT_NET,MVT_LOT,$A23,MVT_EMPL,M$13))</f>
        <v>0</v>
      </c>
      <c r="N23" s="43" t="n">
        <f aca="false">SUM($B23:$M23)</f>
        <v>0</v>
      </c>
      <c r="O23" s="44" t="n">
        <f aca="false">SUMPRODUCT(($B$12:$M$12="INTERNE")*$B23:$M23)</f>
        <v>0</v>
      </c>
      <c r="P23" s="44" t="n">
        <f aca="false">SUMPRODUCT(($B$12:$M$12="EXTERNE")*$B23:$M23)</f>
        <v>0</v>
      </c>
      <c r="Q23" s="44" t="n">
        <f aca="false">IF($A23="",0,SUMIFS(ST_ENCOURS,ST_LOT,$A23))</f>
        <v>0</v>
      </c>
      <c r="R23" s="45" t="str">
        <f aca="false">IF($A23="","",IF($N23&lt;-0.001,"STOCK NEGATIF - ANOMALIE",""))</f>
        <v/>
      </c>
    </row>
    <row r="24" customFormat="false" ht="15" hidden="false" customHeight="false" outlineLevel="0" collapsed="false">
      <c r="A24" s="41" t="str">
        <f aca="false">IF(LOTS!$A15="","",LOTS!$A15)</f>
        <v/>
      </c>
      <c r="B24" s="42" t="n">
        <f aca="false">IF(OR($A24="",B$13=""),0,SUMIFS(MVT_NET,MVT_LOT,$A24,MVT_EMPL,B$13))</f>
        <v>0</v>
      </c>
      <c r="C24" s="42" t="n">
        <f aca="false">IF(OR($A24="",C$13=""),0,SUMIFS(MVT_NET,MVT_LOT,$A24,MVT_EMPL,C$13))</f>
        <v>0</v>
      </c>
      <c r="D24" s="42" t="n">
        <f aca="false">IF(OR($A24="",D$13=""),0,SUMIFS(MVT_NET,MVT_LOT,$A24,MVT_EMPL,D$13))</f>
        <v>0</v>
      </c>
      <c r="E24" s="42" t="n">
        <f aca="false">IF(OR($A24="",E$13=""),0,SUMIFS(MVT_NET,MVT_LOT,$A24,MVT_EMPL,E$13))</f>
        <v>0</v>
      </c>
      <c r="F24" s="42" t="n">
        <f aca="false">IF(OR($A24="",F$13=""),0,SUMIFS(MVT_NET,MVT_LOT,$A24,MVT_EMPL,F$13))</f>
        <v>0</v>
      </c>
      <c r="G24" s="42" t="n">
        <f aca="false">IF(OR($A24="",G$13=""),0,SUMIFS(MVT_NET,MVT_LOT,$A24,MVT_EMPL,G$13))</f>
        <v>0</v>
      </c>
      <c r="H24" s="42" t="n">
        <f aca="false">IF(OR($A24="",H$13=""),0,SUMIFS(MVT_NET,MVT_LOT,$A24,MVT_EMPL,H$13))</f>
        <v>0</v>
      </c>
      <c r="I24" s="42" t="n">
        <f aca="false">IF(OR($A24="",I$13=""),0,SUMIFS(MVT_NET,MVT_LOT,$A24,MVT_EMPL,I$13))</f>
        <v>0</v>
      </c>
      <c r="J24" s="42" t="n">
        <f aca="false">IF(OR($A24="",J$13=""),0,SUMIFS(MVT_NET,MVT_LOT,$A24,MVT_EMPL,J$13))</f>
        <v>0</v>
      </c>
      <c r="K24" s="42" t="n">
        <f aca="false">IF(OR($A24="",K$13=""),0,SUMIFS(MVT_NET,MVT_LOT,$A24,MVT_EMPL,K$13))</f>
        <v>0</v>
      </c>
      <c r="L24" s="42" t="n">
        <f aca="false">IF(OR($A24="",L$13=""),0,SUMIFS(MVT_NET,MVT_LOT,$A24,MVT_EMPL,L$13))</f>
        <v>0</v>
      </c>
      <c r="M24" s="42" t="n">
        <f aca="false">IF(OR($A24="",M$13=""),0,SUMIFS(MVT_NET,MVT_LOT,$A24,MVT_EMPL,M$13))</f>
        <v>0</v>
      </c>
      <c r="N24" s="43" t="n">
        <f aca="false">SUM($B24:$M24)</f>
        <v>0</v>
      </c>
      <c r="O24" s="44" t="n">
        <f aca="false">SUMPRODUCT(($B$12:$M$12="INTERNE")*$B24:$M24)</f>
        <v>0</v>
      </c>
      <c r="P24" s="44" t="n">
        <f aca="false">SUMPRODUCT(($B$12:$M$12="EXTERNE")*$B24:$M24)</f>
        <v>0</v>
      </c>
      <c r="Q24" s="44" t="n">
        <f aca="false">IF($A24="",0,SUMIFS(ST_ENCOURS,ST_LOT,$A24))</f>
        <v>0</v>
      </c>
      <c r="R24" s="45" t="str">
        <f aca="false">IF($A24="","",IF($N24&lt;-0.001,"STOCK NEGATIF - ANOMALIE",""))</f>
        <v/>
      </c>
    </row>
    <row r="25" customFormat="false" ht="15" hidden="false" customHeight="false" outlineLevel="0" collapsed="false">
      <c r="A25" s="41" t="str">
        <f aca="false">IF(LOTS!$A16="","",LOTS!$A16)</f>
        <v/>
      </c>
      <c r="B25" s="42" t="n">
        <f aca="false">IF(OR($A25="",B$13=""),0,SUMIFS(MVT_NET,MVT_LOT,$A25,MVT_EMPL,B$13))</f>
        <v>0</v>
      </c>
      <c r="C25" s="42" t="n">
        <f aca="false">IF(OR($A25="",C$13=""),0,SUMIFS(MVT_NET,MVT_LOT,$A25,MVT_EMPL,C$13))</f>
        <v>0</v>
      </c>
      <c r="D25" s="42" t="n">
        <f aca="false">IF(OR($A25="",D$13=""),0,SUMIFS(MVT_NET,MVT_LOT,$A25,MVT_EMPL,D$13))</f>
        <v>0</v>
      </c>
      <c r="E25" s="42" t="n">
        <f aca="false">IF(OR($A25="",E$13=""),0,SUMIFS(MVT_NET,MVT_LOT,$A25,MVT_EMPL,E$13))</f>
        <v>0</v>
      </c>
      <c r="F25" s="42" t="n">
        <f aca="false">IF(OR($A25="",F$13=""),0,SUMIFS(MVT_NET,MVT_LOT,$A25,MVT_EMPL,F$13))</f>
        <v>0</v>
      </c>
      <c r="G25" s="42" t="n">
        <f aca="false">IF(OR($A25="",G$13=""),0,SUMIFS(MVT_NET,MVT_LOT,$A25,MVT_EMPL,G$13))</f>
        <v>0</v>
      </c>
      <c r="H25" s="42" t="n">
        <f aca="false">IF(OR($A25="",H$13=""),0,SUMIFS(MVT_NET,MVT_LOT,$A25,MVT_EMPL,H$13))</f>
        <v>0</v>
      </c>
      <c r="I25" s="42" t="n">
        <f aca="false">IF(OR($A25="",I$13=""),0,SUMIFS(MVT_NET,MVT_LOT,$A25,MVT_EMPL,I$13))</f>
        <v>0</v>
      </c>
      <c r="J25" s="42" t="n">
        <f aca="false">IF(OR($A25="",J$13=""),0,SUMIFS(MVT_NET,MVT_LOT,$A25,MVT_EMPL,J$13))</f>
        <v>0</v>
      </c>
      <c r="K25" s="42" t="n">
        <f aca="false">IF(OR($A25="",K$13=""),0,SUMIFS(MVT_NET,MVT_LOT,$A25,MVT_EMPL,K$13))</f>
        <v>0</v>
      </c>
      <c r="L25" s="42" t="n">
        <f aca="false">IF(OR($A25="",L$13=""),0,SUMIFS(MVT_NET,MVT_LOT,$A25,MVT_EMPL,L$13))</f>
        <v>0</v>
      </c>
      <c r="M25" s="42" t="n">
        <f aca="false">IF(OR($A25="",M$13=""),0,SUMIFS(MVT_NET,MVT_LOT,$A25,MVT_EMPL,M$13))</f>
        <v>0</v>
      </c>
      <c r="N25" s="43" t="n">
        <f aca="false">SUM($B25:$M25)</f>
        <v>0</v>
      </c>
      <c r="O25" s="44" t="n">
        <f aca="false">SUMPRODUCT(($B$12:$M$12="INTERNE")*$B25:$M25)</f>
        <v>0</v>
      </c>
      <c r="P25" s="44" t="n">
        <f aca="false">SUMPRODUCT(($B$12:$M$12="EXTERNE")*$B25:$M25)</f>
        <v>0</v>
      </c>
      <c r="Q25" s="44" t="n">
        <f aca="false">IF($A25="",0,SUMIFS(ST_ENCOURS,ST_LOT,$A25))</f>
        <v>0</v>
      </c>
      <c r="R25" s="45" t="str">
        <f aca="false">IF($A25="","",IF($N25&lt;-0.001,"STOCK NEGATIF - ANOMALIE",""))</f>
        <v/>
      </c>
    </row>
    <row r="26" customFormat="false" ht="15" hidden="false" customHeight="false" outlineLevel="0" collapsed="false">
      <c r="A26" s="41" t="str">
        <f aca="false">IF(LOTS!$A17="","",LOTS!$A17)</f>
        <v/>
      </c>
      <c r="B26" s="42" t="n">
        <f aca="false">IF(OR($A26="",B$13=""),0,SUMIFS(MVT_NET,MVT_LOT,$A26,MVT_EMPL,B$13))</f>
        <v>0</v>
      </c>
      <c r="C26" s="42" t="n">
        <f aca="false">IF(OR($A26="",C$13=""),0,SUMIFS(MVT_NET,MVT_LOT,$A26,MVT_EMPL,C$13))</f>
        <v>0</v>
      </c>
      <c r="D26" s="42" t="n">
        <f aca="false">IF(OR($A26="",D$13=""),0,SUMIFS(MVT_NET,MVT_LOT,$A26,MVT_EMPL,D$13))</f>
        <v>0</v>
      </c>
      <c r="E26" s="42" t="n">
        <f aca="false">IF(OR($A26="",E$13=""),0,SUMIFS(MVT_NET,MVT_LOT,$A26,MVT_EMPL,E$13))</f>
        <v>0</v>
      </c>
      <c r="F26" s="42" t="n">
        <f aca="false">IF(OR($A26="",F$13=""),0,SUMIFS(MVT_NET,MVT_LOT,$A26,MVT_EMPL,F$13))</f>
        <v>0</v>
      </c>
      <c r="G26" s="42" t="n">
        <f aca="false">IF(OR($A26="",G$13=""),0,SUMIFS(MVT_NET,MVT_LOT,$A26,MVT_EMPL,G$13))</f>
        <v>0</v>
      </c>
      <c r="H26" s="42" t="n">
        <f aca="false">IF(OR($A26="",H$13=""),0,SUMIFS(MVT_NET,MVT_LOT,$A26,MVT_EMPL,H$13))</f>
        <v>0</v>
      </c>
      <c r="I26" s="42" t="n">
        <f aca="false">IF(OR($A26="",I$13=""),0,SUMIFS(MVT_NET,MVT_LOT,$A26,MVT_EMPL,I$13))</f>
        <v>0</v>
      </c>
      <c r="J26" s="42" t="n">
        <f aca="false">IF(OR($A26="",J$13=""),0,SUMIFS(MVT_NET,MVT_LOT,$A26,MVT_EMPL,J$13))</f>
        <v>0</v>
      </c>
      <c r="K26" s="42" t="n">
        <f aca="false">IF(OR($A26="",K$13=""),0,SUMIFS(MVT_NET,MVT_LOT,$A26,MVT_EMPL,K$13))</f>
        <v>0</v>
      </c>
      <c r="L26" s="42" t="n">
        <f aca="false">IF(OR($A26="",L$13=""),0,SUMIFS(MVT_NET,MVT_LOT,$A26,MVT_EMPL,L$13))</f>
        <v>0</v>
      </c>
      <c r="M26" s="42" t="n">
        <f aca="false">IF(OR($A26="",M$13=""),0,SUMIFS(MVT_NET,MVT_LOT,$A26,MVT_EMPL,M$13))</f>
        <v>0</v>
      </c>
      <c r="N26" s="43" t="n">
        <f aca="false">SUM($B26:$M26)</f>
        <v>0</v>
      </c>
      <c r="O26" s="44" t="n">
        <f aca="false">SUMPRODUCT(($B$12:$M$12="INTERNE")*$B26:$M26)</f>
        <v>0</v>
      </c>
      <c r="P26" s="44" t="n">
        <f aca="false">SUMPRODUCT(($B$12:$M$12="EXTERNE")*$B26:$M26)</f>
        <v>0</v>
      </c>
      <c r="Q26" s="44" t="n">
        <f aca="false">IF($A26="",0,SUMIFS(ST_ENCOURS,ST_LOT,$A26))</f>
        <v>0</v>
      </c>
      <c r="R26" s="45" t="str">
        <f aca="false">IF($A26="","",IF($N26&lt;-0.001,"STOCK NEGATIF - ANOMALIE",""))</f>
        <v/>
      </c>
    </row>
    <row r="27" customFormat="false" ht="15" hidden="false" customHeight="false" outlineLevel="0" collapsed="false">
      <c r="A27" s="41" t="str">
        <f aca="false">IF(LOTS!$A18="","",LOTS!$A18)</f>
        <v/>
      </c>
      <c r="B27" s="42" t="n">
        <f aca="false">IF(OR($A27="",B$13=""),0,SUMIFS(MVT_NET,MVT_LOT,$A27,MVT_EMPL,B$13))</f>
        <v>0</v>
      </c>
      <c r="C27" s="42" t="n">
        <f aca="false">IF(OR($A27="",C$13=""),0,SUMIFS(MVT_NET,MVT_LOT,$A27,MVT_EMPL,C$13))</f>
        <v>0</v>
      </c>
      <c r="D27" s="42" t="n">
        <f aca="false">IF(OR($A27="",D$13=""),0,SUMIFS(MVT_NET,MVT_LOT,$A27,MVT_EMPL,D$13))</f>
        <v>0</v>
      </c>
      <c r="E27" s="42" t="n">
        <f aca="false">IF(OR($A27="",E$13=""),0,SUMIFS(MVT_NET,MVT_LOT,$A27,MVT_EMPL,E$13))</f>
        <v>0</v>
      </c>
      <c r="F27" s="42" t="n">
        <f aca="false">IF(OR($A27="",F$13=""),0,SUMIFS(MVT_NET,MVT_LOT,$A27,MVT_EMPL,F$13))</f>
        <v>0</v>
      </c>
      <c r="G27" s="42" t="n">
        <f aca="false">IF(OR($A27="",G$13=""),0,SUMIFS(MVT_NET,MVT_LOT,$A27,MVT_EMPL,G$13))</f>
        <v>0</v>
      </c>
      <c r="H27" s="42" t="n">
        <f aca="false">IF(OR($A27="",H$13=""),0,SUMIFS(MVT_NET,MVT_LOT,$A27,MVT_EMPL,H$13))</f>
        <v>0</v>
      </c>
      <c r="I27" s="42" t="n">
        <f aca="false">IF(OR($A27="",I$13=""),0,SUMIFS(MVT_NET,MVT_LOT,$A27,MVT_EMPL,I$13))</f>
        <v>0</v>
      </c>
      <c r="J27" s="42" t="n">
        <f aca="false">IF(OR($A27="",J$13=""),0,SUMIFS(MVT_NET,MVT_LOT,$A27,MVT_EMPL,J$13))</f>
        <v>0</v>
      </c>
      <c r="K27" s="42" t="n">
        <f aca="false">IF(OR($A27="",K$13=""),0,SUMIFS(MVT_NET,MVT_LOT,$A27,MVT_EMPL,K$13))</f>
        <v>0</v>
      </c>
      <c r="L27" s="42" t="n">
        <f aca="false">IF(OR($A27="",L$13=""),0,SUMIFS(MVT_NET,MVT_LOT,$A27,MVT_EMPL,L$13))</f>
        <v>0</v>
      </c>
      <c r="M27" s="42" t="n">
        <f aca="false">IF(OR($A27="",M$13=""),0,SUMIFS(MVT_NET,MVT_LOT,$A27,MVT_EMPL,M$13))</f>
        <v>0</v>
      </c>
      <c r="N27" s="43" t="n">
        <f aca="false">SUM($B27:$M27)</f>
        <v>0</v>
      </c>
      <c r="O27" s="44" t="n">
        <f aca="false">SUMPRODUCT(($B$12:$M$12="INTERNE")*$B27:$M27)</f>
        <v>0</v>
      </c>
      <c r="P27" s="44" t="n">
        <f aca="false">SUMPRODUCT(($B$12:$M$12="EXTERNE")*$B27:$M27)</f>
        <v>0</v>
      </c>
      <c r="Q27" s="44" t="n">
        <f aca="false">IF($A27="",0,SUMIFS(ST_ENCOURS,ST_LOT,$A27))</f>
        <v>0</v>
      </c>
      <c r="R27" s="45" t="str">
        <f aca="false">IF($A27="","",IF($N27&lt;-0.001,"STOCK NEGATIF - ANOMALIE",""))</f>
        <v/>
      </c>
    </row>
    <row r="28" customFormat="false" ht="15" hidden="false" customHeight="false" outlineLevel="0" collapsed="false">
      <c r="A28" s="41" t="str">
        <f aca="false">IF(LOTS!$A19="","",LOTS!$A19)</f>
        <v/>
      </c>
      <c r="B28" s="42" t="n">
        <f aca="false">IF(OR($A28="",B$13=""),0,SUMIFS(MVT_NET,MVT_LOT,$A28,MVT_EMPL,B$13))</f>
        <v>0</v>
      </c>
      <c r="C28" s="42" t="n">
        <f aca="false">IF(OR($A28="",C$13=""),0,SUMIFS(MVT_NET,MVT_LOT,$A28,MVT_EMPL,C$13))</f>
        <v>0</v>
      </c>
      <c r="D28" s="42" t="n">
        <f aca="false">IF(OR($A28="",D$13=""),0,SUMIFS(MVT_NET,MVT_LOT,$A28,MVT_EMPL,D$13))</f>
        <v>0</v>
      </c>
      <c r="E28" s="42" t="n">
        <f aca="false">IF(OR($A28="",E$13=""),0,SUMIFS(MVT_NET,MVT_LOT,$A28,MVT_EMPL,E$13))</f>
        <v>0</v>
      </c>
      <c r="F28" s="42" t="n">
        <f aca="false">IF(OR($A28="",F$13=""),0,SUMIFS(MVT_NET,MVT_LOT,$A28,MVT_EMPL,F$13))</f>
        <v>0</v>
      </c>
      <c r="G28" s="42" t="n">
        <f aca="false">IF(OR($A28="",G$13=""),0,SUMIFS(MVT_NET,MVT_LOT,$A28,MVT_EMPL,G$13))</f>
        <v>0</v>
      </c>
      <c r="H28" s="42" t="n">
        <f aca="false">IF(OR($A28="",H$13=""),0,SUMIFS(MVT_NET,MVT_LOT,$A28,MVT_EMPL,H$13))</f>
        <v>0</v>
      </c>
      <c r="I28" s="42" t="n">
        <f aca="false">IF(OR($A28="",I$13=""),0,SUMIFS(MVT_NET,MVT_LOT,$A28,MVT_EMPL,I$13))</f>
        <v>0</v>
      </c>
      <c r="J28" s="42" t="n">
        <f aca="false">IF(OR($A28="",J$13=""),0,SUMIFS(MVT_NET,MVT_LOT,$A28,MVT_EMPL,J$13))</f>
        <v>0</v>
      </c>
      <c r="K28" s="42" t="n">
        <f aca="false">IF(OR($A28="",K$13=""),0,SUMIFS(MVT_NET,MVT_LOT,$A28,MVT_EMPL,K$13))</f>
        <v>0</v>
      </c>
      <c r="L28" s="42" t="n">
        <f aca="false">IF(OR($A28="",L$13=""),0,SUMIFS(MVT_NET,MVT_LOT,$A28,MVT_EMPL,L$13))</f>
        <v>0</v>
      </c>
      <c r="M28" s="42" t="n">
        <f aca="false">IF(OR($A28="",M$13=""),0,SUMIFS(MVT_NET,MVT_LOT,$A28,MVT_EMPL,M$13))</f>
        <v>0</v>
      </c>
      <c r="N28" s="43" t="n">
        <f aca="false">SUM($B28:$M28)</f>
        <v>0</v>
      </c>
      <c r="O28" s="44" t="n">
        <f aca="false">SUMPRODUCT(($B$12:$M$12="INTERNE")*$B28:$M28)</f>
        <v>0</v>
      </c>
      <c r="P28" s="44" t="n">
        <f aca="false">SUMPRODUCT(($B$12:$M$12="EXTERNE")*$B28:$M28)</f>
        <v>0</v>
      </c>
      <c r="Q28" s="44" t="n">
        <f aca="false">IF($A28="",0,SUMIFS(ST_ENCOURS,ST_LOT,$A28))</f>
        <v>0</v>
      </c>
      <c r="R28" s="45" t="str">
        <f aca="false">IF($A28="","",IF($N28&lt;-0.001,"STOCK NEGATIF - ANOMALIE",""))</f>
        <v/>
      </c>
    </row>
    <row r="29" customFormat="false" ht="15" hidden="false" customHeight="false" outlineLevel="0" collapsed="false">
      <c r="A29" s="41" t="str">
        <f aca="false">IF(LOTS!$A20="","",LOTS!$A20)</f>
        <v/>
      </c>
      <c r="B29" s="42" t="n">
        <f aca="false">IF(OR($A29="",B$13=""),0,SUMIFS(MVT_NET,MVT_LOT,$A29,MVT_EMPL,B$13))</f>
        <v>0</v>
      </c>
      <c r="C29" s="42" t="n">
        <f aca="false">IF(OR($A29="",C$13=""),0,SUMIFS(MVT_NET,MVT_LOT,$A29,MVT_EMPL,C$13))</f>
        <v>0</v>
      </c>
      <c r="D29" s="42" t="n">
        <f aca="false">IF(OR($A29="",D$13=""),0,SUMIFS(MVT_NET,MVT_LOT,$A29,MVT_EMPL,D$13))</f>
        <v>0</v>
      </c>
      <c r="E29" s="42" t="n">
        <f aca="false">IF(OR($A29="",E$13=""),0,SUMIFS(MVT_NET,MVT_LOT,$A29,MVT_EMPL,E$13))</f>
        <v>0</v>
      </c>
      <c r="F29" s="42" t="n">
        <f aca="false">IF(OR($A29="",F$13=""),0,SUMIFS(MVT_NET,MVT_LOT,$A29,MVT_EMPL,F$13))</f>
        <v>0</v>
      </c>
      <c r="G29" s="42" t="n">
        <f aca="false">IF(OR($A29="",G$13=""),0,SUMIFS(MVT_NET,MVT_LOT,$A29,MVT_EMPL,G$13))</f>
        <v>0</v>
      </c>
      <c r="H29" s="42" t="n">
        <f aca="false">IF(OR($A29="",H$13=""),0,SUMIFS(MVT_NET,MVT_LOT,$A29,MVT_EMPL,H$13))</f>
        <v>0</v>
      </c>
      <c r="I29" s="42" t="n">
        <f aca="false">IF(OR($A29="",I$13=""),0,SUMIFS(MVT_NET,MVT_LOT,$A29,MVT_EMPL,I$13))</f>
        <v>0</v>
      </c>
      <c r="J29" s="42" t="n">
        <f aca="false">IF(OR($A29="",J$13=""),0,SUMIFS(MVT_NET,MVT_LOT,$A29,MVT_EMPL,J$13))</f>
        <v>0</v>
      </c>
      <c r="K29" s="42" t="n">
        <f aca="false">IF(OR($A29="",K$13=""),0,SUMIFS(MVT_NET,MVT_LOT,$A29,MVT_EMPL,K$13))</f>
        <v>0</v>
      </c>
      <c r="L29" s="42" t="n">
        <f aca="false">IF(OR($A29="",L$13=""),0,SUMIFS(MVT_NET,MVT_LOT,$A29,MVT_EMPL,L$13))</f>
        <v>0</v>
      </c>
      <c r="M29" s="42" t="n">
        <f aca="false">IF(OR($A29="",M$13=""),0,SUMIFS(MVT_NET,MVT_LOT,$A29,MVT_EMPL,M$13))</f>
        <v>0</v>
      </c>
      <c r="N29" s="43" t="n">
        <f aca="false">SUM($B29:$M29)</f>
        <v>0</v>
      </c>
      <c r="O29" s="44" t="n">
        <f aca="false">SUMPRODUCT(($B$12:$M$12="INTERNE")*$B29:$M29)</f>
        <v>0</v>
      </c>
      <c r="P29" s="44" t="n">
        <f aca="false">SUMPRODUCT(($B$12:$M$12="EXTERNE")*$B29:$M29)</f>
        <v>0</v>
      </c>
      <c r="Q29" s="44" t="n">
        <f aca="false">IF($A29="",0,SUMIFS(ST_ENCOURS,ST_LOT,$A29))</f>
        <v>0</v>
      </c>
      <c r="R29" s="45" t="str">
        <f aca="false">IF($A29="","",IF($N29&lt;-0.001,"STOCK NEGATIF - ANOMALIE",""))</f>
        <v/>
      </c>
    </row>
    <row r="30" customFormat="false" ht="15" hidden="false" customHeight="false" outlineLevel="0" collapsed="false">
      <c r="A30" s="41" t="str">
        <f aca="false">IF(LOTS!$A21="","",LOTS!$A21)</f>
        <v/>
      </c>
      <c r="B30" s="42" t="n">
        <f aca="false">IF(OR($A30="",B$13=""),0,SUMIFS(MVT_NET,MVT_LOT,$A30,MVT_EMPL,B$13))</f>
        <v>0</v>
      </c>
      <c r="C30" s="42" t="n">
        <f aca="false">IF(OR($A30="",C$13=""),0,SUMIFS(MVT_NET,MVT_LOT,$A30,MVT_EMPL,C$13))</f>
        <v>0</v>
      </c>
      <c r="D30" s="42" t="n">
        <f aca="false">IF(OR($A30="",D$13=""),0,SUMIFS(MVT_NET,MVT_LOT,$A30,MVT_EMPL,D$13))</f>
        <v>0</v>
      </c>
      <c r="E30" s="42" t="n">
        <f aca="false">IF(OR($A30="",E$13=""),0,SUMIFS(MVT_NET,MVT_LOT,$A30,MVT_EMPL,E$13))</f>
        <v>0</v>
      </c>
      <c r="F30" s="42" t="n">
        <f aca="false">IF(OR($A30="",F$13=""),0,SUMIFS(MVT_NET,MVT_LOT,$A30,MVT_EMPL,F$13))</f>
        <v>0</v>
      </c>
      <c r="G30" s="42" t="n">
        <f aca="false">IF(OR($A30="",G$13=""),0,SUMIFS(MVT_NET,MVT_LOT,$A30,MVT_EMPL,G$13))</f>
        <v>0</v>
      </c>
      <c r="H30" s="42" t="n">
        <f aca="false">IF(OR($A30="",H$13=""),0,SUMIFS(MVT_NET,MVT_LOT,$A30,MVT_EMPL,H$13))</f>
        <v>0</v>
      </c>
      <c r="I30" s="42" t="n">
        <f aca="false">IF(OR($A30="",I$13=""),0,SUMIFS(MVT_NET,MVT_LOT,$A30,MVT_EMPL,I$13))</f>
        <v>0</v>
      </c>
      <c r="J30" s="42" t="n">
        <f aca="false">IF(OR($A30="",J$13=""),0,SUMIFS(MVT_NET,MVT_LOT,$A30,MVT_EMPL,J$13))</f>
        <v>0</v>
      </c>
      <c r="K30" s="42" t="n">
        <f aca="false">IF(OR($A30="",K$13=""),0,SUMIFS(MVT_NET,MVT_LOT,$A30,MVT_EMPL,K$13))</f>
        <v>0</v>
      </c>
      <c r="L30" s="42" t="n">
        <f aca="false">IF(OR($A30="",L$13=""),0,SUMIFS(MVT_NET,MVT_LOT,$A30,MVT_EMPL,L$13))</f>
        <v>0</v>
      </c>
      <c r="M30" s="42" t="n">
        <f aca="false">IF(OR($A30="",M$13=""),0,SUMIFS(MVT_NET,MVT_LOT,$A30,MVT_EMPL,M$13))</f>
        <v>0</v>
      </c>
      <c r="N30" s="43" t="n">
        <f aca="false">SUM($B30:$M30)</f>
        <v>0</v>
      </c>
      <c r="O30" s="44" t="n">
        <f aca="false">SUMPRODUCT(($B$12:$M$12="INTERNE")*$B30:$M30)</f>
        <v>0</v>
      </c>
      <c r="P30" s="44" t="n">
        <f aca="false">SUMPRODUCT(($B$12:$M$12="EXTERNE")*$B30:$M30)</f>
        <v>0</v>
      </c>
      <c r="Q30" s="44" t="n">
        <f aca="false">IF($A30="",0,SUMIFS(ST_ENCOURS,ST_LOT,$A30))</f>
        <v>0</v>
      </c>
      <c r="R30" s="45" t="str">
        <f aca="false">IF($A30="","",IF($N30&lt;-0.001,"STOCK NEGATIF - ANOMALIE",""))</f>
        <v/>
      </c>
    </row>
    <row r="31" customFormat="false" ht="15" hidden="false" customHeight="false" outlineLevel="0" collapsed="false">
      <c r="A31" s="41" t="str">
        <f aca="false">IF(LOTS!$A22="","",LOTS!$A22)</f>
        <v/>
      </c>
      <c r="B31" s="42" t="n">
        <f aca="false">IF(OR($A31="",B$13=""),0,SUMIFS(MVT_NET,MVT_LOT,$A31,MVT_EMPL,B$13))</f>
        <v>0</v>
      </c>
      <c r="C31" s="42" t="n">
        <f aca="false">IF(OR($A31="",C$13=""),0,SUMIFS(MVT_NET,MVT_LOT,$A31,MVT_EMPL,C$13))</f>
        <v>0</v>
      </c>
      <c r="D31" s="42" t="n">
        <f aca="false">IF(OR($A31="",D$13=""),0,SUMIFS(MVT_NET,MVT_LOT,$A31,MVT_EMPL,D$13))</f>
        <v>0</v>
      </c>
      <c r="E31" s="42" t="n">
        <f aca="false">IF(OR($A31="",E$13=""),0,SUMIFS(MVT_NET,MVT_LOT,$A31,MVT_EMPL,E$13))</f>
        <v>0</v>
      </c>
      <c r="F31" s="42" t="n">
        <f aca="false">IF(OR($A31="",F$13=""),0,SUMIFS(MVT_NET,MVT_LOT,$A31,MVT_EMPL,F$13))</f>
        <v>0</v>
      </c>
      <c r="G31" s="42" t="n">
        <f aca="false">IF(OR($A31="",G$13=""),0,SUMIFS(MVT_NET,MVT_LOT,$A31,MVT_EMPL,G$13))</f>
        <v>0</v>
      </c>
      <c r="H31" s="42" t="n">
        <f aca="false">IF(OR($A31="",H$13=""),0,SUMIFS(MVT_NET,MVT_LOT,$A31,MVT_EMPL,H$13))</f>
        <v>0</v>
      </c>
      <c r="I31" s="42" t="n">
        <f aca="false">IF(OR($A31="",I$13=""),0,SUMIFS(MVT_NET,MVT_LOT,$A31,MVT_EMPL,I$13))</f>
        <v>0</v>
      </c>
      <c r="J31" s="42" t="n">
        <f aca="false">IF(OR($A31="",J$13=""),0,SUMIFS(MVT_NET,MVT_LOT,$A31,MVT_EMPL,J$13))</f>
        <v>0</v>
      </c>
      <c r="K31" s="42" t="n">
        <f aca="false">IF(OR($A31="",K$13=""),0,SUMIFS(MVT_NET,MVT_LOT,$A31,MVT_EMPL,K$13))</f>
        <v>0</v>
      </c>
      <c r="L31" s="42" t="n">
        <f aca="false">IF(OR($A31="",L$13=""),0,SUMIFS(MVT_NET,MVT_LOT,$A31,MVT_EMPL,L$13))</f>
        <v>0</v>
      </c>
      <c r="M31" s="42" t="n">
        <f aca="false">IF(OR($A31="",M$13=""),0,SUMIFS(MVT_NET,MVT_LOT,$A31,MVT_EMPL,M$13))</f>
        <v>0</v>
      </c>
      <c r="N31" s="43" t="n">
        <f aca="false">SUM($B31:$M31)</f>
        <v>0</v>
      </c>
      <c r="O31" s="44" t="n">
        <f aca="false">SUMPRODUCT(($B$12:$M$12="INTERNE")*$B31:$M31)</f>
        <v>0</v>
      </c>
      <c r="P31" s="44" t="n">
        <f aca="false">SUMPRODUCT(($B$12:$M$12="EXTERNE")*$B31:$M31)</f>
        <v>0</v>
      </c>
      <c r="Q31" s="44" t="n">
        <f aca="false">IF($A31="",0,SUMIFS(ST_ENCOURS,ST_LOT,$A31))</f>
        <v>0</v>
      </c>
      <c r="R31" s="45" t="str">
        <f aca="false">IF($A31="","",IF($N31&lt;-0.001,"STOCK NEGATIF - ANOMALIE",""))</f>
        <v/>
      </c>
    </row>
    <row r="32" customFormat="false" ht="15" hidden="false" customHeight="false" outlineLevel="0" collapsed="false">
      <c r="A32" s="41" t="str">
        <f aca="false">IF(LOTS!$A23="","",LOTS!$A23)</f>
        <v/>
      </c>
      <c r="B32" s="42" t="n">
        <f aca="false">IF(OR($A32="",B$13=""),0,SUMIFS(MVT_NET,MVT_LOT,$A32,MVT_EMPL,B$13))</f>
        <v>0</v>
      </c>
      <c r="C32" s="42" t="n">
        <f aca="false">IF(OR($A32="",C$13=""),0,SUMIFS(MVT_NET,MVT_LOT,$A32,MVT_EMPL,C$13))</f>
        <v>0</v>
      </c>
      <c r="D32" s="42" t="n">
        <f aca="false">IF(OR($A32="",D$13=""),0,SUMIFS(MVT_NET,MVT_LOT,$A32,MVT_EMPL,D$13))</f>
        <v>0</v>
      </c>
      <c r="E32" s="42" t="n">
        <f aca="false">IF(OR($A32="",E$13=""),0,SUMIFS(MVT_NET,MVT_LOT,$A32,MVT_EMPL,E$13))</f>
        <v>0</v>
      </c>
      <c r="F32" s="42" t="n">
        <f aca="false">IF(OR($A32="",F$13=""),0,SUMIFS(MVT_NET,MVT_LOT,$A32,MVT_EMPL,F$13))</f>
        <v>0</v>
      </c>
      <c r="G32" s="42" t="n">
        <f aca="false">IF(OR($A32="",G$13=""),0,SUMIFS(MVT_NET,MVT_LOT,$A32,MVT_EMPL,G$13))</f>
        <v>0</v>
      </c>
      <c r="H32" s="42" t="n">
        <f aca="false">IF(OR($A32="",H$13=""),0,SUMIFS(MVT_NET,MVT_LOT,$A32,MVT_EMPL,H$13))</f>
        <v>0</v>
      </c>
      <c r="I32" s="42" t="n">
        <f aca="false">IF(OR($A32="",I$13=""),0,SUMIFS(MVT_NET,MVT_LOT,$A32,MVT_EMPL,I$13))</f>
        <v>0</v>
      </c>
      <c r="J32" s="42" t="n">
        <f aca="false">IF(OR($A32="",J$13=""),0,SUMIFS(MVT_NET,MVT_LOT,$A32,MVT_EMPL,J$13))</f>
        <v>0</v>
      </c>
      <c r="K32" s="42" t="n">
        <f aca="false">IF(OR($A32="",K$13=""),0,SUMIFS(MVT_NET,MVT_LOT,$A32,MVT_EMPL,K$13))</f>
        <v>0</v>
      </c>
      <c r="L32" s="42" t="n">
        <f aca="false">IF(OR($A32="",L$13=""),0,SUMIFS(MVT_NET,MVT_LOT,$A32,MVT_EMPL,L$13))</f>
        <v>0</v>
      </c>
      <c r="M32" s="42" t="n">
        <f aca="false">IF(OR($A32="",M$13=""),0,SUMIFS(MVT_NET,MVT_LOT,$A32,MVT_EMPL,M$13))</f>
        <v>0</v>
      </c>
      <c r="N32" s="43" t="n">
        <f aca="false">SUM($B32:$M32)</f>
        <v>0</v>
      </c>
      <c r="O32" s="44" t="n">
        <f aca="false">SUMPRODUCT(($B$12:$M$12="INTERNE")*$B32:$M32)</f>
        <v>0</v>
      </c>
      <c r="P32" s="44" t="n">
        <f aca="false">SUMPRODUCT(($B$12:$M$12="EXTERNE")*$B32:$M32)</f>
        <v>0</v>
      </c>
      <c r="Q32" s="44" t="n">
        <f aca="false">IF($A32="",0,SUMIFS(ST_ENCOURS,ST_LOT,$A32))</f>
        <v>0</v>
      </c>
      <c r="R32" s="45" t="str">
        <f aca="false">IF($A32="","",IF($N32&lt;-0.001,"STOCK NEGATIF - ANOMALIE",""))</f>
        <v/>
      </c>
    </row>
    <row r="33" customFormat="false" ht="15" hidden="false" customHeight="false" outlineLevel="0" collapsed="false">
      <c r="A33" s="41" t="str">
        <f aca="false">IF(LOTS!$A24="","",LOTS!$A24)</f>
        <v/>
      </c>
      <c r="B33" s="42" t="n">
        <f aca="false">IF(OR($A33="",B$13=""),0,SUMIFS(MVT_NET,MVT_LOT,$A33,MVT_EMPL,B$13))</f>
        <v>0</v>
      </c>
      <c r="C33" s="42" t="n">
        <f aca="false">IF(OR($A33="",C$13=""),0,SUMIFS(MVT_NET,MVT_LOT,$A33,MVT_EMPL,C$13))</f>
        <v>0</v>
      </c>
      <c r="D33" s="42" t="n">
        <f aca="false">IF(OR($A33="",D$13=""),0,SUMIFS(MVT_NET,MVT_LOT,$A33,MVT_EMPL,D$13))</f>
        <v>0</v>
      </c>
      <c r="E33" s="42" t="n">
        <f aca="false">IF(OR($A33="",E$13=""),0,SUMIFS(MVT_NET,MVT_LOT,$A33,MVT_EMPL,E$13))</f>
        <v>0</v>
      </c>
      <c r="F33" s="42" t="n">
        <f aca="false">IF(OR($A33="",F$13=""),0,SUMIFS(MVT_NET,MVT_LOT,$A33,MVT_EMPL,F$13))</f>
        <v>0</v>
      </c>
      <c r="G33" s="42" t="n">
        <f aca="false">IF(OR($A33="",G$13=""),0,SUMIFS(MVT_NET,MVT_LOT,$A33,MVT_EMPL,G$13))</f>
        <v>0</v>
      </c>
      <c r="H33" s="42" t="n">
        <f aca="false">IF(OR($A33="",H$13=""),0,SUMIFS(MVT_NET,MVT_LOT,$A33,MVT_EMPL,H$13))</f>
        <v>0</v>
      </c>
      <c r="I33" s="42" t="n">
        <f aca="false">IF(OR($A33="",I$13=""),0,SUMIFS(MVT_NET,MVT_LOT,$A33,MVT_EMPL,I$13))</f>
        <v>0</v>
      </c>
      <c r="J33" s="42" t="n">
        <f aca="false">IF(OR($A33="",J$13=""),0,SUMIFS(MVT_NET,MVT_LOT,$A33,MVT_EMPL,J$13))</f>
        <v>0</v>
      </c>
      <c r="K33" s="42" t="n">
        <f aca="false">IF(OR($A33="",K$13=""),0,SUMIFS(MVT_NET,MVT_LOT,$A33,MVT_EMPL,K$13))</f>
        <v>0</v>
      </c>
      <c r="L33" s="42" t="n">
        <f aca="false">IF(OR($A33="",L$13=""),0,SUMIFS(MVT_NET,MVT_LOT,$A33,MVT_EMPL,L$13))</f>
        <v>0</v>
      </c>
      <c r="M33" s="42" t="n">
        <f aca="false">IF(OR($A33="",M$13=""),0,SUMIFS(MVT_NET,MVT_LOT,$A33,MVT_EMPL,M$13))</f>
        <v>0</v>
      </c>
      <c r="N33" s="43" t="n">
        <f aca="false">SUM($B33:$M33)</f>
        <v>0</v>
      </c>
      <c r="O33" s="44" t="n">
        <f aca="false">SUMPRODUCT(($B$12:$M$12="INTERNE")*$B33:$M33)</f>
        <v>0</v>
      </c>
      <c r="P33" s="44" t="n">
        <f aca="false">SUMPRODUCT(($B$12:$M$12="EXTERNE")*$B33:$M33)</f>
        <v>0</v>
      </c>
      <c r="Q33" s="44" t="n">
        <f aca="false">IF($A33="",0,SUMIFS(ST_ENCOURS,ST_LOT,$A33))</f>
        <v>0</v>
      </c>
      <c r="R33" s="45" t="str">
        <f aca="false">IF($A33="","",IF($N33&lt;-0.001,"STOCK NEGATIF - ANOMALIE",""))</f>
        <v/>
      </c>
    </row>
    <row r="34" customFormat="false" ht="15" hidden="false" customHeight="false" outlineLevel="0" collapsed="false">
      <c r="A34" s="41" t="str">
        <f aca="false">IF(LOTS!$A25="","",LOTS!$A25)</f>
        <v/>
      </c>
      <c r="B34" s="42" t="n">
        <f aca="false">IF(OR($A34="",B$13=""),0,SUMIFS(MVT_NET,MVT_LOT,$A34,MVT_EMPL,B$13))</f>
        <v>0</v>
      </c>
      <c r="C34" s="42" t="n">
        <f aca="false">IF(OR($A34="",C$13=""),0,SUMIFS(MVT_NET,MVT_LOT,$A34,MVT_EMPL,C$13))</f>
        <v>0</v>
      </c>
      <c r="D34" s="42" t="n">
        <f aca="false">IF(OR($A34="",D$13=""),0,SUMIFS(MVT_NET,MVT_LOT,$A34,MVT_EMPL,D$13))</f>
        <v>0</v>
      </c>
      <c r="E34" s="42" t="n">
        <f aca="false">IF(OR($A34="",E$13=""),0,SUMIFS(MVT_NET,MVT_LOT,$A34,MVT_EMPL,E$13))</f>
        <v>0</v>
      </c>
      <c r="F34" s="42" t="n">
        <f aca="false">IF(OR($A34="",F$13=""),0,SUMIFS(MVT_NET,MVT_LOT,$A34,MVT_EMPL,F$13))</f>
        <v>0</v>
      </c>
      <c r="G34" s="42" t="n">
        <f aca="false">IF(OR($A34="",G$13=""),0,SUMIFS(MVT_NET,MVT_LOT,$A34,MVT_EMPL,G$13))</f>
        <v>0</v>
      </c>
      <c r="H34" s="42" t="n">
        <f aca="false">IF(OR($A34="",H$13=""),0,SUMIFS(MVT_NET,MVT_LOT,$A34,MVT_EMPL,H$13))</f>
        <v>0</v>
      </c>
      <c r="I34" s="42" t="n">
        <f aca="false">IF(OR($A34="",I$13=""),0,SUMIFS(MVT_NET,MVT_LOT,$A34,MVT_EMPL,I$13))</f>
        <v>0</v>
      </c>
      <c r="J34" s="42" t="n">
        <f aca="false">IF(OR($A34="",J$13=""),0,SUMIFS(MVT_NET,MVT_LOT,$A34,MVT_EMPL,J$13))</f>
        <v>0</v>
      </c>
      <c r="K34" s="42" t="n">
        <f aca="false">IF(OR($A34="",K$13=""),0,SUMIFS(MVT_NET,MVT_LOT,$A34,MVT_EMPL,K$13))</f>
        <v>0</v>
      </c>
      <c r="L34" s="42" t="n">
        <f aca="false">IF(OR($A34="",L$13=""),0,SUMIFS(MVT_NET,MVT_LOT,$A34,MVT_EMPL,L$13))</f>
        <v>0</v>
      </c>
      <c r="M34" s="42" t="n">
        <f aca="false">IF(OR($A34="",M$13=""),0,SUMIFS(MVT_NET,MVT_LOT,$A34,MVT_EMPL,M$13))</f>
        <v>0</v>
      </c>
      <c r="N34" s="43" t="n">
        <f aca="false">SUM($B34:$M34)</f>
        <v>0</v>
      </c>
      <c r="O34" s="44" t="n">
        <f aca="false">SUMPRODUCT(($B$12:$M$12="INTERNE")*$B34:$M34)</f>
        <v>0</v>
      </c>
      <c r="P34" s="44" t="n">
        <f aca="false">SUMPRODUCT(($B$12:$M$12="EXTERNE")*$B34:$M34)</f>
        <v>0</v>
      </c>
      <c r="Q34" s="44" t="n">
        <f aca="false">IF($A34="",0,SUMIFS(ST_ENCOURS,ST_LOT,$A34))</f>
        <v>0</v>
      </c>
      <c r="R34" s="45" t="str">
        <f aca="false">IF($A34="","",IF($N34&lt;-0.001,"STOCK NEGATIF - ANOMALIE",""))</f>
        <v/>
      </c>
    </row>
    <row r="35" customFormat="false" ht="15" hidden="false" customHeight="false" outlineLevel="0" collapsed="false">
      <c r="A35" s="41" t="str">
        <f aca="false">IF(LOTS!$A26="","",LOTS!$A26)</f>
        <v/>
      </c>
      <c r="B35" s="42" t="n">
        <f aca="false">IF(OR($A35="",B$13=""),0,SUMIFS(MVT_NET,MVT_LOT,$A35,MVT_EMPL,B$13))</f>
        <v>0</v>
      </c>
      <c r="C35" s="42" t="n">
        <f aca="false">IF(OR($A35="",C$13=""),0,SUMIFS(MVT_NET,MVT_LOT,$A35,MVT_EMPL,C$13))</f>
        <v>0</v>
      </c>
      <c r="D35" s="42" t="n">
        <f aca="false">IF(OR($A35="",D$13=""),0,SUMIFS(MVT_NET,MVT_LOT,$A35,MVT_EMPL,D$13))</f>
        <v>0</v>
      </c>
      <c r="E35" s="42" t="n">
        <f aca="false">IF(OR($A35="",E$13=""),0,SUMIFS(MVT_NET,MVT_LOT,$A35,MVT_EMPL,E$13))</f>
        <v>0</v>
      </c>
      <c r="F35" s="42" t="n">
        <f aca="false">IF(OR($A35="",F$13=""),0,SUMIFS(MVT_NET,MVT_LOT,$A35,MVT_EMPL,F$13))</f>
        <v>0</v>
      </c>
      <c r="G35" s="42" t="n">
        <f aca="false">IF(OR($A35="",G$13=""),0,SUMIFS(MVT_NET,MVT_LOT,$A35,MVT_EMPL,G$13))</f>
        <v>0</v>
      </c>
      <c r="H35" s="42" t="n">
        <f aca="false">IF(OR($A35="",H$13=""),0,SUMIFS(MVT_NET,MVT_LOT,$A35,MVT_EMPL,H$13))</f>
        <v>0</v>
      </c>
      <c r="I35" s="42" t="n">
        <f aca="false">IF(OR($A35="",I$13=""),0,SUMIFS(MVT_NET,MVT_LOT,$A35,MVT_EMPL,I$13))</f>
        <v>0</v>
      </c>
      <c r="J35" s="42" t="n">
        <f aca="false">IF(OR($A35="",J$13=""),0,SUMIFS(MVT_NET,MVT_LOT,$A35,MVT_EMPL,J$13))</f>
        <v>0</v>
      </c>
      <c r="K35" s="42" t="n">
        <f aca="false">IF(OR($A35="",K$13=""),0,SUMIFS(MVT_NET,MVT_LOT,$A35,MVT_EMPL,K$13))</f>
        <v>0</v>
      </c>
      <c r="L35" s="42" t="n">
        <f aca="false">IF(OR($A35="",L$13=""),0,SUMIFS(MVT_NET,MVT_LOT,$A35,MVT_EMPL,L$13))</f>
        <v>0</v>
      </c>
      <c r="M35" s="42" t="n">
        <f aca="false">IF(OR($A35="",M$13=""),0,SUMIFS(MVT_NET,MVT_LOT,$A35,MVT_EMPL,M$13))</f>
        <v>0</v>
      </c>
      <c r="N35" s="43" t="n">
        <f aca="false">SUM($B35:$M35)</f>
        <v>0</v>
      </c>
      <c r="O35" s="44" t="n">
        <f aca="false">SUMPRODUCT(($B$12:$M$12="INTERNE")*$B35:$M35)</f>
        <v>0</v>
      </c>
      <c r="P35" s="44" t="n">
        <f aca="false">SUMPRODUCT(($B$12:$M$12="EXTERNE")*$B35:$M35)</f>
        <v>0</v>
      </c>
      <c r="Q35" s="44" t="n">
        <f aca="false">IF($A35="",0,SUMIFS(ST_ENCOURS,ST_LOT,$A35))</f>
        <v>0</v>
      </c>
      <c r="R35" s="45" t="str">
        <f aca="false">IF($A35="","",IF($N35&lt;-0.001,"STOCK NEGATIF - ANOMALIE",""))</f>
        <v/>
      </c>
    </row>
    <row r="36" customFormat="false" ht="15" hidden="false" customHeight="false" outlineLevel="0" collapsed="false">
      <c r="A36" s="41" t="str">
        <f aca="false">IF(LOTS!$A27="","",LOTS!$A27)</f>
        <v/>
      </c>
      <c r="B36" s="42" t="n">
        <f aca="false">IF(OR($A36="",B$13=""),0,SUMIFS(MVT_NET,MVT_LOT,$A36,MVT_EMPL,B$13))</f>
        <v>0</v>
      </c>
      <c r="C36" s="42" t="n">
        <f aca="false">IF(OR($A36="",C$13=""),0,SUMIFS(MVT_NET,MVT_LOT,$A36,MVT_EMPL,C$13))</f>
        <v>0</v>
      </c>
      <c r="D36" s="42" t="n">
        <f aca="false">IF(OR($A36="",D$13=""),0,SUMIFS(MVT_NET,MVT_LOT,$A36,MVT_EMPL,D$13))</f>
        <v>0</v>
      </c>
      <c r="E36" s="42" t="n">
        <f aca="false">IF(OR($A36="",E$13=""),0,SUMIFS(MVT_NET,MVT_LOT,$A36,MVT_EMPL,E$13))</f>
        <v>0</v>
      </c>
      <c r="F36" s="42" t="n">
        <f aca="false">IF(OR($A36="",F$13=""),0,SUMIFS(MVT_NET,MVT_LOT,$A36,MVT_EMPL,F$13))</f>
        <v>0</v>
      </c>
      <c r="G36" s="42" t="n">
        <f aca="false">IF(OR($A36="",G$13=""),0,SUMIFS(MVT_NET,MVT_LOT,$A36,MVT_EMPL,G$13))</f>
        <v>0</v>
      </c>
      <c r="H36" s="42" t="n">
        <f aca="false">IF(OR($A36="",H$13=""),0,SUMIFS(MVT_NET,MVT_LOT,$A36,MVT_EMPL,H$13))</f>
        <v>0</v>
      </c>
      <c r="I36" s="42" t="n">
        <f aca="false">IF(OR($A36="",I$13=""),0,SUMIFS(MVT_NET,MVT_LOT,$A36,MVT_EMPL,I$13))</f>
        <v>0</v>
      </c>
      <c r="J36" s="42" t="n">
        <f aca="false">IF(OR($A36="",J$13=""),0,SUMIFS(MVT_NET,MVT_LOT,$A36,MVT_EMPL,J$13))</f>
        <v>0</v>
      </c>
      <c r="K36" s="42" t="n">
        <f aca="false">IF(OR($A36="",K$13=""),0,SUMIFS(MVT_NET,MVT_LOT,$A36,MVT_EMPL,K$13))</f>
        <v>0</v>
      </c>
      <c r="L36" s="42" t="n">
        <f aca="false">IF(OR($A36="",L$13=""),0,SUMIFS(MVT_NET,MVT_LOT,$A36,MVT_EMPL,L$13))</f>
        <v>0</v>
      </c>
      <c r="M36" s="42" t="n">
        <f aca="false">IF(OR($A36="",M$13=""),0,SUMIFS(MVT_NET,MVT_LOT,$A36,MVT_EMPL,M$13))</f>
        <v>0</v>
      </c>
      <c r="N36" s="43" t="n">
        <f aca="false">SUM($B36:$M36)</f>
        <v>0</v>
      </c>
      <c r="O36" s="44" t="n">
        <f aca="false">SUMPRODUCT(($B$12:$M$12="INTERNE")*$B36:$M36)</f>
        <v>0</v>
      </c>
      <c r="P36" s="44" t="n">
        <f aca="false">SUMPRODUCT(($B$12:$M$12="EXTERNE")*$B36:$M36)</f>
        <v>0</v>
      </c>
      <c r="Q36" s="44" t="n">
        <f aca="false">IF($A36="",0,SUMIFS(ST_ENCOURS,ST_LOT,$A36))</f>
        <v>0</v>
      </c>
      <c r="R36" s="45" t="str">
        <f aca="false">IF($A36="","",IF($N36&lt;-0.001,"STOCK NEGATIF - ANOMALIE",""))</f>
        <v/>
      </c>
    </row>
    <row r="37" customFormat="false" ht="15" hidden="false" customHeight="false" outlineLevel="0" collapsed="false">
      <c r="A37" s="41" t="str">
        <f aca="false">IF(LOTS!$A28="","",LOTS!$A28)</f>
        <v/>
      </c>
      <c r="B37" s="42" t="n">
        <f aca="false">IF(OR($A37="",B$13=""),0,SUMIFS(MVT_NET,MVT_LOT,$A37,MVT_EMPL,B$13))</f>
        <v>0</v>
      </c>
      <c r="C37" s="42" t="n">
        <f aca="false">IF(OR($A37="",C$13=""),0,SUMIFS(MVT_NET,MVT_LOT,$A37,MVT_EMPL,C$13))</f>
        <v>0</v>
      </c>
      <c r="D37" s="42" t="n">
        <f aca="false">IF(OR($A37="",D$13=""),0,SUMIFS(MVT_NET,MVT_LOT,$A37,MVT_EMPL,D$13))</f>
        <v>0</v>
      </c>
      <c r="E37" s="42" t="n">
        <f aca="false">IF(OR($A37="",E$13=""),0,SUMIFS(MVT_NET,MVT_LOT,$A37,MVT_EMPL,E$13))</f>
        <v>0</v>
      </c>
      <c r="F37" s="42" t="n">
        <f aca="false">IF(OR($A37="",F$13=""),0,SUMIFS(MVT_NET,MVT_LOT,$A37,MVT_EMPL,F$13))</f>
        <v>0</v>
      </c>
      <c r="G37" s="42" t="n">
        <f aca="false">IF(OR($A37="",G$13=""),0,SUMIFS(MVT_NET,MVT_LOT,$A37,MVT_EMPL,G$13))</f>
        <v>0</v>
      </c>
      <c r="H37" s="42" t="n">
        <f aca="false">IF(OR($A37="",H$13=""),0,SUMIFS(MVT_NET,MVT_LOT,$A37,MVT_EMPL,H$13))</f>
        <v>0</v>
      </c>
      <c r="I37" s="42" t="n">
        <f aca="false">IF(OR($A37="",I$13=""),0,SUMIFS(MVT_NET,MVT_LOT,$A37,MVT_EMPL,I$13))</f>
        <v>0</v>
      </c>
      <c r="J37" s="42" t="n">
        <f aca="false">IF(OR($A37="",J$13=""),0,SUMIFS(MVT_NET,MVT_LOT,$A37,MVT_EMPL,J$13))</f>
        <v>0</v>
      </c>
      <c r="K37" s="42" t="n">
        <f aca="false">IF(OR($A37="",K$13=""),0,SUMIFS(MVT_NET,MVT_LOT,$A37,MVT_EMPL,K$13))</f>
        <v>0</v>
      </c>
      <c r="L37" s="42" t="n">
        <f aca="false">IF(OR($A37="",L$13=""),0,SUMIFS(MVT_NET,MVT_LOT,$A37,MVT_EMPL,L$13))</f>
        <v>0</v>
      </c>
      <c r="M37" s="42" t="n">
        <f aca="false">IF(OR($A37="",M$13=""),0,SUMIFS(MVT_NET,MVT_LOT,$A37,MVT_EMPL,M$13))</f>
        <v>0</v>
      </c>
      <c r="N37" s="43" t="n">
        <f aca="false">SUM($B37:$M37)</f>
        <v>0</v>
      </c>
      <c r="O37" s="44" t="n">
        <f aca="false">SUMPRODUCT(($B$12:$M$12="INTERNE")*$B37:$M37)</f>
        <v>0</v>
      </c>
      <c r="P37" s="44" t="n">
        <f aca="false">SUMPRODUCT(($B$12:$M$12="EXTERNE")*$B37:$M37)</f>
        <v>0</v>
      </c>
      <c r="Q37" s="44" t="n">
        <f aca="false">IF($A37="",0,SUMIFS(ST_ENCOURS,ST_LOT,$A37))</f>
        <v>0</v>
      </c>
      <c r="R37" s="45" t="str">
        <f aca="false">IF($A37="","",IF($N37&lt;-0.001,"STOCK NEGATIF - ANOMALIE",""))</f>
        <v/>
      </c>
    </row>
    <row r="38" customFormat="false" ht="15" hidden="false" customHeight="false" outlineLevel="0" collapsed="false">
      <c r="A38" s="41" t="str">
        <f aca="false">IF(LOTS!$A29="","",LOTS!$A29)</f>
        <v/>
      </c>
      <c r="B38" s="42" t="n">
        <f aca="false">IF(OR($A38="",B$13=""),0,SUMIFS(MVT_NET,MVT_LOT,$A38,MVT_EMPL,B$13))</f>
        <v>0</v>
      </c>
      <c r="C38" s="42" t="n">
        <f aca="false">IF(OR($A38="",C$13=""),0,SUMIFS(MVT_NET,MVT_LOT,$A38,MVT_EMPL,C$13))</f>
        <v>0</v>
      </c>
      <c r="D38" s="42" t="n">
        <f aca="false">IF(OR($A38="",D$13=""),0,SUMIFS(MVT_NET,MVT_LOT,$A38,MVT_EMPL,D$13))</f>
        <v>0</v>
      </c>
      <c r="E38" s="42" t="n">
        <f aca="false">IF(OR($A38="",E$13=""),0,SUMIFS(MVT_NET,MVT_LOT,$A38,MVT_EMPL,E$13))</f>
        <v>0</v>
      </c>
      <c r="F38" s="42" t="n">
        <f aca="false">IF(OR($A38="",F$13=""),0,SUMIFS(MVT_NET,MVT_LOT,$A38,MVT_EMPL,F$13))</f>
        <v>0</v>
      </c>
      <c r="G38" s="42" t="n">
        <f aca="false">IF(OR($A38="",G$13=""),0,SUMIFS(MVT_NET,MVT_LOT,$A38,MVT_EMPL,G$13))</f>
        <v>0</v>
      </c>
      <c r="H38" s="42" t="n">
        <f aca="false">IF(OR($A38="",H$13=""),0,SUMIFS(MVT_NET,MVT_LOT,$A38,MVT_EMPL,H$13))</f>
        <v>0</v>
      </c>
      <c r="I38" s="42" t="n">
        <f aca="false">IF(OR($A38="",I$13=""),0,SUMIFS(MVT_NET,MVT_LOT,$A38,MVT_EMPL,I$13))</f>
        <v>0</v>
      </c>
      <c r="J38" s="42" t="n">
        <f aca="false">IF(OR($A38="",J$13=""),0,SUMIFS(MVT_NET,MVT_LOT,$A38,MVT_EMPL,J$13))</f>
        <v>0</v>
      </c>
      <c r="K38" s="42" t="n">
        <f aca="false">IF(OR($A38="",K$13=""),0,SUMIFS(MVT_NET,MVT_LOT,$A38,MVT_EMPL,K$13))</f>
        <v>0</v>
      </c>
      <c r="L38" s="42" t="n">
        <f aca="false">IF(OR($A38="",L$13=""),0,SUMIFS(MVT_NET,MVT_LOT,$A38,MVT_EMPL,L$13))</f>
        <v>0</v>
      </c>
      <c r="M38" s="42" t="n">
        <f aca="false">IF(OR($A38="",M$13=""),0,SUMIFS(MVT_NET,MVT_LOT,$A38,MVT_EMPL,M$13))</f>
        <v>0</v>
      </c>
      <c r="N38" s="43" t="n">
        <f aca="false">SUM($B38:$M38)</f>
        <v>0</v>
      </c>
      <c r="O38" s="44" t="n">
        <f aca="false">SUMPRODUCT(($B$12:$M$12="INTERNE")*$B38:$M38)</f>
        <v>0</v>
      </c>
      <c r="P38" s="44" t="n">
        <f aca="false">SUMPRODUCT(($B$12:$M$12="EXTERNE")*$B38:$M38)</f>
        <v>0</v>
      </c>
      <c r="Q38" s="44" t="n">
        <f aca="false">IF($A38="",0,SUMIFS(ST_ENCOURS,ST_LOT,$A38))</f>
        <v>0</v>
      </c>
      <c r="R38" s="45" t="str">
        <f aca="false">IF($A38="","",IF($N38&lt;-0.001,"STOCK NEGATIF - ANOMALIE",""))</f>
        <v/>
      </c>
    </row>
    <row r="39" customFormat="false" ht="15" hidden="false" customHeight="false" outlineLevel="0" collapsed="false">
      <c r="A39" s="41" t="str">
        <f aca="false">IF(LOTS!$A30="","",LOTS!$A30)</f>
        <v/>
      </c>
      <c r="B39" s="42" t="n">
        <f aca="false">IF(OR($A39="",B$13=""),0,SUMIFS(MVT_NET,MVT_LOT,$A39,MVT_EMPL,B$13))</f>
        <v>0</v>
      </c>
      <c r="C39" s="42" t="n">
        <f aca="false">IF(OR($A39="",C$13=""),0,SUMIFS(MVT_NET,MVT_LOT,$A39,MVT_EMPL,C$13))</f>
        <v>0</v>
      </c>
      <c r="D39" s="42" t="n">
        <f aca="false">IF(OR($A39="",D$13=""),0,SUMIFS(MVT_NET,MVT_LOT,$A39,MVT_EMPL,D$13))</f>
        <v>0</v>
      </c>
      <c r="E39" s="42" t="n">
        <f aca="false">IF(OR($A39="",E$13=""),0,SUMIFS(MVT_NET,MVT_LOT,$A39,MVT_EMPL,E$13))</f>
        <v>0</v>
      </c>
      <c r="F39" s="42" t="n">
        <f aca="false">IF(OR($A39="",F$13=""),0,SUMIFS(MVT_NET,MVT_LOT,$A39,MVT_EMPL,F$13))</f>
        <v>0</v>
      </c>
      <c r="G39" s="42" t="n">
        <f aca="false">IF(OR($A39="",G$13=""),0,SUMIFS(MVT_NET,MVT_LOT,$A39,MVT_EMPL,G$13))</f>
        <v>0</v>
      </c>
      <c r="H39" s="42" t="n">
        <f aca="false">IF(OR($A39="",H$13=""),0,SUMIFS(MVT_NET,MVT_LOT,$A39,MVT_EMPL,H$13))</f>
        <v>0</v>
      </c>
      <c r="I39" s="42" t="n">
        <f aca="false">IF(OR($A39="",I$13=""),0,SUMIFS(MVT_NET,MVT_LOT,$A39,MVT_EMPL,I$13))</f>
        <v>0</v>
      </c>
      <c r="J39" s="42" t="n">
        <f aca="false">IF(OR($A39="",J$13=""),0,SUMIFS(MVT_NET,MVT_LOT,$A39,MVT_EMPL,J$13))</f>
        <v>0</v>
      </c>
      <c r="K39" s="42" t="n">
        <f aca="false">IF(OR($A39="",K$13=""),0,SUMIFS(MVT_NET,MVT_LOT,$A39,MVT_EMPL,K$13))</f>
        <v>0</v>
      </c>
      <c r="L39" s="42" t="n">
        <f aca="false">IF(OR($A39="",L$13=""),0,SUMIFS(MVT_NET,MVT_LOT,$A39,MVT_EMPL,L$13))</f>
        <v>0</v>
      </c>
      <c r="M39" s="42" t="n">
        <f aca="false">IF(OR($A39="",M$13=""),0,SUMIFS(MVT_NET,MVT_LOT,$A39,MVT_EMPL,M$13))</f>
        <v>0</v>
      </c>
      <c r="N39" s="43" t="n">
        <f aca="false">SUM($B39:$M39)</f>
        <v>0</v>
      </c>
      <c r="O39" s="44" t="n">
        <f aca="false">SUMPRODUCT(($B$12:$M$12="INTERNE")*$B39:$M39)</f>
        <v>0</v>
      </c>
      <c r="P39" s="44" t="n">
        <f aca="false">SUMPRODUCT(($B$12:$M$12="EXTERNE")*$B39:$M39)</f>
        <v>0</v>
      </c>
      <c r="Q39" s="44" t="n">
        <f aca="false">IF($A39="",0,SUMIFS(ST_ENCOURS,ST_LOT,$A39))</f>
        <v>0</v>
      </c>
      <c r="R39" s="45" t="str">
        <f aca="false">IF($A39="","",IF($N39&lt;-0.001,"STOCK NEGATIF - ANOMALIE",""))</f>
        <v/>
      </c>
    </row>
    <row r="40" customFormat="false" ht="15" hidden="false" customHeight="false" outlineLevel="0" collapsed="false">
      <c r="A40" s="41" t="str">
        <f aca="false">IF(LOTS!$A31="","",LOTS!$A31)</f>
        <v/>
      </c>
      <c r="B40" s="42" t="n">
        <f aca="false">IF(OR($A40="",B$13=""),0,SUMIFS(MVT_NET,MVT_LOT,$A40,MVT_EMPL,B$13))</f>
        <v>0</v>
      </c>
      <c r="C40" s="42" t="n">
        <f aca="false">IF(OR($A40="",C$13=""),0,SUMIFS(MVT_NET,MVT_LOT,$A40,MVT_EMPL,C$13))</f>
        <v>0</v>
      </c>
      <c r="D40" s="42" t="n">
        <f aca="false">IF(OR($A40="",D$13=""),0,SUMIFS(MVT_NET,MVT_LOT,$A40,MVT_EMPL,D$13))</f>
        <v>0</v>
      </c>
      <c r="E40" s="42" t="n">
        <f aca="false">IF(OR($A40="",E$13=""),0,SUMIFS(MVT_NET,MVT_LOT,$A40,MVT_EMPL,E$13))</f>
        <v>0</v>
      </c>
      <c r="F40" s="42" t="n">
        <f aca="false">IF(OR($A40="",F$13=""),0,SUMIFS(MVT_NET,MVT_LOT,$A40,MVT_EMPL,F$13))</f>
        <v>0</v>
      </c>
      <c r="G40" s="42" t="n">
        <f aca="false">IF(OR($A40="",G$13=""),0,SUMIFS(MVT_NET,MVT_LOT,$A40,MVT_EMPL,G$13))</f>
        <v>0</v>
      </c>
      <c r="H40" s="42" t="n">
        <f aca="false">IF(OR($A40="",H$13=""),0,SUMIFS(MVT_NET,MVT_LOT,$A40,MVT_EMPL,H$13))</f>
        <v>0</v>
      </c>
      <c r="I40" s="42" t="n">
        <f aca="false">IF(OR($A40="",I$13=""),0,SUMIFS(MVT_NET,MVT_LOT,$A40,MVT_EMPL,I$13))</f>
        <v>0</v>
      </c>
      <c r="J40" s="42" t="n">
        <f aca="false">IF(OR($A40="",J$13=""),0,SUMIFS(MVT_NET,MVT_LOT,$A40,MVT_EMPL,J$13))</f>
        <v>0</v>
      </c>
      <c r="K40" s="42" t="n">
        <f aca="false">IF(OR($A40="",K$13=""),0,SUMIFS(MVT_NET,MVT_LOT,$A40,MVT_EMPL,K$13))</f>
        <v>0</v>
      </c>
      <c r="L40" s="42" t="n">
        <f aca="false">IF(OR($A40="",L$13=""),0,SUMIFS(MVT_NET,MVT_LOT,$A40,MVT_EMPL,L$13))</f>
        <v>0</v>
      </c>
      <c r="M40" s="42" t="n">
        <f aca="false">IF(OR($A40="",M$13=""),0,SUMIFS(MVT_NET,MVT_LOT,$A40,MVT_EMPL,M$13))</f>
        <v>0</v>
      </c>
      <c r="N40" s="43" t="n">
        <f aca="false">SUM($B40:$M40)</f>
        <v>0</v>
      </c>
      <c r="O40" s="44" t="n">
        <f aca="false">SUMPRODUCT(($B$12:$M$12="INTERNE")*$B40:$M40)</f>
        <v>0</v>
      </c>
      <c r="P40" s="44" t="n">
        <f aca="false">SUMPRODUCT(($B$12:$M$12="EXTERNE")*$B40:$M40)</f>
        <v>0</v>
      </c>
      <c r="Q40" s="44" t="n">
        <f aca="false">IF($A40="",0,SUMIFS(ST_ENCOURS,ST_LOT,$A40))</f>
        <v>0</v>
      </c>
      <c r="R40" s="45" t="str">
        <f aca="false">IF($A40="","",IF($N40&lt;-0.001,"STOCK NEGATIF - ANOMALIE",""))</f>
        <v/>
      </c>
    </row>
    <row r="41" customFormat="false" ht="15" hidden="false" customHeight="false" outlineLevel="0" collapsed="false">
      <c r="A41" s="41" t="str">
        <f aca="false">IF(LOTS!$A32="","",LOTS!$A32)</f>
        <v/>
      </c>
      <c r="B41" s="42" t="n">
        <f aca="false">IF(OR($A41="",B$13=""),0,SUMIFS(MVT_NET,MVT_LOT,$A41,MVT_EMPL,B$13))</f>
        <v>0</v>
      </c>
      <c r="C41" s="42" t="n">
        <f aca="false">IF(OR($A41="",C$13=""),0,SUMIFS(MVT_NET,MVT_LOT,$A41,MVT_EMPL,C$13))</f>
        <v>0</v>
      </c>
      <c r="D41" s="42" t="n">
        <f aca="false">IF(OR($A41="",D$13=""),0,SUMIFS(MVT_NET,MVT_LOT,$A41,MVT_EMPL,D$13))</f>
        <v>0</v>
      </c>
      <c r="E41" s="42" t="n">
        <f aca="false">IF(OR($A41="",E$13=""),0,SUMIFS(MVT_NET,MVT_LOT,$A41,MVT_EMPL,E$13))</f>
        <v>0</v>
      </c>
      <c r="F41" s="42" t="n">
        <f aca="false">IF(OR($A41="",F$13=""),0,SUMIFS(MVT_NET,MVT_LOT,$A41,MVT_EMPL,F$13))</f>
        <v>0</v>
      </c>
      <c r="G41" s="42" t="n">
        <f aca="false">IF(OR($A41="",G$13=""),0,SUMIFS(MVT_NET,MVT_LOT,$A41,MVT_EMPL,G$13))</f>
        <v>0</v>
      </c>
      <c r="H41" s="42" t="n">
        <f aca="false">IF(OR($A41="",H$13=""),0,SUMIFS(MVT_NET,MVT_LOT,$A41,MVT_EMPL,H$13))</f>
        <v>0</v>
      </c>
      <c r="I41" s="42" t="n">
        <f aca="false">IF(OR($A41="",I$13=""),0,SUMIFS(MVT_NET,MVT_LOT,$A41,MVT_EMPL,I$13))</f>
        <v>0</v>
      </c>
      <c r="J41" s="42" t="n">
        <f aca="false">IF(OR($A41="",J$13=""),0,SUMIFS(MVT_NET,MVT_LOT,$A41,MVT_EMPL,J$13))</f>
        <v>0</v>
      </c>
      <c r="K41" s="42" t="n">
        <f aca="false">IF(OR($A41="",K$13=""),0,SUMIFS(MVT_NET,MVT_LOT,$A41,MVT_EMPL,K$13))</f>
        <v>0</v>
      </c>
      <c r="L41" s="42" t="n">
        <f aca="false">IF(OR($A41="",L$13=""),0,SUMIFS(MVT_NET,MVT_LOT,$A41,MVT_EMPL,L$13))</f>
        <v>0</v>
      </c>
      <c r="M41" s="42" t="n">
        <f aca="false">IF(OR($A41="",M$13=""),0,SUMIFS(MVT_NET,MVT_LOT,$A41,MVT_EMPL,M$13))</f>
        <v>0</v>
      </c>
      <c r="N41" s="43" t="n">
        <f aca="false">SUM($B41:$M41)</f>
        <v>0</v>
      </c>
      <c r="O41" s="44" t="n">
        <f aca="false">SUMPRODUCT(($B$12:$M$12="INTERNE")*$B41:$M41)</f>
        <v>0</v>
      </c>
      <c r="P41" s="44" t="n">
        <f aca="false">SUMPRODUCT(($B$12:$M$12="EXTERNE")*$B41:$M41)</f>
        <v>0</v>
      </c>
      <c r="Q41" s="44" t="n">
        <f aca="false">IF($A41="",0,SUMIFS(ST_ENCOURS,ST_LOT,$A41))</f>
        <v>0</v>
      </c>
      <c r="R41" s="45" t="str">
        <f aca="false">IF($A41="","",IF($N41&lt;-0.001,"STOCK NEGATIF - ANOMALIE",""))</f>
        <v/>
      </c>
    </row>
    <row r="42" customFormat="false" ht="15" hidden="false" customHeight="false" outlineLevel="0" collapsed="false">
      <c r="A42" s="41" t="str">
        <f aca="false">IF(LOTS!$A33="","",LOTS!$A33)</f>
        <v/>
      </c>
      <c r="B42" s="42" t="n">
        <f aca="false">IF(OR($A42="",B$13=""),0,SUMIFS(MVT_NET,MVT_LOT,$A42,MVT_EMPL,B$13))</f>
        <v>0</v>
      </c>
      <c r="C42" s="42" t="n">
        <f aca="false">IF(OR($A42="",C$13=""),0,SUMIFS(MVT_NET,MVT_LOT,$A42,MVT_EMPL,C$13))</f>
        <v>0</v>
      </c>
      <c r="D42" s="42" t="n">
        <f aca="false">IF(OR($A42="",D$13=""),0,SUMIFS(MVT_NET,MVT_LOT,$A42,MVT_EMPL,D$13))</f>
        <v>0</v>
      </c>
      <c r="E42" s="42" t="n">
        <f aca="false">IF(OR($A42="",E$13=""),0,SUMIFS(MVT_NET,MVT_LOT,$A42,MVT_EMPL,E$13))</f>
        <v>0</v>
      </c>
      <c r="F42" s="42" t="n">
        <f aca="false">IF(OR($A42="",F$13=""),0,SUMIFS(MVT_NET,MVT_LOT,$A42,MVT_EMPL,F$13))</f>
        <v>0</v>
      </c>
      <c r="G42" s="42" t="n">
        <f aca="false">IF(OR($A42="",G$13=""),0,SUMIFS(MVT_NET,MVT_LOT,$A42,MVT_EMPL,G$13))</f>
        <v>0</v>
      </c>
      <c r="H42" s="42" t="n">
        <f aca="false">IF(OR($A42="",H$13=""),0,SUMIFS(MVT_NET,MVT_LOT,$A42,MVT_EMPL,H$13))</f>
        <v>0</v>
      </c>
      <c r="I42" s="42" t="n">
        <f aca="false">IF(OR($A42="",I$13=""),0,SUMIFS(MVT_NET,MVT_LOT,$A42,MVT_EMPL,I$13))</f>
        <v>0</v>
      </c>
      <c r="J42" s="42" t="n">
        <f aca="false">IF(OR($A42="",J$13=""),0,SUMIFS(MVT_NET,MVT_LOT,$A42,MVT_EMPL,J$13))</f>
        <v>0</v>
      </c>
      <c r="K42" s="42" t="n">
        <f aca="false">IF(OR($A42="",K$13=""),0,SUMIFS(MVT_NET,MVT_LOT,$A42,MVT_EMPL,K$13))</f>
        <v>0</v>
      </c>
      <c r="L42" s="42" t="n">
        <f aca="false">IF(OR($A42="",L$13=""),0,SUMIFS(MVT_NET,MVT_LOT,$A42,MVT_EMPL,L$13))</f>
        <v>0</v>
      </c>
      <c r="M42" s="42" t="n">
        <f aca="false">IF(OR($A42="",M$13=""),0,SUMIFS(MVT_NET,MVT_LOT,$A42,MVT_EMPL,M$13))</f>
        <v>0</v>
      </c>
      <c r="N42" s="43" t="n">
        <f aca="false">SUM($B42:$M42)</f>
        <v>0</v>
      </c>
      <c r="O42" s="44" t="n">
        <f aca="false">SUMPRODUCT(($B$12:$M$12="INTERNE")*$B42:$M42)</f>
        <v>0</v>
      </c>
      <c r="P42" s="44" t="n">
        <f aca="false">SUMPRODUCT(($B$12:$M$12="EXTERNE")*$B42:$M42)</f>
        <v>0</v>
      </c>
      <c r="Q42" s="44" t="n">
        <f aca="false">IF($A42="",0,SUMIFS(ST_ENCOURS,ST_LOT,$A42))</f>
        <v>0</v>
      </c>
      <c r="R42" s="45" t="str">
        <f aca="false">IF($A42="","",IF($N42&lt;-0.001,"STOCK NEGATIF - ANOMALIE",""))</f>
        <v/>
      </c>
    </row>
    <row r="43" customFormat="false" ht="15" hidden="false" customHeight="false" outlineLevel="0" collapsed="false">
      <c r="A43" s="41" t="str">
        <f aca="false">IF(LOTS!$A34="","",LOTS!$A34)</f>
        <v/>
      </c>
      <c r="B43" s="42" t="n">
        <f aca="false">IF(OR($A43="",B$13=""),0,SUMIFS(MVT_NET,MVT_LOT,$A43,MVT_EMPL,B$13))</f>
        <v>0</v>
      </c>
      <c r="C43" s="42" t="n">
        <f aca="false">IF(OR($A43="",C$13=""),0,SUMIFS(MVT_NET,MVT_LOT,$A43,MVT_EMPL,C$13))</f>
        <v>0</v>
      </c>
      <c r="D43" s="42" t="n">
        <f aca="false">IF(OR($A43="",D$13=""),0,SUMIFS(MVT_NET,MVT_LOT,$A43,MVT_EMPL,D$13))</f>
        <v>0</v>
      </c>
      <c r="E43" s="42" t="n">
        <f aca="false">IF(OR($A43="",E$13=""),0,SUMIFS(MVT_NET,MVT_LOT,$A43,MVT_EMPL,E$13))</f>
        <v>0</v>
      </c>
      <c r="F43" s="42" t="n">
        <f aca="false">IF(OR($A43="",F$13=""),0,SUMIFS(MVT_NET,MVT_LOT,$A43,MVT_EMPL,F$13))</f>
        <v>0</v>
      </c>
      <c r="G43" s="42" t="n">
        <f aca="false">IF(OR($A43="",G$13=""),0,SUMIFS(MVT_NET,MVT_LOT,$A43,MVT_EMPL,G$13))</f>
        <v>0</v>
      </c>
      <c r="H43" s="42" t="n">
        <f aca="false">IF(OR($A43="",H$13=""),0,SUMIFS(MVT_NET,MVT_LOT,$A43,MVT_EMPL,H$13))</f>
        <v>0</v>
      </c>
      <c r="I43" s="42" t="n">
        <f aca="false">IF(OR($A43="",I$13=""),0,SUMIFS(MVT_NET,MVT_LOT,$A43,MVT_EMPL,I$13))</f>
        <v>0</v>
      </c>
      <c r="J43" s="42" t="n">
        <f aca="false">IF(OR($A43="",J$13=""),0,SUMIFS(MVT_NET,MVT_LOT,$A43,MVT_EMPL,J$13))</f>
        <v>0</v>
      </c>
      <c r="K43" s="42" t="n">
        <f aca="false">IF(OR($A43="",K$13=""),0,SUMIFS(MVT_NET,MVT_LOT,$A43,MVT_EMPL,K$13))</f>
        <v>0</v>
      </c>
      <c r="L43" s="42" t="n">
        <f aca="false">IF(OR($A43="",L$13=""),0,SUMIFS(MVT_NET,MVT_LOT,$A43,MVT_EMPL,L$13))</f>
        <v>0</v>
      </c>
      <c r="M43" s="42" t="n">
        <f aca="false">IF(OR($A43="",M$13=""),0,SUMIFS(MVT_NET,MVT_LOT,$A43,MVT_EMPL,M$13))</f>
        <v>0</v>
      </c>
      <c r="N43" s="43" t="n">
        <f aca="false">SUM($B43:$M43)</f>
        <v>0</v>
      </c>
      <c r="O43" s="44" t="n">
        <f aca="false">SUMPRODUCT(($B$12:$M$12="INTERNE")*$B43:$M43)</f>
        <v>0</v>
      </c>
      <c r="P43" s="44" t="n">
        <f aca="false">SUMPRODUCT(($B$12:$M$12="EXTERNE")*$B43:$M43)</f>
        <v>0</v>
      </c>
      <c r="Q43" s="44" t="n">
        <f aca="false">IF($A43="",0,SUMIFS(ST_ENCOURS,ST_LOT,$A43))</f>
        <v>0</v>
      </c>
      <c r="R43" s="45" t="str">
        <f aca="false">IF($A43="","",IF($N43&lt;-0.001,"STOCK NEGATIF - ANOMALIE",""))</f>
        <v/>
      </c>
    </row>
    <row r="44" customFormat="false" ht="15" hidden="false" customHeight="false" outlineLevel="0" collapsed="false">
      <c r="A44" s="41" t="str">
        <f aca="false">IF(LOTS!$A35="","",LOTS!$A35)</f>
        <v/>
      </c>
      <c r="B44" s="42" t="n">
        <f aca="false">IF(OR($A44="",B$13=""),0,SUMIFS(MVT_NET,MVT_LOT,$A44,MVT_EMPL,B$13))</f>
        <v>0</v>
      </c>
      <c r="C44" s="42" t="n">
        <f aca="false">IF(OR($A44="",C$13=""),0,SUMIFS(MVT_NET,MVT_LOT,$A44,MVT_EMPL,C$13))</f>
        <v>0</v>
      </c>
      <c r="D44" s="42" t="n">
        <f aca="false">IF(OR($A44="",D$13=""),0,SUMIFS(MVT_NET,MVT_LOT,$A44,MVT_EMPL,D$13))</f>
        <v>0</v>
      </c>
      <c r="E44" s="42" t="n">
        <f aca="false">IF(OR($A44="",E$13=""),0,SUMIFS(MVT_NET,MVT_LOT,$A44,MVT_EMPL,E$13))</f>
        <v>0</v>
      </c>
      <c r="F44" s="42" t="n">
        <f aca="false">IF(OR($A44="",F$13=""),0,SUMIFS(MVT_NET,MVT_LOT,$A44,MVT_EMPL,F$13))</f>
        <v>0</v>
      </c>
      <c r="G44" s="42" t="n">
        <f aca="false">IF(OR($A44="",G$13=""),0,SUMIFS(MVT_NET,MVT_LOT,$A44,MVT_EMPL,G$13))</f>
        <v>0</v>
      </c>
      <c r="H44" s="42" t="n">
        <f aca="false">IF(OR($A44="",H$13=""),0,SUMIFS(MVT_NET,MVT_LOT,$A44,MVT_EMPL,H$13))</f>
        <v>0</v>
      </c>
      <c r="I44" s="42" t="n">
        <f aca="false">IF(OR($A44="",I$13=""),0,SUMIFS(MVT_NET,MVT_LOT,$A44,MVT_EMPL,I$13))</f>
        <v>0</v>
      </c>
      <c r="J44" s="42" t="n">
        <f aca="false">IF(OR($A44="",J$13=""),0,SUMIFS(MVT_NET,MVT_LOT,$A44,MVT_EMPL,J$13))</f>
        <v>0</v>
      </c>
      <c r="K44" s="42" t="n">
        <f aca="false">IF(OR($A44="",K$13=""),0,SUMIFS(MVT_NET,MVT_LOT,$A44,MVT_EMPL,K$13))</f>
        <v>0</v>
      </c>
      <c r="L44" s="42" t="n">
        <f aca="false">IF(OR($A44="",L$13=""),0,SUMIFS(MVT_NET,MVT_LOT,$A44,MVT_EMPL,L$13))</f>
        <v>0</v>
      </c>
      <c r="M44" s="42" t="n">
        <f aca="false">IF(OR($A44="",M$13=""),0,SUMIFS(MVT_NET,MVT_LOT,$A44,MVT_EMPL,M$13))</f>
        <v>0</v>
      </c>
      <c r="N44" s="43" t="n">
        <f aca="false">SUM($B44:$M44)</f>
        <v>0</v>
      </c>
      <c r="O44" s="44" t="n">
        <f aca="false">SUMPRODUCT(($B$12:$M$12="INTERNE")*$B44:$M44)</f>
        <v>0</v>
      </c>
      <c r="P44" s="44" t="n">
        <f aca="false">SUMPRODUCT(($B$12:$M$12="EXTERNE")*$B44:$M44)</f>
        <v>0</v>
      </c>
      <c r="Q44" s="44" t="n">
        <f aca="false">IF($A44="",0,SUMIFS(ST_ENCOURS,ST_LOT,$A44))</f>
        <v>0</v>
      </c>
      <c r="R44" s="45" t="str">
        <f aca="false">IF($A44="","",IF($N44&lt;-0.001,"STOCK NEGATIF - ANOMALIE",""))</f>
        <v/>
      </c>
    </row>
    <row r="45" customFormat="false" ht="15" hidden="false" customHeight="false" outlineLevel="0" collapsed="false">
      <c r="A45" s="41" t="str">
        <f aca="false">IF(LOTS!$A36="","",LOTS!$A36)</f>
        <v/>
      </c>
      <c r="B45" s="42" t="n">
        <f aca="false">IF(OR($A45="",B$13=""),0,SUMIFS(MVT_NET,MVT_LOT,$A45,MVT_EMPL,B$13))</f>
        <v>0</v>
      </c>
      <c r="C45" s="42" t="n">
        <f aca="false">IF(OR($A45="",C$13=""),0,SUMIFS(MVT_NET,MVT_LOT,$A45,MVT_EMPL,C$13))</f>
        <v>0</v>
      </c>
      <c r="D45" s="42" t="n">
        <f aca="false">IF(OR($A45="",D$13=""),0,SUMIFS(MVT_NET,MVT_LOT,$A45,MVT_EMPL,D$13))</f>
        <v>0</v>
      </c>
      <c r="E45" s="42" t="n">
        <f aca="false">IF(OR($A45="",E$13=""),0,SUMIFS(MVT_NET,MVT_LOT,$A45,MVT_EMPL,E$13))</f>
        <v>0</v>
      </c>
      <c r="F45" s="42" t="n">
        <f aca="false">IF(OR($A45="",F$13=""),0,SUMIFS(MVT_NET,MVT_LOT,$A45,MVT_EMPL,F$13))</f>
        <v>0</v>
      </c>
      <c r="G45" s="42" t="n">
        <f aca="false">IF(OR($A45="",G$13=""),0,SUMIFS(MVT_NET,MVT_LOT,$A45,MVT_EMPL,G$13))</f>
        <v>0</v>
      </c>
      <c r="H45" s="42" t="n">
        <f aca="false">IF(OR($A45="",H$13=""),0,SUMIFS(MVT_NET,MVT_LOT,$A45,MVT_EMPL,H$13))</f>
        <v>0</v>
      </c>
      <c r="I45" s="42" t="n">
        <f aca="false">IF(OR($A45="",I$13=""),0,SUMIFS(MVT_NET,MVT_LOT,$A45,MVT_EMPL,I$13))</f>
        <v>0</v>
      </c>
      <c r="J45" s="42" t="n">
        <f aca="false">IF(OR($A45="",J$13=""),0,SUMIFS(MVT_NET,MVT_LOT,$A45,MVT_EMPL,J$13))</f>
        <v>0</v>
      </c>
      <c r="K45" s="42" t="n">
        <f aca="false">IF(OR($A45="",K$13=""),0,SUMIFS(MVT_NET,MVT_LOT,$A45,MVT_EMPL,K$13))</f>
        <v>0</v>
      </c>
      <c r="L45" s="42" t="n">
        <f aca="false">IF(OR($A45="",L$13=""),0,SUMIFS(MVT_NET,MVT_LOT,$A45,MVT_EMPL,L$13))</f>
        <v>0</v>
      </c>
      <c r="M45" s="42" t="n">
        <f aca="false">IF(OR($A45="",M$13=""),0,SUMIFS(MVT_NET,MVT_LOT,$A45,MVT_EMPL,M$13))</f>
        <v>0</v>
      </c>
      <c r="N45" s="43" t="n">
        <f aca="false">SUM($B45:$M45)</f>
        <v>0</v>
      </c>
      <c r="O45" s="44" t="n">
        <f aca="false">SUMPRODUCT(($B$12:$M$12="INTERNE")*$B45:$M45)</f>
        <v>0</v>
      </c>
      <c r="P45" s="44" t="n">
        <f aca="false">SUMPRODUCT(($B$12:$M$12="EXTERNE")*$B45:$M45)</f>
        <v>0</v>
      </c>
      <c r="Q45" s="44" t="n">
        <f aca="false">IF($A45="",0,SUMIFS(ST_ENCOURS,ST_LOT,$A45))</f>
        <v>0</v>
      </c>
      <c r="R45" s="45" t="str">
        <f aca="false">IF($A45="","",IF($N45&lt;-0.001,"STOCK NEGATIF - ANOMALIE",""))</f>
        <v/>
      </c>
    </row>
    <row r="46" customFormat="false" ht="15" hidden="false" customHeight="false" outlineLevel="0" collapsed="false">
      <c r="A46" s="41" t="str">
        <f aca="false">IF(LOTS!$A37="","",LOTS!$A37)</f>
        <v/>
      </c>
      <c r="B46" s="42" t="n">
        <f aca="false">IF(OR($A46="",B$13=""),0,SUMIFS(MVT_NET,MVT_LOT,$A46,MVT_EMPL,B$13))</f>
        <v>0</v>
      </c>
      <c r="C46" s="42" t="n">
        <f aca="false">IF(OR($A46="",C$13=""),0,SUMIFS(MVT_NET,MVT_LOT,$A46,MVT_EMPL,C$13))</f>
        <v>0</v>
      </c>
      <c r="D46" s="42" t="n">
        <f aca="false">IF(OR($A46="",D$13=""),0,SUMIFS(MVT_NET,MVT_LOT,$A46,MVT_EMPL,D$13))</f>
        <v>0</v>
      </c>
      <c r="E46" s="42" t="n">
        <f aca="false">IF(OR($A46="",E$13=""),0,SUMIFS(MVT_NET,MVT_LOT,$A46,MVT_EMPL,E$13))</f>
        <v>0</v>
      </c>
      <c r="F46" s="42" t="n">
        <f aca="false">IF(OR($A46="",F$13=""),0,SUMIFS(MVT_NET,MVT_LOT,$A46,MVT_EMPL,F$13))</f>
        <v>0</v>
      </c>
      <c r="G46" s="42" t="n">
        <f aca="false">IF(OR($A46="",G$13=""),0,SUMIFS(MVT_NET,MVT_LOT,$A46,MVT_EMPL,G$13))</f>
        <v>0</v>
      </c>
      <c r="H46" s="42" t="n">
        <f aca="false">IF(OR($A46="",H$13=""),0,SUMIFS(MVT_NET,MVT_LOT,$A46,MVT_EMPL,H$13))</f>
        <v>0</v>
      </c>
      <c r="I46" s="42" t="n">
        <f aca="false">IF(OR($A46="",I$13=""),0,SUMIFS(MVT_NET,MVT_LOT,$A46,MVT_EMPL,I$13))</f>
        <v>0</v>
      </c>
      <c r="J46" s="42" t="n">
        <f aca="false">IF(OR($A46="",J$13=""),0,SUMIFS(MVT_NET,MVT_LOT,$A46,MVT_EMPL,J$13))</f>
        <v>0</v>
      </c>
      <c r="K46" s="42" t="n">
        <f aca="false">IF(OR($A46="",K$13=""),0,SUMIFS(MVT_NET,MVT_LOT,$A46,MVT_EMPL,K$13))</f>
        <v>0</v>
      </c>
      <c r="L46" s="42" t="n">
        <f aca="false">IF(OR($A46="",L$13=""),0,SUMIFS(MVT_NET,MVT_LOT,$A46,MVT_EMPL,L$13))</f>
        <v>0</v>
      </c>
      <c r="M46" s="42" t="n">
        <f aca="false">IF(OR($A46="",M$13=""),0,SUMIFS(MVT_NET,MVT_LOT,$A46,MVT_EMPL,M$13))</f>
        <v>0</v>
      </c>
      <c r="N46" s="43" t="n">
        <f aca="false">SUM($B46:$M46)</f>
        <v>0</v>
      </c>
      <c r="O46" s="44" t="n">
        <f aca="false">SUMPRODUCT(($B$12:$M$12="INTERNE")*$B46:$M46)</f>
        <v>0</v>
      </c>
      <c r="P46" s="44" t="n">
        <f aca="false">SUMPRODUCT(($B$12:$M$12="EXTERNE")*$B46:$M46)</f>
        <v>0</v>
      </c>
      <c r="Q46" s="44" t="n">
        <f aca="false">IF($A46="",0,SUMIFS(ST_ENCOURS,ST_LOT,$A46))</f>
        <v>0</v>
      </c>
      <c r="R46" s="45" t="str">
        <f aca="false">IF($A46="","",IF($N46&lt;-0.001,"STOCK NEGATIF - ANOMALIE",""))</f>
        <v/>
      </c>
    </row>
    <row r="47" customFormat="false" ht="15" hidden="false" customHeight="false" outlineLevel="0" collapsed="false">
      <c r="A47" s="41" t="str">
        <f aca="false">IF(LOTS!$A38="","",LOTS!$A38)</f>
        <v/>
      </c>
      <c r="B47" s="42" t="n">
        <f aca="false">IF(OR($A47="",B$13=""),0,SUMIFS(MVT_NET,MVT_LOT,$A47,MVT_EMPL,B$13))</f>
        <v>0</v>
      </c>
      <c r="C47" s="42" t="n">
        <f aca="false">IF(OR($A47="",C$13=""),0,SUMIFS(MVT_NET,MVT_LOT,$A47,MVT_EMPL,C$13))</f>
        <v>0</v>
      </c>
      <c r="D47" s="42" t="n">
        <f aca="false">IF(OR($A47="",D$13=""),0,SUMIFS(MVT_NET,MVT_LOT,$A47,MVT_EMPL,D$13))</f>
        <v>0</v>
      </c>
      <c r="E47" s="42" t="n">
        <f aca="false">IF(OR($A47="",E$13=""),0,SUMIFS(MVT_NET,MVT_LOT,$A47,MVT_EMPL,E$13))</f>
        <v>0</v>
      </c>
      <c r="F47" s="42" t="n">
        <f aca="false">IF(OR($A47="",F$13=""),0,SUMIFS(MVT_NET,MVT_LOT,$A47,MVT_EMPL,F$13))</f>
        <v>0</v>
      </c>
      <c r="G47" s="42" t="n">
        <f aca="false">IF(OR($A47="",G$13=""),0,SUMIFS(MVT_NET,MVT_LOT,$A47,MVT_EMPL,G$13))</f>
        <v>0</v>
      </c>
      <c r="H47" s="42" t="n">
        <f aca="false">IF(OR($A47="",H$13=""),0,SUMIFS(MVT_NET,MVT_LOT,$A47,MVT_EMPL,H$13))</f>
        <v>0</v>
      </c>
      <c r="I47" s="42" t="n">
        <f aca="false">IF(OR($A47="",I$13=""),0,SUMIFS(MVT_NET,MVT_LOT,$A47,MVT_EMPL,I$13))</f>
        <v>0</v>
      </c>
      <c r="J47" s="42" t="n">
        <f aca="false">IF(OR($A47="",J$13=""),0,SUMIFS(MVT_NET,MVT_LOT,$A47,MVT_EMPL,J$13))</f>
        <v>0</v>
      </c>
      <c r="K47" s="42" t="n">
        <f aca="false">IF(OR($A47="",K$13=""),0,SUMIFS(MVT_NET,MVT_LOT,$A47,MVT_EMPL,K$13))</f>
        <v>0</v>
      </c>
      <c r="L47" s="42" t="n">
        <f aca="false">IF(OR($A47="",L$13=""),0,SUMIFS(MVT_NET,MVT_LOT,$A47,MVT_EMPL,L$13))</f>
        <v>0</v>
      </c>
      <c r="M47" s="42" t="n">
        <f aca="false">IF(OR($A47="",M$13=""),0,SUMIFS(MVT_NET,MVT_LOT,$A47,MVT_EMPL,M$13))</f>
        <v>0</v>
      </c>
      <c r="N47" s="43" t="n">
        <f aca="false">SUM($B47:$M47)</f>
        <v>0</v>
      </c>
      <c r="O47" s="44" t="n">
        <f aca="false">SUMPRODUCT(($B$12:$M$12="INTERNE")*$B47:$M47)</f>
        <v>0</v>
      </c>
      <c r="P47" s="44" t="n">
        <f aca="false">SUMPRODUCT(($B$12:$M$12="EXTERNE")*$B47:$M47)</f>
        <v>0</v>
      </c>
      <c r="Q47" s="44" t="n">
        <f aca="false">IF($A47="",0,SUMIFS(ST_ENCOURS,ST_LOT,$A47))</f>
        <v>0</v>
      </c>
      <c r="R47" s="45" t="str">
        <f aca="false">IF($A47="","",IF($N47&lt;-0.001,"STOCK NEGATIF - ANOMALIE",""))</f>
        <v/>
      </c>
    </row>
    <row r="48" customFormat="false" ht="15" hidden="false" customHeight="false" outlineLevel="0" collapsed="false">
      <c r="A48" s="41" t="str">
        <f aca="false">IF(LOTS!$A39="","",LOTS!$A39)</f>
        <v/>
      </c>
      <c r="B48" s="42" t="n">
        <f aca="false">IF(OR($A48="",B$13=""),0,SUMIFS(MVT_NET,MVT_LOT,$A48,MVT_EMPL,B$13))</f>
        <v>0</v>
      </c>
      <c r="C48" s="42" t="n">
        <f aca="false">IF(OR($A48="",C$13=""),0,SUMIFS(MVT_NET,MVT_LOT,$A48,MVT_EMPL,C$13))</f>
        <v>0</v>
      </c>
      <c r="D48" s="42" t="n">
        <f aca="false">IF(OR($A48="",D$13=""),0,SUMIFS(MVT_NET,MVT_LOT,$A48,MVT_EMPL,D$13))</f>
        <v>0</v>
      </c>
      <c r="E48" s="42" t="n">
        <f aca="false">IF(OR($A48="",E$13=""),0,SUMIFS(MVT_NET,MVT_LOT,$A48,MVT_EMPL,E$13))</f>
        <v>0</v>
      </c>
      <c r="F48" s="42" t="n">
        <f aca="false">IF(OR($A48="",F$13=""),0,SUMIFS(MVT_NET,MVT_LOT,$A48,MVT_EMPL,F$13))</f>
        <v>0</v>
      </c>
      <c r="G48" s="42" t="n">
        <f aca="false">IF(OR($A48="",G$13=""),0,SUMIFS(MVT_NET,MVT_LOT,$A48,MVT_EMPL,G$13))</f>
        <v>0</v>
      </c>
      <c r="H48" s="42" t="n">
        <f aca="false">IF(OR($A48="",H$13=""),0,SUMIFS(MVT_NET,MVT_LOT,$A48,MVT_EMPL,H$13))</f>
        <v>0</v>
      </c>
      <c r="I48" s="42" t="n">
        <f aca="false">IF(OR($A48="",I$13=""),0,SUMIFS(MVT_NET,MVT_LOT,$A48,MVT_EMPL,I$13))</f>
        <v>0</v>
      </c>
      <c r="J48" s="42" t="n">
        <f aca="false">IF(OR($A48="",J$13=""),0,SUMIFS(MVT_NET,MVT_LOT,$A48,MVT_EMPL,J$13))</f>
        <v>0</v>
      </c>
      <c r="K48" s="42" t="n">
        <f aca="false">IF(OR($A48="",K$13=""),0,SUMIFS(MVT_NET,MVT_LOT,$A48,MVT_EMPL,K$13))</f>
        <v>0</v>
      </c>
      <c r="L48" s="42" t="n">
        <f aca="false">IF(OR($A48="",L$13=""),0,SUMIFS(MVT_NET,MVT_LOT,$A48,MVT_EMPL,L$13))</f>
        <v>0</v>
      </c>
      <c r="M48" s="42" t="n">
        <f aca="false">IF(OR($A48="",M$13=""),0,SUMIFS(MVT_NET,MVT_LOT,$A48,MVT_EMPL,M$13))</f>
        <v>0</v>
      </c>
      <c r="N48" s="43" t="n">
        <f aca="false">SUM($B48:$M48)</f>
        <v>0</v>
      </c>
      <c r="O48" s="44" t="n">
        <f aca="false">SUMPRODUCT(($B$12:$M$12="INTERNE")*$B48:$M48)</f>
        <v>0</v>
      </c>
      <c r="P48" s="44" t="n">
        <f aca="false">SUMPRODUCT(($B$12:$M$12="EXTERNE")*$B48:$M48)</f>
        <v>0</v>
      </c>
      <c r="Q48" s="44" t="n">
        <f aca="false">IF($A48="",0,SUMIFS(ST_ENCOURS,ST_LOT,$A48))</f>
        <v>0</v>
      </c>
      <c r="R48" s="45" t="str">
        <f aca="false">IF($A48="","",IF($N48&lt;-0.001,"STOCK NEGATIF - ANOMALIE",""))</f>
        <v/>
      </c>
    </row>
    <row r="49" customFormat="false" ht="15" hidden="false" customHeight="false" outlineLevel="0" collapsed="false">
      <c r="A49" s="41" t="str">
        <f aca="false">IF(LOTS!$A40="","",LOTS!$A40)</f>
        <v/>
      </c>
      <c r="B49" s="42" t="n">
        <f aca="false">IF(OR($A49="",B$13=""),0,SUMIFS(MVT_NET,MVT_LOT,$A49,MVT_EMPL,B$13))</f>
        <v>0</v>
      </c>
      <c r="C49" s="42" t="n">
        <f aca="false">IF(OR($A49="",C$13=""),0,SUMIFS(MVT_NET,MVT_LOT,$A49,MVT_EMPL,C$13))</f>
        <v>0</v>
      </c>
      <c r="D49" s="42" t="n">
        <f aca="false">IF(OR($A49="",D$13=""),0,SUMIFS(MVT_NET,MVT_LOT,$A49,MVT_EMPL,D$13))</f>
        <v>0</v>
      </c>
      <c r="E49" s="42" t="n">
        <f aca="false">IF(OR($A49="",E$13=""),0,SUMIFS(MVT_NET,MVT_LOT,$A49,MVT_EMPL,E$13))</f>
        <v>0</v>
      </c>
      <c r="F49" s="42" t="n">
        <f aca="false">IF(OR($A49="",F$13=""),0,SUMIFS(MVT_NET,MVT_LOT,$A49,MVT_EMPL,F$13))</f>
        <v>0</v>
      </c>
      <c r="G49" s="42" t="n">
        <f aca="false">IF(OR($A49="",G$13=""),0,SUMIFS(MVT_NET,MVT_LOT,$A49,MVT_EMPL,G$13))</f>
        <v>0</v>
      </c>
      <c r="H49" s="42" t="n">
        <f aca="false">IF(OR($A49="",H$13=""),0,SUMIFS(MVT_NET,MVT_LOT,$A49,MVT_EMPL,H$13))</f>
        <v>0</v>
      </c>
      <c r="I49" s="42" t="n">
        <f aca="false">IF(OR($A49="",I$13=""),0,SUMIFS(MVT_NET,MVT_LOT,$A49,MVT_EMPL,I$13))</f>
        <v>0</v>
      </c>
      <c r="J49" s="42" t="n">
        <f aca="false">IF(OR($A49="",J$13=""),0,SUMIFS(MVT_NET,MVT_LOT,$A49,MVT_EMPL,J$13))</f>
        <v>0</v>
      </c>
      <c r="K49" s="42" t="n">
        <f aca="false">IF(OR($A49="",K$13=""),0,SUMIFS(MVT_NET,MVT_LOT,$A49,MVT_EMPL,K$13))</f>
        <v>0</v>
      </c>
      <c r="L49" s="42" t="n">
        <f aca="false">IF(OR($A49="",L$13=""),0,SUMIFS(MVT_NET,MVT_LOT,$A49,MVT_EMPL,L$13))</f>
        <v>0</v>
      </c>
      <c r="M49" s="42" t="n">
        <f aca="false">IF(OR($A49="",M$13=""),0,SUMIFS(MVT_NET,MVT_LOT,$A49,MVT_EMPL,M$13))</f>
        <v>0</v>
      </c>
      <c r="N49" s="43" t="n">
        <f aca="false">SUM($B49:$M49)</f>
        <v>0</v>
      </c>
      <c r="O49" s="44" t="n">
        <f aca="false">SUMPRODUCT(($B$12:$M$12="INTERNE")*$B49:$M49)</f>
        <v>0</v>
      </c>
      <c r="P49" s="44" t="n">
        <f aca="false">SUMPRODUCT(($B$12:$M$12="EXTERNE")*$B49:$M49)</f>
        <v>0</v>
      </c>
      <c r="Q49" s="44" t="n">
        <f aca="false">IF($A49="",0,SUMIFS(ST_ENCOURS,ST_LOT,$A49))</f>
        <v>0</v>
      </c>
      <c r="R49" s="45" t="str">
        <f aca="false">IF($A49="","",IF($N49&lt;-0.001,"STOCK NEGATIF - ANOMALIE",""))</f>
        <v/>
      </c>
    </row>
    <row r="50" customFormat="false" ht="15" hidden="false" customHeight="false" outlineLevel="0" collapsed="false">
      <c r="A50" s="41" t="str">
        <f aca="false">IF(LOTS!$A41="","",LOTS!$A41)</f>
        <v/>
      </c>
      <c r="B50" s="42" t="n">
        <f aca="false">IF(OR($A50="",B$13=""),0,SUMIFS(MVT_NET,MVT_LOT,$A50,MVT_EMPL,B$13))</f>
        <v>0</v>
      </c>
      <c r="C50" s="42" t="n">
        <f aca="false">IF(OR($A50="",C$13=""),0,SUMIFS(MVT_NET,MVT_LOT,$A50,MVT_EMPL,C$13))</f>
        <v>0</v>
      </c>
      <c r="D50" s="42" t="n">
        <f aca="false">IF(OR($A50="",D$13=""),0,SUMIFS(MVT_NET,MVT_LOT,$A50,MVT_EMPL,D$13))</f>
        <v>0</v>
      </c>
      <c r="E50" s="42" t="n">
        <f aca="false">IF(OR($A50="",E$13=""),0,SUMIFS(MVT_NET,MVT_LOT,$A50,MVT_EMPL,E$13))</f>
        <v>0</v>
      </c>
      <c r="F50" s="42" t="n">
        <f aca="false">IF(OR($A50="",F$13=""),0,SUMIFS(MVT_NET,MVT_LOT,$A50,MVT_EMPL,F$13))</f>
        <v>0</v>
      </c>
      <c r="G50" s="42" t="n">
        <f aca="false">IF(OR($A50="",G$13=""),0,SUMIFS(MVT_NET,MVT_LOT,$A50,MVT_EMPL,G$13))</f>
        <v>0</v>
      </c>
      <c r="H50" s="42" t="n">
        <f aca="false">IF(OR($A50="",H$13=""),0,SUMIFS(MVT_NET,MVT_LOT,$A50,MVT_EMPL,H$13))</f>
        <v>0</v>
      </c>
      <c r="I50" s="42" t="n">
        <f aca="false">IF(OR($A50="",I$13=""),0,SUMIFS(MVT_NET,MVT_LOT,$A50,MVT_EMPL,I$13))</f>
        <v>0</v>
      </c>
      <c r="J50" s="42" t="n">
        <f aca="false">IF(OR($A50="",J$13=""),0,SUMIFS(MVT_NET,MVT_LOT,$A50,MVT_EMPL,J$13))</f>
        <v>0</v>
      </c>
      <c r="K50" s="42" t="n">
        <f aca="false">IF(OR($A50="",K$13=""),0,SUMIFS(MVT_NET,MVT_LOT,$A50,MVT_EMPL,K$13))</f>
        <v>0</v>
      </c>
      <c r="L50" s="42" t="n">
        <f aca="false">IF(OR($A50="",L$13=""),0,SUMIFS(MVT_NET,MVT_LOT,$A50,MVT_EMPL,L$13))</f>
        <v>0</v>
      </c>
      <c r="M50" s="42" t="n">
        <f aca="false">IF(OR($A50="",M$13=""),0,SUMIFS(MVT_NET,MVT_LOT,$A50,MVT_EMPL,M$13))</f>
        <v>0</v>
      </c>
      <c r="N50" s="43" t="n">
        <f aca="false">SUM($B50:$M50)</f>
        <v>0</v>
      </c>
      <c r="O50" s="44" t="n">
        <f aca="false">SUMPRODUCT(($B$12:$M$12="INTERNE")*$B50:$M50)</f>
        <v>0</v>
      </c>
      <c r="P50" s="44" t="n">
        <f aca="false">SUMPRODUCT(($B$12:$M$12="EXTERNE")*$B50:$M50)</f>
        <v>0</v>
      </c>
      <c r="Q50" s="44" t="n">
        <f aca="false">IF($A50="",0,SUMIFS(ST_ENCOURS,ST_LOT,$A50))</f>
        <v>0</v>
      </c>
      <c r="R50" s="45" t="str">
        <f aca="false">IF($A50="","",IF($N50&lt;-0.001,"STOCK NEGATIF - ANOMALIE",""))</f>
        <v/>
      </c>
    </row>
    <row r="51" customFormat="false" ht="15" hidden="false" customHeight="false" outlineLevel="0" collapsed="false">
      <c r="A51" s="41" t="str">
        <f aca="false">IF(LOTS!$A42="","",LOTS!$A42)</f>
        <v/>
      </c>
      <c r="B51" s="42" t="n">
        <f aca="false">IF(OR($A51="",B$13=""),0,SUMIFS(MVT_NET,MVT_LOT,$A51,MVT_EMPL,B$13))</f>
        <v>0</v>
      </c>
      <c r="C51" s="42" t="n">
        <f aca="false">IF(OR($A51="",C$13=""),0,SUMIFS(MVT_NET,MVT_LOT,$A51,MVT_EMPL,C$13))</f>
        <v>0</v>
      </c>
      <c r="D51" s="42" t="n">
        <f aca="false">IF(OR($A51="",D$13=""),0,SUMIFS(MVT_NET,MVT_LOT,$A51,MVT_EMPL,D$13))</f>
        <v>0</v>
      </c>
      <c r="E51" s="42" t="n">
        <f aca="false">IF(OR($A51="",E$13=""),0,SUMIFS(MVT_NET,MVT_LOT,$A51,MVT_EMPL,E$13))</f>
        <v>0</v>
      </c>
      <c r="F51" s="42" t="n">
        <f aca="false">IF(OR($A51="",F$13=""),0,SUMIFS(MVT_NET,MVT_LOT,$A51,MVT_EMPL,F$13))</f>
        <v>0</v>
      </c>
      <c r="G51" s="42" t="n">
        <f aca="false">IF(OR($A51="",G$13=""),0,SUMIFS(MVT_NET,MVT_LOT,$A51,MVT_EMPL,G$13))</f>
        <v>0</v>
      </c>
      <c r="H51" s="42" t="n">
        <f aca="false">IF(OR($A51="",H$13=""),0,SUMIFS(MVT_NET,MVT_LOT,$A51,MVT_EMPL,H$13))</f>
        <v>0</v>
      </c>
      <c r="I51" s="42" t="n">
        <f aca="false">IF(OR($A51="",I$13=""),0,SUMIFS(MVT_NET,MVT_LOT,$A51,MVT_EMPL,I$13))</f>
        <v>0</v>
      </c>
      <c r="J51" s="42" t="n">
        <f aca="false">IF(OR($A51="",J$13=""),0,SUMIFS(MVT_NET,MVT_LOT,$A51,MVT_EMPL,J$13))</f>
        <v>0</v>
      </c>
      <c r="K51" s="42" t="n">
        <f aca="false">IF(OR($A51="",K$13=""),0,SUMIFS(MVT_NET,MVT_LOT,$A51,MVT_EMPL,K$13))</f>
        <v>0</v>
      </c>
      <c r="L51" s="42" t="n">
        <f aca="false">IF(OR($A51="",L$13=""),0,SUMIFS(MVT_NET,MVT_LOT,$A51,MVT_EMPL,L$13))</f>
        <v>0</v>
      </c>
      <c r="M51" s="42" t="n">
        <f aca="false">IF(OR($A51="",M$13=""),0,SUMIFS(MVT_NET,MVT_LOT,$A51,MVT_EMPL,M$13))</f>
        <v>0</v>
      </c>
      <c r="N51" s="43" t="n">
        <f aca="false">SUM($B51:$M51)</f>
        <v>0</v>
      </c>
      <c r="O51" s="44" t="n">
        <f aca="false">SUMPRODUCT(($B$12:$M$12="INTERNE")*$B51:$M51)</f>
        <v>0</v>
      </c>
      <c r="P51" s="44" t="n">
        <f aca="false">SUMPRODUCT(($B$12:$M$12="EXTERNE")*$B51:$M51)</f>
        <v>0</v>
      </c>
      <c r="Q51" s="44" t="n">
        <f aca="false">IF($A51="",0,SUMIFS(ST_ENCOURS,ST_LOT,$A51))</f>
        <v>0</v>
      </c>
      <c r="R51" s="45" t="str">
        <f aca="false">IF($A51="","",IF($N51&lt;-0.001,"STOCK NEGATIF - ANOMALIE",""))</f>
        <v/>
      </c>
    </row>
    <row r="52" customFormat="false" ht="15" hidden="false" customHeight="false" outlineLevel="0" collapsed="false">
      <c r="A52" s="41" t="str">
        <f aca="false">IF(LOTS!$A43="","",LOTS!$A43)</f>
        <v/>
      </c>
      <c r="B52" s="42" t="n">
        <f aca="false">IF(OR($A52="",B$13=""),0,SUMIFS(MVT_NET,MVT_LOT,$A52,MVT_EMPL,B$13))</f>
        <v>0</v>
      </c>
      <c r="C52" s="42" t="n">
        <f aca="false">IF(OR($A52="",C$13=""),0,SUMIFS(MVT_NET,MVT_LOT,$A52,MVT_EMPL,C$13))</f>
        <v>0</v>
      </c>
      <c r="D52" s="42" t="n">
        <f aca="false">IF(OR($A52="",D$13=""),0,SUMIFS(MVT_NET,MVT_LOT,$A52,MVT_EMPL,D$13))</f>
        <v>0</v>
      </c>
      <c r="E52" s="42" t="n">
        <f aca="false">IF(OR($A52="",E$13=""),0,SUMIFS(MVT_NET,MVT_LOT,$A52,MVT_EMPL,E$13))</f>
        <v>0</v>
      </c>
      <c r="F52" s="42" t="n">
        <f aca="false">IF(OR($A52="",F$13=""),0,SUMIFS(MVT_NET,MVT_LOT,$A52,MVT_EMPL,F$13))</f>
        <v>0</v>
      </c>
      <c r="G52" s="42" t="n">
        <f aca="false">IF(OR($A52="",G$13=""),0,SUMIFS(MVT_NET,MVT_LOT,$A52,MVT_EMPL,G$13))</f>
        <v>0</v>
      </c>
      <c r="H52" s="42" t="n">
        <f aca="false">IF(OR($A52="",H$13=""),0,SUMIFS(MVT_NET,MVT_LOT,$A52,MVT_EMPL,H$13))</f>
        <v>0</v>
      </c>
      <c r="I52" s="42" t="n">
        <f aca="false">IF(OR($A52="",I$13=""),0,SUMIFS(MVT_NET,MVT_LOT,$A52,MVT_EMPL,I$13))</f>
        <v>0</v>
      </c>
      <c r="J52" s="42" t="n">
        <f aca="false">IF(OR($A52="",J$13=""),0,SUMIFS(MVT_NET,MVT_LOT,$A52,MVT_EMPL,J$13))</f>
        <v>0</v>
      </c>
      <c r="K52" s="42" t="n">
        <f aca="false">IF(OR($A52="",K$13=""),0,SUMIFS(MVT_NET,MVT_LOT,$A52,MVT_EMPL,K$13))</f>
        <v>0</v>
      </c>
      <c r="L52" s="42" t="n">
        <f aca="false">IF(OR($A52="",L$13=""),0,SUMIFS(MVT_NET,MVT_LOT,$A52,MVT_EMPL,L$13))</f>
        <v>0</v>
      </c>
      <c r="M52" s="42" t="n">
        <f aca="false">IF(OR($A52="",M$13=""),0,SUMIFS(MVT_NET,MVT_LOT,$A52,MVT_EMPL,M$13))</f>
        <v>0</v>
      </c>
      <c r="N52" s="43" t="n">
        <f aca="false">SUM($B52:$M52)</f>
        <v>0</v>
      </c>
      <c r="O52" s="44" t="n">
        <f aca="false">SUMPRODUCT(($B$12:$M$12="INTERNE")*$B52:$M52)</f>
        <v>0</v>
      </c>
      <c r="P52" s="44" t="n">
        <f aca="false">SUMPRODUCT(($B$12:$M$12="EXTERNE")*$B52:$M52)</f>
        <v>0</v>
      </c>
      <c r="Q52" s="44" t="n">
        <f aca="false">IF($A52="",0,SUMIFS(ST_ENCOURS,ST_LOT,$A52))</f>
        <v>0</v>
      </c>
      <c r="R52" s="45" t="str">
        <f aca="false">IF($A52="","",IF($N52&lt;-0.001,"STOCK NEGATIF - ANOMALIE",""))</f>
        <v/>
      </c>
    </row>
    <row r="53" customFormat="false" ht="15" hidden="false" customHeight="false" outlineLevel="0" collapsed="false">
      <c r="A53" s="41" t="str">
        <f aca="false">IF(LOTS!$A44="","",LOTS!$A44)</f>
        <v/>
      </c>
      <c r="B53" s="42" t="n">
        <f aca="false">IF(OR($A53="",B$13=""),0,SUMIFS(MVT_NET,MVT_LOT,$A53,MVT_EMPL,B$13))</f>
        <v>0</v>
      </c>
      <c r="C53" s="42" t="n">
        <f aca="false">IF(OR($A53="",C$13=""),0,SUMIFS(MVT_NET,MVT_LOT,$A53,MVT_EMPL,C$13))</f>
        <v>0</v>
      </c>
      <c r="D53" s="42" t="n">
        <f aca="false">IF(OR($A53="",D$13=""),0,SUMIFS(MVT_NET,MVT_LOT,$A53,MVT_EMPL,D$13))</f>
        <v>0</v>
      </c>
      <c r="E53" s="42" t="n">
        <f aca="false">IF(OR($A53="",E$13=""),0,SUMIFS(MVT_NET,MVT_LOT,$A53,MVT_EMPL,E$13))</f>
        <v>0</v>
      </c>
      <c r="F53" s="42" t="n">
        <f aca="false">IF(OR($A53="",F$13=""),0,SUMIFS(MVT_NET,MVT_LOT,$A53,MVT_EMPL,F$13))</f>
        <v>0</v>
      </c>
      <c r="G53" s="42" t="n">
        <f aca="false">IF(OR($A53="",G$13=""),0,SUMIFS(MVT_NET,MVT_LOT,$A53,MVT_EMPL,G$13))</f>
        <v>0</v>
      </c>
      <c r="H53" s="42" t="n">
        <f aca="false">IF(OR($A53="",H$13=""),0,SUMIFS(MVT_NET,MVT_LOT,$A53,MVT_EMPL,H$13))</f>
        <v>0</v>
      </c>
      <c r="I53" s="42" t="n">
        <f aca="false">IF(OR($A53="",I$13=""),0,SUMIFS(MVT_NET,MVT_LOT,$A53,MVT_EMPL,I$13))</f>
        <v>0</v>
      </c>
      <c r="J53" s="42" t="n">
        <f aca="false">IF(OR($A53="",J$13=""),0,SUMIFS(MVT_NET,MVT_LOT,$A53,MVT_EMPL,J$13))</f>
        <v>0</v>
      </c>
      <c r="K53" s="42" t="n">
        <f aca="false">IF(OR($A53="",K$13=""),0,SUMIFS(MVT_NET,MVT_LOT,$A53,MVT_EMPL,K$13))</f>
        <v>0</v>
      </c>
      <c r="L53" s="42" t="n">
        <f aca="false">IF(OR($A53="",L$13=""),0,SUMIFS(MVT_NET,MVT_LOT,$A53,MVT_EMPL,L$13))</f>
        <v>0</v>
      </c>
      <c r="M53" s="42" t="n">
        <f aca="false">IF(OR($A53="",M$13=""),0,SUMIFS(MVT_NET,MVT_LOT,$A53,MVT_EMPL,M$13))</f>
        <v>0</v>
      </c>
      <c r="N53" s="43" t="n">
        <f aca="false">SUM($B53:$M53)</f>
        <v>0</v>
      </c>
      <c r="O53" s="44" t="n">
        <f aca="false">SUMPRODUCT(($B$12:$M$12="INTERNE")*$B53:$M53)</f>
        <v>0</v>
      </c>
      <c r="P53" s="44" t="n">
        <f aca="false">SUMPRODUCT(($B$12:$M$12="EXTERNE")*$B53:$M53)</f>
        <v>0</v>
      </c>
      <c r="Q53" s="44" t="n">
        <f aca="false">IF($A53="",0,SUMIFS(ST_ENCOURS,ST_LOT,$A53))</f>
        <v>0</v>
      </c>
      <c r="R53" s="45" t="str">
        <f aca="false">IF($A53="","",IF($N53&lt;-0.001,"STOCK NEGATIF - ANOMALIE",""))</f>
        <v/>
      </c>
    </row>
    <row r="54" customFormat="false" ht="15" hidden="false" customHeight="false" outlineLevel="0" collapsed="false">
      <c r="A54" s="41" t="str">
        <f aca="false">IF(LOTS!$A45="","",LOTS!$A45)</f>
        <v/>
      </c>
      <c r="B54" s="42" t="n">
        <f aca="false">IF(OR($A54="",B$13=""),0,SUMIFS(MVT_NET,MVT_LOT,$A54,MVT_EMPL,B$13))</f>
        <v>0</v>
      </c>
      <c r="C54" s="42" t="n">
        <f aca="false">IF(OR($A54="",C$13=""),0,SUMIFS(MVT_NET,MVT_LOT,$A54,MVT_EMPL,C$13))</f>
        <v>0</v>
      </c>
      <c r="D54" s="42" t="n">
        <f aca="false">IF(OR($A54="",D$13=""),0,SUMIFS(MVT_NET,MVT_LOT,$A54,MVT_EMPL,D$13))</f>
        <v>0</v>
      </c>
      <c r="E54" s="42" t="n">
        <f aca="false">IF(OR($A54="",E$13=""),0,SUMIFS(MVT_NET,MVT_LOT,$A54,MVT_EMPL,E$13))</f>
        <v>0</v>
      </c>
      <c r="F54" s="42" t="n">
        <f aca="false">IF(OR($A54="",F$13=""),0,SUMIFS(MVT_NET,MVT_LOT,$A54,MVT_EMPL,F$13))</f>
        <v>0</v>
      </c>
      <c r="G54" s="42" t="n">
        <f aca="false">IF(OR($A54="",G$13=""),0,SUMIFS(MVT_NET,MVT_LOT,$A54,MVT_EMPL,G$13))</f>
        <v>0</v>
      </c>
      <c r="H54" s="42" t="n">
        <f aca="false">IF(OR($A54="",H$13=""),0,SUMIFS(MVT_NET,MVT_LOT,$A54,MVT_EMPL,H$13))</f>
        <v>0</v>
      </c>
      <c r="I54" s="42" t="n">
        <f aca="false">IF(OR($A54="",I$13=""),0,SUMIFS(MVT_NET,MVT_LOT,$A54,MVT_EMPL,I$13))</f>
        <v>0</v>
      </c>
      <c r="J54" s="42" t="n">
        <f aca="false">IF(OR($A54="",J$13=""),0,SUMIFS(MVT_NET,MVT_LOT,$A54,MVT_EMPL,J$13))</f>
        <v>0</v>
      </c>
      <c r="K54" s="42" t="n">
        <f aca="false">IF(OR($A54="",K$13=""),0,SUMIFS(MVT_NET,MVT_LOT,$A54,MVT_EMPL,K$13))</f>
        <v>0</v>
      </c>
      <c r="L54" s="42" t="n">
        <f aca="false">IF(OR($A54="",L$13=""),0,SUMIFS(MVT_NET,MVT_LOT,$A54,MVT_EMPL,L$13))</f>
        <v>0</v>
      </c>
      <c r="M54" s="42" t="n">
        <f aca="false">IF(OR($A54="",M$13=""),0,SUMIFS(MVT_NET,MVT_LOT,$A54,MVT_EMPL,M$13))</f>
        <v>0</v>
      </c>
      <c r="N54" s="43" t="n">
        <f aca="false">SUM($B54:$M54)</f>
        <v>0</v>
      </c>
      <c r="O54" s="44" t="n">
        <f aca="false">SUMPRODUCT(($B$12:$M$12="INTERNE")*$B54:$M54)</f>
        <v>0</v>
      </c>
      <c r="P54" s="44" t="n">
        <f aca="false">SUMPRODUCT(($B$12:$M$12="EXTERNE")*$B54:$M54)</f>
        <v>0</v>
      </c>
      <c r="Q54" s="44" t="n">
        <f aca="false">IF($A54="",0,SUMIFS(ST_ENCOURS,ST_LOT,$A54))</f>
        <v>0</v>
      </c>
      <c r="R54" s="45" t="str">
        <f aca="false">IF($A54="","",IF($N54&lt;-0.001,"STOCK NEGATIF - ANOMALIE",""))</f>
        <v/>
      </c>
    </row>
    <row r="55" customFormat="false" ht="15" hidden="false" customHeight="false" outlineLevel="0" collapsed="false">
      <c r="A55" s="41" t="str">
        <f aca="false">IF(LOTS!$A46="","",LOTS!$A46)</f>
        <v/>
      </c>
      <c r="B55" s="42" t="n">
        <f aca="false">IF(OR($A55="",B$13=""),0,SUMIFS(MVT_NET,MVT_LOT,$A55,MVT_EMPL,B$13))</f>
        <v>0</v>
      </c>
      <c r="C55" s="42" t="n">
        <f aca="false">IF(OR($A55="",C$13=""),0,SUMIFS(MVT_NET,MVT_LOT,$A55,MVT_EMPL,C$13))</f>
        <v>0</v>
      </c>
      <c r="D55" s="42" t="n">
        <f aca="false">IF(OR($A55="",D$13=""),0,SUMIFS(MVT_NET,MVT_LOT,$A55,MVT_EMPL,D$13))</f>
        <v>0</v>
      </c>
      <c r="E55" s="42" t="n">
        <f aca="false">IF(OR($A55="",E$13=""),0,SUMIFS(MVT_NET,MVT_LOT,$A55,MVT_EMPL,E$13))</f>
        <v>0</v>
      </c>
      <c r="F55" s="42" t="n">
        <f aca="false">IF(OR($A55="",F$13=""),0,SUMIFS(MVT_NET,MVT_LOT,$A55,MVT_EMPL,F$13))</f>
        <v>0</v>
      </c>
      <c r="G55" s="42" t="n">
        <f aca="false">IF(OR($A55="",G$13=""),0,SUMIFS(MVT_NET,MVT_LOT,$A55,MVT_EMPL,G$13))</f>
        <v>0</v>
      </c>
      <c r="H55" s="42" t="n">
        <f aca="false">IF(OR($A55="",H$13=""),0,SUMIFS(MVT_NET,MVT_LOT,$A55,MVT_EMPL,H$13))</f>
        <v>0</v>
      </c>
      <c r="I55" s="42" t="n">
        <f aca="false">IF(OR($A55="",I$13=""),0,SUMIFS(MVT_NET,MVT_LOT,$A55,MVT_EMPL,I$13))</f>
        <v>0</v>
      </c>
      <c r="J55" s="42" t="n">
        <f aca="false">IF(OR($A55="",J$13=""),0,SUMIFS(MVT_NET,MVT_LOT,$A55,MVT_EMPL,J$13))</f>
        <v>0</v>
      </c>
      <c r="K55" s="42" t="n">
        <f aca="false">IF(OR($A55="",K$13=""),0,SUMIFS(MVT_NET,MVT_LOT,$A55,MVT_EMPL,K$13))</f>
        <v>0</v>
      </c>
      <c r="L55" s="42" t="n">
        <f aca="false">IF(OR($A55="",L$13=""),0,SUMIFS(MVT_NET,MVT_LOT,$A55,MVT_EMPL,L$13))</f>
        <v>0</v>
      </c>
      <c r="M55" s="42" t="n">
        <f aca="false">IF(OR($A55="",M$13=""),0,SUMIFS(MVT_NET,MVT_LOT,$A55,MVT_EMPL,M$13))</f>
        <v>0</v>
      </c>
      <c r="N55" s="43" t="n">
        <f aca="false">SUM($B55:$M55)</f>
        <v>0</v>
      </c>
      <c r="O55" s="44" t="n">
        <f aca="false">SUMPRODUCT(($B$12:$M$12="INTERNE")*$B55:$M55)</f>
        <v>0</v>
      </c>
      <c r="P55" s="44" t="n">
        <f aca="false">SUMPRODUCT(($B$12:$M$12="EXTERNE")*$B55:$M55)</f>
        <v>0</v>
      </c>
      <c r="Q55" s="44" t="n">
        <f aca="false">IF($A55="",0,SUMIFS(ST_ENCOURS,ST_LOT,$A55))</f>
        <v>0</v>
      </c>
      <c r="R55" s="45" t="str">
        <f aca="false">IF($A55="","",IF($N55&lt;-0.001,"STOCK NEGATIF - ANOMALIE",""))</f>
        <v/>
      </c>
    </row>
    <row r="56" customFormat="false" ht="15" hidden="false" customHeight="false" outlineLevel="0" collapsed="false">
      <c r="A56" s="41" t="str">
        <f aca="false">IF(LOTS!$A47="","",LOTS!$A47)</f>
        <v/>
      </c>
      <c r="B56" s="42" t="n">
        <f aca="false">IF(OR($A56="",B$13=""),0,SUMIFS(MVT_NET,MVT_LOT,$A56,MVT_EMPL,B$13))</f>
        <v>0</v>
      </c>
      <c r="C56" s="42" t="n">
        <f aca="false">IF(OR($A56="",C$13=""),0,SUMIFS(MVT_NET,MVT_LOT,$A56,MVT_EMPL,C$13))</f>
        <v>0</v>
      </c>
      <c r="D56" s="42" t="n">
        <f aca="false">IF(OR($A56="",D$13=""),0,SUMIFS(MVT_NET,MVT_LOT,$A56,MVT_EMPL,D$13))</f>
        <v>0</v>
      </c>
      <c r="E56" s="42" t="n">
        <f aca="false">IF(OR($A56="",E$13=""),0,SUMIFS(MVT_NET,MVT_LOT,$A56,MVT_EMPL,E$13))</f>
        <v>0</v>
      </c>
      <c r="F56" s="42" t="n">
        <f aca="false">IF(OR($A56="",F$13=""),0,SUMIFS(MVT_NET,MVT_LOT,$A56,MVT_EMPL,F$13))</f>
        <v>0</v>
      </c>
      <c r="G56" s="42" t="n">
        <f aca="false">IF(OR($A56="",G$13=""),0,SUMIFS(MVT_NET,MVT_LOT,$A56,MVT_EMPL,G$13))</f>
        <v>0</v>
      </c>
      <c r="H56" s="42" t="n">
        <f aca="false">IF(OR($A56="",H$13=""),0,SUMIFS(MVT_NET,MVT_LOT,$A56,MVT_EMPL,H$13))</f>
        <v>0</v>
      </c>
      <c r="I56" s="42" t="n">
        <f aca="false">IF(OR($A56="",I$13=""),0,SUMIFS(MVT_NET,MVT_LOT,$A56,MVT_EMPL,I$13))</f>
        <v>0</v>
      </c>
      <c r="J56" s="42" t="n">
        <f aca="false">IF(OR($A56="",J$13=""),0,SUMIFS(MVT_NET,MVT_LOT,$A56,MVT_EMPL,J$13))</f>
        <v>0</v>
      </c>
      <c r="K56" s="42" t="n">
        <f aca="false">IF(OR($A56="",K$13=""),0,SUMIFS(MVT_NET,MVT_LOT,$A56,MVT_EMPL,K$13))</f>
        <v>0</v>
      </c>
      <c r="L56" s="42" t="n">
        <f aca="false">IF(OR($A56="",L$13=""),0,SUMIFS(MVT_NET,MVT_LOT,$A56,MVT_EMPL,L$13))</f>
        <v>0</v>
      </c>
      <c r="M56" s="42" t="n">
        <f aca="false">IF(OR($A56="",M$13=""),0,SUMIFS(MVT_NET,MVT_LOT,$A56,MVT_EMPL,M$13))</f>
        <v>0</v>
      </c>
      <c r="N56" s="43" t="n">
        <f aca="false">SUM($B56:$M56)</f>
        <v>0</v>
      </c>
      <c r="O56" s="44" t="n">
        <f aca="false">SUMPRODUCT(($B$12:$M$12="INTERNE")*$B56:$M56)</f>
        <v>0</v>
      </c>
      <c r="P56" s="44" t="n">
        <f aca="false">SUMPRODUCT(($B$12:$M$12="EXTERNE")*$B56:$M56)</f>
        <v>0</v>
      </c>
      <c r="Q56" s="44" t="n">
        <f aca="false">IF($A56="",0,SUMIFS(ST_ENCOURS,ST_LOT,$A56))</f>
        <v>0</v>
      </c>
      <c r="R56" s="45" t="str">
        <f aca="false">IF($A56="","",IF($N56&lt;-0.001,"STOCK NEGATIF - ANOMALIE",""))</f>
        <v/>
      </c>
    </row>
    <row r="57" customFormat="false" ht="15" hidden="false" customHeight="false" outlineLevel="0" collapsed="false">
      <c r="A57" s="41" t="str">
        <f aca="false">IF(LOTS!$A48="","",LOTS!$A48)</f>
        <v/>
      </c>
      <c r="B57" s="42" t="n">
        <f aca="false">IF(OR($A57="",B$13=""),0,SUMIFS(MVT_NET,MVT_LOT,$A57,MVT_EMPL,B$13))</f>
        <v>0</v>
      </c>
      <c r="C57" s="42" t="n">
        <f aca="false">IF(OR($A57="",C$13=""),0,SUMIFS(MVT_NET,MVT_LOT,$A57,MVT_EMPL,C$13))</f>
        <v>0</v>
      </c>
      <c r="D57" s="42" t="n">
        <f aca="false">IF(OR($A57="",D$13=""),0,SUMIFS(MVT_NET,MVT_LOT,$A57,MVT_EMPL,D$13))</f>
        <v>0</v>
      </c>
      <c r="E57" s="42" t="n">
        <f aca="false">IF(OR($A57="",E$13=""),0,SUMIFS(MVT_NET,MVT_LOT,$A57,MVT_EMPL,E$13))</f>
        <v>0</v>
      </c>
      <c r="F57" s="42" t="n">
        <f aca="false">IF(OR($A57="",F$13=""),0,SUMIFS(MVT_NET,MVT_LOT,$A57,MVT_EMPL,F$13))</f>
        <v>0</v>
      </c>
      <c r="G57" s="42" t="n">
        <f aca="false">IF(OR($A57="",G$13=""),0,SUMIFS(MVT_NET,MVT_LOT,$A57,MVT_EMPL,G$13))</f>
        <v>0</v>
      </c>
      <c r="H57" s="42" t="n">
        <f aca="false">IF(OR($A57="",H$13=""),0,SUMIFS(MVT_NET,MVT_LOT,$A57,MVT_EMPL,H$13))</f>
        <v>0</v>
      </c>
      <c r="I57" s="42" t="n">
        <f aca="false">IF(OR($A57="",I$13=""),0,SUMIFS(MVT_NET,MVT_LOT,$A57,MVT_EMPL,I$13))</f>
        <v>0</v>
      </c>
      <c r="J57" s="42" t="n">
        <f aca="false">IF(OR($A57="",J$13=""),0,SUMIFS(MVT_NET,MVT_LOT,$A57,MVT_EMPL,J$13))</f>
        <v>0</v>
      </c>
      <c r="K57" s="42" t="n">
        <f aca="false">IF(OR($A57="",K$13=""),0,SUMIFS(MVT_NET,MVT_LOT,$A57,MVT_EMPL,K$13))</f>
        <v>0</v>
      </c>
      <c r="L57" s="42" t="n">
        <f aca="false">IF(OR($A57="",L$13=""),0,SUMIFS(MVT_NET,MVT_LOT,$A57,MVT_EMPL,L$13))</f>
        <v>0</v>
      </c>
      <c r="M57" s="42" t="n">
        <f aca="false">IF(OR($A57="",M$13=""),0,SUMIFS(MVT_NET,MVT_LOT,$A57,MVT_EMPL,M$13))</f>
        <v>0</v>
      </c>
      <c r="N57" s="43" t="n">
        <f aca="false">SUM($B57:$M57)</f>
        <v>0</v>
      </c>
      <c r="O57" s="44" t="n">
        <f aca="false">SUMPRODUCT(($B$12:$M$12="INTERNE")*$B57:$M57)</f>
        <v>0</v>
      </c>
      <c r="P57" s="44" t="n">
        <f aca="false">SUMPRODUCT(($B$12:$M$12="EXTERNE")*$B57:$M57)</f>
        <v>0</v>
      </c>
      <c r="Q57" s="44" t="n">
        <f aca="false">IF($A57="",0,SUMIFS(ST_ENCOURS,ST_LOT,$A57))</f>
        <v>0</v>
      </c>
      <c r="R57" s="45" t="str">
        <f aca="false">IF($A57="","",IF($N57&lt;-0.001,"STOCK NEGATIF - ANOMALIE",""))</f>
        <v/>
      </c>
    </row>
    <row r="58" customFormat="false" ht="15" hidden="false" customHeight="false" outlineLevel="0" collapsed="false">
      <c r="A58" s="41" t="str">
        <f aca="false">IF(LOTS!$A49="","",LOTS!$A49)</f>
        <v/>
      </c>
      <c r="B58" s="42" t="n">
        <f aca="false">IF(OR($A58="",B$13=""),0,SUMIFS(MVT_NET,MVT_LOT,$A58,MVT_EMPL,B$13))</f>
        <v>0</v>
      </c>
      <c r="C58" s="42" t="n">
        <f aca="false">IF(OR($A58="",C$13=""),0,SUMIFS(MVT_NET,MVT_LOT,$A58,MVT_EMPL,C$13))</f>
        <v>0</v>
      </c>
      <c r="D58" s="42" t="n">
        <f aca="false">IF(OR($A58="",D$13=""),0,SUMIFS(MVT_NET,MVT_LOT,$A58,MVT_EMPL,D$13))</f>
        <v>0</v>
      </c>
      <c r="E58" s="42" t="n">
        <f aca="false">IF(OR($A58="",E$13=""),0,SUMIFS(MVT_NET,MVT_LOT,$A58,MVT_EMPL,E$13))</f>
        <v>0</v>
      </c>
      <c r="F58" s="42" t="n">
        <f aca="false">IF(OR($A58="",F$13=""),0,SUMIFS(MVT_NET,MVT_LOT,$A58,MVT_EMPL,F$13))</f>
        <v>0</v>
      </c>
      <c r="G58" s="42" t="n">
        <f aca="false">IF(OR($A58="",G$13=""),0,SUMIFS(MVT_NET,MVT_LOT,$A58,MVT_EMPL,G$13))</f>
        <v>0</v>
      </c>
      <c r="H58" s="42" t="n">
        <f aca="false">IF(OR($A58="",H$13=""),0,SUMIFS(MVT_NET,MVT_LOT,$A58,MVT_EMPL,H$13))</f>
        <v>0</v>
      </c>
      <c r="I58" s="42" t="n">
        <f aca="false">IF(OR($A58="",I$13=""),0,SUMIFS(MVT_NET,MVT_LOT,$A58,MVT_EMPL,I$13))</f>
        <v>0</v>
      </c>
      <c r="J58" s="42" t="n">
        <f aca="false">IF(OR($A58="",J$13=""),0,SUMIFS(MVT_NET,MVT_LOT,$A58,MVT_EMPL,J$13))</f>
        <v>0</v>
      </c>
      <c r="K58" s="42" t="n">
        <f aca="false">IF(OR($A58="",K$13=""),0,SUMIFS(MVT_NET,MVT_LOT,$A58,MVT_EMPL,K$13))</f>
        <v>0</v>
      </c>
      <c r="L58" s="42" t="n">
        <f aca="false">IF(OR($A58="",L$13=""),0,SUMIFS(MVT_NET,MVT_LOT,$A58,MVT_EMPL,L$13))</f>
        <v>0</v>
      </c>
      <c r="M58" s="42" t="n">
        <f aca="false">IF(OR($A58="",M$13=""),0,SUMIFS(MVT_NET,MVT_LOT,$A58,MVT_EMPL,M$13))</f>
        <v>0</v>
      </c>
      <c r="N58" s="43" t="n">
        <f aca="false">SUM($B58:$M58)</f>
        <v>0</v>
      </c>
      <c r="O58" s="44" t="n">
        <f aca="false">SUMPRODUCT(($B$12:$M$12="INTERNE")*$B58:$M58)</f>
        <v>0</v>
      </c>
      <c r="P58" s="44" t="n">
        <f aca="false">SUMPRODUCT(($B$12:$M$12="EXTERNE")*$B58:$M58)</f>
        <v>0</v>
      </c>
      <c r="Q58" s="44" t="n">
        <f aca="false">IF($A58="",0,SUMIFS(ST_ENCOURS,ST_LOT,$A58))</f>
        <v>0</v>
      </c>
      <c r="R58" s="45" t="str">
        <f aca="false">IF($A58="","",IF($N58&lt;-0.001,"STOCK NEGATIF - ANOMALIE",""))</f>
        <v/>
      </c>
    </row>
    <row r="59" customFormat="false" ht="15" hidden="false" customHeight="false" outlineLevel="0" collapsed="false">
      <c r="A59" s="41" t="str">
        <f aca="false">IF(LOTS!$A50="","",LOTS!$A50)</f>
        <v/>
      </c>
      <c r="B59" s="42" t="n">
        <f aca="false">IF(OR($A59="",B$13=""),0,SUMIFS(MVT_NET,MVT_LOT,$A59,MVT_EMPL,B$13))</f>
        <v>0</v>
      </c>
      <c r="C59" s="42" t="n">
        <f aca="false">IF(OR($A59="",C$13=""),0,SUMIFS(MVT_NET,MVT_LOT,$A59,MVT_EMPL,C$13))</f>
        <v>0</v>
      </c>
      <c r="D59" s="42" t="n">
        <f aca="false">IF(OR($A59="",D$13=""),0,SUMIFS(MVT_NET,MVT_LOT,$A59,MVT_EMPL,D$13))</f>
        <v>0</v>
      </c>
      <c r="E59" s="42" t="n">
        <f aca="false">IF(OR($A59="",E$13=""),0,SUMIFS(MVT_NET,MVT_LOT,$A59,MVT_EMPL,E$13))</f>
        <v>0</v>
      </c>
      <c r="F59" s="42" t="n">
        <f aca="false">IF(OR($A59="",F$13=""),0,SUMIFS(MVT_NET,MVT_LOT,$A59,MVT_EMPL,F$13))</f>
        <v>0</v>
      </c>
      <c r="G59" s="42" t="n">
        <f aca="false">IF(OR($A59="",G$13=""),0,SUMIFS(MVT_NET,MVT_LOT,$A59,MVT_EMPL,G$13))</f>
        <v>0</v>
      </c>
      <c r="H59" s="42" t="n">
        <f aca="false">IF(OR($A59="",H$13=""),0,SUMIFS(MVT_NET,MVT_LOT,$A59,MVT_EMPL,H$13))</f>
        <v>0</v>
      </c>
      <c r="I59" s="42" t="n">
        <f aca="false">IF(OR($A59="",I$13=""),0,SUMIFS(MVT_NET,MVT_LOT,$A59,MVT_EMPL,I$13))</f>
        <v>0</v>
      </c>
      <c r="J59" s="42" t="n">
        <f aca="false">IF(OR($A59="",J$13=""),0,SUMIFS(MVT_NET,MVT_LOT,$A59,MVT_EMPL,J$13))</f>
        <v>0</v>
      </c>
      <c r="K59" s="42" t="n">
        <f aca="false">IF(OR($A59="",K$13=""),0,SUMIFS(MVT_NET,MVT_LOT,$A59,MVT_EMPL,K$13))</f>
        <v>0</v>
      </c>
      <c r="L59" s="42" t="n">
        <f aca="false">IF(OR($A59="",L$13=""),0,SUMIFS(MVT_NET,MVT_LOT,$A59,MVT_EMPL,L$13))</f>
        <v>0</v>
      </c>
      <c r="M59" s="42" t="n">
        <f aca="false">IF(OR($A59="",M$13=""),0,SUMIFS(MVT_NET,MVT_LOT,$A59,MVT_EMPL,M$13))</f>
        <v>0</v>
      </c>
      <c r="N59" s="43" t="n">
        <f aca="false">SUM($B59:$M59)</f>
        <v>0</v>
      </c>
      <c r="O59" s="44" t="n">
        <f aca="false">SUMPRODUCT(($B$12:$M$12="INTERNE")*$B59:$M59)</f>
        <v>0</v>
      </c>
      <c r="P59" s="44" t="n">
        <f aca="false">SUMPRODUCT(($B$12:$M$12="EXTERNE")*$B59:$M59)</f>
        <v>0</v>
      </c>
      <c r="Q59" s="44" t="n">
        <f aca="false">IF($A59="",0,SUMIFS(ST_ENCOURS,ST_LOT,$A59))</f>
        <v>0</v>
      </c>
      <c r="R59" s="45" t="str">
        <f aca="false">IF($A59="","",IF($N59&lt;-0.001,"STOCK NEGATIF - ANOMALIE",""))</f>
        <v/>
      </c>
    </row>
    <row r="60" customFormat="false" ht="15" hidden="false" customHeight="false" outlineLevel="0" collapsed="false">
      <c r="A60" s="41" t="str">
        <f aca="false">IF(LOTS!$A51="","",LOTS!$A51)</f>
        <v/>
      </c>
      <c r="B60" s="42" t="n">
        <f aca="false">IF(OR($A60="",B$13=""),0,SUMIFS(MVT_NET,MVT_LOT,$A60,MVT_EMPL,B$13))</f>
        <v>0</v>
      </c>
      <c r="C60" s="42" t="n">
        <f aca="false">IF(OR($A60="",C$13=""),0,SUMIFS(MVT_NET,MVT_LOT,$A60,MVT_EMPL,C$13))</f>
        <v>0</v>
      </c>
      <c r="D60" s="42" t="n">
        <f aca="false">IF(OR($A60="",D$13=""),0,SUMIFS(MVT_NET,MVT_LOT,$A60,MVT_EMPL,D$13))</f>
        <v>0</v>
      </c>
      <c r="E60" s="42" t="n">
        <f aca="false">IF(OR($A60="",E$13=""),0,SUMIFS(MVT_NET,MVT_LOT,$A60,MVT_EMPL,E$13))</f>
        <v>0</v>
      </c>
      <c r="F60" s="42" t="n">
        <f aca="false">IF(OR($A60="",F$13=""),0,SUMIFS(MVT_NET,MVT_LOT,$A60,MVT_EMPL,F$13))</f>
        <v>0</v>
      </c>
      <c r="G60" s="42" t="n">
        <f aca="false">IF(OR($A60="",G$13=""),0,SUMIFS(MVT_NET,MVT_LOT,$A60,MVT_EMPL,G$13))</f>
        <v>0</v>
      </c>
      <c r="H60" s="42" t="n">
        <f aca="false">IF(OR($A60="",H$13=""),0,SUMIFS(MVT_NET,MVT_LOT,$A60,MVT_EMPL,H$13))</f>
        <v>0</v>
      </c>
      <c r="I60" s="42" t="n">
        <f aca="false">IF(OR($A60="",I$13=""),0,SUMIFS(MVT_NET,MVT_LOT,$A60,MVT_EMPL,I$13))</f>
        <v>0</v>
      </c>
      <c r="J60" s="42" t="n">
        <f aca="false">IF(OR($A60="",J$13=""),0,SUMIFS(MVT_NET,MVT_LOT,$A60,MVT_EMPL,J$13))</f>
        <v>0</v>
      </c>
      <c r="K60" s="42" t="n">
        <f aca="false">IF(OR($A60="",K$13=""),0,SUMIFS(MVT_NET,MVT_LOT,$A60,MVT_EMPL,K$13))</f>
        <v>0</v>
      </c>
      <c r="L60" s="42" t="n">
        <f aca="false">IF(OR($A60="",L$13=""),0,SUMIFS(MVT_NET,MVT_LOT,$A60,MVT_EMPL,L$13))</f>
        <v>0</v>
      </c>
      <c r="M60" s="42" t="n">
        <f aca="false">IF(OR($A60="",M$13=""),0,SUMIFS(MVT_NET,MVT_LOT,$A60,MVT_EMPL,M$13))</f>
        <v>0</v>
      </c>
      <c r="N60" s="43" t="n">
        <f aca="false">SUM($B60:$M60)</f>
        <v>0</v>
      </c>
      <c r="O60" s="44" t="n">
        <f aca="false">SUMPRODUCT(($B$12:$M$12="INTERNE")*$B60:$M60)</f>
        <v>0</v>
      </c>
      <c r="P60" s="44" t="n">
        <f aca="false">SUMPRODUCT(($B$12:$M$12="EXTERNE")*$B60:$M60)</f>
        <v>0</v>
      </c>
      <c r="Q60" s="44" t="n">
        <f aca="false">IF($A60="",0,SUMIFS(ST_ENCOURS,ST_LOT,$A60))</f>
        <v>0</v>
      </c>
      <c r="R60" s="45" t="str">
        <f aca="false">IF($A60="","",IF($N60&lt;-0.001,"STOCK NEGATIF - ANOMALIE",""))</f>
        <v/>
      </c>
    </row>
    <row r="61" customFormat="false" ht="15" hidden="false" customHeight="false" outlineLevel="0" collapsed="false">
      <c r="A61" s="41" t="str">
        <f aca="false">IF(LOTS!$A52="","",LOTS!$A52)</f>
        <v/>
      </c>
      <c r="B61" s="42" t="n">
        <f aca="false">IF(OR($A61="",B$13=""),0,SUMIFS(MVT_NET,MVT_LOT,$A61,MVT_EMPL,B$13))</f>
        <v>0</v>
      </c>
      <c r="C61" s="42" t="n">
        <f aca="false">IF(OR($A61="",C$13=""),0,SUMIFS(MVT_NET,MVT_LOT,$A61,MVT_EMPL,C$13))</f>
        <v>0</v>
      </c>
      <c r="D61" s="42" t="n">
        <f aca="false">IF(OR($A61="",D$13=""),0,SUMIFS(MVT_NET,MVT_LOT,$A61,MVT_EMPL,D$13))</f>
        <v>0</v>
      </c>
      <c r="E61" s="42" t="n">
        <f aca="false">IF(OR($A61="",E$13=""),0,SUMIFS(MVT_NET,MVT_LOT,$A61,MVT_EMPL,E$13))</f>
        <v>0</v>
      </c>
      <c r="F61" s="42" t="n">
        <f aca="false">IF(OR($A61="",F$13=""),0,SUMIFS(MVT_NET,MVT_LOT,$A61,MVT_EMPL,F$13))</f>
        <v>0</v>
      </c>
      <c r="G61" s="42" t="n">
        <f aca="false">IF(OR($A61="",G$13=""),0,SUMIFS(MVT_NET,MVT_LOT,$A61,MVT_EMPL,G$13))</f>
        <v>0</v>
      </c>
      <c r="H61" s="42" t="n">
        <f aca="false">IF(OR($A61="",H$13=""),0,SUMIFS(MVT_NET,MVT_LOT,$A61,MVT_EMPL,H$13))</f>
        <v>0</v>
      </c>
      <c r="I61" s="42" t="n">
        <f aca="false">IF(OR($A61="",I$13=""),0,SUMIFS(MVT_NET,MVT_LOT,$A61,MVT_EMPL,I$13))</f>
        <v>0</v>
      </c>
      <c r="J61" s="42" t="n">
        <f aca="false">IF(OR($A61="",J$13=""),0,SUMIFS(MVT_NET,MVT_LOT,$A61,MVT_EMPL,J$13))</f>
        <v>0</v>
      </c>
      <c r="K61" s="42" t="n">
        <f aca="false">IF(OR($A61="",K$13=""),0,SUMIFS(MVT_NET,MVT_LOT,$A61,MVT_EMPL,K$13))</f>
        <v>0</v>
      </c>
      <c r="L61" s="42" t="n">
        <f aca="false">IF(OR($A61="",L$13=""),0,SUMIFS(MVT_NET,MVT_LOT,$A61,MVT_EMPL,L$13))</f>
        <v>0</v>
      </c>
      <c r="M61" s="42" t="n">
        <f aca="false">IF(OR($A61="",M$13=""),0,SUMIFS(MVT_NET,MVT_LOT,$A61,MVT_EMPL,M$13))</f>
        <v>0</v>
      </c>
      <c r="N61" s="43" t="n">
        <f aca="false">SUM($B61:$M61)</f>
        <v>0</v>
      </c>
      <c r="O61" s="44" t="n">
        <f aca="false">SUMPRODUCT(($B$12:$M$12="INTERNE")*$B61:$M61)</f>
        <v>0</v>
      </c>
      <c r="P61" s="44" t="n">
        <f aca="false">SUMPRODUCT(($B$12:$M$12="EXTERNE")*$B61:$M61)</f>
        <v>0</v>
      </c>
      <c r="Q61" s="44" t="n">
        <f aca="false">IF($A61="",0,SUMIFS(ST_ENCOURS,ST_LOT,$A61))</f>
        <v>0</v>
      </c>
      <c r="R61" s="45" t="str">
        <f aca="false">IF($A61="","",IF($N61&lt;-0.001,"STOCK NEGATIF - ANOMALIE",""))</f>
        <v/>
      </c>
    </row>
    <row r="62" customFormat="false" ht="15" hidden="false" customHeight="false" outlineLevel="0" collapsed="false">
      <c r="A62" s="41" t="str">
        <f aca="false">IF(LOTS!$A53="","",LOTS!$A53)</f>
        <v/>
      </c>
      <c r="B62" s="42" t="n">
        <f aca="false">IF(OR($A62="",B$13=""),0,SUMIFS(MVT_NET,MVT_LOT,$A62,MVT_EMPL,B$13))</f>
        <v>0</v>
      </c>
      <c r="C62" s="42" t="n">
        <f aca="false">IF(OR($A62="",C$13=""),0,SUMIFS(MVT_NET,MVT_LOT,$A62,MVT_EMPL,C$13))</f>
        <v>0</v>
      </c>
      <c r="D62" s="42" t="n">
        <f aca="false">IF(OR($A62="",D$13=""),0,SUMIFS(MVT_NET,MVT_LOT,$A62,MVT_EMPL,D$13))</f>
        <v>0</v>
      </c>
      <c r="E62" s="42" t="n">
        <f aca="false">IF(OR($A62="",E$13=""),0,SUMIFS(MVT_NET,MVT_LOT,$A62,MVT_EMPL,E$13))</f>
        <v>0</v>
      </c>
      <c r="F62" s="42" t="n">
        <f aca="false">IF(OR($A62="",F$13=""),0,SUMIFS(MVT_NET,MVT_LOT,$A62,MVT_EMPL,F$13))</f>
        <v>0</v>
      </c>
      <c r="G62" s="42" t="n">
        <f aca="false">IF(OR($A62="",G$13=""),0,SUMIFS(MVT_NET,MVT_LOT,$A62,MVT_EMPL,G$13))</f>
        <v>0</v>
      </c>
      <c r="H62" s="42" t="n">
        <f aca="false">IF(OR($A62="",H$13=""),0,SUMIFS(MVT_NET,MVT_LOT,$A62,MVT_EMPL,H$13))</f>
        <v>0</v>
      </c>
      <c r="I62" s="42" t="n">
        <f aca="false">IF(OR($A62="",I$13=""),0,SUMIFS(MVT_NET,MVT_LOT,$A62,MVT_EMPL,I$13))</f>
        <v>0</v>
      </c>
      <c r="J62" s="42" t="n">
        <f aca="false">IF(OR($A62="",J$13=""),0,SUMIFS(MVT_NET,MVT_LOT,$A62,MVT_EMPL,J$13))</f>
        <v>0</v>
      </c>
      <c r="K62" s="42" t="n">
        <f aca="false">IF(OR($A62="",K$13=""),0,SUMIFS(MVT_NET,MVT_LOT,$A62,MVT_EMPL,K$13))</f>
        <v>0</v>
      </c>
      <c r="L62" s="42" t="n">
        <f aca="false">IF(OR($A62="",L$13=""),0,SUMIFS(MVT_NET,MVT_LOT,$A62,MVT_EMPL,L$13))</f>
        <v>0</v>
      </c>
      <c r="M62" s="42" t="n">
        <f aca="false">IF(OR($A62="",M$13=""),0,SUMIFS(MVT_NET,MVT_LOT,$A62,MVT_EMPL,M$13))</f>
        <v>0</v>
      </c>
      <c r="N62" s="43" t="n">
        <f aca="false">SUM($B62:$M62)</f>
        <v>0</v>
      </c>
      <c r="O62" s="44" t="n">
        <f aca="false">SUMPRODUCT(($B$12:$M$12="INTERNE")*$B62:$M62)</f>
        <v>0</v>
      </c>
      <c r="P62" s="44" t="n">
        <f aca="false">SUMPRODUCT(($B$12:$M$12="EXTERNE")*$B62:$M62)</f>
        <v>0</v>
      </c>
      <c r="Q62" s="44" t="n">
        <f aca="false">IF($A62="",0,SUMIFS(ST_ENCOURS,ST_LOT,$A62))</f>
        <v>0</v>
      </c>
      <c r="R62" s="45" t="str">
        <f aca="false">IF($A62="","",IF($N62&lt;-0.001,"STOCK NEGATIF - ANOMALIE",""))</f>
        <v/>
      </c>
    </row>
    <row r="63" customFormat="false" ht="15" hidden="false" customHeight="false" outlineLevel="0" collapsed="false">
      <c r="A63" s="41" t="str">
        <f aca="false">IF(LOTS!$A54="","",LOTS!$A54)</f>
        <v/>
      </c>
      <c r="B63" s="42" t="n">
        <f aca="false">IF(OR($A63="",B$13=""),0,SUMIFS(MVT_NET,MVT_LOT,$A63,MVT_EMPL,B$13))</f>
        <v>0</v>
      </c>
      <c r="C63" s="42" t="n">
        <f aca="false">IF(OR($A63="",C$13=""),0,SUMIFS(MVT_NET,MVT_LOT,$A63,MVT_EMPL,C$13))</f>
        <v>0</v>
      </c>
      <c r="D63" s="42" t="n">
        <f aca="false">IF(OR($A63="",D$13=""),0,SUMIFS(MVT_NET,MVT_LOT,$A63,MVT_EMPL,D$13))</f>
        <v>0</v>
      </c>
      <c r="E63" s="42" t="n">
        <f aca="false">IF(OR($A63="",E$13=""),0,SUMIFS(MVT_NET,MVT_LOT,$A63,MVT_EMPL,E$13))</f>
        <v>0</v>
      </c>
      <c r="F63" s="42" t="n">
        <f aca="false">IF(OR($A63="",F$13=""),0,SUMIFS(MVT_NET,MVT_LOT,$A63,MVT_EMPL,F$13))</f>
        <v>0</v>
      </c>
      <c r="G63" s="42" t="n">
        <f aca="false">IF(OR($A63="",G$13=""),0,SUMIFS(MVT_NET,MVT_LOT,$A63,MVT_EMPL,G$13))</f>
        <v>0</v>
      </c>
      <c r="H63" s="42" t="n">
        <f aca="false">IF(OR($A63="",H$13=""),0,SUMIFS(MVT_NET,MVT_LOT,$A63,MVT_EMPL,H$13))</f>
        <v>0</v>
      </c>
      <c r="I63" s="42" t="n">
        <f aca="false">IF(OR($A63="",I$13=""),0,SUMIFS(MVT_NET,MVT_LOT,$A63,MVT_EMPL,I$13))</f>
        <v>0</v>
      </c>
      <c r="J63" s="42" t="n">
        <f aca="false">IF(OR($A63="",J$13=""),0,SUMIFS(MVT_NET,MVT_LOT,$A63,MVT_EMPL,J$13))</f>
        <v>0</v>
      </c>
      <c r="K63" s="42" t="n">
        <f aca="false">IF(OR($A63="",K$13=""),0,SUMIFS(MVT_NET,MVT_LOT,$A63,MVT_EMPL,K$13))</f>
        <v>0</v>
      </c>
      <c r="L63" s="42" t="n">
        <f aca="false">IF(OR($A63="",L$13=""),0,SUMIFS(MVT_NET,MVT_LOT,$A63,MVT_EMPL,L$13))</f>
        <v>0</v>
      </c>
      <c r="M63" s="42" t="n">
        <f aca="false">IF(OR($A63="",M$13=""),0,SUMIFS(MVT_NET,MVT_LOT,$A63,MVT_EMPL,M$13))</f>
        <v>0</v>
      </c>
      <c r="N63" s="43" t="n">
        <f aca="false">SUM($B63:$M63)</f>
        <v>0</v>
      </c>
      <c r="O63" s="44" t="n">
        <f aca="false">SUMPRODUCT(($B$12:$M$12="INTERNE")*$B63:$M63)</f>
        <v>0</v>
      </c>
      <c r="P63" s="44" t="n">
        <f aca="false">SUMPRODUCT(($B$12:$M$12="EXTERNE")*$B63:$M63)</f>
        <v>0</v>
      </c>
      <c r="Q63" s="44" t="n">
        <f aca="false">IF($A63="",0,SUMIFS(ST_ENCOURS,ST_LOT,$A63))</f>
        <v>0</v>
      </c>
      <c r="R63" s="45" t="str">
        <f aca="false">IF($A63="","",IF($N63&lt;-0.001,"STOCK NEGATIF - ANOMALIE",""))</f>
        <v/>
      </c>
    </row>
    <row r="64" customFormat="false" ht="15" hidden="false" customHeight="false" outlineLevel="0" collapsed="false">
      <c r="A64" s="41" t="str">
        <f aca="false">IF(LOTS!$A55="","",LOTS!$A55)</f>
        <v/>
      </c>
      <c r="B64" s="42" t="n">
        <f aca="false">IF(OR($A64="",B$13=""),0,SUMIFS(MVT_NET,MVT_LOT,$A64,MVT_EMPL,B$13))</f>
        <v>0</v>
      </c>
      <c r="C64" s="42" t="n">
        <f aca="false">IF(OR($A64="",C$13=""),0,SUMIFS(MVT_NET,MVT_LOT,$A64,MVT_EMPL,C$13))</f>
        <v>0</v>
      </c>
      <c r="D64" s="42" t="n">
        <f aca="false">IF(OR($A64="",D$13=""),0,SUMIFS(MVT_NET,MVT_LOT,$A64,MVT_EMPL,D$13))</f>
        <v>0</v>
      </c>
      <c r="E64" s="42" t="n">
        <f aca="false">IF(OR($A64="",E$13=""),0,SUMIFS(MVT_NET,MVT_LOT,$A64,MVT_EMPL,E$13))</f>
        <v>0</v>
      </c>
      <c r="F64" s="42" t="n">
        <f aca="false">IF(OR($A64="",F$13=""),0,SUMIFS(MVT_NET,MVT_LOT,$A64,MVT_EMPL,F$13))</f>
        <v>0</v>
      </c>
      <c r="G64" s="42" t="n">
        <f aca="false">IF(OR($A64="",G$13=""),0,SUMIFS(MVT_NET,MVT_LOT,$A64,MVT_EMPL,G$13))</f>
        <v>0</v>
      </c>
      <c r="H64" s="42" t="n">
        <f aca="false">IF(OR($A64="",H$13=""),0,SUMIFS(MVT_NET,MVT_LOT,$A64,MVT_EMPL,H$13))</f>
        <v>0</v>
      </c>
      <c r="I64" s="42" t="n">
        <f aca="false">IF(OR($A64="",I$13=""),0,SUMIFS(MVT_NET,MVT_LOT,$A64,MVT_EMPL,I$13))</f>
        <v>0</v>
      </c>
      <c r="J64" s="42" t="n">
        <f aca="false">IF(OR($A64="",J$13=""),0,SUMIFS(MVT_NET,MVT_LOT,$A64,MVT_EMPL,J$13))</f>
        <v>0</v>
      </c>
      <c r="K64" s="42" t="n">
        <f aca="false">IF(OR($A64="",K$13=""),0,SUMIFS(MVT_NET,MVT_LOT,$A64,MVT_EMPL,K$13))</f>
        <v>0</v>
      </c>
      <c r="L64" s="42" t="n">
        <f aca="false">IF(OR($A64="",L$13=""),0,SUMIFS(MVT_NET,MVT_LOT,$A64,MVT_EMPL,L$13))</f>
        <v>0</v>
      </c>
      <c r="M64" s="42" t="n">
        <f aca="false">IF(OR($A64="",M$13=""),0,SUMIFS(MVT_NET,MVT_LOT,$A64,MVT_EMPL,M$13))</f>
        <v>0</v>
      </c>
      <c r="N64" s="43" t="n">
        <f aca="false">SUM($B64:$M64)</f>
        <v>0</v>
      </c>
      <c r="O64" s="44" t="n">
        <f aca="false">SUMPRODUCT(($B$12:$M$12="INTERNE")*$B64:$M64)</f>
        <v>0</v>
      </c>
      <c r="P64" s="44" t="n">
        <f aca="false">SUMPRODUCT(($B$12:$M$12="EXTERNE")*$B64:$M64)</f>
        <v>0</v>
      </c>
      <c r="Q64" s="44" t="n">
        <f aca="false">IF($A64="",0,SUMIFS(ST_ENCOURS,ST_LOT,$A64))</f>
        <v>0</v>
      </c>
      <c r="R64" s="45" t="str">
        <f aca="false">IF($A64="","",IF($N64&lt;-0.001,"STOCK NEGATIF - ANOMALIE",""))</f>
        <v/>
      </c>
    </row>
    <row r="65" customFormat="false" ht="15" hidden="false" customHeight="false" outlineLevel="0" collapsed="false">
      <c r="A65" s="41" t="str">
        <f aca="false">IF(LOTS!$A56="","",LOTS!$A56)</f>
        <v/>
      </c>
      <c r="B65" s="42" t="n">
        <f aca="false">IF(OR($A65="",B$13=""),0,SUMIFS(MVT_NET,MVT_LOT,$A65,MVT_EMPL,B$13))</f>
        <v>0</v>
      </c>
      <c r="C65" s="42" t="n">
        <f aca="false">IF(OR($A65="",C$13=""),0,SUMIFS(MVT_NET,MVT_LOT,$A65,MVT_EMPL,C$13))</f>
        <v>0</v>
      </c>
      <c r="D65" s="42" t="n">
        <f aca="false">IF(OR($A65="",D$13=""),0,SUMIFS(MVT_NET,MVT_LOT,$A65,MVT_EMPL,D$13))</f>
        <v>0</v>
      </c>
      <c r="E65" s="42" t="n">
        <f aca="false">IF(OR($A65="",E$13=""),0,SUMIFS(MVT_NET,MVT_LOT,$A65,MVT_EMPL,E$13))</f>
        <v>0</v>
      </c>
      <c r="F65" s="42" t="n">
        <f aca="false">IF(OR($A65="",F$13=""),0,SUMIFS(MVT_NET,MVT_LOT,$A65,MVT_EMPL,F$13))</f>
        <v>0</v>
      </c>
      <c r="G65" s="42" t="n">
        <f aca="false">IF(OR($A65="",G$13=""),0,SUMIFS(MVT_NET,MVT_LOT,$A65,MVT_EMPL,G$13))</f>
        <v>0</v>
      </c>
      <c r="H65" s="42" t="n">
        <f aca="false">IF(OR($A65="",H$13=""),0,SUMIFS(MVT_NET,MVT_LOT,$A65,MVT_EMPL,H$13))</f>
        <v>0</v>
      </c>
      <c r="I65" s="42" t="n">
        <f aca="false">IF(OR($A65="",I$13=""),0,SUMIFS(MVT_NET,MVT_LOT,$A65,MVT_EMPL,I$13))</f>
        <v>0</v>
      </c>
      <c r="J65" s="42" t="n">
        <f aca="false">IF(OR($A65="",J$13=""),0,SUMIFS(MVT_NET,MVT_LOT,$A65,MVT_EMPL,J$13))</f>
        <v>0</v>
      </c>
      <c r="K65" s="42" t="n">
        <f aca="false">IF(OR($A65="",K$13=""),0,SUMIFS(MVT_NET,MVT_LOT,$A65,MVT_EMPL,K$13))</f>
        <v>0</v>
      </c>
      <c r="L65" s="42" t="n">
        <f aca="false">IF(OR($A65="",L$13=""),0,SUMIFS(MVT_NET,MVT_LOT,$A65,MVT_EMPL,L$13))</f>
        <v>0</v>
      </c>
      <c r="M65" s="42" t="n">
        <f aca="false">IF(OR($A65="",M$13=""),0,SUMIFS(MVT_NET,MVT_LOT,$A65,MVT_EMPL,M$13))</f>
        <v>0</v>
      </c>
      <c r="N65" s="43" t="n">
        <f aca="false">SUM($B65:$M65)</f>
        <v>0</v>
      </c>
      <c r="O65" s="44" t="n">
        <f aca="false">SUMPRODUCT(($B$12:$M$12="INTERNE")*$B65:$M65)</f>
        <v>0</v>
      </c>
      <c r="P65" s="44" t="n">
        <f aca="false">SUMPRODUCT(($B$12:$M$12="EXTERNE")*$B65:$M65)</f>
        <v>0</v>
      </c>
      <c r="Q65" s="44" t="n">
        <f aca="false">IF($A65="",0,SUMIFS(ST_ENCOURS,ST_LOT,$A65))</f>
        <v>0</v>
      </c>
      <c r="R65" s="45" t="str">
        <f aca="false">IF($A65="","",IF($N65&lt;-0.001,"STOCK NEGATIF - ANOMALIE",""))</f>
        <v/>
      </c>
    </row>
    <row r="66" customFormat="false" ht="15" hidden="false" customHeight="false" outlineLevel="0" collapsed="false">
      <c r="A66" s="41" t="str">
        <f aca="false">IF(LOTS!$A57="","",LOTS!$A57)</f>
        <v/>
      </c>
      <c r="B66" s="42" t="n">
        <f aca="false">IF(OR($A66="",B$13=""),0,SUMIFS(MVT_NET,MVT_LOT,$A66,MVT_EMPL,B$13))</f>
        <v>0</v>
      </c>
      <c r="C66" s="42" t="n">
        <f aca="false">IF(OR($A66="",C$13=""),0,SUMIFS(MVT_NET,MVT_LOT,$A66,MVT_EMPL,C$13))</f>
        <v>0</v>
      </c>
      <c r="D66" s="42" t="n">
        <f aca="false">IF(OR($A66="",D$13=""),0,SUMIFS(MVT_NET,MVT_LOT,$A66,MVT_EMPL,D$13))</f>
        <v>0</v>
      </c>
      <c r="E66" s="42" t="n">
        <f aca="false">IF(OR($A66="",E$13=""),0,SUMIFS(MVT_NET,MVT_LOT,$A66,MVT_EMPL,E$13))</f>
        <v>0</v>
      </c>
      <c r="F66" s="42" t="n">
        <f aca="false">IF(OR($A66="",F$13=""),0,SUMIFS(MVT_NET,MVT_LOT,$A66,MVT_EMPL,F$13))</f>
        <v>0</v>
      </c>
      <c r="G66" s="42" t="n">
        <f aca="false">IF(OR($A66="",G$13=""),0,SUMIFS(MVT_NET,MVT_LOT,$A66,MVT_EMPL,G$13))</f>
        <v>0</v>
      </c>
      <c r="H66" s="42" t="n">
        <f aca="false">IF(OR($A66="",H$13=""),0,SUMIFS(MVT_NET,MVT_LOT,$A66,MVT_EMPL,H$13))</f>
        <v>0</v>
      </c>
      <c r="I66" s="42" t="n">
        <f aca="false">IF(OR($A66="",I$13=""),0,SUMIFS(MVT_NET,MVT_LOT,$A66,MVT_EMPL,I$13))</f>
        <v>0</v>
      </c>
      <c r="J66" s="42" t="n">
        <f aca="false">IF(OR($A66="",J$13=""),0,SUMIFS(MVT_NET,MVT_LOT,$A66,MVT_EMPL,J$13))</f>
        <v>0</v>
      </c>
      <c r="K66" s="42" t="n">
        <f aca="false">IF(OR($A66="",K$13=""),0,SUMIFS(MVT_NET,MVT_LOT,$A66,MVT_EMPL,K$13))</f>
        <v>0</v>
      </c>
      <c r="L66" s="42" t="n">
        <f aca="false">IF(OR($A66="",L$13=""),0,SUMIFS(MVT_NET,MVT_LOT,$A66,MVT_EMPL,L$13))</f>
        <v>0</v>
      </c>
      <c r="M66" s="42" t="n">
        <f aca="false">IF(OR($A66="",M$13=""),0,SUMIFS(MVT_NET,MVT_LOT,$A66,MVT_EMPL,M$13))</f>
        <v>0</v>
      </c>
      <c r="N66" s="43" t="n">
        <f aca="false">SUM($B66:$M66)</f>
        <v>0</v>
      </c>
      <c r="O66" s="44" t="n">
        <f aca="false">SUMPRODUCT(($B$12:$M$12="INTERNE")*$B66:$M66)</f>
        <v>0</v>
      </c>
      <c r="P66" s="44" t="n">
        <f aca="false">SUMPRODUCT(($B$12:$M$12="EXTERNE")*$B66:$M66)</f>
        <v>0</v>
      </c>
      <c r="Q66" s="44" t="n">
        <f aca="false">IF($A66="",0,SUMIFS(ST_ENCOURS,ST_LOT,$A66))</f>
        <v>0</v>
      </c>
      <c r="R66" s="45" t="str">
        <f aca="false">IF($A66="","",IF($N66&lt;-0.001,"STOCK NEGATIF - ANOMALIE",""))</f>
        <v/>
      </c>
    </row>
    <row r="67" customFormat="false" ht="15" hidden="false" customHeight="false" outlineLevel="0" collapsed="false">
      <c r="A67" s="41" t="str">
        <f aca="false">IF(LOTS!$A58="","",LOTS!$A58)</f>
        <v/>
      </c>
      <c r="B67" s="42" t="n">
        <f aca="false">IF(OR($A67="",B$13=""),0,SUMIFS(MVT_NET,MVT_LOT,$A67,MVT_EMPL,B$13))</f>
        <v>0</v>
      </c>
      <c r="C67" s="42" t="n">
        <f aca="false">IF(OR($A67="",C$13=""),0,SUMIFS(MVT_NET,MVT_LOT,$A67,MVT_EMPL,C$13))</f>
        <v>0</v>
      </c>
      <c r="D67" s="42" t="n">
        <f aca="false">IF(OR($A67="",D$13=""),0,SUMIFS(MVT_NET,MVT_LOT,$A67,MVT_EMPL,D$13))</f>
        <v>0</v>
      </c>
      <c r="E67" s="42" t="n">
        <f aca="false">IF(OR($A67="",E$13=""),0,SUMIFS(MVT_NET,MVT_LOT,$A67,MVT_EMPL,E$13))</f>
        <v>0</v>
      </c>
      <c r="F67" s="42" t="n">
        <f aca="false">IF(OR($A67="",F$13=""),0,SUMIFS(MVT_NET,MVT_LOT,$A67,MVT_EMPL,F$13))</f>
        <v>0</v>
      </c>
      <c r="G67" s="42" t="n">
        <f aca="false">IF(OR($A67="",G$13=""),0,SUMIFS(MVT_NET,MVT_LOT,$A67,MVT_EMPL,G$13))</f>
        <v>0</v>
      </c>
      <c r="H67" s="42" t="n">
        <f aca="false">IF(OR($A67="",H$13=""),0,SUMIFS(MVT_NET,MVT_LOT,$A67,MVT_EMPL,H$13))</f>
        <v>0</v>
      </c>
      <c r="I67" s="42" t="n">
        <f aca="false">IF(OR($A67="",I$13=""),0,SUMIFS(MVT_NET,MVT_LOT,$A67,MVT_EMPL,I$13))</f>
        <v>0</v>
      </c>
      <c r="J67" s="42" t="n">
        <f aca="false">IF(OR($A67="",J$13=""),0,SUMIFS(MVT_NET,MVT_LOT,$A67,MVT_EMPL,J$13))</f>
        <v>0</v>
      </c>
      <c r="K67" s="42" t="n">
        <f aca="false">IF(OR($A67="",K$13=""),0,SUMIFS(MVT_NET,MVT_LOT,$A67,MVT_EMPL,K$13))</f>
        <v>0</v>
      </c>
      <c r="L67" s="42" t="n">
        <f aca="false">IF(OR($A67="",L$13=""),0,SUMIFS(MVT_NET,MVT_LOT,$A67,MVT_EMPL,L$13))</f>
        <v>0</v>
      </c>
      <c r="M67" s="42" t="n">
        <f aca="false">IF(OR($A67="",M$13=""),0,SUMIFS(MVT_NET,MVT_LOT,$A67,MVT_EMPL,M$13))</f>
        <v>0</v>
      </c>
      <c r="N67" s="43" t="n">
        <f aca="false">SUM($B67:$M67)</f>
        <v>0</v>
      </c>
      <c r="O67" s="44" t="n">
        <f aca="false">SUMPRODUCT(($B$12:$M$12="INTERNE")*$B67:$M67)</f>
        <v>0</v>
      </c>
      <c r="P67" s="44" t="n">
        <f aca="false">SUMPRODUCT(($B$12:$M$12="EXTERNE")*$B67:$M67)</f>
        <v>0</v>
      </c>
      <c r="Q67" s="44" t="n">
        <f aca="false">IF($A67="",0,SUMIFS(ST_ENCOURS,ST_LOT,$A67))</f>
        <v>0</v>
      </c>
      <c r="R67" s="45" t="str">
        <f aca="false">IF($A67="","",IF($N67&lt;-0.001,"STOCK NEGATIF - ANOMALIE",""))</f>
        <v/>
      </c>
    </row>
    <row r="68" customFormat="false" ht="15" hidden="false" customHeight="false" outlineLevel="0" collapsed="false">
      <c r="A68" s="41" t="str">
        <f aca="false">IF(LOTS!$A59="","",LOTS!$A59)</f>
        <v/>
      </c>
      <c r="B68" s="42" t="n">
        <f aca="false">IF(OR($A68="",B$13=""),0,SUMIFS(MVT_NET,MVT_LOT,$A68,MVT_EMPL,B$13))</f>
        <v>0</v>
      </c>
      <c r="C68" s="42" t="n">
        <f aca="false">IF(OR($A68="",C$13=""),0,SUMIFS(MVT_NET,MVT_LOT,$A68,MVT_EMPL,C$13))</f>
        <v>0</v>
      </c>
      <c r="D68" s="42" t="n">
        <f aca="false">IF(OR($A68="",D$13=""),0,SUMIFS(MVT_NET,MVT_LOT,$A68,MVT_EMPL,D$13))</f>
        <v>0</v>
      </c>
      <c r="E68" s="42" t="n">
        <f aca="false">IF(OR($A68="",E$13=""),0,SUMIFS(MVT_NET,MVT_LOT,$A68,MVT_EMPL,E$13))</f>
        <v>0</v>
      </c>
      <c r="F68" s="42" t="n">
        <f aca="false">IF(OR($A68="",F$13=""),0,SUMIFS(MVT_NET,MVT_LOT,$A68,MVT_EMPL,F$13))</f>
        <v>0</v>
      </c>
      <c r="G68" s="42" t="n">
        <f aca="false">IF(OR($A68="",G$13=""),0,SUMIFS(MVT_NET,MVT_LOT,$A68,MVT_EMPL,G$13))</f>
        <v>0</v>
      </c>
      <c r="H68" s="42" t="n">
        <f aca="false">IF(OR($A68="",H$13=""),0,SUMIFS(MVT_NET,MVT_LOT,$A68,MVT_EMPL,H$13))</f>
        <v>0</v>
      </c>
      <c r="I68" s="42" t="n">
        <f aca="false">IF(OR($A68="",I$13=""),0,SUMIFS(MVT_NET,MVT_LOT,$A68,MVT_EMPL,I$13))</f>
        <v>0</v>
      </c>
      <c r="J68" s="42" t="n">
        <f aca="false">IF(OR($A68="",J$13=""),0,SUMIFS(MVT_NET,MVT_LOT,$A68,MVT_EMPL,J$13))</f>
        <v>0</v>
      </c>
      <c r="K68" s="42" t="n">
        <f aca="false">IF(OR($A68="",K$13=""),0,SUMIFS(MVT_NET,MVT_LOT,$A68,MVT_EMPL,K$13))</f>
        <v>0</v>
      </c>
      <c r="L68" s="42" t="n">
        <f aca="false">IF(OR($A68="",L$13=""),0,SUMIFS(MVT_NET,MVT_LOT,$A68,MVT_EMPL,L$13))</f>
        <v>0</v>
      </c>
      <c r="M68" s="42" t="n">
        <f aca="false">IF(OR($A68="",M$13=""),0,SUMIFS(MVT_NET,MVT_LOT,$A68,MVT_EMPL,M$13))</f>
        <v>0</v>
      </c>
      <c r="N68" s="43" t="n">
        <f aca="false">SUM($B68:$M68)</f>
        <v>0</v>
      </c>
      <c r="O68" s="44" t="n">
        <f aca="false">SUMPRODUCT(($B$12:$M$12="INTERNE")*$B68:$M68)</f>
        <v>0</v>
      </c>
      <c r="P68" s="44" t="n">
        <f aca="false">SUMPRODUCT(($B$12:$M$12="EXTERNE")*$B68:$M68)</f>
        <v>0</v>
      </c>
      <c r="Q68" s="44" t="n">
        <f aca="false">IF($A68="",0,SUMIFS(ST_ENCOURS,ST_LOT,$A68))</f>
        <v>0</v>
      </c>
      <c r="R68" s="45" t="str">
        <f aca="false">IF($A68="","",IF($N68&lt;-0.001,"STOCK NEGATIF - ANOMALIE",""))</f>
        <v/>
      </c>
    </row>
    <row r="69" customFormat="false" ht="15" hidden="false" customHeight="false" outlineLevel="0" collapsed="false">
      <c r="A69" s="41" t="str">
        <f aca="false">IF(LOTS!$A60="","",LOTS!$A60)</f>
        <v/>
      </c>
      <c r="B69" s="42" t="n">
        <f aca="false">IF(OR($A69="",B$13=""),0,SUMIFS(MVT_NET,MVT_LOT,$A69,MVT_EMPL,B$13))</f>
        <v>0</v>
      </c>
      <c r="C69" s="42" t="n">
        <f aca="false">IF(OR($A69="",C$13=""),0,SUMIFS(MVT_NET,MVT_LOT,$A69,MVT_EMPL,C$13))</f>
        <v>0</v>
      </c>
      <c r="D69" s="42" t="n">
        <f aca="false">IF(OR($A69="",D$13=""),0,SUMIFS(MVT_NET,MVT_LOT,$A69,MVT_EMPL,D$13))</f>
        <v>0</v>
      </c>
      <c r="E69" s="42" t="n">
        <f aca="false">IF(OR($A69="",E$13=""),0,SUMIFS(MVT_NET,MVT_LOT,$A69,MVT_EMPL,E$13))</f>
        <v>0</v>
      </c>
      <c r="F69" s="42" t="n">
        <f aca="false">IF(OR($A69="",F$13=""),0,SUMIFS(MVT_NET,MVT_LOT,$A69,MVT_EMPL,F$13))</f>
        <v>0</v>
      </c>
      <c r="G69" s="42" t="n">
        <f aca="false">IF(OR($A69="",G$13=""),0,SUMIFS(MVT_NET,MVT_LOT,$A69,MVT_EMPL,G$13))</f>
        <v>0</v>
      </c>
      <c r="H69" s="42" t="n">
        <f aca="false">IF(OR($A69="",H$13=""),0,SUMIFS(MVT_NET,MVT_LOT,$A69,MVT_EMPL,H$13))</f>
        <v>0</v>
      </c>
      <c r="I69" s="42" t="n">
        <f aca="false">IF(OR($A69="",I$13=""),0,SUMIFS(MVT_NET,MVT_LOT,$A69,MVT_EMPL,I$13))</f>
        <v>0</v>
      </c>
      <c r="J69" s="42" t="n">
        <f aca="false">IF(OR($A69="",J$13=""),0,SUMIFS(MVT_NET,MVT_LOT,$A69,MVT_EMPL,J$13))</f>
        <v>0</v>
      </c>
      <c r="K69" s="42" t="n">
        <f aca="false">IF(OR($A69="",K$13=""),0,SUMIFS(MVT_NET,MVT_LOT,$A69,MVT_EMPL,K$13))</f>
        <v>0</v>
      </c>
      <c r="L69" s="42" t="n">
        <f aca="false">IF(OR($A69="",L$13=""),0,SUMIFS(MVT_NET,MVT_LOT,$A69,MVT_EMPL,L$13))</f>
        <v>0</v>
      </c>
      <c r="M69" s="42" t="n">
        <f aca="false">IF(OR($A69="",M$13=""),0,SUMIFS(MVT_NET,MVT_LOT,$A69,MVT_EMPL,M$13))</f>
        <v>0</v>
      </c>
      <c r="N69" s="43" t="n">
        <f aca="false">SUM($B69:$M69)</f>
        <v>0</v>
      </c>
      <c r="O69" s="44" t="n">
        <f aca="false">SUMPRODUCT(($B$12:$M$12="INTERNE")*$B69:$M69)</f>
        <v>0</v>
      </c>
      <c r="P69" s="44" t="n">
        <f aca="false">SUMPRODUCT(($B$12:$M$12="EXTERNE")*$B69:$M69)</f>
        <v>0</v>
      </c>
      <c r="Q69" s="44" t="n">
        <f aca="false">IF($A69="",0,SUMIFS(ST_ENCOURS,ST_LOT,$A69))</f>
        <v>0</v>
      </c>
      <c r="R69" s="45" t="str">
        <f aca="false">IF($A69="","",IF($N69&lt;-0.001,"STOCK NEGATIF - ANOMALIE",""))</f>
        <v/>
      </c>
    </row>
    <row r="70" customFormat="false" ht="15" hidden="false" customHeight="false" outlineLevel="0" collapsed="false">
      <c r="A70" s="41" t="str">
        <f aca="false">IF(LOTS!$A61="","",LOTS!$A61)</f>
        <v/>
      </c>
      <c r="B70" s="42" t="n">
        <f aca="false">IF(OR($A70="",B$13=""),0,SUMIFS(MVT_NET,MVT_LOT,$A70,MVT_EMPL,B$13))</f>
        <v>0</v>
      </c>
      <c r="C70" s="42" t="n">
        <f aca="false">IF(OR($A70="",C$13=""),0,SUMIFS(MVT_NET,MVT_LOT,$A70,MVT_EMPL,C$13))</f>
        <v>0</v>
      </c>
      <c r="D70" s="42" t="n">
        <f aca="false">IF(OR($A70="",D$13=""),0,SUMIFS(MVT_NET,MVT_LOT,$A70,MVT_EMPL,D$13))</f>
        <v>0</v>
      </c>
      <c r="E70" s="42" t="n">
        <f aca="false">IF(OR($A70="",E$13=""),0,SUMIFS(MVT_NET,MVT_LOT,$A70,MVT_EMPL,E$13))</f>
        <v>0</v>
      </c>
      <c r="F70" s="42" t="n">
        <f aca="false">IF(OR($A70="",F$13=""),0,SUMIFS(MVT_NET,MVT_LOT,$A70,MVT_EMPL,F$13))</f>
        <v>0</v>
      </c>
      <c r="G70" s="42" t="n">
        <f aca="false">IF(OR($A70="",G$13=""),0,SUMIFS(MVT_NET,MVT_LOT,$A70,MVT_EMPL,G$13))</f>
        <v>0</v>
      </c>
      <c r="H70" s="42" t="n">
        <f aca="false">IF(OR($A70="",H$13=""),0,SUMIFS(MVT_NET,MVT_LOT,$A70,MVT_EMPL,H$13))</f>
        <v>0</v>
      </c>
      <c r="I70" s="42" t="n">
        <f aca="false">IF(OR($A70="",I$13=""),0,SUMIFS(MVT_NET,MVT_LOT,$A70,MVT_EMPL,I$13))</f>
        <v>0</v>
      </c>
      <c r="J70" s="42" t="n">
        <f aca="false">IF(OR($A70="",J$13=""),0,SUMIFS(MVT_NET,MVT_LOT,$A70,MVT_EMPL,J$13))</f>
        <v>0</v>
      </c>
      <c r="K70" s="42" t="n">
        <f aca="false">IF(OR($A70="",K$13=""),0,SUMIFS(MVT_NET,MVT_LOT,$A70,MVT_EMPL,K$13))</f>
        <v>0</v>
      </c>
      <c r="L70" s="42" t="n">
        <f aca="false">IF(OR($A70="",L$13=""),0,SUMIFS(MVT_NET,MVT_LOT,$A70,MVT_EMPL,L$13))</f>
        <v>0</v>
      </c>
      <c r="M70" s="42" t="n">
        <f aca="false">IF(OR($A70="",M$13=""),0,SUMIFS(MVT_NET,MVT_LOT,$A70,MVT_EMPL,M$13))</f>
        <v>0</v>
      </c>
      <c r="N70" s="43" t="n">
        <f aca="false">SUM($B70:$M70)</f>
        <v>0</v>
      </c>
      <c r="O70" s="44" t="n">
        <f aca="false">SUMPRODUCT(($B$12:$M$12="INTERNE")*$B70:$M70)</f>
        <v>0</v>
      </c>
      <c r="P70" s="44" t="n">
        <f aca="false">SUMPRODUCT(($B$12:$M$12="EXTERNE")*$B70:$M70)</f>
        <v>0</v>
      </c>
      <c r="Q70" s="44" t="n">
        <f aca="false">IF($A70="",0,SUMIFS(ST_ENCOURS,ST_LOT,$A70))</f>
        <v>0</v>
      </c>
      <c r="R70" s="45" t="str">
        <f aca="false">IF($A70="","",IF($N70&lt;-0.001,"STOCK NEGATIF - ANOMALIE",""))</f>
        <v/>
      </c>
    </row>
    <row r="71" customFormat="false" ht="15" hidden="false" customHeight="false" outlineLevel="0" collapsed="false">
      <c r="A71" s="41" t="str">
        <f aca="false">IF(LOTS!$A62="","",LOTS!$A62)</f>
        <v/>
      </c>
      <c r="B71" s="42" t="n">
        <f aca="false">IF(OR($A71="",B$13=""),0,SUMIFS(MVT_NET,MVT_LOT,$A71,MVT_EMPL,B$13))</f>
        <v>0</v>
      </c>
      <c r="C71" s="42" t="n">
        <f aca="false">IF(OR($A71="",C$13=""),0,SUMIFS(MVT_NET,MVT_LOT,$A71,MVT_EMPL,C$13))</f>
        <v>0</v>
      </c>
      <c r="D71" s="42" t="n">
        <f aca="false">IF(OR($A71="",D$13=""),0,SUMIFS(MVT_NET,MVT_LOT,$A71,MVT_EMPL,D$13))</f>
        <v>0</v>
      </c>
      <c r="E71" s="42" t="n">
        <f aca="false">IF(OR($A71="",E$13=""),0,SUMIFS(MVT_NET,MVT_LOT,$A71,MVT_EMPL,E$13))</f>
        <v>0</v>
      </c>
      <c r="F71" s="42" t="n">
        <f aca="false">IF(OR($A71="",F$13=""),0,SUMIFS(MVT_NET,MVT_LOT,$A71,MVT_EMPL,F$13))</f>
        <v>0</v>
      </c>
      <c r="G71" s="42" t="n">
        <f aca="false">IF(OR($A71="",G$13=""),0,SUMIFS(MVT_NET,MVT_LOT,$A71,MVT_EMPL,G$13))</f>
        <v>0</v>
      </c>
      <c r="H71" s="42" t="n">
        <f aca="false">IF(OR($A71="",H$13=""),0,SUMIFS(MVT_NET,MVT_LOT,$A71,MVT_EMPL,H$13))</f>
        <v>0</v>
      </c>
      <c r="I71" s="42" t="n">
        <f aca="false">IF(OR($A71="",I$13=""),0,SUMIFS(MVT_NET,MVT_LOT,$A71,MVT_EMPL,I$13))</f>
        <v>0</v>
      </c>
      <c r="J71" s="42" t="n">
        <f aca="false">IF(OR($A71="",J$13=""),0,SUMIFS(MVT_NET,MVT_LOT,$A71,MVT_EMPL,J$13))</f>
        <v>0</v>
      </c>
      <c r="K71" s="42" t="n">
        <f aca="false">IF(OR($A71="",K$13=""),0,SUMIFS(MVT_NET,MVT_LOT,$A71,MVT_EMPL,K$13))</f>
        <v>0</v>
      </c>
      <c r="L71" s="42" t="n">
        <f aca="false">IF(OR($A71="",L$13=""),0,SUMIFS(MVT_NET,MVT_LOT,$A71,MVT_EMPL,L$13))</f>
        <v>0</v>
      </c>
      <c r="M71" s="42" t="n">
        <f aca="false">IF(OR($A71="",M$13=""),0,SUMIFS(MVT_NET,MVT_LOT,$A71,MVT_EMPL,M$13))</f>
        <v>0</v>
      </c>
      <c r="N71" s="43" t="n">
        <f aca="false">SUM($B71:$M71)</f>
        <v>0</v>
      </c>
      <c r="O71" s="44" t="n">
        <f aca="false">SUMPRODUCT(($B$12:$M$12="INTERNE")*$B71:$M71)</f>
        <v>0</v>
      </c>
      <c r="P71" s="44" t="n">
        <f aca="false">SUMPRODUCT(($B$12:$M$12="EXTERNE")*$B71:$M71)</f>
        <v>0</v>
      </c>
      <c r="Q71" s="44" t="n">
        <f aca="false">IF($A71="",0,SUMIFS(ST_ENCOURS,ST_LOT,$A71))</f>
        <v>0</v>
      </c>
      <c r="R71" s="45" t="str">
        <f aca="false">IF($A71="","",IF($N71&lt;-0.001,"STOCK NEGATIF - ANOMALIE",""))</f>
        <v/>
      </c>
    </row>
    <row r="72" customFormat="false" ht="15" hidden="false" customHeight="false" outlineLevel="0" collapsed="false">
      <c r="A72" s="41" t="str">
        <f aca="false">IF(LOTS!$A63="","",LOTS!$A63)</f>
        <v/>
      </c>
      <c r="B72" s="42" t="n">
        <f aca="false">IF(OR($A72="",B$13=""),0,SUMIFS(MVT_NET,MVT_LOT,$A72,MVT_EMPL,B$13))</f>
        <v>0</v>
      </c>
      <c r="C72" s="42" t="n">
        <f aca="false">IF(OR($A72="",C$13=""),0,SUMIFS(MVT_NET,MVT_LOT,$A72,MVT_EMPL,C$13))</f>
        <v>0</v>
      </c>
      <c r="D72" s="42" t="n">
        <f aca="false">IF(OR($A72="",D$13=""),0,SUMIFS(MVT_NET,MVT_LOT,$A72,MVT_EMPL,D$13))</f>
        <v>0</v>
      </c>
      <c r="E72" s="42" t="n">
        <f aca="false">IF(OR($A72="",E$13=""),0,SUMIFS(MVT_NET,MVT_LOT,$A72,MVT_EMPL,E$13))</f>
        <v>0</v>
      </c>
      <c r="F72" s="42" t="n">
        <f aca="false">IF(OR($A72="",F$13=""),0,SUMIFS(MVT_NET,MVT_LOT,$A72,MVT_EMPL,F$13))</f>
        <v>0</v>
      </c>
      <c r="G72" s="42" t="n">
        <f aca="false">IF(OR($A72="",G$13=""),0,SUMIFS(MVT_NET,MVT_LOT,$A72,MVT_EMPL,G$13))</f>
        <v>0</v>
      </c>
      <c r="H72" s="42" t="n">
        <f aca="false">IF(OR($A72="",H$13=""),0,SUMIFS(MVT_NET,MVT_LOT,$A72,MVT_EMPL,H$13))</f>
        <v>0</v>
      </c>
      <c r="I72" s="42" t="n">
        <f aca="false">IF(OR($A72="",I$13=""),0,SUMIFS(MVT_NET,MVT_LOT,$A72,MVT_EMPL,I$13))</f>
        <v>0</v>
      </c>
      <c r="J72" s="42" t="n">
        <f aca="false">IF(OR($A72="",J$13=""),0,SUMIFS(MVT_NET,MVT_LOT,$A72,MVT_EMPL,J$13))</f>
        <v>0</v>
      </c>
      <c r="K72" s="42" t="n">
        <f aca="false">IF(OR($A72="",K$13=""),0,SUMIFS(MVT_NET,MVT_LOT,$A72,MVT_EMPL,K$13))</f>
        <v>0</v>
      </c>
      <c r="L72" s="42" t="n">
        <f aca="false">IF(OR($A72="",L$13=""),0,SUMIFS(MVT_NET,MVT_LOT,$A72,MVT_EMPL,L$13))</f>
        <v>0</v>
      </c>
      <c r="M72" s="42" t="n">
        <f aca="false">IF(OR($A72="",M$13=""),0,SUMIFS(MVT_NET,MVT_LOT,$A72,MVT_EMPL,M$13))</f>
        <v>0</v>
      </c>
      <c r="N72" s="43" t="n">
        <f aca="false">SUM($B72:$M72)</f>
        <v>0</v>
      </c>
      <c r="O72" s="44" t="n">
        <f aca="false">SUMPRODUCT(($B$12:$M$12="INTERNE")*$B72:$M72)</f>
        <v>0</v>
      </c>
      <c r="P72" s="44" t="n">
        <f aca="false">SUMPRODUCT(($B$12:$M$12="EXTERNE")*$B72:$M72)</f>
        <v>0</v>
      </c>
      <c r="Q72" s="44" t="n">
        <f aca="false">IF($A72="",0,SUMIFS(ST_ENCOURS,ST_LOT,$A72))</f>
        <v>0</v>
      </c>
      <c r="R72" s="45" t="str">
        <f aca="false">IF($A72="","",IF($N72&lt;-0.001,"STOCK NEGATIF - ANOMALIE",""))</f>
        <v/>
      </c>
    </row>
    <row r="73" customFormat="false" ht="15" hidden="false" customHeight="false" outlineLevel="0" collapsed="false">
      <c r="A73" s="41" t="str">
        <f aca="false">IF(LOTS!$A64="","",LOTS!$A64)</f>
        <v/>
      </c>
      <c r="B73" s="42" t="n">
        <f aca="false">IF(OR($A73="",B$13=""),0,SUMIFS(MVT_NET,MVT_LOT,$A73,MVT_EMPL,B$13))</f>
        <v>0</v>
      </c>
      <c r="C73" s="42" t="n">
        <f aca="false">IF(OR($A73="",C$13=""),0,SUMIFS(MVT_NET,MVT_LOT,$A73,MVT_EMPL,C$13))</f>
        <v>0</v>
      </c>
      <c r="D73" s="42" t="n">
        <f aca="false">IF(OR($A73="",D$13=""),0,SUMIFS(MVT_NET,MVT_LOT,$A73,MVT_EMPL,D$13))</f>
        <v>0</v>
      </c>
      <c r="E73" s="42" t="n">
        <f aca="false">IF(OR($A73="",E$13=""),0,SUMIFS(MVT_NET,MVT_LOT,$A73,MVT_EMPL,E$13))</f>
        <v>0</v>
      </c>
      <c r="F73" s="42" t="n">
        <f aca="false">IF(OR($A73="",F$13=""),0,SUMIFS(MVT_NET,MVT_LOT,$A73,MVT_EMPL,F$13))</f>
        <v>0</v>
      </c>
      <c r="G73" s="42" t="n">
        <f aca="false">IF(OR($A73="",G$13=""),0,SUMIFS(MVT_NET,MVT_LOT,$A73,MVT_EMPL,G$13))</f>
        <v>0</v>
      </c>
      <c r="H73" s="42" t="n">
        <f aca="false">IF(OR($A73="",H$13=""),0,SUMIFS(MVT_NET,MVT_LOT,$A73,MVT_EMPL,H$13))</f>
        <v>0</v>
      </c>
      <c r="I73" s="42" t="n">
        <f aca="false">IF(OR($A73="",I$13=""),0,SUMIFS(MVT_NET,MVT_LOT,$A73,MVT_EMPL,I$13))</f>
        <v>0</v>
      </c>
      <c r="J73" s="42" t="n">
        <f aca="false">IF(OR($A73="",J$13=""),0,SUMIFS(MVT_NET,MVT_LOT,$A73,MVT_EMPL,J$13))</f>
        <v>0</v>
      </c>
      <c r="K73" s="42" t="n">
        <f aca="false">IF(OR($A73="",K$13=""),0,SUMIFS(MVT_NET,MVT_LOT,$A73,MVT_EMPL,K$13))</f>
        <v>0</v>
      </c>
      <c r="L73" s="42" t="n">
        <f aca="false">IF(OR($A73="",L$13=""),0,SUMIFS(MVT_NET,MVT_LOT,$A73,MVT_EMPL,L$13))</f>
        <v>0</v>
      </c>
      <c r="M73" s="42" t="n">
        <f aca="false">IF(OR($A73="",M$13=""),0,SUMIFS(MVT_NET,MVT_LOT,$A73,MVT_EMPL,M$13))</f>
        <v>0</v>
      </c>
      <c r="N73" s="43" t="n">
        <f aca="false">SUM($B73:$M73)</f>
        <v>0</v>
      </c>
      <c r="O73" s="44" t="n">
        <f aca="false">SUMPRODUCT(($B$12:$M$12="INTERNE")*$B73:$M73)</f>
        <v>0</v>
      </c>
      <c r="P73" s="44" t="n">
        <f aca="false">SUMPRODUCT(($B$12:$M$12="EXTERNE")*$B73:$M73)</f>
        <v>0</v>
      </c>
      <c r="Q73" s="44" t="n">
        <f aca="false">IF($A73="",0,SUMIFS(ST_ENCOURS,ST_LOT,$A73))</f>
        <v>0</v>
      </c>
      <c r="R73" s="45" t="str">
        <f aca="false">IF($A73="","",IF($N73&lt;-0.001,"STOCK NEGATIF - ANOMALIE",""))</f>
        <v/>
      </c>
    </row>
    <row r="74" customFormat="false" ht="15" hidden="false" customHeight="false" outlineLevel="0" collapsed="false">
      <c r="A74" s="41" t="str">
        <f aca="false">IF(LOTS!$A65="","",LOTS!$A65)</f>
        <v/>
      </c>
      <c r="B74" s="42" t="n">
        <f aca="false">IF(OR($A74="",B$13=""),0,SUMIFS(MVT_NET,MVT_LOT,$A74,MVT_EMPL,B$13))</f>
        <v>0</v>
      </c>
      <c r="C74" s="42" t="n">
        <f aca="false">IF(OR($A74="",C$13=""),0,SUMIFS(MVT_NET,MVT_LOT,$A74,MVT_EMPL,C$13))</f>
        <v>0</v>
      </c>
      <c r="D74" s="42" t="n">
        <f aca="false">IF(OR($A74="",D$13=""),0,SUMIFS(MVT_NET,MVT_LOT,$A74,MVT_EMPL,D$13))</f>
        <v>0</v>
      </c>
      <c r="E74" s="42" t="n">
        <f aca="false">IF(OR($A74="",E$13=""),0,SUMIFS(MVT_NET,MVT_LOT,$A74,MVT_EMPL,E$13))</f>
        <v>0</v>
      </c>
      <c r="F74" s="42" t="n">
        <f aca="false">IF(OR($A74="",F$13=""),0,SUMIFS(MVT_NET,MVT_LOT,$A74,MVT_EMPL,F$13))</f>
        <v>0</v>
      </c>
      <c r="G74" s="42" t="n">
        <f aca="false">IF(OR($A74="",G$13=""),0,SUMIFS(MVT_NET,MVT_LOT,$A74,MVT_EMPL,G$13))</f>
        <v>0</v>
      </c>
      <c r="H74" s="42" t="n">
        <f aca="false">IF(OR($A74="",H$13=""),0,SUMIFS(MVT_NET,MVT_LOT,$A74,MVT_EMPL,H$13))</f>
        <v>0</v>
      </c>
      <c r="I74" s="42" t="n">
        <f aca="false">IF(OR($A74="",I$13=""),0,SUMIFS(MVT_NET,MVT_LOT,$A74,MVT_EMPL,I$13))</f>
        <v>0</v>
      </c>
      <c r="J74" s="42" t="n">
        <f aca="false">IF(OR($A74="",J$13=""),0,SUMIFS(MVT_NET,MVT_LOT,$A74,MVT_EMPL,J$13))</f>
        <v>0</v>
      </c>
      <c r="K74" s="42" t="n">
        <f aca="false">IF(OR($A74="",K$13=""),0,SUMIFS(MVT_NET,MVT_LOT,$A74,MVT_EMPL,K$13))</f>
        <v>0</v>
      </c>
      <c r="L74" s="42" t="n">
        <f aca="false">IF(OR($A74="",L$13=""),0,SUMIFS(MVT_NET,MVT_LOT,$A74,MVT_EMPL,L$13))</f>
        <v>0</v>
      </c>
      <c r="M74" s="42" t="n">
        <f aca="false">IF(OR($A74="",M$13=""),0,SUMIFS(MVT_NET,MVT_LOT,$A74,MVT_EMPL,M$13))</f>
        <v>0</v>
      </c>
      <c r="N74" s="43" t="n">
        <f aca="false">SUM($B74:$M74)</f>
        <v>0</v>
      </c>
      <c r="O74" s="44" t="n">
        <f aca="false">SUMPRODUCT(($B$12:$M$12="INTERNE")*$B74:$M74)</f>
        <v>0</v>
      </c>
      <c r="P74" s="44" t="n">
        <f aca="false">SUMPRODUCT(($B$12:$M$12="EXTERNE")*$B74:$M74)</f>
        <v>0</v>
      </c>
      <c r="Q74" s="44" t="n">
        <f aca="false">IF($A74="",0,SUMIFS(ST_ENCOURS,ST_LOT,$A74))</f>
        <v>0</v>
      </c>
      <c r="R74" s="45" t="str">
        <f aca="false">IF($A74="","",IF($N74&lt;-0.001,"STOCK NEGATIF - ANOMALIE",""))</f>
        <v/>
      </c>
    </row>
    <row r="75" customFormat="false" ht="15" hidden="false" customHeight="false" outlineLevel="0" collapsed="false">
      <c r="A75" s="41" t="str">
        <f aca="false">IF(LOTS!$A66="","",LOTS!$A66)</f>
        <v/>
      </c>
      <c r="B75" s="42" t="n">
        <f aca="false">IF(OR($A75="",B$13=""),0,SUMIFS(MVT_NET,MVT_LOT,$A75,MVT_EMPL,B$13))</f>
        <v>0</v>
      </c>
      <c r="C75" s="42" t="n">
        <f aca="false">IF(OR($A75="",C$13=""),0,SUMIFS(MVT_NET,MVT_LOT,$A75,MVT_EMPL,C$13))</f>
        <v>0</v>
      </c>
      <c r="D75" s="42" t="n">
        <f aca="false">IF(OR($A75="",D$13=""),0,SUMIFS(MVT_NET,MVT_LOT,$A75,MVT_EMPL,D$13))</f>
        <v>0</v>
      </c>
      <c r="E75" s="42" t="n">
        <f aca="false">IF(OR($A75="",E$13=""),0,SUMIFS(MVT_NET,MVT_LOT,$A75,MVT_EMPL,E$13))</f>
        <v>0</v>
      </c>
      <c r="F75" s="42" t="n">
        <f aca="false">IF(OR($A75="",F$13=""),0,SUMIFS(MVT_NET,MVT_LOT,$A75,MVT_EMPL,F$13))</f>
        <v>0</v>
      </c>
      <c r="G75" s="42" t="n">
        <f aca="false">IF(OR($A75="",G$13=""),0,SUMIFS(MVT_NET,MVT_LOT,$A75,MVT_EMPL,G$13))</f>
        <v>0</v>
      </c>
      <c r="H75" s="42" t="n">
        <f aca="false">IF(OR($A75="",H$13=""),0,SUMIFS(MVT_NET,MVT_LOT,$A75,MVT_EMPL,H$13))</f>
        <v>0</v>
      </c>
      <c r="I75" s="42" t="n">
        <f aca="false">IF(OR($A75="",I$13=""),0,SUMIFS(MVT_NET,MVT_LOT,$A75,MVT_EMPL,I$13))</f>
        <v>0</v>
      </c>
      <c r="J75" s="42" t="n">
        <f aca="false">IF(OR($A75="",J$13=""),0,SUMIFS(MVT_NET,MVT_LOT,$A75,MVT_EMPL,J$13))</f>
        <v>0</v>
      </c>
      <c r="K75" s="42" t="n">
        <f aca="false">IF(OR($A75="",K$13=""),0,SUMIFS(MVT_NET,MVT_LOT,$A75,MVT_EMPL,K$13))</f>
        <v>0</v>
      </c>
      <c r="L75" s="42" t="n">
        <f aca="false">IF(OR($A75="",L$13=""),0,SUMIFS(MVT_NET,MVT_LOT,$A75,MVT_EMPL,L$13))</f>
        <v>0</v>
      </c>
      <c r="M75" s="42" t="n">
        <f aca="false">IF(OR($A75="",M$13=""),0,SUMIFS(MVT_NET,MVT_LOT,$A75,MVT_EMPL,M$13))</f>
        <v>0</v>
      </c>
      <c r="N75" s="43" t="n">
        <f aca="false">SUM($B75:$M75)</f>
        <v>0</v>
      </c>
      <c r="O75" s="44" t="n">
        <f aca="false">SUMPRODUCT(($B$12:$M$12="INTERNE")*$B75:$M75)</f>
        <v>0</v>
      </c>
      <c r="P75" s="44" t="n">
        <f aca="false">SUMPRODUCT(($B$12:$M$12="EXTERNE")*$B75:$M75)</f>
        <v>0</v>
      </c>
      <c r="Q75" s="44" t="n">
        <f aca="false">IF($A75="",0,SUMIFS(ST_ENCOURS,ST_LOT,$A75))</f>
        <v>0</v>
      </c>
      <c r="R75" s="45" t="str">
        <f aca="false">IF($A75="","",IF($N75&lt;-0.001,"STOCK NEGATIF - ANOMALIE",""))</f>
        <v/>
      </c>
    </row>
    <row r="76" customFormat="false" ht="15" hidden="false" customHeight="false" outlineLevel="0" collapsed="false">
      <c r="A76" s="41" t="str">
        <f aca="false">IF(LOTS!$A67="","",LOTS!$A67)</f>
        <v/>
      </c>
      <c r="B76" s="42" t="n">
        <f aca="false">IF(OR($A76="",B$13=""),0,SUMIFS(MVT_NET,MVT_LOT,$A76,MVT_EMPL,B$13))</f>
        <v>0</v>
      </c>
      <c r="C76" s="42" t="n">
        <f aca="false">IF(OR($A76="",C$13=""),0,SUMIFS(MVT_NET,MVT_LOT,$A76,MVT_EMPL,C$13))</f>
        <v>0</v>
      </c>
      <c r="D76" s="42" t="n">
        <f aca="false">IF(OR($A76="",D$13=""),0,SUMIFS(MVT_NET,MVT_LOT,$A76,MVT_EMPL,D$13))</f>
        <v>0</v>
      </c>
      <c r="E76" s="42" t="n">
        <f aca="false">IF(OR($A76="",E$13=""),0,SUMIFS(MVT_NET,MVT_LOT,$A76,MVT_EMPL,E$13))</f>
        <v>0</v>
      </c>
      <c r="F76" s="42" t="n">
        <f aca="false">IF(OR($A76="",F$13=""),0,SUMIFS(MVT_NET,MVT_LOT,$A76,MVT_EMPL,F$13))</f>
        <v>0</v>
      </c>
      <c r="G76" s="42" t="n">
        <f aca="false">IF(OR($A76="",G$13=""),0,SUMIFS(MVT_NET,MVT_LOT,$A76,MVT_EMPL,G$13))</f>
        <v>0</v>
      </c>
      <c r="H76" s="42" t="n">
        <f aca="false">IF(OR($A76="",H$13=""),0,SUMIFS(MVT_NET,MVT_LOT,$A76,MVT_EMPL,H$13))</f>
        <v>0</v>
      </c>
      <c r="I76" s="42" t="n">
        <f aca="false">IF(OR($A76="",I$13=""),0,SUMIFS(MVT_NET,MVT_LOT,$A76,MVT_EMPL,I$13))</f>
        <v>0</v>
      </c>
      <c r="J76" s="42" t="n">
        <f aca="false">IF(OR($A76="",J$13=""),0,SUMIFS(MVT_NET,MVT_LOT,$A76,MVT_EMPL,J$13))</f>
        <v>0</v>
      </c>
      <c r="K76" s="42" t="n">
        <f aca="false">IF(OR($A76="",K$13=""),0,SUMIFS(MVT_NET,MVT_LOT,$A76,MVT_EMPL,K$13))</f>
        <v>0</v>
      </c>
      <c r="L76" s="42" t="n">
        <f aca="false">IF(OR($A76="",L$13=""),0,SUMIFS(MVT_NET,MVT_LOT,$A76,MVT_EMPL,L$13))</f>
        <v>0</v>
      </c>
      <c r="M76" s="42" t="n">
        <f aca="false">IF(OR($A76="",M$13=""),0,SUMIFS(MVT_NET,MVT_LOT,$A76,MVT_EMPL,M$13))</f>
        <v>0</v>
      </c>
      <c r="N76" s="43" t="n">
        <f aca="false">SUM($B76:$M76)</f>
        <v>0</v>
      </c>
      <c r="O76" s="44" t="n">
        <f aca="false">SUMPRODUCT(($B$12:$M$12="INTERNE")*$B76:$M76)</f>
        <v>0</v>
      </c>
      <c r="P76" s="44" t="n">
        <f aca="false">SUMPRODUCT(($B$12:$M$12="EXTERNE")*$B76:$M76)</f>
        <v>0</v>
      </c>
      <c r="Q76" s="44" t="n">
        <f aca="false">IF($A76="",0,SUMIFS(ST_ENCOURS,ST_LOT,$A76))</f>
        <v>0</v>
      </c>
      <c r="R76" s="45" t="str">
        <f aca="false">IF($A76="","",IF($N76&lt;-0.001,"STOCK NEGATIF - ANOMALIE",""))</f>
        <v/>
      </c>
    </row>
    <row r="77" customFormat="false" ht="15" hidden="false" customHeight="false" outlineLevel="0" collapsed="false">
      <c r="A77" s="41" t="str">
        <f aca="false">IF(LOTS!$A68="","",LOTS!$A68)</f>
        <v/>
      </c>
      <c r="B77" s="42" t="n">
        <f aca="false">IF(OR($A77="",B$13=""),0,SUMIFS(MVT_NET,MVT_LOT,$A77,MVT_EMPL,B$13))</f>
        <v>0</v>
      </c>
      <c r="C77" s="42" t="n">
        <f aca="false">IF(OR($A77="",C$13=""),0,SUMIFS(MVT_NET,MVT_LOT,$A77,MVT_EMPL,C$13))</f>
        <v>0</v>
      </c>
      <c r="D77" s="42" t="n">
        <f aca="false">IF(OR($A77="",D$13=""),0,SUMIFS(MVT_NET,MVT_LOT,$A77,MVT_EMPL,D$13))</f>
        <v>0</v>
      </c>
      <c r="E77" s="42" t="n">
        <f aca="false">IF(OR($A77="",E$13=""),0,SUMIFS(MVT_NET,MVT_LOT,$A77,MVT_EMPL,E$13))</f>
        <v>0</v>
      </c>
      <c r="F77" s="42" t="n">
        <f aca="false">IF(OR($A77="",F$13=""),0,SUMIFS(MVT_NET,MVT_LOT,$A77,MVT_EMPL,F$13))</f>
        <v>0</v>
      </c>
      <c r="G77" s="42" t="n">
        <f aca="false">IF(OR($A77="",G$13=""),0,SUMIFS(MVT_NET,MVT_LOT,$A77,MVT_EMPL,G$13))</f>
        <v>0</v>
      </c>
      <c r="H77" s="42" t="n">
        <f aca="false">IF(OR($A77="",H$13=""),0,SUMIFS(MVT_NET,MVT_LOT,$A77,MVT_EMPL,H$13))</f>
        <v>0</v>
      </c>
      <c r="I77" s="42" t="n">
        <f aca="false">IF(OR($A77="",I$13=""),0,SUMIFS(MVT_NET,MVT_LOT,$A77,MVT_EMPL,I$13))</f>
        <v>0</v>
      </c>
      <c r="J77" s="42" t="n">
        <f aca="false">IF(OR($A77="",J$13=""),0,SUMIFS(MVT_NET,MVT_LOT,$A77,MVT_EMPL,J$13))</f>
        <v>0</v>
      </c>
      <c r="K77" s="42" t="n">
        <f aca="false">IF(OR($A77="",K$13=""),0,SUMIFS(MVT_NET,MVT_LOT,$A77,MVT_EMPL,K$13))</f>
        <v>0</v>
      </c>
      <c r="L77" s="42" t="n">
        <f aca="false">IF(OR($A77="",L$13=""),0,SUMIFS(MVT_NET,MVT_LOT,$A77,MVT_EMPL,L$13))</f>
        <v>0</v>
      </c>
      <c r="M77" s="42" t="n">
        <f aca="false">IF(OR($A77="",M$13=""),0,SUMIFS(MVT_NET,MVT_LOT,$A77,MVT_EMPL,M$13))</f>
        <v>0</v>
      </c>
      <c r="N77" s="43" t="n">
        <f aca="false">SUM($B77:$M77)</f>
        <v>0</v>
      </c>
      <c r="O77" s="44" t="n">
        <f aca="false">SUMPRODUCT(($B$12:$M$12="INTERNE")*$B77:$M77)</f>
        <v>0</v>
      </c>
      <c r="P77" s="44" t="n">
        <f aca="false">SUMPRODUCT(($B$12:$M$12="EXTERNE")*$B77:$M77)</f>
        <v>0</v>
      </c>
      <c r="Q77" s="44" t="n">
        <f aca="false">IF($A77="",0,SUMIFS(ST_ENCOURS,ST_LOT,$A77))</f>
        <v>0</v>
      </c>
      <c r="R77" s="45" t="str">
        <f aca="false">IF($A77="","",IF($N77&lt;-0.001,"STOCK NEGATIF - ANOMALIE",""))</f>
        <v/>
      </c>
    </row>
    <row r="78" customFormat="false" ht="15" hidden="false" customHeight="false" outlineLevel="0" collapsed="false">
      <c r="A78" s="41" t="str">
        <f aca="false">IF(LOTS!$A69="","",LOTS!$A69)</f>
        <v/>
      </c>
      <c r="B78" s="42" t="n">
        <f aca="false">IF(OR($A78="",B$13=""),0,SUMIFS(MVT_NET,MVT_LOT,$A78,MVT_EMPL,B$13))</f>
        <v>0</v>
      </c>
      <c r="C78" s="42" t="n">
        <f aca="false">IF(OR($A78="",C$13=""),0,SUMIFS(MVT_NET,MVT_LOT,$A78,MVT_EMPL,C$13))</f>
        <v>0</v>
      </c>
      <c r="D78" s="42" t="n">
        <f aca="false">IF(OR($A78="",D$13=""),0,SUMIFS(MVT_NET,MVT_LOT,$A78,MVT_EMPL,D$13))</f>
        <v>0</v>
      </c>
      <c r="E78" s="42" t="n">
        <f aca="false">IF(OR($A78="",E$13=""),0,SUMIFS(MVT_NET,MVT_LOT,$A78,MVT_EMPL,E$13))</f>
        <v>0</v>
      </c>
      <c r="F78" s="42" t="n">
        <f aca="false">IF(OR($A78="",F$13=""),0,SUMIFS(MVT_NET,MVT_LOT,$A78,MVT_EMPL,F$13))</f>
        <v>0</v>
      </c>
      <c r="G78" s="42" t="n">
        <f aca="false">IF(OR($A78="",G$13=""),0,SUMIFS(MVT_NET,MVT_LOT,$A78,MVT_EMPL,G$13))</f>
        <v>0</v>
      </c>
      <c r="H78" s="42" t="n">
        <f aca="false">IF(OR($A78="",H$13=""),0,SUMIFS(MVT_NET,MVT_LOT,$A78,MVT_EMPL,H$13))</f>
        <v>0</v>
      </c>
      <c r="I78" s="42" t="n">
        <f aca="false">IF(OR($A78="",I$13=""),0,SUMIFS(MVT_NET,MVT_LOT,$A78,MVT_EMPL,I$13))</f>
        <v>0</v>
      </c>
      <c r="J78" s="42" t="n">
        <f aca="false">IF(OR($A78="",J$13=""),0,SUMIFS(MVT_NET,MVT_LOT,$A78,MVT_EMPL,J$13))</f>
        <v>0</v>
      </c>
      <c r="K78" s="42" t="n">
        <f aca="false">IF(OR($A78="",K$13=""),0,SUMIFS(MVT_NET,MVT_LOT,$A78,MVT_EMPL,K$13))</f>
        <v>0</v>
      </c>
      <c r="L78" s="42" t="n">
        <f aca="false">IF(OR($A78="",L$13=""),0,SUMIFS(MVT_NET,MVT_LOT,$A78,MVT_EMPL,L$13))</f>
        <v>0</v>
      </c>
      <c r="M78" s="42" t="n">
        <f aca="false">IF(OR($A78="",M$13=""),0,SUMIFS(MVT_NET,MVT_LOT,$A78,MVT_EMPL,M$13))</f>
        <v>0</v>
      </c>
      <c r="N78" s="43" t="n">
        <f aca="false">SUM($B78:$M78)</f>
        <v>0</v>
      </c>
      <c r="O78" s="44" t="n">
        <f aca="false">SUMPRODUCT(($B$12:$M$12="INTERNE")*$B78:$M78)</f>
        <v>0</v>
      </c>
      <c r="P78" s="44" t="n">
        <f aca="false">SUMPRODUCT(($B$12:$M$12="EXTERNE")*$B78:$M78)</f>
        <v>0</v>
      </c>
      <c r="Q78" s="44" t="n">
        <f aca="false">IF($A78="",0,SUMIFS(ST_ENCOURS,ST_LOT,$A78))</f>
        <v>0</v>
      </c>
      <c r="R78" s="45" t="str">
        <f aca="false">IF($A78="","",IF($N78&lt;-0.001,"STOCK NEGATIF - ANOMALIE",""))</f>
        <v/>
      </c>
    </row>
    <row r="79" customFormat="false" ht="15" hidden="false" customHeight="false" outlineLevel="0" collapsed="false">
      <c r="A79" s="41" t="str">
        <f aca="false">IF(LOTS!$A70="","",LOTS!$A70)</f>
        <v/>
      </c>
      <c r="B79" s="42" t="n">
        <f aca="false">IF(OR($A79="",B$13=""),0,SUMIFS(MVT_NET,MVT_LOT,$A79,MVT_EMPL,B$13))</f>
        <v>0</v>
      </c>
      <c r="C79" s="42" t="n">
        <f aca="false">IF(OR($A79="",C$13=""),0,SUMIFS(MVT_NET,MVT_LOT,$A79,MVT_EMPL,C$13))</f>
        <v>0</v>
      </c>
      <c r="D79" s="42" t="n">
        <f aca="false">IF(OR($A79="",D$13=""),0,SUMIFS(MVT_NET,MVT_LOT,$A79,MVT_EMPL,D$13))</f>
        <v>0</v>
      </c>
      <c r="E79" s="42" t="n">
        <f aca="false">IF(OR($A79="",E$13=""),0,SUMIFS(MVT_NET,MVT_LOT,$A79,MVT_EMPL,E$13))</f>
        <v>0</v>
      </c>
      <c r="F79" s="42" t="n">
        <f aca="false">IF(OR($A79="",F$13=""),0,SUMIFS(MVT_NET,MVT_LOT,$A79,MVT_EMPL,F$13))</f>
        <v>0</v>
      </c>
      <c r="G79" s="42" t="n">
        <f aca="false">IF(OR($A79="",G$13=""),0,SUMIFS(MVT_NET,MVT_LOT,$A79,MVT_EMPL,G$13))</f>
        <v>0</v>
      </c>
      <c r="H79" s="42" t="n">
        <f aca="false">IF(OR($A79="",H$13=""),0,SUMIFS(MVT_NET,MVT_LOT,$A79,MVT_EMPL,H$13))</f>
        <v>0</v>
      </c>
      <c r="I79" s="42" t="n">
        <f aca="false">IF(OR($A79="",I$13=""),0,SUMIFS(MVT_NET,MVT_LOT,$A79,MVT_EMPL,I$13))</f>
        <v>0</v>
      </c>
      <c r="J79" s="42" t="n">
        <f aca="false">IF(OR($A79="",J$13=""),0,SUMIFS(MVT_NET,MVT_LOT,$A79,MVT_EMPL,J$13))</f>
        <v>0</v>
      </c>
      <c r="K79" s="42" t="n">
        <f aca="false">IF(OR($A79="",K$13=""),0,SUMIFS(MVT_NET,MVT_LOT,$A79,MVT_EMPL,K$13))</f>
        <v>0</v>
      </c>
      <c r="L79" s="42" t="n">
        <f aca="false">IF(OR($A79="",L$13=""),0,SUMIFS(MVT_NET,MVT_LOT,$A79,MVT_EMPL,L$13))</f>
        <v>0</v>
      </c>
      <c r="M79" s="42" t="n">
        <f aca="false">IF(OR($A79="",M$13=""),0,SUMIFS(MVT_NET,MVT_LOT,$A79,MVT_EMPL,M$13))</f>
        <v>0</v>
      </c>
      <c r="N79" s="43" t="n">
        <f aca="false">SUM($B79:$M79)</f>
        <v>0</v>
      </c>
      <c r="O79" s="44" t="n">
        <f aca="false">SUMPRODUCT(($B$12:$M$12="INTERNE")*$B79:$M79)</f>
        <v>0</v>
      </c>
      <c r="P79" s="44" t="n">
        <f aca="false">SUMPRODUCT(($B$12:$M$12="EXTERNE")*$B79:$M79)</f>
        <v>0</v>
      </c>
      <c r="Q79" s="44" t="n">
        <f aca="false">IF($A79="",0,SUMIFS(ST_ENCOURS,ST_LOT,$A79))</f>
        <v>0</v>
      </c>
      <c r="R79" s="45" t="str">
        <f aca="false">IF($A79="","",IF($N79&lt;-0.001,"STOCK NEGATIF - ANOMALIE",""))</f>
        <v/>
      </c>
    </row>
    <row r="80" customFormat="false" ht="15" hidden="false" customHeight="false" outlineLevel="0" collapsed="false">
      <c r="A80" s="41" t="str">
        <f aca="false">IF(LOTS!$A71="","",LOTS!$A71)</f>
        <v/>
      </c>
      <c r="B80" s="42" t="n">
        <f aca="false">IF(OR($A80="",B$13=""),0,SUMIFS(MVT_NET,MVT_LOT,$A80,MVT_EMPL,B$13))</f>
        <v>0</v>
      </c>
      <c r="C80" s="42" t="n">
        <f aca="false">IF(OR($A80="",C$13=""),0,SUMIFS(MVT_NET,MVT_LOT,$A80,MVT_EMPL,C$13))</f>
        <v>0</v>
      </c>
      <c r="D80" s="42" t="n">
        <f aca="false">IF(OR($A80="",D$13=""),0,SUMIFS(MVT_NET,MVT_LOT,$A80,MVT_EMPL,D$13))</f>
        <v>0</v>
      </c>
      <c r="E80" s="42" t="n">
        <f aca="false">IF(OR($A80="",E$13=""),0,SUMIFS(MVT_NET,MVT_LOT,$A80,MVT_EMPL,E$13))</f>
        <v>0</v>
      </c>
      <c r="F80" s="42" t="n">
        <f aca="false">IF(OR($A80="",F$13=""),0,SUMIFS(MVT_NET,MVT_LOT,$A80,MVT_EMPL,F$13))</f>
        <v>0</v>
      </c>
      <c r="G80" s="42" t="n">
        <f aca="false">IF(OR($A80="",G$13=""),0,SUMIFS(MVT_NET,MVT_LOT,$A80,MVT_EMPL,G$13))</f>
        <v>0</v>
      </c>
      <c r="H80" s="42" t="n">
        <f aca="false">IF(OR($A80="",H$13=""),0,SUMIFS(MVT_NET,MVT_LOT,$A80,MVT_EMPL,H$13))</f>
        <v>0</v>
      </c>
      <c r="I80" s="42" t="n">
        <f aca="false">IF(OR($A80="",I$13=""),0,SUMIFS(MVT_NET,MVT_LOT,$A80,MVT_EMPL,I$13))</f>
        <v>0</v>
      </c>
      <c r="J80" s="42" t="n">
        <f aca="false">IF(OR($A80="",J$13=""),0,SUMIFS(MVT_NET,MVT_LOT,$A80,MVT_EMPL,J$13))</f>
        <v>0</v>
      </c>
      <c r="K80" s="42" t="n">
        <f aca="false">IF(OR($A80="",K$13=""),0,SUMIFS(MVT_NET,MVT_LOT,$A80,MVT_EMPL,K$13))</f>
        <v>0</v>
      </c>
      <c r="L80" s="42" t="n">
        <f aca="false">IF(OR($A80="",L$13=""),0,SUMIFS(MVT_NET,MVT_LOT,$A80,MVT_EMPL,L$13))</f>
        <v>0</v>
      </c>
      <c r="M80" s="42" t="n">
        <f aca="false">IF(OR($A80="",M$13=""),0,SUMIFS(MVT_NET,MVT_LOT,$A80,MVT_EMPL,M$13))</f>
        <v>0</v>
      </c>
      <c r="N80" s="43" t="n">
        <f aca="false">SUM($B80:$M80)</f>
        <v>0</v>
      </c>
      <c r="O80" s="44" t="n">
        <f aca="false">SUMPRODUCT(($B$12:$M$12="INTERNE")*$B80:$M80)</f>
        <v>0</v>
      </c>
      <c r="P80" s="44" t="n">
        <f aca="false">SUMPRODUCT(($B$12:$M$12="EXTERNE")*$B80:$M80)</f>
        <v>0</v>
      </c>
      <c r="Q80" s="44" t="n">
        <f aca="false">IF($A80="",0,SUMIFS(ST_ENCOURS,ST_LOT,$A80))</f>
        <v>0</v>
      </c>
      <c r="R80" s="45" t="str">
        <f aca="false">IF($A80="","",IF($N80&lt;-0.001,"STOCK NEGATIF - ANOMALIE",""))</f>
        <v/>
      </c>
    </row>
    <row r="81" customFormat="false" ht="15" hidden="false" customHeight="false" outlineLevel="0" collapsed="false">
      <c r="A81" s="41" t="str">
        <f aca="false">IF(LOTS!$A72="","",LOTS!$A72)</f>
        <v/>
      </c>
      <c r="B81" s="42" t="n">
        <f aca="false">IF(OR($A81="",B$13=""),0,SUMIFS(MVT_NET,MVT_LOT,$A81,MVT_EMPL,B$13))</f>
        <v>0</v>
      </c>
      <c r="C81" s="42" t="n">
        <f aca="false">IF(OR($A81="",C$13=""),0,SUMIFS(MVT_NET,MVT_LOT,$A81,MVT_EMPL,C$13))</f>
        <v>0</v>
      </c>
      <c r="D81" s="42" t="n">
        <f aca="false">IF(OR($A81="",D$13=""),0,SUMIFS(MVT_NET,MVT_LOT,$A81,MVT_EMPL,D$13))</f>
        <v>0</v>
      </c>
      <c r="E81" s="42" t="n">
        <f aca="false">IF(OR($A81="",E$13=""),0,SUMIFS(MVT_NET,MVT_LOT,$A81,MVT_EMPL,E$13))</f>
        <v>0</v>
      </c>
      <c r="F81" s="42" t="n">
        <f aca="false">IF(OR($A81="",F$13=""),0,SUMIFS(MVT_NET,MVT_LOT,$A81,MVT_EMPL,F$13))</f>
        <v>0</v>
      </c>
      <c r="G81" s="42" t="n">
        <f aca="false">IF(OR($A81="",G$13=""),0,SUMIFS(MVT_NET,MVT_LOT,$A81,MVT_EMPL,G$13))</f>
        <v>0</v>
      </c>
      <c r="H81" s="42" t="n">
        <f aca="false">IF(OR($A81="",H$13=""),0,SUMIFS(MVT_NET,MVT_LOT,$A81,MVT_EMPL,H$13))</f>
        <v>0</v>
      </c>
      <c r="I81" s="42" t="n">
        <f aca="false">IF(OR($A81="",I$13=""),0,SUMIFS(MVT_NET,MVT_LOT,$A81,MVT_EMPL,I$13))</f>
        <v>0</v>
      </c>
      <c r="J81" s="42" t="n">
        <f aca="false">IF(OR($A81="",J$13=""),0,SUMIFS(MVT_NET,MVT_LOT,$A81,MVT_EMPL,J$13))</f>
        <v>0</v>
      </c>
      <c r="K81" s="42" t="n">
        <f aca="false">IF(OR($A81="",K$13=""),0,SUMIFS(MVT_NET,MVT_LOT,$A81,MVT_EMPL,K$13))</f>
        <v>0</v>
      </c>
      <c r="L81" s="42" t="n">
        <f aca="false">IF(OR($A81="",L$13=""),0,SUMIFS(MVT_NET,MVT_LOT,$A81,MVT_EMPL,L$13))</f>
        <v>0</v>
      </c>
      <c r="M81" s="42" t="n">
        <f aca="false">IF(OR($A81="",M$13=""),0,SUMIFS(MVT_NET,MVT_LOT,$A81,MVT_EMPL,M$13))</f>
        <v>0</v>
      </c>
      <c r="N81" s="43" t="n">
        <f aca="false">SUM($B81:$M81)</f>
        <v>0</v>
      </c>
      <c r="O81" s="44" t="n">
        <f aca="false">SUMPRODUCT(($B$12:$M$12="INTERNE")*$B81:$M81)</f>
        <v>0</v>
      </c>
      <c r="P81" s="44" t="n">
        <f aca="false">SUMPRODUCT(($B$12:$M$12="EXTERNE")*$B81:$M81)</f>
        <v>0</v>
      </c>
      <c r="Q81" s="44" t="n">
        <f aca="false">IF($A81="",0,SUMIFS(ST_ENCOURS,ST_LOT,$A81))</f>
        <v>0</v>
      </c>
      <c r="R81" s="45" t="str">
        <f aca="false">IF($A81="","",IF($N81&lt;-0.001,"STOCK NEGATIF - ANOMALIE",""))</f>
        <v/>
      </c>
    </row>
    <row r="82" customFormat="false" ht="15" hidden="false" customHeight="false" outlineLevel="0" collapsed="false">
      <c r="A82" s="41" t="str">
        <f aca="false">IF(LOTS!$A73="","",LOTS!$A73)</f>
        <v/>
      </c>
      <c r="B82" s="42" t="n">
        <f aca="false">IF(OR($A82="",B$13=""),0,SUMIFS(MVT_NET,MVT_LOT,$A82,MVT_EMPL,B$13))</f>
        <v>0</v>
      </c>
      <c r="C82" s="42" t="n">
        <f aca="false">IF(OR($A82="",C$13=""),0,SUMIFS(MVT_NET,MVT_LOT,$A82,MVT_EMPL,C$13))</f>
        <v>0</v>
      </c>
      <c r="D82" s="42" t="n">
        <f aca="false">IF(OR($A82="",D$13=""),0,SUMIFS(MVT_NET,MVT_LOT,$A82,MVT_EMPL,D$13))</f>
        <v>0</v>
      </c>
      <c r="E82" s="42" t="n">
        <f aca="false">IF(OR($A82="",E$13=""),0,SUMIFS(MVT_NET,MVT_LOT,$A82,MVT_EMPL,E$13))</f>
        <v>0</v>
      </c>
      <c r="F82" s="42" t="n">
        <f aca="false">IF(OR($A82="",F$13=""),0,SUMIFS(MVT_NET,MVT_LOT,$A82,MVT_EMPL,F$13))</f>
        <v>0</v>
      </c>
      <c r="G82" s="42" t="n">
        <f aca="false">IF(OR($A82="",G$13=""),0,SUMIFS(MVT_NET,MVT_LOT,$A82,MVT_EMPL,G$13))</f>
        <v>0</v>
      </c>
      <c r="H82" s="42" t="n">
        <f aca="false">IF(OR($A82="",H$13=""),0,SUMIFS(MVT_NET,MVT_LOT,$A82,MVT_EMPL,H$13))</f>
        <v>0</v>
      </c>
      <c r="I82" s="42" t="n">
        <f aca="false">IF(OR($A82="",I$13=""),0,SUMIFS(MVT_NET,MVT_LOT,$A82,MVT_EMPL,I$13))</f>
        <v>0</v>
      </c>
      <c r="J82" s="42" t="n">
        <f aca="false">IF(OR($A82="",J$13=""),0,SUMIFS(MVT_NET,MVT_LOT,$A82,MVT_EMPL,J$13))</f>
        <v>0</v>
      </c>
      <c r="K82" s="42" t="n">
        <f aca="false">IF(OR($A82="",K$13=""),0,SUMIFS(MVT_NET,MVT_LOT,$A82,MVT_EMPL,K$13))</f>
        <v>0</v>
      </c>
      <c r="L82" s="42" t="n">
        <f aca="false">IF(OR($A82="",L$13=""),0,SUMIFS(MVT_NET,MVT_LOT,$A82,MVT_EMPL,L$13))</f>
        <v>0</v>
      </c>
      <c r="M82" s="42" t="n">
        <f aca="false">IF(OR($A82="",M$13=""),0,SUMIFS(MVT_NET,MVT_LOT,$A82,MVT_EMPL,M$13))</f>
        <v>0</v>
      </c>
      <c r="N82" s="43" t="n">
        <f aca="false">SUM($B82:$M82)</f>
        <v>0</v>
      </c>
      <c r="O82" s="44" t="n">
        <f aca="false">SUMPRODUCT(($B$12:$M$12="INTERNE")*$B82:$M82)</f>
        <v>0</v>
      </c>
      <c r="P82" s="44" t="n">
        <f aca="false">SUMPRODUCT(($B$12:$M$12="EXTERNE")*$B82:$M82)</f>
        <v>0</v>
      </c>
      <c r="Q82" s="44" t="n">
        <f aca="false">IF($A82="",0,SUMIFS(ST_ENCOURS,ST_LOT,$A82))</f>
        <v>0</v>
      </c>
      <c r="R82" s="45" t="str">
        <f aca="false">IF($A82="","",IF($N82&lt;-0.001,"STOCK NEGATIF - ANOMALIE",""))</f>
        <v/>
      </c>
    </row>
    <row r="83" customFormat="false" ht="15" hidden="false" customHeight="false" outlineLevel="0" collapsed="false">
      <c r="A83" s="41" t="str">
        <f aca="false">IF(LOTS!$A74="","",LOTS!$A74)</f>
        <v/>
      </c>
      <c r="B83" s="42" t="n">
        <f aca="false">IF(OR($A83="",B$13=""),0,SUMIFS(MVT_NET,MVT_LOT,$A83,MVT_EMPL,B$13))</f>
        <v>0</v>
      </c>
      <c r="C83" s="42" t="n">
        <f aca="false">IF(OR($A83="",C$13=""),0,SUMIFS(MVT_NET,MVT_LOT,$A83,MVT_EMPL,C$13))</f>
        <v>0</v>
      </c>
      <c r="D83" s="42" t="n">
        <f aca="false">IF(OR($A83="",D$13=""),0,SUMIFS(MVT_NET,MVT_LOT,$A83,MVT_EMPL,D$13))</f>
        <v>0</v>
      </c>
      <c r="E83" s="42" t="n">
        <f aca="false">IF(OR($A83="",E$13=""),0,SUMIFS(MVT_NET,MVT_LOT,$A83,MVT_EMPL,E$13))</f>
        <v>0</v>
      </c>
      <c r="F83" s="42" t="n">
        <f aca="false">IF(OR($A83="",F$13=""),0,SUMIFS(MVT_NET,MVT_LOT,$A83,MVT_EMPL,F$13))</f>
        <v>0</v>
      </c>
      <c r="G83" s="42" t="n">
        <f aca="false">IF(OR($A83="",G$13=""),0,SUMIFS(MVT_NET,MVT_LOT,$A83,MVT_EMPL,G$13))</f>
        <v>0</v>
      </c>
      <c r="H83" s="42" t="n">
        <f aca="false">IF(OR($A83="",H$13=""),0,SUMIFS(MVT_NET,MVT_LOT,$A83,MVT_EMPL,H$13))</f>
        <v>0</v>
      </c>
      <c r="I83" s="42" t="n">
        <f aca="false">IF(OR($A83="",I$13=""),0,SUMIFS(MVT_NET,MVT_LOT,$A83,MVT_EMPL,I$13))</f>
        <v>0</v>
      </c>
      <c r="J83" s="42" t="n">
        <f aca="false">IF(OR($A83="",J$13=""),0,SUMIFS(MVT_NET,MVT_LOT,$A83,MVT_EMPL,J$13))</f>
        <v>0</v>
      </c>
      <c r="K83" s="42" t="n">
        <f aca="false">IF(OR($A83="",K$13=""),0,SUMIFS(MVT_NET,MVT_LOT,$A83,MVT_EMPL,K$13))</f>
        <v>0</v>
      </c>
      <c r="L83" s="42" t="n">
        <f aca="false">IF(OR($A83="",L$13=""),0,SUMIFS(MVT_NET,MVT_LOT,$A83,MVT_EMPL,L$13))</f>
        <v>0</v>
      </c>
      <c r="M83" s="42" t="n">
        <f aca="false">IF(OR($A83="",M$13=""),0,SUMIFS(MVT_NET,MVT_LOT,$A83,MVT_EMPL,M$13))</f>
        <v>0</v>
      </c>
      <c r="N83" s="43" t="n">
        <f aca="false">SUM($B83:$M83)</f>
        <v>0</v>
      </c>
      <c r="O83" s="44" t="n">
        <f aca="false">SUMPRODUCT(($B$12:$M$12="INTERNE")*$B83:$M83)</f>
        <v>0</v>
      </c>
      <c r="P83" s="44" t="n">
        <f aca="false">SUMPRODUCT(($B$12:$M$12="EXTERNE")*$B83:$M83)</f>
        <v>0</v>
      </c>
      <c r="Q83" s="44" t="n">
        <f aca="false">IF($A83="",0,SUMIFS(ST_ENCOURS,ST_LOT,$A83))</f>
        <v>0</v>
      </c>
      <c r="R83" s="45" t="str">
        <f aca="false">IF($A83="","",IF($N83&lt;-0.001,"STOCK NEGATIF - ANOMALIE",""))</f>
        <v/>
      </c>
    </row>
    <row r="84" customFormat="false" ht="15" hidden="false" customHeight="false" outlineLevel="0" collapsed="false">
      <c r="A84" s="41" t="str">
        <f aca="false">IF(LOTS!$A75="","",LOTS!$A75)</f>
        <v/>
      </c>
      <c r="B84" s="42" t="n">
        <f aca="false">IF(OR($A84="",B$13=""),0,SUMIFS(MVT_NET,MVT_LOT,$A84,MVT_EMPL,B$13))</f>
        <v>0</v>
      </c>
      <c r="C84" s="42" t="n">
        <f aca="false">IF(OR($A84="",C$13=""),0,SUMIFS(MVT_NET,MVT_LOT,$A84,MVT_EMPL,C$13))</f>
        <v>0</v>
      </c>
      <c r="D84" s="42" t="n">
        <f aca="false">IF(OR($A84="",D$13=""),0,SUMIFS(MVT_NET,MVT_LOT,$A84,MVT_EMPL,D$13))</f>
        <v>0</v>
      </c>
      <c r="E84" s="42" t="n">
        <f aca="false">IF(OR($A84="",E$13=""),0,SUMIFS(MVT_NET,MVT_LOT,$A84,MVT_EMPL,E$13))</f>
        <v>0</v>
      </c>
      <c r="F84" s="42" t="n">
        <f aca="false">IF(OR($A84="",F$13=""),0,SUMIFS(MVT_NET,MVT_LOT,$A84,MVT_EMPL,F$13))</f>
        <v>0</v>
      </c>
      <c r="G84" s="42" t="n">
        <f aca="false">IF(OR($A84="",G$13=""),0,SUMIFS(MVT_NET,MVT_LOT,$A84,MVT_EMPL,G$13))</f>
        <v>0</v>
      </c>
      <c r="H84" s="42" t="n">
        <f aca="false">IF(OR($A84="",H$13=""),0,SUMIFS(MVT_NET,MVT_LOT,$A84,MVT_EMPL,H$13))</f>
        <v>0</v>
      </c>
      <c r="I84" s="42" t="n">
        <f aca="false">IF(OR($A84="",I$13=""),0,SUMIFS(MVT_NET,MVT_LOT,$A84,MVT_EMPL,I$13))</f>
        <v>0</v>
      </c>
      <c r="J84" s="42" t="n">
        <f aca="false">IF(OR($A84="",J$13=""),0,SUMIFS(MVT_NET,MVT_LOT,$A84,MVT_EMPL,J$13))</f>
        <v>0</v>
      </c>
      <c r="K84" s="42" t="n">
        <f aca="false">IF(OR($A84="",K$13=""),0,SUMIFS(MVT_NET,MVT_LOT,$A84,MVT_EMPL,K$13))</f>
        <v>0</v>
      </c>
      <c r="L84" s="42" t="n">
        <f aca="false">IF(OR($A84="",L$13=""),0,SUMIFS(MVT_NET,MVT_LOT,$A84,MVT_EMPL,L$13))</f>
        <v>0</v>
      </c>
      <c r="M84" s="42" t="n">
        <f aca="false">IF(OR($A84="",M$13=""),0,SUMIFS(MVT_NET,MVT_LOT,$A84,MVT_EMPL,M$13))</f>
        <v>0</v>
      </c>
      <c r="N84" s="43" t="n">
        <f aca="false">SUM($B84:$M84)</f>
        <v>0</v>
      </c>
      <c r="O84" s="44" t="n">
        <f aca="false">SUMPRODUCT(($B$12:$M$12="INTERNE")*$B84:$M84)</f>
        <v>0</v>
      </c>
      <c r="P84" s="44" t="n">
        <f aca="false">SUMPRODUCT(($B$12:$M$12="EXTERNE")*$B84:$M84)</f>
        <v>0</v>
      </c>
      <c r="Q84" s="44" t="n">
        <f aca="false">IF($A84="",0,SUMIFS(ST_ENCOURS,ST_LOT,$A84))</f>
        <v>0</v>
      </c>
      <c r="R84" s="45" t="str">
        <f aca="false">IF($A84="","",IF($N84&lt;-0.001,"STOCK NEGATIF - ANOMALIE",""))</f>
        <v/>
      </c>
    </row>
    <row r="85" customFormat="false" ht="15" hidden="false" customHeight="false" outlineLevel="0" collapsed="false">
      <c r="A85" s="41" t="str">
        <f aca="false">IF(LOTS!$A76="","",LOTS!$A76)</f>
        <v/>
      </c>
      <c r="B85" s="42" t="n">
        <f aca="false">IF(OR($A85="",B$13=""),0,SUMIFS(MVT_NET,MVT_LOT,$A85,MVT_EMPL,B$13))</f>
        <v>0</v>
      </c>
      <c r="C85" s="42" t="n">
        <f aca="false">IF(OR($A85="",C$13=""),0,SUMIFS(MVT_NET,MVT_LOT,$A85,MVT_EMPL,C$13))</f>
        <v>0</v>
      </c>
      <c r="D85" s="42" t="n">
        <f aca="false">IF(OR($A85="",D$13=""),0,SUMIFS(MVT_NET,MVT_LOT,$A85,MVT_EMPL,D$13))</f>
        <v>0</v>
      </c>
      <c r="E85" s="42" t="n">
        <f aca="false">IF(OR($A85="",E$13=""),0,SUMIFS(MVT_NET,MVT_LOT,$A85,MVT_EMPL,E$13))</f>
        <v>0</v>
      </c>
      <c r="F85" s="42" t="n">
        <f aca="false">IF(OR($A85="",F$13=""),0,SUMIFS(MVT_NET,MVT_LOT,$A85,MVT_EMPL,F$13))</f>
        <v>0</v>
      </c>
      <c r="G85" s="42" t="n">
        <f aca="false">IF(OR($A85="",G$13=""),0,SUMIFS(MVT_NET,MVT_LOT,$A85,MVT_EMPL,G$13))</f>
        <v>0</v>
      </c>
      <c r="H85" s="42" t="n">
        <f aca="false">IF(OR($A85="",H$13=""),0,SUMIFS(MVT_NET,MVT_LOT,$A85,MVT_EMPL,H$13))</f>
        <v>0</v>
      </c>
      <c r="I85" s="42" t="n">
        <f aca="false">IF(OR($A85="",I$13=""),0,SUMIFS(MVT_NET,MVT_LOT,$A85,MVT_EMPL,I$13))</f>
        <v>0</v>
      </c>
      <c r="J85" s="42" t="n">
        <f aca="false">IF(OR($A85="",J$13=""),0,SUMIFS(MVT_NET,MVT_LOT,$A85,MVT_EMPL,J$13))</f>
        <v>0</v>
      </c>
      <c r="K85" s="42" t="n">
        <f aca="false">IF(OR($A85="",K$13=""),0,SUMIFS(MVT_NET,MVT_LOT,$A85,MVT_EMPL,K$13))</f>
        <v>0</v>
      </c>
      <c r="L85" s="42" t="n">
        <f aca="false">IF(OR($A85="",L$13=""),0,SUMIFS(MVT_NET,MVT_LOT,$A85,MVT_EMPL,L$13))</f>
        <v>0</v>
      </c>
      <c r="M85" s="42" t="n">
        <f aca="false">IF(OR($A85="",M$13=""),0,SUMIFS(MVT_NET,MVT_LOT,$A85,MVT_EMPL,M$13))</f>
        <v>0</v>
      </c>
      <c r="N85" s="43" t="n">
        <f aca="false">SUM($B85:$M85)</f>
        <v>0</v>
      </c>
      <c r="O85" s="44" t="n">
        <f aca="false">SUMPRODUCT(($B$12:$M$12="INTERNE")*$B85:$M85)</f>
        <v>0</v>
      </c>
      <c r="P85" s="44" t="n">
        <f aca="false">SUMPRODUCT(($B$12:$M$12="EXTERNE")*$B85:$M85)</f>
        <v>0</v>
      </c>
      <c r="Q85" s="44" t="n">
        <f aca="false">IF($A85="",0,SUMIFS(ST_ENCOURS,ST_LOT,$A85))</f>
        <v>0</v>
      </c>
      <c r="R85" s="45" t="str">
        <f aca="false">IF($A85="","",IF($N85&lt;-0.001,"STOCK NEGATIF - ANOMALIE",""))</f>
        <v/>
      </c>
    </row>
    <row r="86" customFormat="false" ht="15" hidden="false" customHeight="false" outlineLevel="0" collapsed="false">
      <c r="A86" s="41" t="str">
        <f aca="false">IF(LOTS!$A77="","",LOTS!$A77)</f>
        <v/>
      </c>
      <c r="B86" s="42" t="n">
        <f aca="false">IF(OR($A86="",B$13=""),0,SUMIFS(MVT_NET,MVT_LOT,$A86,MVT_EMPL,B$13))</f>
        <v>0</v>
      </c>
      <c r="C86" s="42" t="n">
        <f aca="false">IF(OR($A86="",C$13=""),0,SUMIFS(MVT_NET,MVT_LOT,$A86,MVT_EMPL,C$13))</f>
        <v>0</v>
      </c>
      <c r="D86" s="42" t="n">
        <f aca="false">IF(OR($A86="",D$13=""),0,SUMIFS(MVT_NET,MVT_LOT,$A86,MVT_EMPL,D$13))</f>
        <v>0</v>
      </c>
      <c r="E86" s="42" t="n">
        <f aca="false">IF(OR($A86="",E$13=""),0,SUMIFS(MVT_NET,MVT_LOT,$A86,MVT_EMPL,E$13))</f>
        <v>0</v>
      </c>
      <c r="F86" s="42" t="n">
        <f aca="false">IF(OR($A86="",F$13=""),0,SUMIFS(MVT_NET,MVT_LOT,$A86,MVT_EMPL,F$13))</f>
        <v>0</v>
      </c>
      <c r="G86" s="42" t="n">
        <f aca="false">IF(OR($A86="",G$13=""),0,SUMIFS(MVT_NET,MVT_LOT,$A86,MVT_EMPL,G$13))</f>
        <v>0</v>
      </c>
      <c r="H86" s="42" t="n">
        <f aca="false">IF(OR($A86="",H$13=""),0,SUMIFS(MVT_NET,MVT_LOT,$A86,MVT_EMPL,H$13))</f>
        <v>0</v>
      </c>
      <c r="I86" s="42" t="n">
        <f aca="false">IF(OR($A86="",I$13=""),0,SUMIFS(MVT_NET,MVT_LOT,$A86,MVT_EMPL,I$13))</f>
        <v>0</v>
      </c>
      <c r="J86" s="42" t="n">
        <f aca="false">IF(OR($A86="",J$13=""),0,SUMIFS(MVT_NET,MVT_LOT,$A86,MVT_EMPL,J$13))</f>
        <v>0</v>
      </c>
      <c r="K86" s="42" t="n">
        <f aca="false">IF(OR($A86="",K$13=""),0,SUMIFS(MVT_NET,MVT_LOT,$A86,MVT_EMPL,K$13))</f>
        <v>0</v>
      </c>
      <c r="L86" s="42" t="n">
        <f aca="false">IF(OR($A86="",L$13=""),0,SUMIFS(MVT_NET,MVT_LOT,$A86,MVT_EMPL,L$13))</f>
        <v>0</v>
      </c>
      <c r="M86" s="42" t="n">
        <f aca="false">IF(OR($A86="",M$13=""),0,SUMIFS(MVT_NET,MVT_LOT,$A86,MVT_EMPL,M$13))</f>
        <v>0</v>
      </c>
      <c r="N86" s="43" t="n">
        <f aca="false">SUM($B86:$M86)</f>
        <v>0</v>
      </c>
      <c r="O86" s="44" t="n">
        <f aca="false">SUMPRODUCT(($B$12:$M$12="INTERNE")*$B86:$M86)</f>
        <v>0</v>
      </c>
      <c r="P86" s="44" t="n">
        <f aca="false">SUMPRODUCT(($B$12:$M$12="EXTERNE")*$B86:$M86)</f>
        <v>0</v>
      </c>
      <c r="Q86" s="44" t="n">
        <f aca="false">IF($A86="",0,SUMIFS(ST_ENCOURS,ST_LOT,$A86))</f>
        <v>0</v>
      </c>
      <c r="R86" s="45" t="str">
        <f aca="false">IF($A86="","",IF($N86&lt;-0.001,"STOCK NEGATIF - ANOMALIE",""))</f>
        <v/>
      </c>
    </row>
    <row r="87" customFormat="false" ht="15" hidden="false" customHeight="false" outlineLevel="0" collapsed="false">
      <c r="A87" s="41" t="str">
        <f aca="false">IF(LOTS!$A78="","",LOTS!$A78)</f>
        <v/>
      </c>
      <c r="B87" s="42" t="n">
        <f aca="false">IF(OR($A87="",B$13=""),0,SUMIFS(MVT_NET,MVT_LOT,$A87,MVT_EMPL,B$13))</f>
        <v>0</v>
      </c>
      <c r="C87" s="42" t="n">
        <f aca="false">IF(OR($A87="",C$13=""),0,SUMIFS(MVT_NET,MVT_LOT,$A87,MVT_EMPL,C$13))</f>
        <v>0</v>
      </c>
      <c r="D87" s="42" t="n">
        <f aca="false">IF(OR($A87="",D$13=""),0,SUMIFS(MVT_NET,MVT_LOT,$A87,MVT_EMPL,D$13))</f>
        <v>0</v>
      </c>
      <c r="E87" s="42" t="n">
        <f aca="false">IF(OR($A87="",E$13=""),0,SUMIFS(MVT_NET,MVT_LOT,$A87,MVT_EMPL,E$13))</f>
        <v>0</v>
      </c>
      <c r="F87" s="42" t="n">
        <f aca="false">IF(OR($A87="",F$13=""),0,SUMIFS(MVT_NET,MVT_LOT,$A87,MVT_EMPL,F$13))</f>
        <v>0</v>
      </c>
      <c r="G87" s="42" t="n">
        <f aca="false">IF(OR($A87="",G$13=""),0,SUMIFS(MVT_NET,MVT_LOT,$A87,MVT_EMPL,G$13))</f>
        <v>0</v>
      </c>
      <c r="H87" s="42" t="n">
        <f aca="false">IF(OR($A87="",H$13=""),0,SUMIFS(MVT_NET,MVT_LOT,$A87,MVT_EMPL,H$13))</f>
        <v>0</v>
      </c>
      <c r="I87" s="42" t="n">
        <f aca="false">IF(OR($A87="",I$13=""),0,SUMIFS(MVT_NET,MVT_LOT,$A87,MVT_EMPL,I$13))</f>
        <v>0</v>
      </c>
      <c r="J87" s="42" t="n">
        <f aca="false">IF(OR($A87="",J$13=""),0,SUMIFS(MVT_NET,MVT_LOT,$A87,MVT_EMPL,J$13))</f>
        <v>0</v>
      </c>
      <c r="K87" s="42" t="n">
        <f aca="false">IF(OR($A87="",K$13=""),0,SUMIFS(MVT_NET,MVT_LOT,$A87,MVT_EMPL,K$13))</f>
        <v>0</v>
      </c>
      <c r="L87" s="42" t="n">
        <f aca="false">IF(OR($A87="",L$13=""),0,SUMIFS(MVT_NET,MVT_LOT,$A87,MVT_EMPL,L$13))</f>
        <v>0</v>
      </c>
      <c r="M87" s="42" t="n">
        <f aca="false">IF(OR($A87="",M$13=""),0,SUMIFS(MVT_NET,MVT_LOT,$A87,MVT_EMPL,M$13))</f>
        <v>0</v>
      </c>
      <c r="N87" s="43" t="n">
        <f aca="false">SUM($B87:$M87)</f>
        <v>0</v>
      </c>
      <c r="O87" s="44" t="n">
        <f aca="false">SUMPRODUCT(($B$12:$M$12="INTERNE")*$B87:$M87)</f>
        <v>0</v>
      </c>
      <c r="P87" s="44" t="n">
        <f aca="false">SUMPRODUCT(($B$12:$M$12="EXTERNE")*$B87:$M87)</f>
        <v>0</v>
      </c>
      <c r="Q87" s="44" t="n">
        <f aca="false">IF($A87="",0,SUMIFS(ST_ENCOURS,ST_LOT,$A87))</f>
        <v>0</v>
      </c>
      <c r="R87" s="45" t="str">
        <f aca="false">IF($A87="","",IF($N87&lt;-0.001,"STOCK NEGATIF - ANOMALIE",""))</f>
        <v/>
      </c>
    </row>
    <row r="88" customFormat="false" ht="15" hidden="false" customHeight="false" outlineLevel="0" collapsed="false">
      <c r="A88" s="41" t="str">
        <f aca="false">IF(LOTS!$A79="","",LOTS!$A79)</f>
        <v/>
      </c>
      <c r="B88" s="42" t="n">
        <f aca="false">IF(OR($A88="",B$13=""),0,SUMIFS(MVT_NET,MVT_LOT,$A88,MVT_EMPL,B$13))</f>
        <v>0</v>
      </c>
      <c r="C88" s="42" t="n">
        <f aca="false">IF(OR($A88="",C$13=""),0,SUMIFS(MVT_NET,MVT_LOT,$A88,MVT_EMPL,C$13))</f>
        <v>0</v>
      </c>
      <c r="D88" s="42" t="n">
        <f aca="false">IF(OR($A88="",D$13=""),0,SUMIFS(MVT_NET,MVT_LOT,$A88,MVT_EMPL,D$13))</f>
        <v>0</v>
      </c>
      <c r="E88" s="42" t="n">
        <f aca="false">IF(OR($A88="",E$13=""),0,SUMIFS(MVT_NET,MVT_LOT,$A88,MVT_EMPL,E$13))</f>
        <v>0</v>
      </c>
      <c r="F88" s="42" t="n">
        <f aca="false">IF(OR($A88="",F$13=""),0,SUMIFS(MVT_NET,MVT_LOT,$A88,MVT_EMPL,F$13))</f>
        <v>0</v>
      </c>
      <c r="G88" s="42" t="n">
        <f aca="false">IF(OR($A88="",G$13=""),0,SUMIFS(MVT_NET,MVT_LOT,$A88,MVT_EMPL,G$13))</f>
        <v>0</v>
      </c>
      <c r="H88" s="42" t="n">
        <f aca="false">IF(OR($A88="",H$13=""),0,SUMIFS(MVT_NET,MVT_LOT,$A88,MVT_EMPL,H$13))</f>
        <v>0</v>
      </c>
      <c r="I88" s="42" t="n">
        <f aca="false">IF(OR($A88="",I$13=""),0,SUMIFS(MVT_NET,MVT_LOT,$A88,MVT_EMPL,I$13))</f>
        <v>0</v>
      </c>
      <c r="J88" s="42" t="n">
        <f aca="false">IF(OR($A88="",J$13=""),0,SUMIFS(MVT_NET,MVT_LOT,$A88,MVT_EMPL,J$13))</f>
        <v>0</v>
      </c>
      <c r="K88" s="42" t="n">
        <f aca="false">IF(OR($A88="",K$13=""),0,SUMIFS(MVT_NET,MVT_LOT,$A88,MVT_EMPL,K$13))</f>
        <v>0</v>
      </c>
      <c r="L88" s="42" t="n">
        <f aca="false">IF(OR($A88="",L$13=""),0,SUMIFS(MVT_NET,MVT_LOT,$A88,MVT_EMPL,L$13))</f>
        <v>0</v>
      </c>
      <c r="M88" s="42" t="n">
        <f aca="false">IF(OR($A88="",M$13=""),0,SUMIFS(MVT_NET,MVT_LOT,$A88,MVT_EMPL,M$13))</f>
        <v>0</v>
      </c>
      <c r="N88" s="43" t="n">
        <f aca="false">SUM($B88:$M88)</f>
        <v>0</v>
      </c>
      <c r="O88" s="44" t="n">
        <f aca="false">SUMPRODUCT(($B$12:$M$12="INTERNE")*$B88:$M88)</f>
        <v>0</v>
      </c>
      <c r="P88" s="44" t="n">
        <f aca="false">SUMPRODUCT(($B$12:$M$12="EXTERNE")*$B88:$M88)</f>
        <v>0</v>
      </c>
      <c r="Q88" s="44" t="n">
        <f aca="false">IF($A88="",0,SUMIFS(ST_ENCOURS,ST_LOT,$A88))</f>
        <v>0</v>
      </c>
      <c r="R88" s="45" t="str">
        <f aca="false">IF($A88="","",IF($N88&lt;-0.001,"STOCK NEGATIF - ANOMALIE",""))</f>
        <v/>
      </c>
    </row>
    <row r="89" customFormat="false" ht="15" hidden="false" customHeight="false" outlineLevel="0" collapsed="false">
      <c r="A89" s="41" t="str">
        <f aca="false">IF(LOTS!$A80="","",LOTS!$A80)</f>
        <v/>
      </c>
      <c r="B89" s="42" t="n">
        <f aca="false">IF(OR($A89="",B$13=""),0,SUMIFS(MVT_NET,MVT_LOT,$A89,MVT_EMPL,B$13))</f>
        <v>0</v>
      </c>
      <c r="C89" s="42" t="n">
        <f aca="false">IF(OR($A89="",C$13=""),0,SUMIFS(MVT_NET,MVT_LOT,$A89,MVT_EMPL,C$13))</f>
        <v>0</v>
      </c>
      <c r="D89" s="42" t="n">
        <f aca="false">IF(OR($A89="",D$13=""),0,SUMIFS(MVT_NET,MVT_LOT,$A89,MVT_EMPL,D$13))</f>
        <v>0</v>
      </c>
      <c r="E89" s="42" t="n">
        <f aca="false">IF(OR($A89="",E$13=""),0,SUMIFS(MVT_NET,MVT_LOT,$A89,MVT_EMPL,E$13))</f>
        <v>0</v>
      </c>
      <c r="F89" s="42" t="n">
        <f aca="false">IF(OR($A89="",F$13=""),0,SUMIFS(MVT_NET,MVT_LOT,$A89,MVT_EMPL,F$13))</f>
        <v>0</v>
      </c>
      <c r="G89" s="42" t="n">
        <f aca="false">IF(OR($A89="",G$13=""),0,SUMIFS(MVT_NET,MVT_LOT,$A89,MVT_EMPL,G$13))</f>
        <v>0</v>
      </c>
      <c r="H89" s="42" t="n">
        <f aca="false">IF(OR($A89="",H$13=""),0,SUMIFS(MVT_NET,MVT_LOT,$A89,MVT_EMPL,H$13))</f>
        <v>0</v>
      </c>
      <c r="I89" s="42" t="n">
        <f aca="false">IF(OR($A89="",I$13=""),0,SUMIFS(MVT_NET,MVT_LOT,$A89,MVT_EMPL,I$13))</f>
        <v>0</v>
      </c>
      <c r="J89" s="42" t="n">
        <f aca="false">IF(OR($A89="",J$13=""),0,SUMIFS(MVT_NET,MVT_LOT,$A89,MVT_EMPL,J$13))</f>
        <v>0</v>
      </c>
      <c r="K89" s="42" t="n">
        <f aca="false">IF(OR($A89="",K$13=""),0,SUMIFS(MVT_NET,MVT_LOT,$A89,MVT_EMPL,K$13))</f>
        <v>0</v>
      </c>
      <c r="L89" s="42" t="n">
        <f aca="false">IF(OR($A89="",L$13=""),0,SUMIFS(MVT_NET,MVT_LOT,$A89,MVT_EMPL,L$13))</f>
        <v>0</v>
      </c>
      <c r="M89" s="42" t="n">
        <f aca="false">IF(OR($A89="",M$13=""),0,SUMIFS(MVT_NET,MVT_LOT,$A89,MVT_EMPL,M$13))</f>
        <v>0</v>
      </c>
      <c r="N89" s="43" t="n">
        <f aca="false">SUM($B89:$M89)</f>
        <v>0</v>
      </c>
      <c r="O89" s="44" t="n">
        <f aca="false">SUMPRODUCT(($B$12:$M$12="INTERNE")*$B89:$M89)</f>
        <v>0</v>
      </c>
      <c r="P89" s="44" t="n">
        <f aca="false">SUMPRODUCT(($B$12:$M$12="EXTERNE")*$B89:$M89)</f>
        <v>0</v>
      </c>
      <c r="Q89" s="44" t="n">
        <f aca="false">IF($A89="",0,SUMIFS(ST_ENCOURS,ST_LOT,$A89))</f>
        <v>0</v>
      </c>
      <c r="R89" s="45" t="str">
        <f aca="false">IF($A89="","",IF($N89&lt;-0.001,"STOCK NEGATIF - ANOMALIE",""))</f>
        <v/>
      </c>
    </row>
    <row r="90" customFormat="false" ht="15" hidden="false" customHeight="false" outlineLevel="0" collapsed="false">
      <c r="A90" s="41" t="str">
        <f aca="false">IF(LOTS!$A81="","",LOTS!$A81)</f>
        <v/>
      </c>
      <c r="B90" s="42" t="n">
        <f aca="false">IF(OR($A90="",B$13=""),0,SUMIFS(MVT_NET,MVT_LOT,$A90,MVT_EMPL,B$13))</f>
        <v>0</v>
      </c>
      <c r="C90" s="42" t="n">
        <f aca="false">IF(OR($A90="",C$13=""),0,SUMIFS(MVT_NET,MVT_LOT,$A90,MVT_EMPL,C$13))</f>
        <v>0</v>
      </c>
      <c r="D90" s="42" t="n">
        <f aca="false">IF(OR($A90="",D$13=""),0,SUMIFS(MVT_NET,MVT_LOT,$A90,MVT_EMPL,D$13))</f>
        <v>0</v>
      </c>
      <c r="E90" s="42" t="n">
        <f aca="false">IF(OR($A90="",E$13=""),0,SUMIFS(MVT_NET,MVT_LOT,$A90,MVT_EMPL,E$13))</f>
        <v>0</v>
      </c>
      <c r="F90" s="42" t="n">
        <f aca="false">IF(OR($A90="",F$13=""),0,SUMIFS(MVT_NET,MVT_LOT,$A90,MVT_EMPL,F$13))</f>
        <v>0</v>
      </c>
      <c r="G90" s="42" t="n">
        <f aca="false">IF(OR($A90="",G$13=""),0,SUMIFS(MVT_NET,MVT_LOT,$A90,MVT_EMPL,G$13))</f>
        <v>0</v>
      </c>
      <c r="H90" s="42" t="n">
        <f aca="false">IF(OR($A90="",H$13=""),0,SUMIFS(MVT_NET,MVT_LOT,$A90,MVT_EMPL,H$13))</f>
        <v>0</v>
      </c>
      <c r="I90" s="42" t="n">
        <f aca="false">IF(OR($A90="",I$13=""),0,SUMIFS(MVT_NET,MVT_LOT,$A90,MVT_EMPL,I$13))</f>
        <v>0</v>
      </c>
      <c r="J90" s="42" t="n">
        <f aca="false">IF(OR($A90="",J$13=""),0,SUMIFS(MVT_NET,MVT_LOT,$A90,MVT_EMPL,J$13))</f>
        <v>0</v>
      </c>
      <c r="K90" s="42" t="n">
        <f aca="false">IF(OR($A90="",K$13=""),0,SUMIFS(MVT_NET,MVT_LOT,$A90,MVT_EMPL,K$13))</f>
        <v>0</v>
      </c>
      <c r="L90" s="42" t="n">
        <f aca="false">IF(OR($A90="",L$13=""),0,SUMIFS(MVT_NET,MVT_LOT,$A90,MVT_EMPL,L$13))</f>
        <v>0</v>
      </c>
      <c r="M90" s="42" t="n">
        <f aca="false">IF(OR($A90="",M$13=""),0,SUMIFS(MVT_NET,MVT_LOT,$A90,MVT_EMPL,M$13))</f>
        <v>0</v>
      </c>
      <c r="N90" s="43" t="n">
        <f aca="false">SUM($B90:$M90)</f>
        <v>0</v>
      </c>
      <c r="O90" s="44" t="n">
        <f aca="false">SUMPRODUCT(($B$12:$M$12="INTERNE")*$B90:$M90)</f>
        <v>0</v>
      </c>
      <c r="P90" s="44" t="n">
        <f aca="false">SUMPRODUCT(($B$12:$M$12="EXTERNE")*$B90:$M90)</f>
        <v>0</v>
      </c>
      <c r="Q90" s="44" t="n">
        <f aca="false">IF($A90="",0,SUMIFS(ST_ENCOURS,ST_LOT,$A90))</f>
        <v>0</v>
      </c>
      <c r="R90" s="45" t="str">
        <f aca="false">IF($A90="","",IF($N90&lt;-0.001,"STOCK NEGATIF - ANOMALIE",""))</f>
        <v/>
      </c>
    </row>
    <row r="91" customFormat="false" ht="15" hidden="false" customHeight="false" outlineLevel="0" collapsed="false">
      <c r="A91" s="41" t="str">
        <f aca="false">IF(LOTS!$A82="","",LOTS!$A82)</f>
        <v/>
      </c>
      <c r="B91" s="42" t="n">
        <f aca="false">IF(OR($A91="",B$13=""),0,SUMIFS(MVT_NET,MVT_LOT,$A91,MVT_EMPL,B$13))</f>
        <v>0</v>
      </c>
      <c r="C91" s="42" t="n">
        <f aca="false">IF(OR($A91="",C$13=""),0,SUMIFS(MVT_NET,MVT_LOT,$A91,MVT_EMPL,C$13))</f>
        <v>0</v>
      </c>
      <c r="D91" s="42" t="n">
        <f aca="false">IF(OR($A91="",D$13=""),0,SUMIFS(MVT_NET,MVT_LOT,$A91,MVT_EMPL,D$13))</f>
        <v>0</v>
      </c>
      <c r="E91" s="42" t="n">
        <f aca="false">IF(OR($A91="",E$13=""),0,SUMIFS(MVT_NET,MVT_LOT,$A91,MVT_EMPL,E$13))</f>
        <v>0</v>
      </c>
      <c r="F91" s="42" t="n">
        <f aca="false">IF(OR($A91="",F$13=""),0,SUMIFS(MVT_NET,MVT_LOT,$A91,MVT_EMPL,F$13))</f>
        <v>0</v>
      </c>
      <c r="G91" s="42" t="n">
        <f aca="false">IF(OR($A91="",G$13=""),0,SUMIFS(MVT_NET,MVT_LOT,$A91,MVT_EMPL,G$13))</f>
        <v>0</v>
      </c>
      <c r="H91" s="42" t="n">
        <f aca="false">IF(OR($A91="",H$13=""),0,SUMIFS(MVT_NET,MVT_LOT,$A91,MVT_EMPL,H$13))</f>
        <v>0</v>
      </c>
      <c r="I91" s="42" t="n">
        <f aca="false">IF(OR($A91="",I$13=""),0,SUMIFS(MVT_NET,MVT_LOT,$A91,MVT_EMPL,I$13))</f>
        <v>0</v>
      </c>
      <c r="J91" s="42" t="n">
        <f aca="false">IF(OR($A91="",J$13=""),0,SUMIFS(MVT_NET,MVT_LOT,$A91,MVT_EMPL,J$13))</f>
        <v>0</v>
      </c>
      <c r="K91" s="42" t="n">
        <f aca="false">IF(OR($A91="",K$13=""),0,SUMIFS(MVT_NET,MVT_LOT,$A91,MVT_EMPL,K$13))</f>
        <v>0</v>
      </c>
      <c r="L91" s="42" t="n">
        <f aca="false">IF(OR($A91="",L$13=""),0,SUMIFS(MVT_NET,MVT_LOT,$A91,MVT_EMPL,L$13))</f>
        <v>0</v>
      </c>
      <c r="M91" s="42" t="n">
        <f aca="false">IF(OR($A91="",M$13=""),0,SUMIFS(MVT_NET,MVT_LOT,$A91,MVT_EMPL,M$13))</f>
        <v>0</v>
      </c>
      <c r="N91" s="43" t="n">
        <f aca="false">SUM($B91:$M91)</f>
        <v>0</v>
      </c>
      <c r="O91" s="44" t="n">
        <f aca="false">SUMPRODUCT(($B$12:$M$12="INTERNE")*$B91:$M91)</f>
        <v>0</v>
      </c>
      <c r="P91" s="44" t="n">
        <f aca="false">SUMPRODUCT(($B$12:$M$12="EXTERNE")*$B91:$M91)</f>
        <v>0</v>
      </c>
      <c r="Q91" s="44" t="n">
        <f aca="false">IF($A91="",0,SUMIFS(ST_ENCOURS,ST_LOT,$A91))</f>
        <v>0</v>
      </c>
      <c r="R91" s="45" t="str">
        <f aca="false">IF($A91="","",IF($N91&lt;-0.001,"STOCK NEGATIF - ANOMALIE",""))</f>
        <v/>
      </c>
    </row>
    <row r="92" customFormat="false" ht="15" hidden="false" customHeight="false" outlineLevel="0" collapsed="false">
      <c r="A92" s="41" t="str">
        <f aca="false">IF(LOTS!$A83="","",LOTS!$A83)</f>
        <v/>
      </c>
      <c r="B92" s="42" t="n">
        <f aca="false">IF(OR($A92="",B$13=""),0,SUMIFS(MVT_NET,MVT_LOT,$A92,MVT_EMPL,B$13))</f>
        <v>0</v>
      </c>
      <c r="C92" s="42" t="n">
        <f aca="false">IF(OR($A92="",C$13=""),0,SUMIFS(MVT_NET,MVT_LOT,$A92,MVT_EMPL,C$13))</f>
        <v>0</v>
      </c>
      <c r="D92" s="42" t="n">
        <f aca="false">IF(OR($A92="",D$13=""),0,SUMIFS(MVT_NET,MVT_LOT,$A92,MVT_EMPL,D$13))</f>
        <v>0</v>
      </c>
      <c r="E92" s="42" t="n">
        <f aca="false">IF(OR($A92="",E$13=""),0,SUMIFS(MVT_NET,MVT_LOT,$A92,MVT_EMPL,E$13))</f>
        <v>0</v>
      </c>
      <c r="F92" s="42" t="n">
        <f aca="false">IF(OR($A92="",F$13=""),0,SUMIFS(MVT_NET,MVT_LOT,$A92,MVT_EMPL,F$13))</f>
        <v>0</v>
      </c>
      <c r="G92" s="42" t="n">
        <f aca="false">IF(OR($A92="",G$13=""),0,SUMIFS(MVT_NET,MVT_LOT,$A92,MVT_EMPL,G$13))</f>
        <v>0</v>
      </c>
      <c r="H92" s="42" t="n">
        <f aca="false">IF(OR($A92="",H$13=""),0,SUMIFS(MVT_NET,MVT_LOT,$A92,MVT_EMPL,H$13))</f>
        <v>0</v>
      </c>
      <c r="I92" s="42" t="n">
        <f aca="false">IF(OR($A92="",I$13=""),0,SUMIFS(MVT_NET,MVT_LOT,$A92,MVT_EMPL,I$13))</f>
        <v>0</v>
      </c>
      <c r="J92" s="42" t="n">
        <f aca="false">IF(OR($A92="",J$13=""),0,SUMIFS(MVT_NET,MVT_LOT,$A92,MVT_EMPL,J$13))</f>
        <v>0</v>
      </c>
      <c r="K92" s="42" t="n">
        <f aca="false">IF(OR($A92="",K$13=""),0,SUMIFS(MVT_NET,MVT_LOT,$A92,MVT_EMPL,K$13))</f>
        <v>0</v>
      </c>
      <c r="L92" s="42" t="n">
        <f aca="false">IF(OR($A92="",L$13=""),0,SUMIFS(MVT_NET,MVT_LOT,$A92,MVT_EMPL,L$13))</f>
        <v>0</v>
      </c>
      <c r="M92" s="42" t="n">
        <f aca="false">IF(OR($A92="",M$13=""),0,SUMIFS(MVT_NET,MVT_LOT,$A92,MVT_EMPL,M$13))</f>
        <v>0</v>
      </c>
      <c r="N92" s="43" t="n">
        <f aca="false">SUM($B92:$M92)</f>
        <v>0</v>
      </c>
      <c r="O92" s="44" t="n">
        <f aca="false">SUMPRODUCT(($B$12:$M$12="INTERNE")*$B92:$M92)</f>
        <v>0</v>
      </c>
      <c r="P92" s="44" t="n">
        <f aca="false">SUMPRODUCT(($B$12:$M$12="EXTERNE")*$B92:$M92)</f>
        <v>0</v>
      </c>
      <c r="Q92" s="44" t="n">
        <f aca="false">IF($A92="",0,SUMIFS(ST_ENCOURS,ST_LOT,$A92))</f>
        <v>0</v>
      </c>
      <c r="R92" s="45" t="str">
        <f aca="false">IF($A92="","",IF($N92&lt;-0.001,"STOCK NEGATIF - ANOMALIE",""))</f>
        <v/>
      </c>
    </row>
    <row r="93" customFormat="false" ht="15" hidden="false" customHeight="false" outlineLevel="0" collapsed="false">
      <c r="A93" s="41" t="str">
        <f aca="false">IF(LOTS!$A84="","",LOTS!$A84)</f>
        <v/>
      </c>
      <c r="B93" s="42" t="n">
        <f aca="false">IF(OR($A93="",B$13=""),0,SUMIFS(MVT_NET,MVT_LOT,$A93,MVT_EMPL,B$13))</f>
        <v>0</v>
      </c>
      <c r="C93" s="42" t="n">
        <f aca="false">IF(OR($A93="",C$13=""),0,SUMIFS(MVT_NET,MVT_LOT,$A93,MVT_EMPL,C$13))</f>
        <v>0</v>
      </c>
      <c r="D93" s="42" t="n">
        <f aca="false">IF(OR($A93="",D$13=""),0,SUMIFS(MVT_NET,MVT_LOT,$A93,MVT_EMPL,D$13))</f>
        <v>0</v>
      </c>
      <c r="E93" s="42" t="n">
        <f aca="false">IF(OR($A93="",E$13=""),0,SUMIFS(MVT_NET,MVT_LOT,$A93,MVT_EMPL,E$13))</f>
        <v>0</v>
      </c>
      <c r="F93" s="42" t="n">
        <f aca="false">IF(OR($A93="",F$13=""),0,SUMIFS(MVT_NET,MVT_LOT,$A93,MVT_EMPL,F$13))</f>
        <v>0</v>
      </c>
      <c r="G93" s="42" t="n">
        <f aca="false">IF(OR($A93="",G$13=""),0,SUMIFS(MVT_NET,MVT_LOT,$A93,MVT_EMPL,G$13))</f>
        <v>0</v>
      </c>
      <c r="H93" s="42" t="n">
        <f aca="false">IF(OR($A93="",H$13=""),0,SUMIFS(MVT_NET,MVT_LOT,$A93,MVT_EMPL,H$13))</f>
        <v>0</v>
      </c>
      <c r="I93" s="42" t="n">
        <f aca="false">IF(OR($A93="",I$13=""),0,SUMIFS(MVT_NET,MVT_LOT,$A93,MVT_EMPL,I$13))</f>
        <v>0</v>
      </c>
      <c r="J93" s="42" t="n">
        <f aca="false">IF(OR($A93="",J$13=""),0,SUMIFS(MVT_NET,MVT_LOT,$A93,MVT_EMPL,J$13))</f>
        <v>0</v>
      </c>
      <c r="K93" s="42" t="n">
        <f aca="false">IF(OR($A93="",K$13=""),0,SUMIFS(MVT_NET,MVT_LOT,$A93,MVT_EMPL,K$13))</f>
        <v>0</v>
      </c>
      <c r="L93" s="42" t="n">
        <f aca="false">IF(OR($A93="",L$13=""),0,SUMIFS(MVT_NET,MVT_LOT,$A93,MVT_EMPL,L$13))</f>
        <v>0</v>
      </c>
      <c r="M93" s="42" t="n">
        <f aca="false">IF(OR($A93="",M$13=""),0,SUMIFS(MVT_NET,MVT_LOT,$A93,MVT_EMPL,M$13))</f>
        <v>0</v>
      </c>
      <c r="N93" s="43" t="n">
        <f aca="false">SUM($B93:$M93)</f>
        <v>0</v>
      </c>
      <c r="O93" s="44" t="n">
        <f aca="false">SUMPRODUCT(($B$12:$M$12="INTERNE")*$B93:$M93)</f>
        <v>0</v>
      </c>
      <c r="P93" s="44" t="n">
        <f aca="false">SUMPRODUCT(($B$12:$M$12="EXTERNE")*$B93:$M93)</f>
        <v>0</v>
      </c>
      <c r="Q93" s="44" t="n">
        <f aca="false">IF($A93="",0,SUMIFS(ST_ENCOURS,ST_LOT,$A93))</f>
        <v>0</v>
      </c>
      <c r="R93" s="45" t="str">
        <f aca="false">IF($A93="","",IF($N93&lt;-0.001,"STOCK NEGATIF - ANOMALIE",""))</f>
        <v/>
      </c>
    </row>
    <row r="94" customFormat="false" ht="15" hidden="false" customHeight="false" outlineLevel="0" collapsed="false">
      <c r="A94" s="41" t="str">
        <f aca="false">IF(LOTS!$A85="","",LOTS!$A85)</f>
        <v/>
      </c>
      <c r="B94" s="42" t="n">
        <f aca="false">IF(OR($A94="",B$13=""),0,SUMIFS(MVT_NET,MVT_LOT,$A94,MVT_EMPL,B$13))</f>
        <v>0</v>
      </c>
      <c r="C94" s="42" t="n">
        <f aca="false">IF(OR($A94="",C$13=""),0,SUMIFS(MVT_NET,MVT_LOT,$A94,MVT_EMPL,C$13))</f>
        <v>0</v>
      </c>
      <c r="D94" s="42" t="n">
        <f aca="false">IF(OR($A94="",D$13=""),0,SUMIFS(MVT_NET,MVT_LOT,$A94,MVT_EMPL,D$13))</f>
        <v>0</v>
      </c>
      <c r="E94" s="42" t="n">
        <f aca="false">IF(OR($A94="",E$13=""),0,SUMIFS(MVT_NET,MVT_LOT,$A94,MVT_EMPL,E$13))</f>
        <v>0</v>
      </c>
      <c r="F94" s="42" t="n">
        <f aca="false">IF(OR($A94="",F$13=""),0,SUMIFS(MVT_NET,MVT_LOT,$A94,MVT_EMPL,F$13))</f>
        <v>0</v>
      </c>
      <c r="G94" s="42" t="n">
        <f aca="false">IF(OR($A94="",G$13=""),0,SUMIFS(MVT_NET,MVT_LOT,$A94,MVT_EMPL,G$13))</f>
        <v>0</v>
      </c>
      <c r="H94" s="42" t="n">
        <f aca="false">IF(OR($A94="",H$13=""),0,SUMIFS(MVT_NET,MVT_LOT,$A94,MVT_EMPL,H$13))</f>
        <v>0</v>
      </c>
      <c r="I94" s="42" t="n">
        <f aca="false">IF(OR($A94="",I$13=""),0,SUMIFS(MVT_NET,MVT_LOT,$A94,MVT_EMPL,I$13))</f>
        <v>0</v>
      </c>
      <c r="J94" s="42" t="n">
        <f aca="false">IF(OR($A94="",J$13=""),0,SUMIFS(MVT_NET,MVT_LOT,$A94,MVT_EMPL,J$13))</f>
        <v>0</v>
      </c>
      <c r="K94" s="42" t="n">
        <f aca="false">IF(OR($A94="",K$13=""),0,SUMIFS(MVT_NET,MVT_LOT,$A94,MVT_EMPL,K$13))</f>
        <v>0</v>
      </c>
      <c r="L94" s="42" t="n">
        <f aca="false">IF(OR($A94="",L$13=""),0,SUMIFS(MVT_NET,MVT_LOT,$A94,MVT_EMPL,L$13))</f>
        <v>0</v>
      </c>
      <c r="M94" s="42" t="n">
        <f aca="false">IF(OR($A94="",M$13=""),0,SUMIFS(MVT_NET,MVT_LOT,$A94,MVT_EMPL,M$13))</f>
        <v>0</v>
      </c>
      <c r="N94" s="43" t="n">
        <f aca="false">SUM($B94:$M94)</f>
        <v>0</v>
      </c>
      <c r="O94" s="44" t="n">
        <f aca="false">SUMPRODUCT(($B$12:$M$12="INTERNE")*$B94:$M94)</f>
        <v>0</v>
      </c>
      <c r="P94" s="44" t="n">
        <f aca="false">SUMPRODUCT(($B$12:$M$12="EXTERNE")*$B94:$M94)</f>
        <v>0</v>
      </c>
      <c r="Q94" s="44" t="n">
        <f aca="false">IF($A94="",0,SUMIFS(ST_ENCOURS,ST_LOT,$A94))</f>
        <v>0</v>
      </c>
      <c r="R94" s="45" t="str">
        <f aca="false">IF($A94="","",IF($N94&lt;-0.001,"STOCK NEGATIF - ANOMALIE",""))</f>
        <v/>
      </c>
    </row>
    <row r="95" customFormat="false" ht="15" hidden="false" customHeight="false" outlineLevel="0" collapsed="false">
      <c r="A95" s="41" t="str">
        <f aca="false">IF(LOTS!$A86="","",LOTS!$A86)</f>
        <v/>
      </c>
      <c r="B95" s="42" t="n">
        <f aca="false">IF(OR($A95="",B$13=""),0,SUMIFS(MVT_NET,MVT_LOT,$A95,MVT_EMPL,B$13))</f>
        <v>0</v>
      </c>
      <c r="C95" s="42" t="n">
        <f aca="false">IF(OR($A95="",C$13=""),0,SUMIFS(MVT_NET,MVT_LOT,$A95,MVT_EMPL,C$13))</f>
        <v>0</v>
      </c>
      <c r="D95" s="42" t="n">
        <f aca="false">IF(OR($A95="",D$13=""),0,SUMIFS(MVT_NET,MVT_LOT,$A95,MVT_EMPL,D$13))</f>
        <v>0</v>
      </c>
      <c r="E95" s="42" t="n">
        <f aca="false">IF(OR($A95="",E$13=""),0,SUMIFS(MVT_NET,MVT_LOT,$A95,MVT_EMPL,E$13))</f>
        <v>0</v>
      </c>
      <c r="F95" s="42" t="n">
        <f aca="false">IF(OR($A95="",F$13=""),0,SUMIFS(MVT_NET,MVT_LOT,$A95,MVT_EMPL,F$13))</f>
        <v>0</v>
      </c>
      <c r="G95" s="42" t="n">
        <f aca="false">IF(OR($A95="",G$13=""),0,SUMIFS(MVT_NET,MVT_LOT,$A95,MVT_EMPL,G$13))</f>
        <v>0</v>
      </c>
      <c r="H95" s="42" t="n">
        <f aca="false">IF(OR($A95="",H$13=""),0,SUMIFS(MVT_NET,MVT_LOT,$A95,MVT_EMPL,H$13))</f>
        <v>0</v>
      </c>
      <c r="I95" s="42" t="n">
        <f aca="false">IF(OR($A95="",I$13=""),0,SUMIFS(MVT_NET,MVT_LOT,$A95,MVT_EMPL,I$13))</f>
        <v>0</v>
      </c>
      <c r="J95" s="42" t="n">
        <f aca="false">IF(OR($A95="",J$13=""),0,SUMIFS(MVT_NET,MVT_LOT,$A95,MVT_EMPL,J$13))</f>
        <v>0</v>
      </c>
      <c r="K95" s="42" t="n">
        <f aca="false">IF(OR($A95="",K$13=""),0,SUMIFS(MVT_NET,MVT_LOT,$A95,MVT_EMPL,K$13))</f>
        <v>0</v>
      </c>
      <c r="L95" s="42" t="n">
        <f aca="false">IF(OR($A95="",L$13=""),0,SUMIFS(MVT_NET,MVT_LOT,$A95,MVT_EMPL,L$13))</f>
        <v>0</v>
      </c>
      <c r="M95" s="42" t="n">
        <f aca="false">IF(OR($A95="",M$13=""),0,SUMIFS(MVT_NET,MVT_LOT,$A95,MVT_EMPL,M$13))</f>
        <v>0</v>
      </c>
      <c r="N95" s="43" t="n">
        <f aca="false">SUM($B95:$M95)</f>
        <v>0</v>
      </c>
      <c r="O95" s="44" t="n">
        <f aca="false">SUMPRODUCT(($B$12:$M$12="INTERNE")*$B95:$M95)</f>
        <v>0</v>
      </c>
      <c r="P95" s="44" t="n">
        <f aca="false">SUMPRODUCT(($B$12:$M$12="EXTERNE")*$B95:$M95)</f>
        <v>0</v>
      </c>
      <c r="Q95" s="44" t="n">
        <f aca="false">IF($A95="",0,SUMIFS(ST_ENCOURS,ST_LOT,$A95))</f>
        <v>0</v>
      </c>
      <c r="R95" s="45" t="str">
        <f aca="false">IF($A95="","",IF($N95&lt;-0.001,"STOCK NEGATIF - ANOMALIE",""))</f>
        <v/>
      </c>
    </row>
    <row r="96" customFormat="false" ht="15" hidden="false" customHeight="false" outlineLevel="0" collapsed="false">
      <c r="A96" s="41" t="str">
        <f aca="false">IF(LOTS!$A87="","",LOTS!$A87)</f>
        <v/>
      </c>
      <c r="B96" s="42" t="n">
        <f aca="false">IF(OR($A96="",B$13=""),0,SUMIFS(MVT_NET,MVT_LOT,$A96,MVT_EMPL,B$13))</f>
        <v>0</v>
      </c>
      <c r="C96" s="42" t="n">
        <f aca="false">IF(OR($A96="",C$13=""),0,SUMIFS(MVT_NET,MVT_LOT,$A96,MVT_EMPL,C$13))</f>
        <v>0</v>
      </c>
      <c r="D96" s="42" t="n">
        <f aca="false">IF(OR($A96="",D$13=""),0,SUMIFS(MVT_NET,MVT_LOT,$A96,MVT_EMPL,D$13))</f>
        <v>0</v>
      </c>
      <c r="E96" s="42" t="n">
        <f aca="false">IF(OR($A96="",E$13=""),0,SUMIFS(MVT_NET,MVT_LOT,$A96,MVT_EMPL,E$13))</f>
        <v>0</v>
      </c>
      <c r="F96" s="42" t="n">
        <f aca="false">IF(OR($A96="",F$13=""),0,SUMIFS(MVT_NET,MVT_LOT,$A96,MVT_EMPL,F$13))</f>
        <v>0</v>
      </c>
      <c r="G96" s="42" t="n">
        <f aca="false">IF(OR($A96="",G$13=""),0,SUMIFS(MVT_NET,MVT_LOT,$A96,MVT_EMPL,G$13))</f>
        <v>0</v>
      </c>
      <c r="H96" s="42" t="n">
        <f aca="false">IF(OR($A96="",H$13=""),0,SUMIFS(MVT_NET,MVT_LOT,$A96,MVT_EMPL,H$13))</f>
        <v>0</v>
      </c>
      <c r="I96" s="42" t="n">
        <f aca="false">IF(OR($A96="",I$13=""),0,SUMIFS(MVT_NET,MVT_LOT,$A96,MVT_EMPL,I$13))</f>
        <v>0</v>
      </c>
      <c r="J96" s="42" t="n">
        <f aca="false">IF(OR($A96="",J$13=""),0,SUMIFS(MVT_NET,MVT_LOT,$A96,MVT_EMPL,J$13))</f>
        <v>0</v>
      </c>
      <c r="K96" s="42" t="n">
        <f aca="false">IF(OR($A96="",K$13=""),0,SUMIFS(MVT_NET,MVT_LOT,$A96,MVT_EMPL,K$13))</f>
        <v>0</v>
      </c>
      <c r="L96" s="42" t="n">
        <f aca="false">IF(OR($A96="",L$13=""),0,SUMIFS(MVT_NET,MVT_LOT,$A96,MVT_EMPL,L$13))</f>
        <v>0</v>
      </c>
      <c r="M96" s="42" t="n">
        <f aca="false">IF(OR($A96="",M$13=""),0,SUMIFS(MVT_NET,MVT_LOT,$A96,MVT_EMPL,M$13))</f>
        <v>0</v>
      </c>
      <c r="N96" s="43" t="n">
        <f aca="false">SUM($B96:$M96)</f>
        <v>0</v>
      </c>
      <c r="O96" s="44" t="n">
        <f aca="false">SUMPRODUCT(($B$12:$M$12="INTERNE")*$B96:$M96)</f>
        <v>0</v>
      </c>
      <c r="P96" s="44" t="n">
        <f aca="false">SUMPRODUCT(($B$12:$M$12="EXTERNE")*$B96:$M96)</f>
        <v>0</v>
      </c>
      <c r="Q96" s="44" t="n">
        <f aca="false">IF($A96="",0,SUMIFS(ST_ENCOURS,ST_LOT,$A96))</f>
        <v>0</v>
      </c>
      <c r="R96" s="45" t="str">
        <f aca="false">IF($A96="","",IF($N96&lt;-0.001,"STOCK NEGATIF - ANOMALIE",""))</f>
        <v/>
      </c>
    </row>
    <row r="97" customFormat="false" ht="15" hidden="false" customHeight="false" outlineLevel="0" collapsed="false">
      <c r="A97" s="41" t="str">
        <f aca="false">IF(LOTS!$A88="","",LOTS!$A88)</f>
        <v/>
      </c>
      <c r="B97" s="42" t="n">
        <f aca="false">IF(OR($A97="",B$13=""),0,SUMIFS(MVT_NET,MVT_LOT,$A97,MVT_EMPL,B$13))</f>
        <v>0</v>
      </c>
      <c r="C97" s="42" t="n">
        <f aca="false">IF(OR($A97="",C$13=""),0,SUMIFS(MVT_NET,MVT_LOT,$A97,MVT_EMPL,C$13))</f>
        <v>0</v>
      </c>
      <c r="D97" s="42" t="n">
        <f aca="false">IF(OR($A97="",D$13=""),0,SUMIFS(MVT_NET,MVT_LOT,$A97,MVT_EMPL,D$13))</f>
        <v>0</v>
      </c>
      <c r="E97" s="42" t="n">
        <f aca="false">IF(OR($A97="",E$13=""),0,SUMIFS(MVT_NET,MVT_LOT,$A97,MVT_EMPL,E$13))</f>
        <v>0</v>
      </c>
      <c r="F97" s="42" t="n">
        <f aca="false">IF(OR($A97="",F$13=""),0,SUMIFS(MVT_NET,MVT_LOT,$A97,MVT_EMPL,F$13))</f>
        <v>0</v>
      </c>
      <c r="G97" s="42" t="n">
        <f aca="false">IF(OR($A97="",G$13=""),0,SUMIFS(MVT_NET,MVT_LOT,$A97,MVT_EMPL,G$13))</f>
        <v>0</v>
      </c>
      <c r="H97" s="42" t="n">
        <f aca="false">IF(OR($A97="",H$13=""),0,SUMIFS(MVT_NET,MVT_LOT,$A97,MVT_EMPL,H$13))</f>
        <v>0</v>
      </c>
      <c r="I97" s="42" t="n">
        <f aca="false">IF(OR($A97="",I$13=""),0,SUMIFS(MVT_NET,MVT_LOT,$A97,MVT_EMPL,I$13))</f>
        <v>0</v>
      </c>
      <c r="J97" s="42" t="n">
        <f aca="false">IF(OR($A97="",J$13=""),0,SUMIFS(MVT_NET,MVT_LOT,$A97,MVT_EMPL,J$13))</f>
        <v>0</v>
      </c>
      <c r="K97" s="42" t="n">
        <f aca="false">IF(OR($A97="",K$13=""),0,SUMIFS(MVT_NET,MVT_LOT,$A97,MVT_EMPL,K$13))</f>
        <v>0</v>
      </c>
      <c r="L97" s="42" t="n">
        <f aca="false">IF(OR($A97="",L$13=""),0,SUMIFS(MVT_NET,MVT_LOT,$A97,MVT_EMPL,L$13))</f>
        <v>0</v>
      </c>
      <c r="M97" s="42" t="n">
        <f aca="false">IF(OR($A97="",M$13=""),0,SUMIFS(MVT_NET,MVT_LOT,$A97,MVT_EMPL,M$13))</f>
        <v>0</v>
      </c>
      <c r="N97" s="43" t="n">
        <f aca="false">SUM($B97:$M97)</f>
        <v>0</v>
      </c>
      <c r="O97" s="44" t="n">
        <f aca="false">SUMPRODUCT(($B$12:$M$12="INTERNE")*$B97:$M97)</f>
        <v>0</v>
      </c>
      <c r="P97" s="44" t="n">
        <f aca="false">SUMPRODUCT(($B$12:$M$12="EXTERNE")*$B97:$M97)</f>
        <v>0</v>
      </c>
      <c r="Q97" s="44" t="n">
        <f aca="false">IF($A97="",0,SUMIFS(ST_ENCOURS,ST_LOT,$A97))</f>
        <v>0</v>
      </c>
      <c r="R97" s="45" t="str">
        <f aca="false">IF($A97="","",IF($N97&lt;-0.001,"STOCK NEGATIF - ANOMALIE",""))</f>
        <v/>
      </c>
    </row>
    <row r="98" customFormat="false" ht="15" hidden="false" customHeight="false" outlineLevel="0" collapsed="false">
      <c r="A98" s="41" t="str">
        <f aca="false">IF(LOTS!$A89="","",LOTS!$A89)</f>
        <v/>
      </c>
      <c r="B98" s="42" t="n">
        <f aca="false">IF(OR($A98="",B$13=""),0,SUMIFS(MVT_NET,MVT_LOT,$A98,MVT_EMPL,B$13))</f>
        <v>0</v>
      </c>
      <c r="C98" s="42" t="n">
        <f aca="false">IF(OR($A98="",C$13=""),0,SUMIFS(MVT_NET,MVT_LOT,$A98,MVT_EMPL,C$13))</f>
        <v>0</v>
      </c>
      <c r="D98" s="42" t="n">
        <f aca="false">IF(OR($A98="",D$13=""),0,SUMIFS(MVT_NET,MVT_LOT,$A98,MVT_EMPL,D$13))</f>
        <v>0</v>
      </c>
      <c r="E98" s="42" t="n">
        <f aca="false">IF(OR($A98="",E$13=""),0,SUMIFS(MVT_NET,MVT_LOT,$A98,MVT_EMPL,E$13))</f>
        <v>0</v>
      </c>
      <c r="F98" s="42" t="n">
        <f aca="false">IF(OR($A98="",F$13=""),0,SUMIFS(MVT_NET,MVT_LOT,$A98,MVT_EMPL,F$13))</f>
        <v>0</v>
      </c>
      <c r="G98" s="42" t="n">
        <f aca="false">IF(OR($A98="",G$13=""),0,SUMIFS(MVT_NET,MVT_LOT,$A98,MVT_EMPL,G$13))</f>
        <v>0</v>
      </c>
      <c r="H98" s="42" t="n">
        <f aca="false">IF(OR($A98="",H$13=""),0,SUMIFS(MVT_NET,MVT_LOT,$A98,MVT_EMPL,H$13))</f>
        <v>0</v>
      </c>
      <c r="I98" s="42" t="n">
        <f aca="false">IF(OR($A98="",I$13=""),0,SUMIFS(MVT_NET,MVT_LOT,$A98,MVT_EMPL,I$13))</f>
        <v>0</v>
      </c>
      <c r="J98" s="42" t="n">
        <f aca="false">IF(OR($A98="",J$13=""),0,SUMIFS(MVT_NET,MVT_LOT,$A98,MVT_EMPL,J$13))</f>
        <v>0</v>
      </c>
      <c r="K98" s="42" t="n">
        <f aca="false">IF(OR($A98="",K$13=""),0,SUMIFS(MVT_NET,MVT_LOT,$A98,MVT_EMPL,K$13))</f>
        <v>0</v>
      </c>
      <c r="L98" s="42" t="n">
        <f aca="false">IF(OR($A98="",L$13=""),0,SUMIFS(MVT_NET,MVT_LOT,$A98,MVT_EMPL,L$13))</f>
        <v>0</v>
      </c>
      <c r="M98" s="42" t="n">
        <f aca="false">IF(OR($A98="",M$13=""),0,SUMIFS(MVT_NET,MVT_LOT,$A98,MVT_EMPL,M$13))</f>
        <v>0</v>
      </c>
      <c r="N98" s="43" t="n">
        <f aca="false">SUM($B98:$M98)</f>
        <v>0</v>
      </c>
      <c r="O98" s="44" t="n">
        <f aca="false">SUMPRODUCT(($B$12:$M$12="INTERNE")*$B98:$M98)</f>
        <v>0</v>
      </c>
      <c r="P98" s="44" t="n">
        <f aca="false">SUMPRODUCT(($B$12:$M$12="EXTERNE")*$B98:$M98)</f>
        <v>0</v>
      </c>
      <c r="Q98" s="44" t="n">
        <f aca="false">IF($A98="",0,SUMIFS(ST_ENCOURS,ST_LOT,$A98))</f>
        <v>0</v>
      </c>
      <c r="R98" s="45" t="str">
        <f aca="false">IF($A98="","",IF($N98&lt;-0.001,"STOCK NEGATIF - ANOMALIE",""))</f>
        <v/>
      </c>
    </row>
    <row r="99" customFormat="false" ht="15" hidden="false" customHeight="false" outlineLevel="0" collapsed="false">
      <c r="A99" s="41" t="str">
        <f aca="false">IF(LOTS!$A90="","",LOTS!$A90)</f>
        <v/>
      </c>
      <c r="B99" s="42" t="n">
        <f aca="false">IF(OR($A99="",B$13=""),0,SUMIFS(MVT_NET,MVT_LOT,$A99,MVT_EMPL,B$13))</f>
        <v>0</v>
      </c>
      <c r="C99" s="42" t="n">
        <f aca="false">IF(OR($A99="",C$13=""),0,SUMIFS(MVT_NET,MVT_LOT,$A99,MVT_EMPL,C$13))</f>
        <v>0</v>
      </c>
      <c r="D99" s="42" t="n">
        <f aca="false">IF(OR($A99="",D$13=""),0,SUMIFS(MVT_NET,MVT_LOT,$A99,MVT_EMPL,D$13))</f>
        <v>0</v>
      </c>
      <c r="E99" s="42" t="n">
        <f aca="false">IF(OR($A99="",E$13=""),0,SUMIFS(MVT_NET,MVT_LOT,$A99,MVT_EMPL,E$13))</f>
        <v>0</v>
      </c>
      <c r="F99" s="42" t="n">
        <f aca="false">IF(OR($A99="",F$13=""),0,SUMIFS(MVT_NET,MVT_LOT,$A99,MVT_EMPL,F$13))</f>
        <v>0</v>
      </c>
      <c r="G99" s="42" t="n">
        <f aca="false">IF(OR($A99="",G$13=""),0,SUMIFS(MVT_NET,MVT_LOT,$A99,MVT_EMPL,G$13))</f>
        <v>0</v>
      </c>
      <c r="H99" s="42" t="n">
        <f aca="false">IF(OR($A99="",H$13=""),0,SUMIFS(MVT_NET,MVT_LOT,$A99,MVT_EMPL,H$13))</f>
        <v>0</v>
      </c>
      <c r="I99" s="42" t="n">
        <f aca="false">IF(OR($A99="",I$13=""),0,SUMIFS(MVT_NET,MVT_LOT,$A99,MVT_EMPL,I$13))</f>
        <v>0</v>
      </c>
      <c r="J99" s="42" t="n">
        <f aca="false">IF(OR($A99="",J$13=""),0,SUMIFS(MVT_NET,MVT_LOT,$A99,MVT_EMPL,J$13))</f>
        <v>0</v>
      </c>
      <c r="K99" s="42" t="n">
        <f aca="false">IF(OR($A99="",K$13=""),0,SUMIFS(MVT_NET,MVT_LOT,$A99,MVT_EMPL,K$13))</f>
        <v>0</v>
      </c>
      <c r="L99" s="42" t="n">
        <f aca="false">IF(OR($A99="",L$13=""),0,SUMIFS(MVT_NET,MVT_LOT,$A99,MVT_EMPL,L$13))</f>
        <v>0</v>
      </c>
      <c r="M99" s="42" t="n">
        <f aca="false">IF(OR($A99="",M$13=""),0,SUMIFS(MVT_NET,MVT_LOT,$A99,MVT_EMPL,M$13))</f>
        <v>0</v>
      </c>
      <c r="N99" s="43" t="n">
        <f aca="false">SUM($B99:$M99)</f>
        <v>0</v>
      </c>
      <c r="O99" s="44" t="n">
        <f aca="false">SUMPRODUCT(($B$12:$M$12="INTERNE")*$B99:$M99)</f>
        <v>0</v>
      </c>
      <c r="P99" s="44" t="n">
        <f aca="false">SUMPRODUCT(($B$12:$M$12="EXTERNE")*$B99:$M99)</f>
        <v>0</v>
      </c>
      <c r="Q99" s="44" t="n">
        <f aca="false">IF($A99="",0,SUMIFS(ST_ENCOURS,ST_LOT,$A99))</f>
        <v>0</v>
      </c>
      <c r="R99" s="45" t="str">
        <f aca="false">IF($A99="","",IF($N99&lt;-0.001,"STOCK NEGATIF - ANOMALIE",""))</f>
        <v/>
      </c>
    </row>
    <row r="100" customFormat="false" ht="15" hidden="false" customHeight="false" outlineLevel="0" collapsed="false">
      <c r="A100" s="41" t="str">
        <f aca="false">IF(LOTS!$A91="","",LOTS!$A91)</f>
        <v/>
      </c>
      <c r="B100" s="42" t="n">
        <f aca="false">IF(OR($A100="",B$13=""),0,SUMIFS(MVT_NET,MVT_LOT,$A100,MVT_EMPL,B$13))</f>
        <v>0</v>
      </c>
      <c r="C100" s="42" t="n">
        <f aca="false">IF(OR($A100="",C$13=""),0,SUMIFS(MVT_NET,MVT_LOT,$A100,MVT_EMPL,C$13))</f>
        <v>0</v>
      </c>
      <c r="D100" s="42" t="n">
        <f aca="false">IF(OR($A100="",D$13=""),0,SUMIFS(MVT_NET,MVT_LOT,$A100,MVT_EMPL,D$13))</f>
        <v>0</v>
      </c>
      <c r="E100" s="42" t="n">
        <f aca="false">IF(OR($A100="",E$13=""),0,SUMIFS(MVT_NET,MVT_LOT,$A100,MVT_EMPL,E$13))</f>
        <v>0</v>
      </c>
      <c r="F100" s="42" t="n">
        <f aca="false">IF(OR($A100="",F$13=""),0,SUMIFS(MVT_NET,MVT_LOT,$A100,MVT_EMPL,F$13))</f>
        <v>0</v>
      </c>
      <c r="G100" s="42" t="n">
        <f aca="false">IF(OR($A100="",G$13=""),0,SUMIFS(MVT_NET,MVT_LOT,$A100,MVT_EMPL,G$13))</f>
        <v>0</v>
      </c>
      <c r="H100" s="42" t="n">
        <f aca="false">IF(OR($A100="",H$13=""),0,SUMIFS(MVT_NET,MVT_LOT,$A100,MVT_EMPL,H$13))</f>
        <v>0</v>
      </c>
      <c r="I100" s="42" t="n">
        <f aca="false">IF(OR($A100="",I$13=""),0,SUMIFS(MVT_NET,MVT_LOT,$A100,MVT_EMPL,I$13))</f>
        <v>0</v>
      </c>
      <c r="J100" s="42" t="n">
        <f aca="false">IF(OR($A100="",J$13=""),0,SUMIFS(MVT_NET,MVT_LOT,$A100,MVT_EMPL,J$13))</f>
        <v>0</v>
      </c>
      <c r="K100" s="42" t="n">
        <f aca="false">IF(OR($A100="",K$13=""),0,SUMIFS(MVT_NET,MVT_LOT,$A100,MVT_EMPL,K$13))</f>
        <v>0</v>
      </c>
      <c r="L100" s="42" t="n">
        <f aca="false">IF(OR($A100="",L$13=""),0,SUMIFS(MVT_NET,MVT_LOT,$A100,MVT_EMPL,L$13))</f>
        <v>0</v>
      </c>
      <c r="M100" s="42" t="n">
        <f aca="false">IF(OR($A100="",M$13=""),0,SUMIFS(MVT_NET,MVT_LOT,$A100,MVT_EMPL,M$13))</f>
        <v>0</v>
      </c>
      <c r="N100" s="43" t="n">
        <f aca="false">SUM($B100:$M100)</f>
        <v>0</v>
      </c>
      <c r="O100" s="44" t="n">
        <f aca="false">SUMPRODUCT(($B$12:$M$12="INTERNE")*$B100:$M100)</f>
        <v>0</v>
      </c>
      <c r="P100" s="44" t="n">
        <f aca="false">SUMPRODUCT(($B$12:$M$12="EXTERNE")*$B100:$M100)</f>
        <v>0</v>
      </c>
      <c r="Q100" s="44" t="n">
        <f aca="false">IF($A100="",0,SUMIFS(ST_ENCOURS,ST_LOT,$A100))</f>
        <v>0</v>
      </c>
      <c r="R100" s="45" t="str">
        <f aca="false">IF($A100="","",IF($N100&lt;-0.001,"STOCK NEGATIF - ANOMALIE",""))</f>
        <v/>
      </c>
    </row>
    <row r="101" customFormat="false" ht="15" hidden="false" customHeight="false" outlineLevel="0" collapsed="false">
      <c r="A101" s="41" t="str">
        <f aca="false">IF(LOTS!$A92="","",LOTS!$A92)</f>
        <v/>
      </c>
      <c r="B101" s="42" t="n">
        <f aca="false">IF(OR($A101="",B$13=""),0,SUMIFS(MVT_NET,MVT_LOT,$A101,MVT_EMPL,B$13))</f>
        <v>0</v>
      </c>
      <c r="C101" s="42" t="n">
        <f aca="false">IF(OR($A101="",C$13=""),0,SUMIFS(MVT_NET,MVT_LOT,$A101,MVT_EMPL,C$13))</f>
        <v>0</v>
      </c>
      <c r="D101" s="42" t="n">
        <f aca="false">IF(OR($A101="",D$13=""),0,SUMIFS(MVT_NET,MVT_LOT,$A101,MVT_EMPL,D$13))</f>
        <v>0</v>
      </c>
      <c r="E101" s="42" t="n">
        <f aca="false">IF(OR($A101="",E$13=""),0,SUMIFS(MVT_NET,MVT_LOT,$A101,MVT_EMPL,E$13))</f>
        <v>0</v>
      </c>
      <c r="F101" s="42" t="n">
        <f aca="false">IF(OR($A101="",F$13=""),0,SUMIFS(MVT_NET,MVT_LOT,$A101,MVT_EMPL,F$13))</f>
        <v>0</v>
      </c>
      <c r="G101" s="42" t="n">
        <f aca="false">IF(OR($A101="",G$13=""),0,SUMIFS(MVT_NET,MVT_LOT,$A101,MVT_EMPL,G$13))</f>
        <v>0</v>
      </c>
      <c r="H101" s="42" t="n">
        <f aca="false">IF(OR($A101="",H$13=""),0,SUMIFS(MVT_NET,MVT_LOT,$A101,MVT_EMPL,H$13))</f>
        <v>0</v>
      </c>
      <c r="I101" s="42" t="n">
        <f aca="false">IF(OR($A101="",I$13=""),0,SUMIFS(MVT_NET,MVT_LOT,$A101,MVT_EMPL,I$13))</f>
        <v>0</v>
      </c>
      <c r="J101" s="42" t="n">
        <f aca="false">IF(OR($A101="",J$13=""),0,SUMIFS(MVT_NET,MVT_LOT,$A101,MVT_EMPL,J$13))</f>
        <v>0</v>
      </c>
      <c r="K101" s="42" t="n">
        <f aca="false">IF(OR($A101="",K$13=""),0,SUMIFS(MVT_NET,MVT_LOT,$A101,MVT_EMPL,K$13))</f>
        <v>0</v>
      </c>
      <c r="L101" s="42" t="n">
        <f aca="false">IF(OR($A101="",L$13=""),0,SUMIFS(MVT_NET,MVT_LOT,$A101,MVT_EMPL,L$13))</f>
        <v>0</v>
      </c>
      <c r="M101" s="42" t="n">
        <f aca="false">IF(OR($A101="",M$13=""),0,SUMIFS(MVT_NET,MVT_LOT,$A101,MVT_EMPL,M$13))</f>
        <v>0</v>
      </c>
      <c r="N101" s="43" t="n">
        <f aca="false">SUM($B101:$M101)</f>
        <v>0</v>
      </c>
      <c r="O101" s="44" t="n">
        <f aca="false">SUMPRODUCT(($B$12:$M$12="INTERNE")*$B101:$M101)</f>
        <v>0</v>
      </c>
      <c r="P101" s="44" t="n">
        <f aca="false">SUMPRODUCT(($B$12:$M$12="EXTERNE")*$B101:$M101)</f>
        <v>0</v>
      </c>
      <c r="Q101" s="44" t="n">
        <f aca="false">IF($A101="",0,SUMIFS(ST_ENCOURS,ST_LOT,$A101))</f>
        <v>0</v>
      </c>
      <c r="R101" s="45" t="str">
        <f aca="false">IF($A101="","",IF($N101&lt;-0.001,"STOCK NEGATIF - ANOMALIE",""))</f>
        <v/>
      </c>
    </row>
    <row r="102" customFormat="false" ht="15" hidden="false" customHeight="false" outlineLevel="0" collapsed="false">
      <c r="A102" s="41" t="str">
        <f aca="false">IF(LOTS!$A93="","",LOTS!$A93)</f>
        <v/>
      </c>
      <c r="B102" s="42" t="n">
        <f aca="false">IF(OR($A102="",B$13=""),0,SUMIFS(MVT_NET,MVT_LOT,$A102,MVT_EMPL,B$13))</f>
        <v>0</v>
      </c>
      <c r="C102" s="42" t="n">
        <f aca="false">IF(OR($A102="",C$13=""),0,SUMIFS(MVT_NET,MVT_LOT,$A102,MVT_EMPL,C$13))</f>
        <v>0</v>
      </c>
      <c r="D102" s="42" t="n">
        <f aca="false">IF(OR($A102="",D$13=""),0,SUMIFS(MVT_NET,MVT_LOT,$A102,MVT_EMPL,D$13))</f>
        <v>0</v>
      </c>
      <c r="E102" s="42" t="n">
        <f aca="false">IF(OR($A102="",E$13=""),0,SUMIFS(MVT_NET,MVT_LOT,$A102,MVT_EMPL,E$13))</f>
        <v>0</v>
      </c>
      <c r="F102" s="42" t="n">
        <f aca="false">IF(OR($A102="",F$13=""),0,SUMIFS(MVT_NET,MVT_LOT,$A102,MVT_EMPL,F$13))</f>
        <v>0</v>
      </c>
      <c r="G102" s="42" t="n">
        <f aca="false">IF(OR($A102="",G$13=""),0,SUMIFS(MVT_NET,MVT_LOT,$A102,MVT_EMPL,G$13))</f>
        <v>0</v>
      </c>
      <c r="H102" s="42" t="n">
        <f aca="false">IF(OR($A102="",H$13=""),0,SUMIFS(MVT_NET,MVT_LOT,$A102,MVT_EMPL,H$13))</f>
        <v>0</v>
      </c>
      <c r="I102" s="42" t="n">
        <f aca="false">IF(OR($A102="",I$13=""),0,SUMIFS(MVT_NET,MVT_LOT,$A102,MVT_EMPL,I$13))</f>
        <v>0</v>
      </c>
      <c r="J102" s="42" t="n">
        <f aca="false">IF(OR($A102="",J$13=""),0,SUMIFS(MVT_NET,MVT_LOT,$A102,MVT_EMPL,J$13))</f>
        <v>0</v>
      </c>
      <c r="K102" s="42" t="n">
        <f aca="false">IF(OR($A102="",K$13=""),0,SUMIFS(MVT_NET,MVT_LOT,$A102,MVT_EMPL,K$13))</f>
        <v>0</v>
      </c>
      <c r="L102" s="42" t="n">
        <f aca="false">IF(OR($A102="",L$13=""),0,SUMIFS(MVT_NET,MVT_LOT,$A102,MVT_EMPL,L$13))</f>
        <v>0</v>
      </c>
      <c r="M102" s="42" t="n">
        <f aca="false">IF(OR($A102="",M$13=""),0,SUMIFS(MVT_NET,MVT_LOT,$A102,MVT_EMPL,M$13))</f>
        <v>0</v>
      </c>
      <c r="N102" s="43" t="n">
        <f aca="false">SUM($B102:$M102)</f>
        <v>0</v>
      </c>
      <c r="O102" s="44" t="n">
        <f aca="false">SUMPRODUCT(($B$12:$M$12="INTERNE")*$B102:$M102)</f>
        <v>0</v>
      </c>
      <c r="P102" s="44" t="n">
        <f aca="false">SUMPRODUCT(($B$12:$M$12="EXTERNE")*$B102:$M102)</f>
        <v>0</v>
      </c>
      <c r="Q102" s="44" t="n">
        <f aca="false">IF($A102="",0,SUMIFS(ST_ENCOURS,ST_LOT,$A102))</f>
        <v>0</v>
      </c>
      <c r="R102" s="45" t="str">
        <f aca="false">IF($A102="","",IF($N102&lt;-0.001,"STOCK NEGATIF - ANOMALIE",""))</f>
        <v/>
      </c>
    </row>
    <row r="103" customFormat="false" ht="15" hidden="false" customHeight="false" outlineLevel="0" collapsed="false">
      <c r="A103" s="41" t="str">
        <f aca="false">IF(LOTS!$A94="","",LOTS!$A94)</f>
        <v/>
      </c>
      <c r="B103" s="42" t="n">
        <f aca="false">IF(OR($A103="",B$13=""),0,SUMIFS(MVT_NET,MVT_LOT,$A103,MVT_EMPL,B$13))</f>
        <v>0</v>
      </c>
      <c r="C103" s="42" t="n">
        <f aca="false">IF(OR($A103="",C$13=""),0,SUMIFS(MVT_NET,MVT_LOT,$A103,MVT_EMPL,C$13))</f>
        <v>0</v>
      </c>
      <c r="D103" s="42" t="n">
        <f aca="false">IF(OR($A103="",D$13=""),0,SUMIFS(MVT_NET,MVT_LOT,$A103,MVT_EMPL,D$13))</f>
        <v>0</v>
      </c>
      <c r="E103" s="42" t="n">
        <f aca="false">IF(OR($A103="",E$13=""),0,SUMIFS(MVT_NET,MVT_LOT,$A103,MVT_EMPL,E$13))</f>
        <v>0</v>
      </c>
      <c r="F103" s="42" t="n">
        <f aca="false">IF(OR($A103="",F$13=""),0,SUMIFS(MVT_NET,MVT_LOT,$A103,MVT_EMPL,F$13))</f>
        <v>0</v>
      </c>
      <c r="G103" s="42" t="n">
        <f aca="false">IF(OR($A103="",G$13=""),0,SUMIFS(MVT_NET,MVT_LOT,$A103,MVT_EMPL,G$13))</f>
        <v>0</v>
      </c>
      <c r="H103" s="42" t="n">
        <f aca="false">IF(OR($A103="",H$13=""),0,SUMIFS(MVT_NET,MVT_LOT,$A103,MVT_EMPL,H$13))</f>
        <v>0</v>
      </c>
      <c r="I103" s="42" t="n">
        <f aca="false">IF(OR($A103="",I$13=""),0,SUMIFS(MVT_NET,MVT_LOT,$A103,MVT_EMPL,I$13))</f>
        <v>0</v>
      </c>
      <c r="J103" s="42" t="n">
        <f aca="false">IF(OR($A103="",J$13=""),0,SUMIFS(MVT_NET,MVT_LOT,$A103,MVT_EMPL,J$13))</f>
        <v>0</v>
      </c>
      <c r="K103" s="42" t="n">
        <f aca="false">IF(OR($A103="",K$13=""),0,SUMIFS(MVT_NET,MVT_LOT,$A103,MVT_EMPL,K$13))</f>
        <v>0</v>
      </c>
      <c r="L103" s="42" t="n">
        <f aca="false">IF(OR($A103="",L$13=""),0,SUMIFS(MVT_NET,MVT_LOT,$A103,MVT_EMPL,L$13))</f>
        <v>0</v>
      </c>
      <c r="M103" s="42" t="n">
        <f aca="false">IF(OR($A103="",M$13=""),0,SUMIFS(MVT_NET,MVT_LOT,$A103,MVT_EMPL,M$13))</f>
        <v>0</v>
      </c>
      <c r="N103" s="43" t="n">
        <f aca="false">SUM($B103:$M103)</f>
        <v>0</v>
      </c>
      <c r="O103" s="44" t="n">
        <f aca="false">SUMPRODUCT(($B$12:$M$12="INTERNE")*$B103:$M103)</f>
        <v>0</v>
      </c>
      <c r="P103" s="44" t="n">
        <f aca="false">SUMPRODUCT(($B$12:$M$12="EXTERNE")*$B103:$M103)</f>
        <v>0</v>
      </c>
      <c r="Q103" s="44" t="n">
        <f aca="false">IF($A103="",0,SUMIFS(ST_ENCOURS,ST_LOT,$A103))</f>
        <v>0</v>
      </c>
      <c r="R103" s="45" t="str">
        <f aca="false">IF($A103="","",IF($N103&lt;-0.001,"STOCK NEGATIF - ANOMALIE",""))</f>
        <v/>
      </c>
    </row>
    <row r="104" customFormat="false" ht="15" hidden="false" customHeight="false" outlineLevel="0" collapsed="false">
      <c r="A104" s="41" t="str">
        <f aca="false">IF(LOTS!$A95="","",LOTS!$A95)</f>
        <v/>
      </c>
      <c r="B104" s="42" t="n">
        <f aca="false">IF(OR($A104="",B$13=""),0,SUMIFS(MVT_NET,MVT_LOT,$A104,MVT_EMPL,B$13))</f>
        <v>0</v>
      </c>
      <c r="C104" s="42" t="n">
        <f aca="false">IF(OR($A104="",C$13=""),0,SUMIFS(MVT_NET,MVT_LOT,$A104,MVT_EMPL,C$13))</f>
        <v>0</v>
      </c>
      <c r="D104" s="42" t="n">
        <f aca="false">IF(OR($A104="",D$13=""),0,SUMIFS(MVT_NET,MVT_LOT,$A104,MVT_EMPL,D$13))</f>
        <v>0</v>
      </c>
      <c r="E104" s="42" t="n">
        <f aca="false">IF(OR($A104="",E$13=""),0,SUMIFS(MVT_NET,MVT_LOT,$A104,MVT_EMPL,E$13))</f>
        <v>0</v>
      </c>
      <c r="F104" s="42" t="n">
        <f aca="false">IF(OR($A104="",F$13=""),0,SUMIFS(MVT_NET,MVT_LOT,$A104,MVT_EMPL,F$13))</f>
        <v>0</v>
      </c>
      <c r="G104" s="42" t="n">
        <f aca="false">IF(OR($A104="",G$13=""),0,SUMIFS(MVT_NET,MVT_LOT,$A104,MVT_EMPL,G$13))</f>
        <v>0</v>
      </c>
      <c r="H104" s="42" t="n">
        <f aca="false">IF(OR($A104="",H$13=""),0,SUMIFS(MVT_NET,MVT_LOT,$A104,MVT_EMPL,H$13))</f>
        <v>0</v>
      </c>
      <c r="I104" s="42" t="n">
        <f aca="false">IF(OR($A104="",I$13=""),0,SUMIFS(MVT_NET,MVT_LOT,$A104,MVT_EMPL,I$13))</f>
        <v>0</v>
      </c>
      <c r="J104" s="42" t="n">
        <f aca="false">IF(OR($A104="",J$13=""),0,SUMIFS(MVT_NET,MVT_LOT,$A104,MVT_EMPL,J$13))</f>
        <v>0</v>
      </c>
      <c r="K104" s="42" t="n">
        <f aca="false">IF(OR($A104="",K$13=""),0,SUMIFS(MVT_NET,MVT_LOT,$A104,MVT_EMPL,K$13))</f>
        <v>0</v>
      </c>
      <c r="L104" s="42" t="n">
        <f aca="false">IF(OR($A104="",L$13=""),0,SUMIFS(MVT_NET,MVT_LOT,$A104,MVT_EMPL,L$13))</f>
        <v>0</v>
      </c>
      <c r="M104" s="42" t="n">
        <f aca="false">IF(OR($A104="",M$13=""),0,SUMIFS(MVT_NET,MVT_LOT,$A104,MVT_EMPL,M$13))</f>
        <v>0</v>
      </c>
      <c r="N104" s="43" t="n">
        <f aca="false">SUM($B104:$M104)</f>
        <v>0</v>
      </c>
      <c r="O104" s="44" t="n">
        <f aca="false">SUMPRODUCT(($B$12:$M$12="INTERNE")*$B104:$M104)</f>
        <v>0</v>
      </c>
      <c r="P104" s="44" t="n">
        <f aca="false">SUMPRODUCT(($B$12:$M$12="EXTERNE")*$B104:$M104)</f>
        <v>0</v>
      </c>
      <c r="Q104" s="44" t="n">
        <f aca="false">IF($A104="",0,SUMIFS(ST_ENCOURS,ST_LOT,$A104))</f>
        <v>0</v>
      </c>
      <c r="R104" s="45" t="str">
        <f aca="false">IF($A104="","",IF($N104&lt;-0.001,"STOCK NEGATIF - ANOMALIE",""))</f>
        <v/>
      </c>
    </row>
    <row r="105" customFormat="false" ht="15" hidden="false" customHeight="false" outlineLevel="0" collapsed="false">
      <c r="A105" s="41" t="str">
        <f aca="false">IF(LOTS!$A96="","",LOTS!$A96)</f>
        <v/>
      </c>
      <c r="B105" s="42" t="n">
        <f aca="false">IF(OR($A105="",B$13=""),0,SUMIFS(MVT_NET,MVT_LOT,$A105,MVT_EMPL,B$13))</f>
        <v>0</v>
      </c>
      <c r="C105" s="42" t="n">
        <f aca="false">IF(OR($A105="",C$13=""),0,SUMIFS(MVT_NET,MVT_LOT,$A105,MVT_EMPL,C$13))</f>
        <v>0</v>
      </c>
      <c r="D105" s="42" t="n">
        <f aca="false">IF(OR($A105="",D$13=""),0,SUMIFS(MVT_NET,MVT_LOT,$A105,MVT_EMPL,D$13))</f>
        <v>0</v>
      </c>
      <c r="E105" s="42" t="n">
        <f aca="false">IF(OR($A105="",E$13=""),0,SUMIFS(MVT_NET,MVT_LOT,$A105,MVT_EMPL,E$13))</f>
        <v>0</v>
      </c>
      <c r="F105" s="42" t="n">
        <f aca="false">IF(OR($A105="",F$13=""),0,SUMIFS(MVT_NET,MVT_LOT,$A105,MVT_EMPL,F$13))</f>
        <v>0</v>
      </c>
      <c r="G105" s="42" t="n">
        <f aca="false">IF(OR($A105="",G$13=""),0,SUMIFS(MVT_NET,MVT_LOT,$A105,MVT_EMPL,G$13))</f>
        <v>0</v>
      </c>
      <c r="H105" s="42" t="n">
        <f aca="false">IF(OR($A105="",H$13=""),0,SUMIFS(MVT_NET,MVT_LOT,$A105,MVT_EMPL,H$13))</f>
        <v>0</v>
      </c>
      <c r="I105" s="42" t="n">
        <f aca="false">IF(OR($A105="",I$13=""),0,SUMIFS(MVT_NET,MVT_LOT,$A105,MVT_EMPL,I$13))</f>
        <v>0</v>
      </c>
      <c r="J105" s="42" t="n">
        <f aca="false">IF(OR($A105="",J$13=""),0,SUMIFS(MVT_NET,MVT_LOT,$A105,MVT_EMPL,J$13))</f>
        <v>0</v>
      </c>
      <c r="K105" s="42" t="n">
        <f aca="false">IF(OR($A105="",K$13=""),0,SUMIFS(MVT_NET,MVT_LOT,$A105,MVT_EMPL,K$13))</f>
        <v>0</v>
      </c>
      <c r="L105" s="42" t="n">
        <f aca="false">IF(OR($A105="",L$13=""),0,SUMIFS(MVT_NET,MVT_LOT,$A105,MVT_EMPL,L$13))</f>
        <v>0</v>
      </c>
      <c r="M105" s="42" t="n">
        <f aca="false">IF(OR($A105="",M$13=""),0,SUMIFS(MVT_NET,MVT_LOT,$A105,MVT_EMPL,M$13))</f>
        <v>0</v>
      </c>
      <c r="N105" s="43" t="n">
        <f aca="false">SUM($B105:$M105)</f>
        <v>0</v>
      </c>
      <c r="O105" s="44" t="n">
        <f aca="false">SUMPRODUCT(($B$12:$M$12="INTERNE")*$B105:$M105)</f>
        <v>0</v>
      </c>
      <c r="P105" s="44" t="n">
        <f aca="false">SUMPRODUCT(($B$12:$M$12="EXTERNE")*$B105:$M105)</f>
        <v>0</v>
      </c>
      <c r="Q105" s="44" t="n">
        <f aca="false">IF($A105="",0,SUMIFS(ST_ENCOURS,ST_LOT,$A105))</f>
        <v>0</v>
      </c>
      <c r="R105" s="45" t="str">
        <f aca="false">IF($A105="","",IF($N105&lt;-0.001,"STOCK NEGATIF - ANOMALIE",""))</f>
        <v/>
      </c>
    </row>
    <row r="106" customFormat="false" ht="15" hidden="false" customHeight="false" outlineLevel="0" collapsed="false">
      <c r="A106" s="41" t="str">
        <f aca="false">IF(LOTS!$A97="","",LOTS!$A97)</f>
        <v/>
      </c>
      <c r="B106" s="42" t="n">
        <f aca="false">IF(OR($A106="",B$13=""),0,SUMIFS(MVT_NET,MVT_LOT,$A106,MVT_EMPL,B$13))</f>
        <v>0</v>
      </c>
      <c r="C106" s="42" t="n">
        <f aca="false">IF(OR($A106="",C$13=""),0,SUMIFS(MVT_NET,MVT_LOT,$A106,MVT_EMPL,C$13))</f>
        <v>0</v>
      </c>
      <c r="D106" s="42" t="n">
        <f aca="false">IF(OR($A106="",D$13=""),0,SUMIFS(MVT_NET,MVT_LOT,$A106,MVT_EMPL,D$13))</f>
        <v>0</v>
      </c>
      <c r="E106" s="42" t="n">
        <f aca="false">IF(OR($A106="",E$13=""),0,SUMIFS(MVT_NET,MVT_LOT,$A106,MVT_EMPL,E$13))</f>
        <v>0</v>
      </c>
      <c r="F106" s="42" t="n">
        <f aca="false">IF(OR($A106="",F$13=""),0,SUMIFS(MVT_NET,MVT_LOT,$A106,MVT_EMPL,F$13))</f>
        <v>0</v>
      </c>
      <c r="G106" s="42" t="n">
        <f aca="false">IF(OR($A106="",G$13=""),0,SUMIFS(MVT_NET,MVT_LOT,$A106,MVT_EMPL,G$13))</f>
        <v>0</v>
      </c>
      <c r="H106" s="42" t="n">
        <f aca="false">IF(OR($A106="",H$13=""),0,SUMIFS(MVT_NET,MVT_LOT,$A106,MVT_EMPL,H$13))</f>
        <v>0</v>
      </c>
      <c r="I106" s="42" t="n">
        <f aca="false">IF(OR($A106="",I$13=""),0,SUMIFS(MVT_NET,MVT_LOT,$A106,MVT_EMPL,I$13))</f>
        <v>0</v>
      </c>
      <c r="J106" s="42" t="n">
        <f aca="false">IF(OR($A106="",J$13=""),0,SUMIFS(MVT_NET,MVT_LOT,$A106,MVT_EMPL,J$13))</f>
        <v>0</v>
      </c>
      <c r="K106" s="42" t="n">
        <f aca="false">IF(OR($A106="",K$13=""),0,SUMIFS(MVT_NET,MVT_LOT,$A106,MVT_EMPL,K$13))</f>
        <v>0</v>
      </c>
      <c r="L106" s="42" t="n">
        <f aca="false">IF(OR($A106="",L$13=""),0,SUMIFS(MVT_NET,MVT_LOT,$A106,MVT_EMPL,L$13))</f>
        <v>0</v>
      </c>
      <c r="M106" s="42" t="n">
        <f aca="false">IF(OR($A106="",M$13=""),0,SUMIFS(MVT_NET,MVT_LOT,$A106,MVT_EMPL,M$13))</f>
        <v>0</v>
      </c>
      <c r="N106" s="43" t="n">
        <f aca="false">SUM($B106:$M106)</f>
        <v>0</v>
      </c>
      <c r="O106" s="44" t="n">
        <f aca="false">SUMPRODUCT(($B$12:$M$12="INTERNE")*$B106:$M106)</f>
        <v>0</v>
      </c>
      <c r="P106" s="44" t="n">
        <f aca="false">SUMPRODUCT(($B$12:$M$12="EXTERNE")*$B106:$M106)</f>
        <v>0</v>
      </c>
      <c r="Q106" s="44" t="n">
        <f aca="false">IF($A106="",0,SUMIFS(ST_ENCOURS,ST_LOT,$A106))</f>
        <v>0</v>
      </c>
      <c r="R106" s="45" t="str">
        <f aca="false">IF($A106="","",IF($N106&lt;-0.001,"STOCK NEGATIF - ANOMALIE",""))</f>
        <v/>
      </c>
    </row>
    <row r="107" customFormat="false" ht="15" hidden="false" customHeight="false" outlineLevel="0" collapsed="false">
      <c r="A107" s="41" t="str">
        <f aca="false">IF(LOTS!$A98="","",LOTS!$A98)</f>
        <v/>
      </c>
      <c r="B107" s="42" t="n">
        <f aca="false">IF(OR($A107="",B$13=""),0,SUMIFS(MVT_NET,MVT_LOT,$A107,MVT_EMPL,B$13))</f>
        <v>0</v>
      </c>
      <c r="C107" s="42" t="n">
        <f aca="false">IF(OR($A107="",C$13=""),0,SUMIFS(MVT_NET,MVT_LOT,$A107,MVT_EMPL,C$13))</f>
        <v>0</v>
      </c>
      <c r="D107" s="42" t="n">
        <f aca="false">IF(OR($A107="",D$13=""),0,SUMIFS(MVT_NET,MVT_LOT,$A107,MVT_EMPL,D$13))</f>
        <v>0</v>
      </c>
      <c r="E107" s="42" t="n">
        <f aca="false">IF(OR($A107="",E$13=""),0,SUMIFS(MVT_NET,MVT_LOT,$A107,MVT_EMPL,E$13))</f>
        <v>0</v>
      </c>
      <c r="F107" s="42" t="n">
        <f aca="false">IF(OR($A107="",F$13=""),0,SUMIFS(MVT_NET,MVT_LOT,$A107,MVT_EMPL,F$13))</f>
        <v>0</v>
      </c>
      <c r="G107" s="42" t="n">
        <f aca="false">IF(OR($A107="",G$13=""),0,SUMIFS(MVT_NET,MVT_LOT,$A107,MVT_EMPL,G$13))</f>
        <v>0</v>
      </c>
      <c r="H107" s="42" t="n">
        <f aca="false">IF(OR($A107="",H$13=""),0,SUMIFS(MVT_NET,MVT_LOT,$A107,MVT_EMPL,H$13))</f>
        <v>0</v>
      </c>
      <c r="I107" s="42" t="n">
        <f aca="false">IF(OR($A107="",I$13=""),0,SUMIFS(MVT_NET,MVT_LOT,$A107,MVT_EMPL,I$13))</f>
        <v>0</v>
      </c>
      <c r="J107" s="42" t="n">
        <f aca="false">IF(OR($A107="",J$13=""),0,SUMIFS(MVT_NET,MVT_LOT,$A107,MVT_EMPL,J$13))</f>
        <v>0</v>
      </c>
      <c r="K107" s="42" t="n">
        <f aca="false">IF(OR($A107="",K$13=""),0,SUMIFS(MVT_NET,MVT_LOT,$A107,MVT_EMPL,K$13))</f>
        <v>0</v>
      </c>
      <c r="L107" s="42" t="n">
        <f aca="false">IF(OR($A107="",L$13=""),0,SUMIFS(MVT_NET,MVT_LOT,$A107,MVT_EMPL,L$13))</f>
        <v>0</v>
      </c>
      <c r="M107" s="42" t="n">
        <f aca="false">IF(OR($A107="",M$13=""),0,SUMIFS(MVT_NET,MVT_LOT,$A107,MVT_EMPL,M$13))</f>
        <v>0</v>
      </c>
      <c r="N107" s="43" t="n">
        <f aca="false">SUM($B107:$M107)</f>
        <v>0</v>
      </c>
      <c r="O107" s="44" t="n">
        <f aca="false">SUMPRODUCT(($B$12:$M$12="INTERNE")*$B107:$M107)</f>
        <v>0</v>
      </c>
      <c r="P107" s="44" t="n">
        <f aca="false">SUMPRODUCT(($B$12:$M$12="EXTERNE")*$B107:$M107)</f>
        <v>0</v>
      </c>
      <c r="Q107" s="44" t="n">
        <f aca="false">IF($A107="",0,SUMIFS(ST_ENCOURS,ST_LOT,$A107))</f>
        <v>0</v>
      </c>
      <c r="R107" s="45" t="str">
        <f aca="false">IF($A107="","",IF($N107&lt;-0.001,"STOCK NEGATIF - ANOMALIE",""))</f>
        <v/>
      </c>
    </row>
    <row r="108" customFormat="false" ht="15" hidden="false" customHeight="false" outlineLevel="0" collapsed="false">
      <c r="A108" s="41" t="str">
        <f aca="false">IF(LOTS!$A99="","",LOTS!$A99)</f>
        <v/>
      </c>
      <c r="B108" s="42" t="n">
        <f aca="false">IF(OR($A108="",B$13=""),0,SUMIFS(MVT_NET,MVT_LOT,$A108,MVT_EMPL,B$13))</f>
        <v>0</v>
      </c>
      <c r="C108" s="42" t="n">
        <f aca="false">IF(OR($A108="",C$13=""),0,SUMIFS(MVT_NET,MVT_LOT,$A108,MVT_EMPL,C$13))</f>
        <v>0</v>
      </c>
      <c r="D108" s="42" t="n">
        <f aca="false">IF(OR($A108="",D$13=""),0,SUMIFS(MVT_NET,MVT_LOT,$A108,MVT_EMPL,D$13))</f>
        <v>0</v>
      </c>
      <c r="E108" s="42" t="n">
        <f aca="false">IF(OR($A108="",E$13=""),0,SUMIFS(MVT_NET,MVT_LOT,$A108,MVT_EMPL,E$13))</f>
        <v>0</v>
      </c>
      <c r="F108" s="42" t="n">
        <f aca="false">IF(OR($A108="",F$13=""),0,SUMIFS(MVT_NET,MVT_LOT,$A108,MVT_EMPL,F$13))</f>
        <v>0</v>
      </c>
      <c r="G108" s="42" t="n">
        <f aca="false">IF(OR($A108="",G$13=""),0,SUMIFS(MVT_NET,MVT_LOT,$A108,MVT_EMPL,G$13))</f>
        <v>0</v>
      </c>
      <c r="H108" s="42" t="n">
        <f aca="false">IF(OR($A108="",H$13=""),0,SUMIFS(MVT_NET,MVT_LOT,$A108,MVT_EMPL,H$13))</f>
        <v>0</v>
      </c>
      <c r="I108" s="42" t="n">
        <f aca="false">IF(OR($A108="",I$13=""),0,SUMIFS(MVT_NET,MVT_LOT,$A108,MVT_EMPL,I$13))</f>
        <v>0</v>
      </c>
      <c r="J108" s="42" t="n">
        <f aca="false">IF(OR($A108="",J$13=""),0,SUMIFS(MVT_NET,MVT_LOT,$A108,MVT_EMPL,J$13))</f>
        <v>0</v>
      </c>
      <c r="K108" s="42" t="n">
        <f aca="false">IF(OR($A108="",K$13=""),0,SUMIFS(MVT_NET,MVT_LOT,$A108,MVT_EMPL,K$13))</f>
        <v>0</v>
      </c>
      <c r="L108" s="42" t="n">
        <f aca="false">IF(OR($A108="",L$13=""),0,SUMIFS(MVT_NET,MVT_LOT,$A108,MVT_EMPL,L$13))</f>
        <v>0</v>
      </c>
      <c r="M108" s="42" t="n">
        <f aca="false">IF(OR($A108="",M$13=""),0,SUMIFS(MVT_NET,MVT_LOT,$A108,MVT_EMPL,M$13))</f>
        <v>0</v>
      </c>
      <c r="N108" s="43" t="n">
        <f aca="false">SUM($B108:$M108)</f>
        <v>0</v>
      </c>
      <c r="O108" s="44" t="n">
        <f aca="false">SUMPRODUCT(($B$12:$M$12="INTERNE")*$B108:$M108)</f>
        <v>0</v>
      </c>
      <c r="P108" s="44" t="n">
        <f aca="false">SUMPRODUCT(($B$12:$M$12="EXTERNE")*$B108:$M108)</f>
        <v>0</v>
      </c>
      <c r="Q108" s="44" t="n">
        <f aca="false">IF($A108="",0,SUMIFS(ST_ENCOURS,ST_LOT,$A108))</f>
        <v>0</v>
      </c>
      <c r="R108" s="45" t="str">
        <f aca="false">IF($A108="","",IF($N108&lt;-0.001,"STOCK NEGATIF - ANOMALIE",""))</f>
        <v/>
      </c>
    </row>
    <row r="109" customFormat="false" ht="15" hidden="false" customHeight="false" outlineLevel="0" collapsed="false">
      <c r="A109" s="41" t="str">
        <f aca="false">IF(LOTS!$A100="","",LOTS!$A100)</f>
        <v/>
      </c>
      <c r="B109" s="42" t="n">
        <f aca="false">IF(OR($A109="",B$13=""),0,SUMIFS(MVT_NET,MVT_LOT,$A109,MVT_EMPL,B$13))</f>
        <v>0</v>
      </c>
      <c r="C109" s="42" t="n">
        <f aca="false">IF(OR($A109="",C$13=""),0,SUMIFS(MVT_NET,MVT_LOT,$A109,MVT_EMPL,C$13))</f>
        <v>0</v>
      </c>
      <c r="D109" s="42" t="n">
        <f aca="false">IF(OR($A109="",D$13=""),0,SUMIFS(MVT_NET,MVT_LOT,$A109,MVT_EMPL,D$13))</f>
        <v>0</v>
      </c>
      <c r="E109" s="42" t="n">
        <f aca="false">IF(OR($A109="",E$13=""),0,SUMIFS(MVT_NET,MVT_LOT,$A109,MVT_EMPL,E$13))</f>
        <v>0</v>
      </c>
      <c r="F109" s="42" t="n">
        <f aca="false">IF(OR($A109="",F$13=""),0,SUMIFS(MVT_NET,MVT_LOT,$A109,MVT_EMPL,F$13))</f>
        <v>0</v>
      </c>
      <c r="G109" s="42" t="n">
        <f aca="false">IF(OR($A109="",G$13=""),0,SUMIFS(MVT_NET,MVT_LOT,$A109,MVT_EMPL,G$13))</f>
        <v>0</v>
      </c>
      <c r="H109" s="42" t="n">
        <f aca="false">IF(OR($A109="",H$13=""),0,SUMIFS(MVT_NET,MVT_LOT,$A109,MVT_EMPL,H$13))</f>
        <v>0</v>
      </c>
      <c r="I109" s="42" t="n">
        <f aca="false">IF(OR($A109="",I$13=""),0,SUMIFS(MVT_NET,MVT_LOT,$A109,MVT_EMPL,I$13))</f>
        <v>0</v>
      </c>
      <c r="J109" s="42" t="n">
        <f aca="false">IF(OR($A109="",J$13=""),0,SUMIFS(MVT_NET,MVT_LOT,$A109,MVT_EMPL,J$13))</f>
        <v>0</v>
      </c>
      <c r="K109" s="42" t="n">
        <f aca="false">IF(OR($A109="",K$13=""),0,SUMIFS(MVT_NET,MVT_LOT,$A109,MVT_EMPL,K$13))</f>
        <v>0</v>
      </c>
      <c r="L109" s="42" t="n">
        <f aca="false">IF(OR($A109="",L$13=""),0,SUMIFS(MVT_NET,MVT_LOT,$A109,MVT_EMPL,L$13))</f>
        <v>0</v>
      </c>
      <c r="M109" s="42" t="n">
        <f aca="false">IF(OR($A109="",M$13=""),0,SUMIFS(MVT_NET,MVT_LOT,$A109,MVT_EMPL,M$13))</f>
        <v>0</v>
      </c>
      <c r="N109" s="43" t="n">
        <f aca="false">SUM($B109:$M109)</f>
        <v>0</v>
      </c>
      <c r="O109" s="44" t="n">
        <f aca="false">SUMPRODUCT(($B$12:$M$12="INTERNE")*$B109:$M109)</f>
        <v>0</v>
      </c>
      <c r="P109" s="44" t="n">
        <f aca="false">SUMPRODUCT(($B$12:$M$12="EXTERNE")*$B109:$M109)</f>
        <v>0</v>
      </c>
      <c r="Q109" s="44" t="n">
        <f aca="false">IF($A109="",0,SUMIFS(ST_ENCOURS,ST_LOT,$A109))</f>
        <v>0</v>
      </c>
      <c r="R109" s="45" t="str">
        <f aca="false">IF($A109="","",IF($N109&lt;-0.001,"STOCK NEGATIF - ANOMALIE",""))</f>
        <v/>
      </c>
    </row>
    <row r="110" customFormat="false" ht="15" hidden="false" customHeight="false" outlineLevel="0" collapsed="false">
      <c r="A110" s="41" t="str">
        <f aca="false">IF(LOTS!$A101="","",LOTS!$A101)</f>
        <v/>
      </c>
      <c r="B110" s="42" t="n">
        <f aca="false">IF(OR($A110="",B$13=""),0,SUMIFS(MVT_NET,MVT_LOT,$A110,MVT_EMPL,B$13))</f>
        <v>0</v>
      </c>
      <c r="C110" s="42" t="n">
        <f aca="false">IF(OR($A110="",C$13=""),0,SUMIFS(MVT_NET,MVT_LOT,$A110,MVT_EMPL,C$13))</f>
        <v>0</v>
      </c>
      <c r="D110" s="42" t="n">
        <f aca="false">IF(OR($A110="",D$13=""),0,SUMIFS(MVT_NET,MVT_LOT,$A110,MVT_EMPL,D$13))</f>
        <v>0</v>
      </c>
      <c r="E110" s="42" t="n">
        <f aca="false">IF(OR($A110="",E$13=""),0,SUMIFS(MVT_NET,MVT_LOT,$A110,MVT_EMPL,E$13))</f>
        <v>0</v>
      </c>
      <c r="F110" s="42" t="n">
        <f aca="false">IF(OR($A110="",F$13=""),0,SUMIFS(MVT_NET,MVT_LOT,$A110,MVT_EMPL,F$13))</f>
        <v>0</v>
      </c>
      <c r="G110" s="42" t="n">
        <f aca="false">IF(OR($A110="",G$13=""),0,SUMIFS(MVT_NET,MVT_LOT,$A110,MVT_EMPL,G$13))</f>
        <v>0</v>
      </c>
      <c r="H110" s="42" t="n">
        <f aca="false">IF(OR($A110="",H$13=""),0,SUMIFS(MVT_NET,MVT_LOT,$A110,MVT_EMPL,H$13))</f>
        <v>0</v>
      </c>
      <c r="I110" s="42" t="n">
        <f aca="false">IF(OR($A110="",I$13=""),0,SUMIFS(MVT_NET,MVT_LOT,$A110,MVT_EMPL,I$13))</f>
        <v>0</v>
      </c>
      <c r="J110" s="42" t="n">
        <f aca="false">IF(OR($A110="",J$13=""),0,SUMIFS(MVT_NET,MVT_LOT,$A110,MVT_EMPL,J$13))</f>
        <v>0</v>
      </c>
      <c r="K110" s="42" t="n">
        <f aca="false">IF(OR($A110="",K$13=""),0,SUMIFS(MVT_NET,MVT_LOT,$A110,MVT_EMPL,K$13))</f>
        <v>0</v>
      </c>
      <c r="L110" s="42" t="n">
        <f aca="false">IF(OR($A110="",L$13=""),0,SUMIFS(MVT_NET,MVT_LOT,$A110,MVT_EMPL,L$13))</f>
        <v>0</v>
      </c>
      <c r="M110" s="42" t="n">
        <f aca="false">IF(OR($A110="",M$13=""),0,SUMIFS(MVT_NET,MVT_LOT,$A110,MVT_EMPL,M$13))</f>
        <v>0</v>
      </c>
      <c r="N110" s="43" t="n">
        <f aca="false">SUM($B110:$M110)</f>
        <v>0</v>
      </c>
      <c r="O110" s="44" t="n">
        <f aca="false">SUMPRODUCT(($B$12:$M$12="INTERNE")*$B110:$M110)</f>
        <v>0</v>
      </c>
      <c r="P110" s="44" t="n">
        <f aca="false">SUMPRODUCT(($B$12:$M$12="EXTERNE")*$B110:$M110)</f>
        <v>0</v>
      </c>
      <c r="Q110" s="44" t="n">
        <f aca="false">IF($A110="",0,SUMIFS(ST_ENCOURS,ST_LOT,$A110))</f>
        <v>0</v>
      </c>
      <c r="R110" s="45" t="str">
        <f aca="false">IF($A110="","",IF($N110&lt;-0.001,"STOCK NEGATIF - ANOMALIE",""))</f>
        <v/>
      </c>
    </row>
    <row r="111" customFormat="false" ht="15" hidden="false" customHeight="false" outlineLevel="0" collapsed="false">
      <c r="A111" s="41" t="str">
        <f aca="false">IF(LOTS!$A102="","",LOTS!$A102)</f>
        <v/>
      </c>
      <c r="B111" s="42" t="n">
        <f aca="false">IF(OR($A111="",B$13=""),0,SUMIFS(MVT_NET,MVT_LOT,$A111,MVT_EMPL,B$13))</f>
        <v>0</v>
      </c>
      <c r="C111" s="42" t="n">
        <f aca="false">IF(OR($A111="",C$13=""),0,SUMIFS(MVT_NET,MVT_LOT,$A111,MVT_EMPL,C$13))</f>
        <v>0</v>
      </c>
      <c r="D111" s="42" t="n">
        <f aca="false">IF(OR($A111="",D$13=""),0,SUMIFS(MVT_NET,MVT_LOT,$A111,MVT_EMPL,D$13))</f>
        <v>0</v>
      </c>
      <c r="E111" s="42" t="n">
        <f aca="false">IF(OR($A111="",E$13=""),0,SUMIFS(MVT_NET,MVT_LOT,$A111,MVT_EMPL,E$13))</f>
        <v>0</v>
      </c>
      <c r="F111" s="42" t="n">
        <f aca="false">IF(OR($A111="",F$13=""),0,SUMIFS(MVT_NET,MVT_LOT,$A111,MVT_EMPL,F$13))</f>
        <v>0</v>
      </c>
      <c r="G111" s="42" t="n">
        <f aca="false">IF(OR($A111="",G$13=""),0,SUMIFS(MVT_NET,MVT_LOT,$A111,MVT_EMPL,G$13))</f>
        <v>0</v>
      </c>
      <c r="H111" s="42" t="n">
        <f aca="false">IF(OR($A111="",H$13=""),0,SUMIFS(MVT_NET,MVT_LOT,$A111,MVT_EMPL,H$13))</f>
        <v>0</v>
      </c>
      <c r="I111" s="42" t="n">
        <f aca="false">IF(OR($A111="",I$13=""),0,SUMIFS(MVT_NET,MVT_LOT,$A111,MVT_EMPL,I$13))</f>
        <v>0</v>
      </c>
      <c r="J111" s="42" t="n">
        <f aca="false">IF(OR($A111="",J$13=""),0,SUMIFS(MVT_NET,MVT_LOT,$A111,MVT_EMPL,J$13))</f>
        <v>0</v>
      </c>
      <c r="K111" s="42" t="n">
        <f aca="false">IF(OR($A111="",K$13=""),0,SUMIFS(MVT_NET,MVT_LOT,$A111,MVT_EMPL,K$13))</f>
        <v>0</v>
      </c>
      <c r="L111" s="42" t="n">
        <f aca="false">IF(OR($A111="",L$13=""),0,SUMIFS(MVT_NET,MVT_LOT,$A111,MVT_EMPL,L$13))</f>
        <v>0</v>
      </c>
      <c r="M111" s="42" t="n">
        <f aca="false">IF(OR($A111="",M$13=""),0,SUMIFS(MVT_NET,MVT_LOT,$A111,MVT_EMPL,M$13))</f>
        <v>0</v>
      </c>
      <c r="N111" s="43" t="n">
        <f aca="false">SUM($B111:$M111)</f>
        <v>0</v>
      </c>
      <c r="O111" s="44" t="n">
        <f aca="false">SUMPRODUCT(($B$12:$M$12="INTERNE")*$B111:$M111)</f>
        <v>0</v>
      </c>
      <c r="P111" s="44" t="n">
        <f aca="false">SUMPRODUCT(($B$12:$M$12="EXTERNE")*$B111:$M111)</f>
        <v>0</v>
      </c>
      <c r="Q111" s="44" t="n">
        <f aca="false">IF($A111="",0,SUMIFS(ST_ENCOURS,ST_LOT,$A111))</f>
        <v>0</v>
      </c>
      <c r="R111" s="45" t="str">
        <f aca="false">IF($A111="","",IF($N111&lt;-0.001,"STOCK NEGATIF - ANOMALIE",""))</f>
        <v/>
      </c>
    </row>
    <row r="112" customFormat="false" ht="15" hidden="false" customHeight="false" outlineLevel="0" collapsed="false">
      <c r="A112" s="41" t="str">
        <f aca="false">IF(LOTS!$A103="","",LOTS!$A103)</f>
        <v/>
      </c>
      <c r="B112" s="42" t="n">
        <f aca="false">IF(OR($A112="",B$13=""),0,SUMIFS(MVT_NET,MVT_LOT,$A112,MVT_EMPL,B$13))</f>
        <v>0</v>
      </c>
      <c r="C112" s="42" t="n">
        <f aca="false">IF(OR($A112="",C$13=""),0,SUMIFS(MVT_NET,MVT_LOT,$A112,MVT_EMPL,C$13))</f>
        <v>0</v>
      </c>
      <c r="D112" s="42" t="n">
        <f aca="false">IF(OR($A112="",D$13=""),0,SUMIFS(MVT_NET,MVT_LOT,$A112,MVT_EMPL,D$13))</f>
        <v>0</v>
      </c>
      <c r="E112" s="42" t="n">
        <f aca="false">IF(OR($A112="",E$13=""),0,SUMIFS(MVT_NET,MVT_LOT,$A112,MVT_EMPL,E$13))</f>
        <v>0</v>
      </c>
      <c r="F112" s="42" t="n">
        <f aca="false">IF(OR($A112="",F$13=""),0,SUMIFS(MVT_NET,MVT_LOT,$A112,MVT_EMPL,F$13))</f>
        <v>0</v>
      </c>
      <c r="G112" s="42" t="n">
        <f aca="false">IF(OR($A112="",G$13=""),0,SUMIFS(MVT_NET,MVT_LOT,$A112,MVT_EMPL,G$13))</f>
        <v>0</v>
      </c>
      <c r="H112" s="42" t="n">
        <f aca="false">IF(OR($A112="",H$13=""),0,SUMIFS(MVT_NET,MVT_LOT,$A112,MVT_EMPL,H$13))</f>
        <v>0</v>
      </c>
      <c r="I112" s="42" t="n">
        <f aca="false">IF(OR($A112="",I$13=""),0,SUMIFS(MVT_NET,MVT_LOT,$A112,MVT_EMPL,I$13))</f>
        <v>0</v>
      </c>
      <c r="J112" s="42" t="n">
        <f aca="false">IF(OR($A112="",J$13=""),0,SUMIFS(MVT_NET,MVT_LOT,$A112,MVT_EMPL,J$13))</f>
        <v>0</v>
      </c>
      <c r="K112" s="42" t="n">
        <f aca="false">IF(OR($A112="",K$13=""),0,SUMIFS(MVT_NET,MVT_LOT,$A112,MVT_EMPL,K$13))</f>
        <v>0</v>
      </c>
      <c r="L112" s="42" t="n">
        <f aca="false">IF(OR($A112="",L$13=""),0,SUMIFS(MVT_NET,MVT_LOT,$A112,MVT_EMPL,L$13))</f>
        <v>0</v>
      </c>
      <c r="M112" s="42" t="n">
        <f aca="false">IF(OR($A112="",M$13=""),0,SUMIFS(MVT_NET,MVT_LOT,$A112,MVT_EMPL,M$13))</f>
        <v>0</v>
      </c>
      <c r="N112" s="43" t="n">
        <f aca="false">SUM($B112:$M112)</f>
        <v>0</v>
      </c>
      <c r="O112" s="44" t="n">
        <f aca="false">SUMPRODUCT(($B$12:$M$12="INTERNE")*$B112:$M112)</f>
        <v>0</v>
      </c>
      <c r="P112" s="44" t="n">
        <f aca="false">SUMPRODUCT(($B$12:$M$12="EXTERNE")*$B112:$M112)</f>
        <v>0</v>
      </c>
      <c r="Q112" s="44" t="n">
        <f aca="false">IF($A112="",0,SUMIFS(ST_ENCOURS,ST_LOT,$A112))</f>
        <v>0</v>
      </c>
      <c r="R112" s="45" t="str">
        <f aca="false">IF($A112="","",IF($N112&lt;-0.001,"STOCK NEGATIF - ANOMALIE",""))</f>
        <v/>
      </c>
    </row>
    <row r="113" customFormat="false" ht="15" hidden="false" customHeight="false" outlineLevel="0" collapsed="false">
      <c r="A113" s="41" t="str">
        <f aca="false">IF(LOTS!$A104="","",LOTS!$A104)</f>
        <v/>
      </c>
      <c r="B113" s="42" t="n">
        <f aca="false">IF(OR($A113="",B$13=""),0,SUMIFS(MVT_NET,MVT_LOT,$A113,MVT_EMPL,B$13))</f>
        <v>0</v>
      </c>
      <c r="C113" s="42" t="n">
        <f aca="false">IF(OR($A113="",C$13=""),0,SUMIFS(MVT_NET,MVT_LOT,$A113,MVT_EMPL,C$13))</f>
        <v>0</v>
      </c>
      <c r="D113" s="42" t="n">
        <f aca="false">IF(OR($A113="",D$13=""),0,SUMIFS(MVT_NET,MVT_LOT,$A113,MVT_EMPL,D$13))</f>
        <v>0</v>
      </c>
      <c r="E113" s="42" t="n">
        <f aca="false">IF(OR($A113="",E$13=""),0,SUMIFS(MVT_NET,MVT_LOT,$A113,MVT_EMPL,E$13))</f>
        <v>0</v>
      </c>
      <c r="F113" s="42" t="n">
        <f aca="false">IF(OR($A113="",F$13=""),0,SUMIFS(MVT_NET,MVT_LOT,$A113,MVT_EMPL,F$13))</f>
        <v>0</v>
      </c>
      <c r="G113" s="42" t="n">
        <f aca="false">IF(OR($A113="",G$13=""),0,SUMIFS(MVT_NET,MVT_LOT,$A113,MVT_EMPL,G$13))</f>
        <v>0</v>
      </c>
      <c r="H113" s="42" t="n">
        <f aca="false">IF(OR($A113="",H$13=""),0,SUMIFS(MVT_NET,MVT_LOT,$A113,MVT_EMPL,H$13))</f>
        <v>0</v>
      </c>
      <c r="I113" s="42" t="n">
        <f aca="false">IF(OR($A113="",I$13=""),0,SUMIFS(MVT_NET,MVT_LOT,$A113,MVT_EMPL,I$13))</f>
        <v>0</v>
      </c>
      <c r="J113" s="42" t="n">
        <f aca="false">IF(OR($A113="",J$13=""),0,SUMIFS(MVT_NET,MVT_LOT,$A113,MVT_EMPL,J$13))</f>
        <v>0</v>
      </c>
      <c r="K113" s="42" t="n">
        <f aca="false">IF(OR($A113="",K$13=""),0,SUMIFS(MVT_NET,MVT_LOT,$A113,MVT_EMPL,K$13))</f>
        <v>0</v>
      </c>
      <c r="L113" s="42" t="n">
        <f aca="false">IF(OR($A113="",L$13=""),0,SUMIFS(MVT_NET,MVT_LOT,$A113,MVT_EMPL,L$13))</f>
        <v>0</v>
      </c>
      <c r="M113" s="42" t="n">
        <f aca="false">IF(OR($A113="",M$13=""),0,SUMIFS(MVT_NET,MVT_LOT,$A113,MVT_EMPL,M$13))</f>
        <v>0</v>
      </c>
      <c r="N113" s="43" t="n">
        <f aca="false">SUM($B113:$M113)</f>
        <v>0</v>
      </c>
      <c r="O113" s="44" t="n">
        <f aca="false">SUMPRODUCT(($B$12:$M$12="INTERNE")*$B113:$M113)</f>
        <v>0</v>
      </c>
      <c r="P113" s="44" t="n">
        <f aca="false">SUMPRODUCT(($B$12:$M$12="EXTERNE")*$B113:$M113)</f>
        <v>0</v>
      </c>
      <c r="Q113" s="44" t="n">
        <f aca="false">IF($A113="",0,SUMIFS(ST_ENCOURS,ST_LOT,$A113))</f>
        <v>0</v>
      </c>
      <c r="R113" s="45" t="str">
        <f aca="false">IF($A113="","",IF($N113&lt;-0.001,"STOCK NEGATIF - ANOMALIE",""))</f>
        <v/>
      </c>
    </row>
    <row r="114" customFormat="false" ht="15" hidden="false" customHeight="false" outlineLevel="0" collapsed="false">
      <c r="A114" s="41" t="str">
        <f aca="false">IF(LOTS!$A105="","",LOTS!$A105)</f>
        <v/>
      </c>
      <c r="B114" s="42" t="n">
        <f aca="false">IF(OR($A114="",B$13=""),0,SUMIFS(MVT_NET,MVT_LOT,$A114,MVT_EMPL,B$13))</f>
        <v>0</v>
      </c>
      <c r="C114" s="42" t="n">
        <f aca="false">IF(OR($A114="",C$13=""),0,SUMIFS(MVT_NET,MVT_LOT,$A114,MVT_EMPL,C$13))</f>
        <v>0</v>
      </c>
      <c r="D114" s="42" t="n">
        <f aca="false">IF(OR($A114="",D$13=""),0,SUMIFS(MVT_NET,MVT_LOT,$A114,MVT_EMPL,D$13))</f>
        <v>0</v>
      </c>
      <c r="E114" s="42" t="n">
        <f aca="false">IF(OR($A114="",E$13=""),0,SUMIFS(MVT_NET,MVT_LOT,$A114,MVT_EMPL,E$13))</f>
        <v>0</v>
      </c>
      <c r="F114" s="42" t="n">
        <f aca="false">IF(OR($A114="",F$13=""),0,SUMIFS(MVT_NET,MVT_LOT,$A114,MVT_EMPL,F$13))</f>
        <v>0</v>
      </c>
      <c r="G114" s="42" t="n">
        <f aca="false">IF(OR($A114="",G$13=""),0,SUMIFS(MVT_NET,MVT_LOT,$A114,MVT_EMPL,G$13))</f>
        <v>0</v>
      </c>
      <c r="H114" s="42" t="n">
        <f aca="false">IF(OR($A114="",H$13=""),0,SUMIFS(MVT_NET,MVT_LOT,$A114,MVT_EMPL,H$13))</f>
        <v>0</v>
      </c>
      <c r="I114" s="42" t="n">
        <f aca="false">IF(OR($A114="",I$13=""),0,SUMIFS(MVT_NET,MVT_LOT,$A114,MVT_EMPL,I$13))</f>
        <v>0</v>
      </c>
      <c r="J114" s="42" t="n">
        <f aca="false">IF(OR($A114="",J$13=""),0,SUMIFS(MVT_NET,MVT_LOT,$A114,MVT_EMPL,J$13))</f>
        <v>0</v>
      </c>
      <c r="K114" s="42" t="n">
        <f aca="false">IF(OR($A114="",K$13=""),0,SUMIFS(MVT_NET,MVT_LOT,$A114,MVT_EMPL,K$13))</f>
        <v>0</v>
      </c>
      <c r="L114" s="42" t="n">
        <f aca="false">IF(OR($A114="",L$13=""),0,SUMIFS(MVT_NET,MVT_LOT,$A114,MVT_EMPL,L$13))</f>
        <v>0</v>
      </c>
      <c r="M114" s="42" t="n">
        <f aca="false">IF(OR($A114="",M$13=""),0,SUMIFS(MVT_NET,MVT_LOT,$A114,MVT_EMPL,M$13))</f>
        <v>0</v>
      </c>
      <c r="N114" s="43" t="n">
        <f aca="false">SUM($B114:$M114)</f>
        <v>0</v>
      </c>
      <c r="O114" s="44" t="n">
        <f aca="false">SUMPRODUCT(($B$12:$M$12="INTERNE")*$B114:$M114)</f>
        <v>0</v>
      </c>
      <c r="P114" s="44" t="n">
        <f aca="false">SUMPRODUCT(($B$12:$M$12="EXTERNE")*$B114:$M114)</f>
        <v>0</v>
      </c>
      <c r="Q114" s="44" t="n">
        <f aca="false">IF($A114="",0,SUMIFS(ST_ENCOURS,ST_LOT,$A114))</f>
        <v>0</v>
      </c>
      <c r="R114" s="45" t="str">
        <f aca="false">IF($A114="","",IF($N114&lt;-0.001,"STOCK NEGATIF - ANOMALIE",""))</f>
        <v/>
      </c>
    </row>
    <row r="115" customFormat="false" ht="15" hidden="false" customHeight="false" outlineLevel="0" collapsed="false">
      <c r="A115" s="41" t="str">
        <f aca="false">IF(LOTS!$A106="","",LOTS!$A106)</f>
        <v/>
      </c>
      <c r="B115" s="42" t="n">
        <f aca="false">IF(OR($A115="",B$13=""),0,SUMIFS(MVT_NET,MVT_LOT,$A115,MVT_EMPL,B$13))</f>
        <v>0</v>
      </c>
      <c r="C115" s="42" t="n">
        <f aca="false">IF(OR($A115="",C$13=""),0,SUMIFS(MVT_NET,MVT_LOT,$A115,MVT_EMPL,C$13))</f>
        <v>0</v>
      </c>
      <c r="D115" s="42" t="n">
        <f aca="false">IF(OR($A115="",D$13=""),0,SUMIFS(MVT_NET,MVT_LOT,$A115,MVT_EMPL,D$13))</f>
        <v>0</v>
      </c>
      <c r="E115" s="42" t="n">
        <f aca="false">IF(OR($A115="",E$13=""),0,SUMIFS(MVT_NET,MVT_LOT,$A115,MVT_EMPL,E$13))</f>
        <v>0</v>
      </c>
      <c r="F115" s="42" t="n">
        <f aca="false">IF(OR($A115="",F$13=""),0,SUMIFS(MVT_NET,MVT_LOT,$A115,MVT_EMPL,F$13))</f>
        <v>0</v>
      </c>
      <c r="G115" s="42" t="n">
        <f aca="false">IF(OR($A115="",G$13=""),0,SUMIFS(MVT_NET,MVT_LOT,$A115,MVT_EMPL,G$13))</f>
        <v>0</v>
      </c>
      <c r="H115" s="42" t="n">
        <f aca="false">IF(OR($A115="",H$13=""),0,SUMIFS(MVT_NET,MVT_LOT,$A115,MVT_EMPL,H$13))</f>
        <v>0</v>
      </c>
      <c r="I115" s="42" t="n">
        <f aca="false">IF(OR($A115="",I$13=""),0,SUMIFS(MVT_NET,MVT_LOT,$A115,MVT_EMPL,I$13))</f>
        <v>0</v>
      </c>
      <c r="J115" s="42" t="n">
        <f aca="false">IF(OR($A115="",J$13=""),0,SUMIFS(MVT_NET,MVT_LOT,$A115,MVT_EMPL,J$13))</f>
        <v>0</v>
      </c>
      <c r="K115" s="42" t="n">
        <f aca="false">IF(OR($A115="",K$13=""),0,SUMIFS(MVT_NET,MVT_LOT,$A115,MVT_EMPL,K$13))</f>
        <v>0</v>
      </c>
      <c r="L115" s="42" t="n">
        <f aca="false">IF(OR($A115="",L$13=""),0,SUMIFS(MVT_NET,MVT_LOT,$A115,MVT_EMPL,L$13))</f>
        <v>0</v>
      </c>
      <c r="M115" s="42" t="n">
        <f aca="false">IF(OR($A115="",M$13=""),0,SUMIFS(MVT_NET,MVT_LOT,$A115,MVT_EMPL,M$13))</f>
        <v>0</v>
      </c>
      <c r="N115" s="43" t="n">
        <f aca="false">SUM($B115:$M115)</f>
        <v>0</v>
      </c>
      <c r="O115" s="44" t="n">
        <f aca="false">SUMPRODUCT(($B$12:$M$12="INTERNE")*$B115:$M115)</f>
        <v>0</v>
      </c>
      <c r="P115" s="44" t="n">
        <f aca="false">SUMPRODUCT(($B$12:$M$12="EXTERNE")*$B115:$M115)</f>
        <v>0</v>
      </c>
      <c r="Q115" s="44" t="n">
        <f aca="false">IF($A115="",0,SUMIFS(ST_ENCOURS,ST_LOT,$A115))</f>
        <v>0</v>
      </c>
      <c r="R115" s="45" t="str">
        <f aca="false">IF($A115="","",IF($N115&lt;-0.001,"STOCK NEGATIF - ANOMALIE",""))</f>
        <v/>
      </c>
    </row>
    <row r="116" customFormat="false" ht="15" hidden="false" customHeight="false" outlineLevel="0" collapsed="false">
      <c r="A116" s="41" t="str">
        <f aca="false">IF(LOTS!$A107="","",LOTS!$A107)</f>
        <v/>
      </c>
      <c r="B116" s="42" t="n">
        <f aca="false">IF(OR($A116="",B$13=""),0,SUMIFS(MVT_NET,MVT_LOT,$A116,MVT_EMPL,B$13))</f>
        <v>0</v>
      </c>
      <c r="C116" s="42" t="n">
        <f aca="false">IF(OR($A116="",C$13=""),0,SUMIFS(MVT_NET,MVT_LOT,$A116,MVT_EMPL,C$13))</f>
        <v>0</v>
      </c>
      <c r="D116" s="42" t="n">
        <f aca="false">IF(OR($A116="",D$13=""),0,SUMIFS(MVT_NET,MVT_LOT,$A116,MVT_EMPL,D$13))</f>
        <v>0</v>
      </c>
      <c r="E116" s="42" t="n">
        <f aca="false">IF(OR($A116="",E$13=""),0,SUMIFS(MVT_NET,MVT_LOT,$A116,MVT_EMPL,E$13))</f>
        <v>0</v>
      </c>
      <c r="F116" s="42" t="n">
        <f aca="false">IF(OR($A116="",F$13=""),0,SUMIFS(MVT_NET,MVT_LOT,$A116,MVT_EMPL,F$13))</f>
        <v>0</v>
      </c>
      <c r="G116" s="42" t="n">
        <f aca="false">IF(OR($A116="",G$13=""),0,SUMIFS(MVT_NET,MVT_LOT,$A116,MVT_EMPL,G$13))</f>
        <v>0</v>
      </c>
      <c r="H116" s="42" t="n">
        <f aca="false">IF(OR($A116="",H$13=""),0,SUMIFS(MVT_NET,MVT_LOT,$A116,MVT_EMPL,H$13))</f>
        <v>0</v>
      </c>
      <c r="I116" s="42" t="n">
        <f aca="false">IF(OR($A116="",I$13=""),0,SUMIFS(MVT_NET,MVT_LOT,$A116,MVT_EMPL,I$13))</f>
        <v>0</v>
      </c>
      <c r="J116" s="42" t="n">
        <f aca="false">IF(OR($A116="",J$13=""),0,SUMIFS(MVT_NET,MVT_LOT,$A116,MVT_EMPL,J$13))</f>
        <v>0</v>
      </c>
      <c r="K116" s="42" t="n">
        <f aca="false">IF(OR($A116="",K$13=""),0,SUMIFS(MVT_NET,MVT_LOT,$A116,MVT_EMPL,K$13))</f>
        <v>0</v>
      </c>
      <c r="L116" s="42" t="n">
        <f aca="false">IF(OR($A116="",L$13=""),0,SUMIFS(MVT_NET,MVT_LOT,$A116,MVT_EMPL,L$13))</f>
        <v>0</v>
      </c>
      <c r="M116" s="42" t="n">
        <f aca="false">IF(OR($A116="",M$13=""),0,SUMIFS(MVT_NET,MVT_LOT,$A116,MVT_EMPL,M$13))</f>
        <v>0</v>
      </c>
      <c r="N116" s="43" t="n">
        <f aca="false">SUM($B116:$M116)</f>
        <v>0</v>
      </c>
      <c r="O116" s="44" t="n">
        <f aca="false">SUMPRODUCT(($B$12:$M$12="INTERNE")*$B116:$M116)</f>
        <v>0</v>
      </c>
      <c r="P116" s="44" t="n">
        <f aca="false">SUMPRODUCT(($B$12:$M$12="EXTERNE")*$B116:$M116)</f>
        <v>0</v>
      </c>
      <c r="Q116" s="44" t="n">
        <f aca="false">IF($A116="",0,SUMIFS(ST_ENCOURS,ST_LOT,$A116))</f>
        <v>0</v>
      </c>
      <c r="R116" s="45" t="str">
        <f aca="false">IF($A116="","",IF($N116&lt;-0.001,"STOCK NEGATIF - ANOMALIE",""))</f>
        <v/>
      </c>
    </row>
    <row r="117" customFormat="false" ht="15" hidden="false" customHeight="false" outlineLevel="0" collapsed="false">
      <c r="A117" s="41" t="str">
        <f aca="false">IF(LOTS!$A108="","",LOTS!$A108)</f>
        <v/>
      </c>
      <c r="B117" s="42" t="n">
        <f aca="false">IF(OR($A117="",B$13=""),0,SUMIFS(MVT_NET,MVT_LOT,$A117,MVT_EMPL,B$13))</f>
        <v>0</v>
      </c>
      <c r="C117" s="42" t="n">
        <f aca="false">IF(OR($A117="",C$13=""),0,SUMIFS(MVT_NET,MVT_LOT,$A117,MVT_EMPL,C$13))</f>
        <v>0</v>
      </c>
      <c r="D117" s="42" t="n">
        <f aca="false">IF(OR($A117="",D$13=""),0,SUMIFS(MVT_NET,MVT_LOT,$A117,MVT_EMPL,D$13))</f>
        <v>0</v>
      </c>
      <c r="E117" s="42" t="n">
        <f aca="false">IF(OR($A117="",E$13=""),0,SUMIFS(MVT_NET,MVT_LOT,$A117,MVT_EMPL,E$13))</f>
        <v>0</v>
      </c>
      <c r="F117" s="42" t="n">
        <f aca="false">IF(OR($A117="",F$13=""),0,SUMIFS(MVT_NET,MVT_LOT,$A117,MVT_EMPL,F$13))</f>
        <v>0</v>
      </c>
      <c r="G117" s="42" t="n">
        <f aca="false">IF(OR($A117="",G$13=""),0,SUMIFS(MVT_NET,MVT_LOT,$A117,MVT_EMPL,G$13))</f>
        <v>0</v>
      </c>
      <c r="H117" s="42" t="n">
        <f aca="false">IF(OR($A117="",H$13=""),0,SUMIFS(MVT_NET,MVT_LOT,$A117,MVT_EMPL,H$13))</f>
        <v>0</v>
      </c>
      <c r="I117" s="42" t="n">
        <f aca="false">IF(OR($A117="",I$13=""),0,SUMIFS(MVT_NET,MVT_LOT,$A117,MVT_EMPL,I$13))</f>
        <v>0</v>
      </c>
      <c r="J117" s="42" t="n">
        <f aca="false">IF(OR($A117="",J$13=""),0,SUMIFS(MVT_NET,MVT_LOT,$A117,MVT_EMPL,J$13))</f>
        <v>0</v>
      </c>
      <c r="K117" s="42" t="n">
        <f aca="false">IF(OR($A117="",K$13=""),0,SUMIFS(MVT_NET,MVT_LOT,$A117,MVT_EMPL,K$13))</f>
        <v>0</v>
      </c>
      <c r="L117" s="42" t="n">
        <f aca="false">IF(OR($A117="",L$13=""),0,SUMIFS(MVT_NET,MVT_LOT,$A117,MVT_EMPL,L$13))</f>
        <v>0</v>
      </c>
      <c r="M117" s="42" t="n">
        <f aca="false">IF(OR($A117="",M$13=""),0,SUMIFS(MVT_NET,MVT_LOT,$A117,MVT_EMPL,M$13))</f>
        <v>0</v>
      </c>
      <c r="N117" s="43" t="n">
        <f aca="false">SUM($B117:$M117)</f>
        <v>0</v>
      </c>
      <c r="O117" s="44" t="n">
        <f aca="false">SUMPRODUCT(($B$12:$M$12="INTERNE")*$B117:$M117)</f>
        <v>0</v>
      </c>
      <c r="P117" s="44" t="n">
        <f aca="false">SUMPRODUCT(($B$12:$M$12="EXTERNE")*$B117:$M117)</f>
        <v>0</v>
      </c>
      <c r="Q117" s="44" t="n">
        <f aca="false">IF($A117="",0,SUMIFS(ST_ENCOURS,ST_LOT,$A117))</f>
        <v>0</v>
      </c>
      <c r="R117" s="45" t="str">
        <f aca="false">IF($A117="","",IF($N117&lt;-0.001,"STOCK NEGATIF - ANOMALIE",""))</f>
        <v/>
      </c>
    </row>
    <row r="118" customFormat="false" ht="15" hidden="false" customHeight="false" outlineLevel="0" collapsed="false">
      <c r="A118" s="41" t="str">
        <f aca="false">IF(LOTS!$A109="","",LOTS!$A109)</f>
        <v/>
      </c>
      <c r="B118" s="42" t="n">
        <f aca="false">IF(OR($A118="",B$13=""),0,SUMIFS(MVT_NET,MVT_LOT,$A118,MVT_EMPL,B$13))</f>
        <v>0</v>
      </c>
      <c r="C118" s="42" t="n">
        <f aca="false">IF(OR($A118="",C$13=""),0,SUMIFS(MVT_NET,MVT_LOT,$A118,MVT_EMPL,C$13))</f>
        <v>0</v>
      </c>
      <c r="D118" s="42" t="n">
        <f aca="false">IF(OR($A118="",D$13=""),0,SUMIFS(MVT_NET,MVT_LOT,$A118,MVT_EMPL,D$13))</f>
        <v>0</v>
      </c>
      <c r="E118" s="42" t="n">
        <f aca="false">IF(OR($A118="",E$13=""),0,SUMIFS(MVT_NET,MVT_LOT,$A118,MVT_EMPL,E$13))</f>
        <v>0</v>
      </c>
      <c r="F118" s="42" t="n">
        <f aca="false">IF(OR($A118="",F$13=""),0,SUMIFS(MVT_NET,MVT_LOT,$A118,MVT_EMPL,F$13))</f>
        <v>0</v>
      </c>
      <c r="G118" s="42" t="n">
        <f aca="false">IF(OR($A118="",G$13=""),0,SUMIFS(MVT_NET,MVT_LOT,$A118,MVT_EMPL,G$13))</f>
        <v>0</v>
      </c>
      <c r="H118" s="42" t="n">
        <f aca="false">IF(OR($A118="",H$13=""),0,SUMIFS(MVT_NET,MVT_LOT,$A118,MVT_EMPL,H$13))</f>
        <v>0</v>
      </c>
      <c r="I118" s="42" t="n">
        <f aca="false">IF(OR($A118="",I$13=""),0,SUMIFS(MVT_NET,MVT_LOT,$A118,MVT_EMPL,I$13))</f>
        <v>0</v>
      </c>
      <c r="J118" s="42" t="n">
        <f aca="false">IF(OR($A118="",J$13=""),0,SUMIFS(MVT_NET,MVT_LOT,$A118,MVT_EMPL,J$13))</f>
        <v>0</v>
      </c>
      <c r="K118" s="42" t="n">
        <f aca="false">IF(OR($A118="",K$13=""),0,SUMIFS(MVT_NET,MVT_LOT,$A118,MVT_EMPL,K$13))</f>
        <v>0</v>
      </c>
      <c r="L118" s="42" t="n">
        <f aca="false">IF(OR($A118="",L$13=""),0,SUMIFS(MVT_NET,MVT_LOT,$A118,MVT_EMPL,L$13))</f>
        <v>0</v>
      </c>
      <c r="M118" s="42" t="n">
        <f aca="false">IF(OR($A118="",M$13=""),0,SUMIFS(MVT_NET,MVT_LOT,$A118,MVT_EMPL,M$13))</f>
        <v>0</v>
      </c>
      <c r="N118" s="43" t="n">
        <f aca="false">SUM($B118:$M118)</f>
        <v>0</v>
      </c>
      <c r="O118" s="44" t="n">
        <f aca="false">SUMPRODUCT(($B$12:$M$12="INTERNE")*$B118:$M118)</f>
        <v>0</v>
      </c>
      <c r="P118" s="44" t="n">
        <f aca="false">SUMPRODUCT(($B$12:$M$12="EXTERNE")*$B118:$M118)</f>
        <v>0</v>
      </c>
      <c r="Q118" s="44" t="n">
        <f aca="false">IF($A118="",0,SUMIFS(ST_ENCOURS,ST_LOT,$A118))</f>
        <v>0</v>
      </c>
      <c r="R118" s="45" t="str">
        <f aca="false">IF($A118="","",IF($N118&lt;-0.001,"STOCK NEGATIF - ANOMALIE",""))</f>
        <v/>
      </c>
    </row>
    <row r="119" customFormat="false" ht="15" hidden="false" customHeight="false" outlineLevel="0" collapsed="false">
      <c r="A119" s="41" t="str">
        <f aca="false">IF(LOTS!$A110="","",LOTS!$A110)</f>
        <v/>
      </c>
      <c r="B119" s="42" t="n">
        <f aca="false">IF(OR($A119="",B$13=""),0,SUMIFS(MVT_NET,MVT_LOT,$A119,MVT_EMPL,B$13))</f>
        <v>0</v>
      </c>
      <c r="C119" s="42" t="n">
        <f aca="false">IF(OR($A119="",C$13=""),0,SUMIFS(MVT_NET,MVT_LOT,$A119,MVT_EMPL,C$13))</f>
        <v>0</v>
      </c>
      <c r="D119" s="42" t="n">
        <f aca="false">IF(OR($A119="",D$13=""),0,SUMIFS(MVT_NET,MVT_LOT,$A119,MVT_EMPL,D$13))</f>
        <v>0</v>
      </c>
      <c r="E119" s="42" t="n">
        <f aca="false">IF(OR($A119="",E$13=""),0,SUMIFS(MVT_NET,MVT_LOT,$A119,MVT_EMPL,E$13))</f>
        <v>0</v>
      </c>
      <c r="F119" s="42" t="n">
        <f aca="false">IF(OR($A119="",F$13=""),0,SUMIFS(MVT_NET,MVT_LOT,$A119,MVT_EMPL,F$13))</f>
        <v>0</v>
      </c>
      <c r="G119" s="42" t="n">
        <f aca="false">IF(OR($A119="",G$13=""),0,SUMIFS(MVT_NET,MVT_LOT,$A119,MVT_EMPL,G$13))</f>
        <v>0</v>
      </c>
      <c r="H119" s="42" t="n">
        <f aca="false">IF(OR($A119="",H$13=""),0,SUMIFS(MVT_NET,MVT_LOT,$A119,MVT_EMPL,H$13))</f>
        <v>0</v>
      </c>
      <c r="I119" s="42" t="n">
        <f aca="false">IF(OR($A119="",I$13=""),0,SUMIFS(MVT_NET,MVT_LOT,$A119,MVT_EMPL,I$13))</f>
        <v>0</v>
      </c>
      <c r="J119" s="42" t="n">
        <f aca="false">IF(OR($A119="",J$13=""),0,SUMIFS(MVT_NET,MVT_LOT,$A119,MVT_EMPL,J$13))</f>
        <v>0</v>
      </c>
      <c r="K119" s="42" t="n">
        <f aca="false">IF(OR($A119="",K$13=""),0,SUMIFS(MVT_NET,MVT_LOT,$A119,MVT_EMPL,K$13))</f>
        <v>0</v>
      </c>
      <c r="L119" s="42" t="n">
        <f aca="false">IF(OR($A119="",L$13=""),0,SUMIFS(MVT_NET,MVT_LOT,$A119,MVT_EMPL,L$13))</f>
        <v>0</v>
      </c>
      <c r="M119" s="42" t="n">
        <f aca="false">IF(OR($A119="",M$13=""),0,SUMIFS(MVT_NET,MVT_LOT,$A119,MVT_EMPL,M$13))</f>
        <v>0</v>
      </c>
      <c r="N119" s="43" t="n">
        <f aca="false">SUM($B119:$M119)</f>
        <v>0</v>
      </c>
      <c r="O119" s="44" t="n">
        <f aca="false">SUMPRODUCT(($B$12:$M$12="INTERNE")*$B119:$M119)</f>
        <v>0</v>
      </c>
      <c r="P119" s="44" t="n">
        <f aca="false">SUMPRODUCT(($B$12:$M$12="EXTERNE")*$B119:$M119)</f>
        <v>0</v>
      </c>
      <c r="Q119" s="44" t="n">
        <f aca="false">IF($A119="",0,SUMIFS(ST_ENCOURS,ST_LOT,$A119))</f>
        <v>0</v>
      </c>
      <c r="R119" s="45" t="str">
        <f aca="false">IF($A119="","",IF($N119&lt;-0.001,"STOCK NEGATIF - ANOMALIE",""))</f>
        <v/>
      </c>
    </row>
    <row r="120" customFormat="false" ht="15" hidden="false" customHeight="false" outlineLevel="0" collapsed="false">
      <c r="A120" s="41" t="str">
        <f aca="false">IF(LOTS!$A111="","",LOTS!$A111)</f>
        <v/>
      </c>
      <c r="B120" s="42" t="n">
        <f aca="false">IF(OR($A120="",B$13=""),0,SUMIFS(MVT_NET,MVT_LOT,$A120,MVT_EMPL,B$13))</f>
        <v>0</v>
      </c>
      <c r="C120" s="42" t="n">
        <f aca="false">IF(OR($A120="",C$13=""),0,SUMIFS(MVT_NET,MVT_LOT,$A120,MVT_EMPL,C$13))</f>
        <v>0</v>
      </c>
      <c r="D120" s="42" t="n">
        <f aca="false">IF(OR($A120="",D$13=""),0,SUMIFS(MVT_NET,MVT_LOT,$A120,MVT_EMPL,D$13))</f>
        <v>0</v>
      </c>
      <c r="E120" s="42" t="n">
        <f aca="false">IF(OR($A120="",E$13=""),0,SUMIFS(MVT_NET,MVT_LOT,$A120,MVT_EMPL,E$13))</f>
        <v>0</v>
      </c>
      <c r="F120" s="42" t="n">
        <f aca="false">IF(OR($A120="",F$13=""),0,SUMIFS(MVT_NET,MVT_LOT,$A120,MVT_EMPL,F$13))</f>
        <v>0</v>
      </c>
      <c r="G120" s="42" t="n">
        <f aca="false">IF(OR($A120="",G$13=""),0,SUMIFS(MVT_NET,MVT_LOT,$A120,MVT_EMPL,G$13))</f>
        <v>0</v>
      </c>
      <c r="H120" s="42" t="n">
        <f aca="false">IF(OR($A120="",H$13=""),0,SUMIFS(MVT_NET,MVT_LOT,$A120,MVT_EMPL,H$13))</f>
        <v>0</v>
      </c>
      <c r="I120" s="42" t="n">
        <f aca="false">IF(OR($A120="",I$13=""),0,SUMIFS(MVT_NET,MVT_LOT,$A120,MVT_EMPL,I$13))</f>
        <v>0</v>
      </c>
      <c r="J120" s="42" t="n">
        <f aca="false">IF(OR($A120="",J$13=""),0,SUMIFS(MVT_NET,MVT_LOT,$A120,MVT_EMPL,J$13))</f>
        <v>0</v>
      </c>
      <c r="K120" s="42" t="n">
        <f aca="false">IF(OR($A120="",K$13=""),0,SUMIFS(MVT_NET,MVT_LOT,$A120,MVT_EMPL,K$13))</f>
        <v>0</v>
      </c>
      <c r="L120" s="42" t="n">
        <f aca="false">IF(OR($A120="",L$13=""),0,SUMIFS(MVT_NET,MVT_LOT,$A120,MVT_EMPL,L$13))</f>
        <v>0</v>
      </c>
      <c r="M120" s="42" t="n">
        <f aca="false">IF(OR($A120="",M$13=""),0,SUMIFS(MVT_NET,MVT_LOT,$A120,MVT_EMPL,M$13))</f>
        <v>0</v>
      </c>
      <c r="N120" s="43" t="n">
        <f aca="false">SUM($B120:$M120)</f>
        <v>0</v>
      </c>
      <c r="O120" s="44" t="n">
        <f aca="false">SUMPRODUCT(($B$12:$M$12="INTERNE")*$B120:$M120)</f>
        <v>0</v>
      </c>
      <c r="P120" s="44" t="n">
        <f aca="false">SUMPRODUCT(($B$12:$M$12="EXTERNE")*$B120:$M120)</f>
        <v>0</v>
      </c>
      <c r="Q120" s="44" t="n">
        <f aca="false">IF($A120="",0,SUMIFS(ST_ENCOURS,ST_LOT,$A120))</f>
        <v>0</v>
      </c>
      <c r="R120" s="45" t="str">
        <f aca="false">IF($A120="","",IF($N120&lt;-0.001,"STOCK NEGATIF - ANOMALIE",""))</f>
        <v/>
      </c>
    </row>
    <row r="121" customFormat="false" ht="15" hidden="false" customHeight="false" outlineLevel="0" collapsed="false">
      <c r="A121" s="41" t="str">
        <f aca="false">IF(LOTS!$A112="","",LOTS!$A112)</f>
        <v/>
      </c>
      <c r="B121" s="42" t="n">
        <f aca="false">IF(OR($A121="",B$13=""),0,SUMIFS(MVT_NET,MVT_LOT,$A121,MVT_EMPL,B$13))</f>
        <v>0</v>
      </c>
      <c r="C121" s="42" t="n">
        <f aca="false">IF(OR($A121="",C$13=""),0,SUMIFS(MVT_NET,MVT_LOT,$A121,MVT_EMPL,C$13))</f>
        <v>0</v>
      </c>
      <c r="D121" s="42" t="n">
        <f aca="false">IF(OR($A121="",D$13=""),0,SUMIFS(MVT_NET,MVT_LOT,$A121,MVT_EMPL,D$13))</f>
        <v>0</v>
      </c>
      <c r="E121" s="42" t="n">
        <f aca="false">IF(OR($A121="",E$13=""),0,SUMIFS(MVT_NET,MVT_LOT,$A121,MVT_EMPL,E$13))</f>
        <v>0</v>
      </c>
      <c r="F121" s="42" t="n">
        <f aca="false">IF(OR($A121="",F$13=""),0,SUMIFS(MVT_NET,MVT_LOT,$A121,MVT_EMPL,F$13))</f>
        <v>0</v>
      </c>
      <c r="G121" s="42" t="n">
        <f aca="false">IF(OR($A121="",G$13=""),0,SUMIFS(MVT_NET,MVT_LOT,$A121,MVT_EMPL,G$13))</f>
        <v>0</v>
      </c>
      <c r="H121" s="42" t="n">
        <f aca="false">IF(OR($A121="",H$13=""),0,SUMIFS(MVT_NET,MVT_LOT,$A121,MVT_EMPL,H$13))</f>
        <v>0</v>
      </c>
      <c r="I121" s="42" t="n">
        <f aca="false">IF(OR($A121="",I$13=""),0,SUMIFS(MVT_NET,MVT_LOT,$A121,MVT_EMPL,I$13))</f>
        <v>0</v>
      </c>
      <c r="J121" s="42" t="n">
        <f aca="false">IF(OR($A121="",J$13=""),0,SUMIFS(MVT_NET,MVT_LOT,$A121,MVT_EMPL,J$13))</f>
        <v>0</v>
      </c>
      <c r="K121" s="42" t="n">
        <f aca="false">IF(OR($A121="",K$13=""),0,SUMIFS(MVT_NET,MVT_LOT,$A121,MVT_EMPL,K$13))</f>
        <v>0</v>
      </c>
      <c r="L121" s="42" t="n">
        <f aca="false">IF(OR($A121="",L$13=""),0,SUMIFS(MVT_NET,MVT_LOT,$A121,MVT_EMPL,L$13))</f>
        <v>0</v>
      </c>
      <c r="M121" s="42" t="n">
        <f aca="false">IF(OR($A121="",M$13=""),0,SUMIFS(MVT_NET,MVT_LOT,$A121,MVT_EMPL,M$13))</f>
        <v>0</v>
      </c>
      <c r="N121" s="43" t="n">
        <f aca="false">SUM($B121:$M121)</f>
        <v>0</v>
      </c>
      <c r="O121" s="44" t="n">
        <f aca="false">SUMPRODUCT(($B$12:$M$12="INTERNE")*$B121:$M121)</f>
        <v>0</v>
      </c>
      <c r="P121" s="44" t="n">
        <f aca="false">SUMPRODUCT(($B$12:$M$12="EXTERNE")*$B121:$M121)</f>
        <v>0</v>
      </c>
      <c r="Q121" s="44" t="n">
        <f aca="false">IF($A121="",0,SUMIFS(ST_ENCOURS,ST_LOT,$A121))</f>
        <v>0</v>
      </c>
      <c r="R121" s="45" t="str">
        <f aca="false">IF($A121="","",IF($N121&lt;-0.001,"STOCK NEGATIF - ANOMALIE",""))</f>
        <v/>
      </c>
    </row>
    <row r="122" customFormat="false" ht="15" hidden="false" customHeight="false" outlineLevel="0" collapsed="false">
      <c r="A122" s="41" t="str">
        <f aca="false">IF(LOTS!$A113="","",LOTS!$A113)</f>
        <v/>
      </c>
      <c r="B122" s="42" t="n">
        <f aca="false">IF(OR($A122="",B$13=""),0,SUMIFS(MVT_NET,MVT_LOT,$A122,MVT_EMPL,B$13))</f>
        <v>0</v>
      </c>
      <c r="C122" s="42" t="n">
        <f aca="false">IF(OR($A122="",C$13=""),0,SUMIFS(MVT_NET,MVT_LOT,$A122,MVT_EMPL,C$13))</f>
        <v>0</v>
      </c>
      <c r="D122" s="42" t="n">
        <f aca="false">IF(OR($A122="",D$13=""),0,SUMIFS(MVT_NET,MVT_LOT,$A122,MVT_EMPL,D$13))</f>
        <v>0</v>
      </c>
      <c r="E122" s="42" t="n">
        <f aca="false">IF(OR($A122="",E$13=""),0,SUMIFS(MVT_NET,MVT_LOT,$A122,MVT_EMPL,E$13))</f>
        <v>0</v>
      </c>
      <c r="F122" s="42" t="n">
        <f aca="false">IF(OR($A122="",F$13=""),0,SUMIFS(MVT_NET,MVT_LOT,$A122,MVT_EMPL,F$13))</f>
        <v>0</v>
      </c>
      <c r="G122" s="42" t="n">
        <f aca="false">IF(OR($A122="",G$13=""),0,SUMIFS(MVT_NET,MVT_LOT,$A122,MVT_EMPL,G$13))</f>
        <v>0</v>
      </c>
      <c r="H122" s="42" t="n">
        <f aca="false">IF(OR($A122="",H$13=""),0,SUMIFS(MVT_NET,MVT_LOT,$A122,MVT_EMPL,H$13))</f>
        <v>0</v>
      </c>
      <c r="I122" s="42" t="n">
        <f aca="false">IF(OR($A122="",I$13=""),0,SUMIFS(MVT_NET,MVT_LOT,$A122,MVT_EMPL,I$13))</f>
        <v>0</v>
      </c>
      <c r="J122" s="42" t="n">
        <f aca="false">IF(OR($A122="",J$13=""),0,SUMIFS(MVT_NET,MVT_LOT,$A122,MVT_EMPL,J$13))</f>
        <v>0</v>
      </c>
      <c r="K122" s="42" t="n">
        <f aca="false">IF(OR($A122="",K$13=""),0,SUMIFS(MVT_NET,MVT_LOT,$A122,MVT_EMPL,K$13))</f>
        <v>0</v>
      </c>
      <c r="L122" s="42" t="n">
        <f aca="false">IF(OR($A122="",L$13=""),0,SUMIFS(MVT_NET,MVT_LOT,$A122,MVT_EMPL,L$13))</f>
        <v>0</v>
      </c>
      <c r="M122" s="42" t="n">
        <f aca="false">IF(OR($A122="",M$13=""),0,SUMIFS(MVT_NET,MVT_LOT,$A122,MVT_EMPL,M$13))</f>
        <v>0</v>
      </c>
      <c r="N122" s="43" t="n">
        <f aca="false">SUM($B122:$M122)</f>
        <v>0</v>
      </c>
      <c r="O122" s="44" t="n">
        <f aca="false">SUMPRODUCT(($B$12:$M$12="INTERNE")*$B122:$M122)</f>
        <v>0</v>
      </c>
      <c r="P122" s="44" t="n">
        <f aca="false">SUMPRODUCT(($B$12:$M$12="EXTERNE")*$B122:$M122)</f>
        <v>0</v>
      </c>
      <c r="Q122" s="44" t="n">
        <f aca="false">IF($A122="",0,SUMIFS(ST_ENCOURS,ST_LOT,$A122))</f>
        <v>0</v>
      </c>
      <c r="R122" s="45" t="str">
        <f aca="false">IF($A122="","",IF($N122&lt;-0.001,"STOCK NEGATIF - ANOMALIE",""))</f>
        <v/>
      </c>
    </row>
    <row r="123" customFormat="false" ht="15" hidden="false" customHeight="false" outlineLevel="0" collapsed="false">
      <c r="A123" s="41" t="str">
        <f aca="false">IF(LOTS!$A114="","",LOTS!$A114)</f>
        <v/>
      </c>
      <c r="B123" s="42" t="n">
        <f aca="false">IF(OR($A123="",B$13=""),0,SUMIFS(MVT_NET,MVT_LOT,$A123,MVT_EMPL,B$13))</f>
        <v>0</v>
      </c>
      <c r="C123" s="42" t="n">
        <f aca="false">IF(OR($A123="",C$13=""),0,SUMIFS(MVT_NET,MVT_LOT,$A123,MVT_EMPL,C$13))</f>
        <v>0</v>
      </c>
      <c r="D123" s="42" t="n">
        <f aca="false">IF(OR($A123="",D$13=""),0,SUMIFS(MVT_NET,MVT_LOT,$A123,MVT_EMPL,D$13))</f>
        <v>0</v>
      </c>
      <c r="E123" s="42" t="n">
        <f aca="false">IF(OR($A123="",E$13=""),0,SUMIFS(MVT_NET,MVT_LOT,$A123,MVT_EMPL,E$13))</f>
        <v>0</v>
      </c>
      <c r="F123" s="42" t="n">
        <f aca="false">IF(OR($A123="",F$13=""),0,SUMIFS(MVT_NET,MVT_LOT,$A123,MVT_EMPL,F$13))</f>
        <v>0</v>
      </c>
      <c r="G123" s="42" t="n">
        <f aca="false">IF(OR($A123="",G$13=""),0,SUMIFS(MVT_NET,MVT_LOT,$A123,MVT_EMPL,G$13))</f>
        <v>0</v>
      </c>
      <c r="H123" s="42" t="n">
        <f aca="false">IF(OR($A123="",H$13=""),0,SUMIFS(MVT_NET,MVT_LOT,$A123,MVT_EMPL,H$13))</f>
        <v>0</v>
      </c>
      <c r="I123" s="42" t="n">
        <f aca="false">IF(OR($A123="",I$13=""),0,SUMIFS(MVT_NET,MVT_LOT,$A123,MVT_EMPL,I$13))</f>
        <v>0</v>
      </c>
      <c r="J123" s="42" t="n">
        <f aca="false">IF(OR($A123="",J$13=""),0,SUMIFS(MVT_NET,MVT_LOT,$A123,MVT_EMPL,J$13))</f>
        <v>0</v>
      </c>
      <c r="K123" s="42" t="n">
        <f aca="false">IF(OR($A123="",K$13=""),0,SUMIFS(MVT_NET,MVT_LOT,$A123,MVT_EMPL,K$13))</f>
        <v>0</v>
      </c>
      <c r="L123" s="42" t="n">
        <f aca="false">IF(OR($A123="",L$13=""),0,SUMIFS(MVT_NET,MVT_LOT,$A123,MVT_EMPL,L$13))</f>
        <v>0</v>
      </c>
      <c r="M123" s="42" t="n">
        <f aca="false">IF(OR($A123="",M$13=""),0,SUMIFS(MVT_NET,MVT_LOT,$A123,MVT_EMPL,M$13))</f>
        <v>0</v>
      </c>
      <c r="N123" s="43" t="n">
        <f aca="false">SUM($B123:$M123)</f>
        <v>0</v>
      </c>
      <c r="O123" s="44" t="n">
        <f aca="false">SUMPRODUCT(($B$12:$M$12="INTERNE")*$B123:$M123)</f>
        <v>0</v>
      </c>
      <c r="P123" s="44" t="n">
        <f aca="false">SUMPRODUCT(($B$12:$M$12="EXTERNE")*$B123:$M123)</f>
        <v>0</v>
      </c>
      <c r="Q123" s="44" t="n">
        <f aca="false">IF($A123="",0,SUMIFS(ST_ENCOURS,ST_LOT,$A123))</f>
        <v>0</v>
      </c>
      <c r="R123" s="45" t="str">
        <f aca="false">IF($A123="","",IF($N123&lt;-0.001,"STOCK NEGATIF - ANOMALIE",""))</f>
        <v/>
      </c>
    </row>
    <row r="124" customFormat="false" ht="15" hidden="false" customHeight="false" outlineLevel="0" collapsed="false">
      <c r="A124" s="41" t="str">
        <f aca="false">IF(LOTS!$A115="","",LOTS!$A115)</f>
        <v/>
      </c>
      <c r="B124" s="42" t="n">
        <f aca="false">IF(OR($A124="",B$13=""),0,SUMIFS(MVT_NET,MVT_LOT,$A124,MVT_EMPL,B$13))</f>
        <v>0</v>
      </c>
      <c r="C124" s="42" t="n">
        <f aca="false">IF(OR($A124="",C$13=""),0,SUMIFS(MVT_NET,MVT_LOT,$A124,MVT_EMPL,C$13))</f>
        <v>0</v>
      </c>
      <c r="D124" s="42" t="n">
        <f aca="false">IF(OR($A124="",D$13=""),0,SUMIFS(MVT_NET,MVT_LOT,$A124,MVT_EMPL,D$13))</f>
        <v>0</v>
      </c>
      <c r="E124" s="42" t="n">
        <f aca="false">IF(OR($A124="",E$13=""),0,SUMIFS(MVT_NET,MVT_LOT,$A124,MVT_EMPL,E$13))</f>
        <v>0</v>
      </c>
      <c r="F124" s="42" t="n">
        <f aca="false">IF(OR($A124="",F$13=""),0,SUMIFS(MVT_NET,MVT_LOT,$A124,MVT_EMPL,F$13))</f>
        <v>0</v>
      </c>
      <c r="G124" s="42" t="n">
        <f aca="false">IF(OR($A124="",G$13=""),0,SUMIFS(MVT_NET,MVT_LOT,$A124,MVT_EMPL,G$13))</f>
        <v>0</v>
      </c>
      <c r="H124" s="42" t="n">
        <f aca="false">IF(OR($A124="",H$13=""),0,SUMIFS(MVT_NET,MVT_LOT,$A124,MVT_EMPL,H$13))</f>
        <v>0</v>
      </c>
      <c r="I124" s="42" t="n">
        <f aca="false">IF(OR($A124="",I$13=""),0,SUMIFS(MVT_NET,MVT_LOT,$A124,MVT_EMPL,I$13))</f>
        <v>0</v>
      </c>
      <c r="J124" s="42" t="n">
        <f aca="false">IF(OR($A124="",J$13=""),0,SUMIFS(MVT_NET,MVT_LOT,$A124,MVT_EMPL,J$13))</f>
        <v>0</v>
      </c>
      <c r="K124" s="42" t="n">
        <f aca="false">IF(OR($A124="",K$13=""),0,SUMIFS(MVT_NET,MVT_LOT,$A124,MVT_EMPL,K$13))</f>
        <v>0</v>
      </c>
      <c r="L124" s="42" t="n">
        <f aca="false">IF(OR($A124="",L$13=""),0,SUMIFS(MVT_NET,MVT_LOT,$A124,MVT_EMPL,L$13))</f>
        <v>0</v>
      </c>
      <c r="M124" s="42" t="n">
        <f aca="false">IF(OR($A124="",M$13=""),0,SUMIFS(MVT_NET,MVT_LOT,$A124,MVT_EMPL,M$13))</f>
        <v>0</v>
      </c>
      <c r="N124" s="43" t="n">
        <f aca="false">SUM($B124:$M124)</f>
        <v>0</v>
      </c>
      <c r="O124" s="44" t="n">
        <f aca="false">SUMPRODUCT(($B$12:$M$12="INTERNE")*$B124:$M124)</f>
        <v>0</v>
      </c>
      <c r="P124" s="44" t="n">
        <f aca="false">SUMPRODUCT(($B$12:$M$12="EXTERNE")*$B124:$M124)</f>
        <v>0</v>
      </c>
      <c r="Q124" s="44" t="n">
        <f aca="false">IF($A124="",0,SUMIFS(ST_ENCOURS,ST_LOT,$A124))</f>
        <v>0</v>
      </c>
      <c r="R124" s="45" t="str">
        <f aca="false">IF($A124="","",IF($N124&lt;-0.001,"STOCK NEGATIF - ANOMALIE",""))</f>
        <v/>
      </c>
    </row>
    <row r="125" customFormat="false" ht="15" hidden="false" customHeight="false" outlineLevel="0" collapsed="false">
      <c r="A125" s="41" t="str">
        <f aca="false">IF(LOTS!$A116="","",LOTS!$A116)</f>
        <v/>
      </c>
      <c r="B125" s="42" t="n">
        <f aca="false">IF(OR($A125="",B$13=""),0,SUMIFS(MVT_NET,MVT_LOT,$A125,MVT_EMPL,B$13))</f>
        <v>0</v>
      </c>
      <c r="C125" s="42" t="n">
        <f aca="false">IF(OR($A125="",C$13=""),0,SUMIFS(MVT_NET,MVT_LOT,$A125,MVT_EMPL,C$13))</f>
        <v>0</v>
      </c>
      <c r="D125" s="42" t="n">
        <f aca="false">IF(OR($A125="",D$13=""),0,SUMIFS(MVT_NET,MVT_LOT,$A125,MVT_EMPL,D$13))</f>
        <v>0</v>
      </c>
      <c r="E125" s="42" t="n">
        <f aca="false">IF(OR($A125="",E$13=""),0,SUMIFS(MVT_NET,MVT_LOT,$A125,MVT_EMPL,E$13))</f>
        <v>0</v>
      </c>
      <c r="F125" s="42" t="n">
        <f aca="false">IF(OR($A125="",F$13=""),0,SUMIFS(MVT_NET,MVT_LOT,$A125,MVT_EMPL,F$13))</f>
        <v>0</v>
      </c>
      <c r="G125" s="42" t="n">
        <f aca="false">IF(OR($A125="",G$13=""),0,SUMIFS(MVT_NET,MVT_LOT,$A125,MVT_EMPL,G$13))</f>
        <v>0</v>
      </c>
      <c r="H125" s="42" t="n">
        <f aca="false">IF(OR($A125="",H$13=""),0,SUMIFS(MVT_NET,MVT_LOT,$A125,MVT_EMPL,H$13))</f>
        <v>0</v>
      </c>
      <c r="I125" s="42" t="n">
        <f aca="false">IF(OR($A125="",I$13=""),0,SUMIFS(MVT_NET,MVT_LOT,$A125,MVT_EMPL,I$13))</f>
        <v>0</v>
      </c>
      <c r="J125" s="42" t="n">
        <f aca="false">IF(OR($A125="",J$13=""),0,SUMIFS(MVT_NET,MVT_LOT,$A125,MVT_EMPL,J$13))</f>
        <v>0</v>
      </c>
      <c r="K125" s="42" t="n">
        <f aca="false">IF(OR($A125="",K$13=""),0,SUMIFS(MVT_NET,MVT_LOT,$A125,MVT_EMPL,K$13))</f>
        <v>0</v>
      </c>
      <c r="L125" s="42" t="n">
        <f aca="false">IF(OR($A125="",L$13=""),0,SUMIFS(MVT_NET,MVT_LOT,$A125,MVT_EMPL,L$13))</f>
        <v>0</v>
      </c>
      <c r="M125" s="42" t="n">
        <f aca="false">IF(OR($A125="",M$13=""),0,SUMIFS(MVT_NET,MVT_LOT,$A125,MVT_EMPL,M$13))</f>
        <v>0</v>
      </c>
      <c r="N125" s="43" t="n">
        <f aca="false">SUM($B125:$M125)</f>
        <v>0</v>
      </c>
      <c r="O125" s="44" t="n">
        <f aca="false">SUMPRODUCT(($B$12:$M$12="INTERNE")*$B125:$M125)</f>
        <v>0</v>
      </c>
      <c r="P125" s="44" t="n">
        <f aca="false">SUMPRODUCT(($B$12:$M$12="EXTERNE")*$B125:$M125)</f>
        <v>0</v>
      </c>
      <c r="Q125" s="44" t="n">
        <f aca="false">IF($A125="",0,SUMIFS(ST_ENCOURS,ST_LOT,$A125))</f>
        <v>0</v>
      </c>
      <c r="R125" s="45" t="str">
        <f aca="false">IF($A125="","",IF($N125&lt;-0.001,"STOCK NEGATIF - ANOMALIE",""))</f>
        <v/>
      </c>
    </row>
    <row r="126" customFormat="false" ht="15" hidden="false" customHeight="false" outlineLevel="0" collapsed="false">
      <c r="A126" s="41" t="str">
        <f aca="false">IF(LOTS!$A117="","",LOTS!$A117)</f>
        <v/>
      </c>
      <c r="B126" s="42" t="n">
        <f aca="false">IF(OR($A126="",B$13=""),0,SUMIFS(MVT_NET,MVT_LOT,$A126,MVT_EMPL,B$13))</f>
        <v>0</v>
      </c>
      <c r="C126" s="42" t="n">
        <f aca="false">IF(OR($A126="",C$13=""),0,SUMIFS(MVT_NET,MVT_LOT,$A126,MVT_EMPL,C$13))</f>
        <v>0</v>
      </c>
      <c r="D126" s="42" t="n">
        <f aca="false">IF(OR($A126="",D$13=""),0,SUMIFS(MVT_NET,MVT_LOT,$A126,MVT_EMPL,D$13))</f>
        <v>0</v>
      </c>
      <c r="E126" s="42" t="n">
        <f aca="false">IF(OR($A126="",E$13=""),0,SUMIFS(MVT_NET,MVT_LOT,$A126,MVT_EMPL,E$13))</f>
        <v>0</v>
      </c>
      <c r="F126" s="42" t="n">
        <f aca="false">IF(OR($A126="",F$13=""),0,SUMIFS(MVT_NET,MVT_LOT,$A126,MVT_EMPL,F$13))</f>
        <v>0</v>
      </c>
      <c r="G126" s="42" t="n">
        <f aca="false">IF(OR($A126="",G$13=""),0,SUMIFS(MVT_NET,MVT_LOT,$A126,MVT_EMPL,G$13))</f>
        <v>0</v>
      </c>
      <c r="H126" s="42" t="n">
        <f aca="false">IF(OR($A126="",H$13=""),0,SUMIFS(MVT_NET,MVT_LOT,$A126,MVT_EMPL,H$13))</f>
        <v>0</v>
      </c>
      <c r="I126" s="42" t="n">
        <f aca="false">IF(OR($A126="",I$13=""),0,SUMIFS(MVT_NET,MVT_LOT,$A126,MVT_EMPL,I$13))</f>
        <v>0</v>
      </c>
      <c r="J126" s="42" t="n">
        <f aca="false">IF(OR($A126="",J$13=""),0,SUMIFS(MVT_NET,MVT_LOT,$A126,MVT_EMPL,J$13))</f>
        <v>0</v>
      </c>
      <c r="K126" s="42" t="n">
        <f aca="false">IF(OR($A126="",K$13=""),0,SUMIFS(MVT_NET,MVT_LOT,$A126,MVT_EMPL,K$13))</f>
        <v>0</v>
      </c>
      <c r="L126" s="42" t="n">
        <f aca="false">IF(OR($A126="",L$13=""),0,SUMIFS(MVT_NET,MVT_LOT,$A126,MVT_EMPL,L$13))</f>
        <v>0</v>
      </c>
      <c r="M126" s="42" t="n">
        <f aca="false">IF(OR($A126="",M$13=""),0,SUMIFS(MVT_NET,MVT_LOT,$A126,MVT_EMPL,M$13))</f>
        <v>0</v>
      </c>
      <c r="N126" s="43" t="n">
        <f aca="false">SUM($B126:$M126)</f>
        <v>0</v>
      </c>
      <c r="O126" s="44" t="n">
        <f aca="false">SUMPRODUCT(($B$12:$M$12="INTERNE")*$B126:$M126)</f>
        <v>0</v>
      </c>
      <c r="P126" s="44" t="n">
        <f aca="false">SUMPRODUCT(($B$12:$M$12="EXTERNE")*$B126:$M126)</f>
        <v>0</v>
      </c>
      <c r="Q126" s="44" t="n">
        <f aca="false">IF($A126="",0,SUMIFS(ST_ENCOURS,ST_LOT,$A126))</f>
        <v>0</v>
      </c>
      <c r="R126" s="45" t="str">
        <f aca="false">IF($A126="","",IF($N126&lt;-0.001,"STOCK NEGATIF - ANOMALIE",""))</f>
        <v/>
      </c>
    </row>
    <row r="127" customFormat="false" ht="15" hidden="false" customHeight="false" outlineLevel="0" collapsed="false">
      <c r="A127" s="41" t="str">
        <f aca="false">IF(LOTS!$A118="","",LOTS!$A118)</f>
        <v/>
      </c>
      <c r="B127" s="42" t="n">
        <f aca="false">IF(OR($A127="",B$13=""),0,SUMIFS(MVT_NET,MVT_LOT,$A127,MVT_EMPL,B$13))</f>
        <v>0</v>
      </c>
      <c r="C127" s="42" t="n">
        <f aca="false">IF(OR($A127="",C$13=""),0,SUMIFS(MVT_NET,MVT_LOT,$A127,MVT_EMPL,C$13))</f>
        <v>0</v>
      </c>
      <c r="D127" s="42" t="n">
        <f aca="false">IF(OR($A127="",D$13=""),0,SUMIFS(MVT_NET,MVT_LOT,$A127,MVT_EMPL,D$13))</f>
        <v>0</v>
      </c>
      <c r="E127" s="42" t="n">
        <f aca="false">IF(OR($A127="",E$13=""),0,SUMIFS(MVT_NET,MVT_LOT,$A127,MVT_EMPL,E$13))</f>
        <v>0</v>
      </c>
      <c r="F127" s="42" t="n">
        <f aca="false">IF(OR($A127="",F$13=""),0,SUMIFS(MVT_NET,MVT_LOT,$A127,MVT_EMPL,F$13))</f>
        <v>0</v>
      </c>
      <c r="G127" s="42" t="n">
        <f aca="false">IF(OR($A127="",G$13=""),0,SUMIFS(MVT_NET,MVT_LOT,$A127,MVT_EMPL,G$13))</f>
        <v>0</v>
      </c>
      <c r="H127" s="42" t="n">
        <f aca="false">IF(OR($A127="",H$13=""),0,SUMIFS(MVT_NET,MVT_LOT,$A127,MVT_EMPL,H$13))</f>
        <v>0</v>
      </c>
      <c r="I127" s="42" t="n">
        <f aca="false">IF(OR($A127="",I$13=""),0,SUMIFS(MVT_NET,MVT_LOT,$A127,MVT_EMPL,I$13))</f>
        <v>0</v>
      </c>
      <c r="J127" s="42" t="n">
        <f aca="false">IF(OR($A127="",J$13=""),0,SUMIFS(MVT_NET,MVT_LOT,$A127,MVT_EMPL,J$13))</f>
        <v>0</v>
      </c>
      <c r="K127" s="42" t="n">
        <f aca="false">IF(OR($A127="",K$13=""),0,SUMIFS(MVT_NET,MVT_LOT,$A127,MVT_EMPL,K$13))</f>
        <v>0</v>
      </c>
      <c r="L127" s="42" t="n">
        <f aca="false">IF(OR($A127="",L$13=""),0,SUMIFS(MVT_NET,MVT_LOT,$A127,MVT_EMPL,L$13))</f>
        <v>0</v>
      </c>
      <c r="M127" s="42" t="n">
        <f aca="false">IF(OR($A127="",M$13=""),0,SUMIFS(MVT_NET,MVT_LOT,$A127,MVT_EMPL,M$13))</f>
        <v>0</v>
      </c>
      <c r="N127" s="43" t="n">
        <f aca="false">SUM($B127:$M127)</f>
        <v>0</v>
      </c>
      <c r="O127" s="44" t="n">
        <f aca="false">SUMPRODUCT(($B$12:$M$12="INTERNE")*$B127:$M127)</f>
        <v>0</v>
      </c>
      <c r="P127" s="44" t="n">
        <f aca="false">SUMPRODUCT(($B$12:$M$12="EXTERNE")*$B127:$M127)</f>
        <v>0</v>
      </c>
      <c r="Q127" s="44" t="n">
        <f aca="false">IF($A127="",0,SUMIFS(ST_ENCOURS,ST_LOT,$A127))</f>
        <v>0</v>
      </c>
      <c r="R127" s="45" t="str">
        <f aca="false">IF($A127="","",IF($N127&lt;-0.001,"STOCK NEGATIF - ANOMALIE",""))</f>
        <v/>
      </c>
    </row>
    <row r="128" customFormat="false" ht="15" hidden="false" customHeight="false" outlineLevel="0" collapsed="false">
      <c r="A128" s="41" t="str">
        <f aca="false">IF(LOTS!$A119="","",LOTS!$A119)</f>
        <v/>
      </c>
      <c r="B128" s="42" t="n">
        <f aca="false">IF(OR($A128="",B$13=""),0,SUMIFS(MVT_NET,MVT_LOT,$A128,MVT_EMPL,B$13))</f>
        <v>0</v>
      </c>
      <c r="C128" s="42" t="n">
        <f aca="false">IF(OR($A128="",C$13=""),0,SUMIFS(MVT_NET,MVT_LOT,$A128,MVT_EMPL,C$13))</f>
        <v>0</v>
      </c>
      <c r="D128" s="42" t="n">
        <f aca="false">IF(OR($A128="",D$13=""),0,SUMIFS(MVT_NET,MVT_LOT,$A128,MVT_EMPL,D$13))</f>
        <v>0</v>
      </c>
      <c r="E128" s="42" t="n">
        <f aca="false">IF(OR($A128="",E$13=""),0,SUMIFS(MVT_NET,MVT_LOT,$A128,MVT_EMPL,E$13))</f>
        <v>0</v>
      </c>
      <c r="F128" s="42" t="n">
        <f aca="false">IF(OR($A128="",F$13=""),0,SUMIFS(MVT_NET,MVT_LOT,$A128,MVT_EMPL,F$13))</f>
        <v>0</v>
      </c>
      <c r="G128" s="42" t="n">
        <f aca="false">IF(OR($A128="",G$13=""),0,SUMIFS(MVT_NET,MVT_LOT,$A128,MVT_EMPL,G$13))</f>
        <v>0</v>
      </c>
      <c r="H128" s="42" t="n">
        <f aca="false">IF(OR($A128="",H$13=""),0,SUMIFS(MVT_NET,MVT_LOT,$A128,MVT_EMPL,H$13))</f>
        <v>0</v>
      </c>
      <c r="I128" s="42" t="n">
        <f aca="false">IF(OR($A128="",I$13=""),0,SUMIFS(MVT_NET,MVT_LOT,$A128,MVT_EMPL,I$13))</f>
        <v>0</v>
      </c>
      <c r="J128" s="42" t="n">
        <f aca="false">IF(OR($A128="",J$13=""),0,SUMIFS(MVT_NET,MVT_LOT,$A128,MVT_EMPL,J$13))</f>
        <v>0</v>
      </c>
      <c r="K128" s="42" t="n">
        <f aca="false">IF(OR($A128="",K$13=""),0,SUMIFS(MVT_NET,MVT_LOT,$A128,MVT_EMPL,K$13))</f>
        <v>0</v>
      </c>
      <c r="L128" s="42" t="n">
        <f aca="false">IF(OR($A128="",L$13=""),0,SUMIFS(MVT_NET,MVT_LOT,$A128,MVT_EMPL,L$13))</f>
        <v>0</v>
      </c>
      <c r="M128" s="42" t="n">
        <f aca="false">IF(OR($A128="",M$13=""),0,SUMIFS(MVT_NET,MVT_LOT,$A128,MVT_EMPL,M$13))</f>
        <v>0</v>
      </c>
      <c r="N128" s="43" t="n">
        <f aca="false">SUM($B128:$M128)</f>
        <v>0</v>
      </c>
      <c r="O128" s="44" t="n">
        <f aca="false">SUMPRODUCT(($B$12:$M$12="INTERNE")*$B128:$M128)</f>
        <v>0</v>
      </c>
      <c r="P128" s="44" t="n">
        <f aca="false">SUMPRODUCT(($B$12:$M$12="EXTERNE")*$B128:$M128)</f>
        <v>0</v>
      </c>
      <c r="Q128" s="44" t="n">
        <f aca="false">IF($A128="",0,SUMIFS(ST_ENCOURS,ST_LOT,$A128))</f>
        <v>0</v>
      </c>
      <c r="R128" s="45" t="str">
        <f aca="false">IF($A128="","",IF($N128&lt;-0.001,"STOCK NEGATIF - ANOMALIE",""))</f>
        <v/>
      </c>
    </row>
    <row r="129" customFormat="false" ht="15" hidden="false" customHeight="false" outlineLevel="0" collapsed="false">
      <c r="A129" s="41" t="str">
        <f aca="false">IF(LOTS!$A120="","",LOTS!$A120)</f>
        <v/>
      </c>
      <c r="B129" s="42" t="n">
        <f aca="false">IF(OR($A129="",B$13=""),0,SUMIFS(MVT_NET,MVT_LOT,$A129,MVT_EMPL,B$13))</f>
        <v>0</v>
      </c>
      <c r="C129" s="42" t="n">
        <f aca="false">IF(OR($A129="",C$13=""),0,SUMIFS(MVT_NET,MVT_LOT,$A129,MVT_EMPL,C$13))</f>
        <v>0</v>
      </c>
      <c r="D129" s="42" t="n">
        <f aca="false">IF(OR($A129="",D$13=""),0,SUMIFS(MVT_NET,MVT_LOT,$A129,MVT_EMPL,D$13))</f>
        <v>0</v>
      </c>
      <c r="E129" s="42" t="n">
        <f aca="false">IF(OR($A129="",E$13=""),0,SUMIFS(MVT_NET,MVT_LOT,$A129,MVT_EMPL,E$13))</f>
        <v>0</v>
      </c>
      <c r="F129" s="42" t="n">
        <f aca="false">IF(OR($A129="",F$13=""),0,SUMIFS(MVT_NET,MVT_LOT,$A129,MVT_EMPL,F$13))</f>
        <v>0</v>
      </c>
      <c r="G129" s="42" t="n">
        <f aca="false">IF(OR($A129="",G$13=""),0,SUMIFS(MVT_NET,MVT_LOT,$A129,MVT_EMPL,G$13))</f>
        <v>0</v>
      </c>
      <c r="H129" s="42" t="n">
        <f aca="false">IF(OR($A129="",H$13=""),0,SUMIFS(MVT_NET,MVT_LOT,$A129,MVT_EMPL,H$13))</f>
        <v>0</v>
      </c>
      <c r="I129" s="42" t="n">
        <f aca="false">IF(OR($A129="",I$13=""),0,SUMIFS(MVT_NET,MVT_LOT,$A129,MVT_EMPL,I$13))</f>
        <v>0</v>
      </c>
      <c r="J129" s="42" t="n">
        <f aca="false">IF(OR($A129="",J$13=""),0,SUMIFS(MVT_NET,MVT_LOT,$A129,MVT_EMPL,J$13))</f>
        <v>0</v>
      </c>
      <c r="K129" s="42" t="n">
        <f aca="false">IF(OR($A129="",K$13=""),0,SUMIFS(MVT_NET,MVT_LOT,$A129,MVT_EMPL,K$13))</f>
        <v>0</v>
      </c>
      <c r="L129" s="42" t="n">
        <f aca="false">IF(OR($A129="",L$13=""),0,SUMIFS(MVT_NET,MVT_LOT,$A129,MVT_EMPL,L$13))</f>
        <v>0</v>
      </c>
      <c r="M129" s="42" t="n">
        <f aca="false">IF(OR($A129="",M$13=""),0,SUMIFS(MVT_NET,MVT_LOT,$A129,MVT_EMPL,M$13))</f>
        <v>0</v>
      </c>
      <c r="N129" s="43" t="n">
        <f aca="false">SUM($B129:$M129)</f>
        <v>0</v>
      </c>
      <c r="O129" s="44" t="n">
        <f aca="false">SUMPRODUCT(($B$12:$M$12="INTERNE")*$B129:$M129)</f>
        <v>0</v>
      </c>
      <c r="P129" s="44" t="n">
        <f aca="false">SUMPRODUCT(($B$12:$M$12="EXTERNE")*$B129:$M129)</f>
        <v>0</v>
      </c>
      <c r="Q129" s="44" t="n">
        <f aca="false">IF($A129="",0,SUMIFS(ST_ENCOURS,ST_LOT,$A129))</f>
        <v>0</v>
      </c>
      <c r="R129" s="45" t="str">
        <f aca="false">IF($A129="","",IF($N129&lt;-0.001,"STOCK NEGATIF - ANOMALIE",""))</f>
        <v/>
      </c>
    </row>
    <row r="130" customFormat="false" ht="15" hidden="false" customHeight="false" outlineLevel="0" collapsed="false">
      <c r="A130" s="41" t="str">
        <f aca="false">IF(LOTS!$A121="","",LOTS!$A121)</f>
        <v/>
      </c>
      <c r="B130" s="42" t="n">
        <f aca="false">IF(OR($A130="",B$13=""),0,SUMIFS(MVT_NET,MVT_LOT,$A130,MVT_EMPL,B$13))</f>
        <v>0</v>
      </c>
      <c r="C130" s="42" t="n">
        <f aca="false">IF(OR($A130="",C$13=""),0,SUMIFS(MVT_NET,MVT_LOT,$A130,MVT_EMPL,C$13))</f>
        <v>0</v>
      </c>
      <c r="D130" s="42" t="n">
        <f aca="false">IF(OR($A130="",D$13=""),0,SUMIFS(MVT_NET,MVT_LOT,$A130,MVT_EMPL,D$13))</f>
        <v>0</v>
      </c>
      <c r="E130" s="42" t="n">
        <f aca="false">IF(OR($A130="",E$13=""),0,SUMIFS(MVT_NET,MVT_LOT,$A130,MVT_EMPL,E$13))</f>
        <v>0</v>
      </c>
      <c r="F130" s="42" t="n">
        <f aca="false">IF(OR($A130="",F$13=""),0,SUMIFS(MVT_NET,MVT_LOT,$A130,MVT_EMPL,F$13))</f>
        <v>0</v>
      </c>
      <c r="G130" s="42" t="n">
        <f aca="false">IF(OR($A130="",G$13=""),0,SUMIFS(MVT_NET,MVT_LOT,$A130,MVT_EMPL,G$13))</f>
        <v>0</v>
      </c>
      <c r="H130" s="42" t="n">
        <f aca="false">IF(OR($A130="",H$13=""),0,SUMIFS(MVT_NET,MVT_LOT,$A130,MVT_EMPL,H$13))</f>
        <v>0</v>
      </c>
      <c r="I130" s="42" t="n">
        <f aca="false">IF(OR($A130="",I$13=""),0,SUMIFS(MVT_NET,MVT_LOT,$A130,MVT_EMPL,I$13))</f>
        <v>0</v>
      </c>
      <c r="J130" s="42" t="n">
        <f aca="false">IF(OR($A130="",J$13=""),0,SUMIFS(MVT_NET,MVT_LOT,$A130,MVT_EMPL,J$13))</f>
        <v>0</v>
      </c>
      <c r="K130" s="42" t="n">
        <f aca="false">IF(OR($A130="",K$13=""),0,SUMIFS(MVT_NET,MVT_LOT,$A130,MVT_EMPL,K$13))</f>
        <v>0</v>
      </c>
      <c r="L130" s="42" t="n">
        <f aca="false">IF(OR($A130="",L$13=""),0,SUMIFS(MVT_NET,MVT_LOT,$A130,MVT_EMPL,L$13))</f>
        <v>0</v>
      </c>
      <c r="M130" s="42" t="n">
        <f aca="false">IF(OR($A130="",M$13=""),0,SUMIFS(MVT_NET,MVT_LOT,$A130,MVT_EMPL,M$13))</f>
        <v>0</v>
      </c>
      <c r="N130" s="43" t="n">
        <f aca="false">SUM($B130:$M130)</f>
        <v>0</v>
      </c>
      <c r="O130" s="44" t="n">
        <f aca="false">SUMPRODUCT(($B$12:$M$12="INTERNE")*$B130:$M130)</f>
        <v>0</v>
      </c>
      <c r="P130" s="44" t="n">
        <f aca="false">SUMPRODUCT(($B$12:$M$12="EXTERNE")*$B130:$M130)</f>
        <v>0</v>
      </c>
      <c r="Q130" s="44" t="n">
        <f aca="false">IF($A130="",0,SUMIFS(ST_ENCOURS,ST_LOT,$A130))</f>
        <v>0</v>
      </c>
      <c r="R130" s="45" t="str">
        <f aca="false">IF($A130="","",IF($N130&lt;-0.001,"STOCK NEGATIF - ANOMALIE",""))</f>
        <v/>
      </c>
    </row>
    <row r="131" customFormat="false" ht="15" hidden="false" customHeight="false" outlineLevel="0" collapsed="false">
      <c r="A131" s="41" t="str">
        <f aca="false">IF(LOTS!$A122="","",LOTS!$A122)</f>
        <v/>
      </c>
      <c r="B131" s="42" t="n">
        <f aca="false">IF(OR($A131="",B$13=""),0,SUMIFS(MVT_NET,MVT_LOT,$A131,MVT_EMPL,B$13))</f>
        <v>0</v>
      </c>
      <c r="C131" s="42" t="n">
        <f aca="false">IF(OR($A131="",C$13=""),0,SUMIFS(MVT_NET,MVT_LOT,$A131,MVT_EMPL,C$13))</f>
        <v>0</v>
      </c>
      <c r="D131" s="42" t="n">
        <f aca="false">IF(OR($A131="",D$13=""),0,SUMIFS(MVT_NET,MVT_LOT,$A131,MVT_EMPL,D$13))</f>
        <v>0</v>
      </c>
      <c r="E131" s="42" t="n">
        <f aca="false">IF(OR($A131="",E$13=""),0,SUMIFS(MVT_NET,MVT_LOT,$A131,MVT_EMPL,E$13))</f>
        <v>0</v>
      </c>
      <c r="F131" s="42" t="n">
        <f aca="false">IF(OR($A131="",F$13=""),0,SUMIFS(MVT_NET,MVT_LOT,$A131,MVT_EMPL,F$13))</f>
        <v>0</v>
      </c>
      <c r="G131" s="42" t="n">
        <f aca="false">IF(OR($A131="",G$13=""),0,SUMIFS(MVT_NET,MVT_LOT,$A131,MVT_EMPL,G$13))</f>
        <v>0</v>
      </c>
      <c r="H131" s="42" t="n">
        <f aca="false">IF(OR($A131="",H$13=""),0,SUMIFS(MVT_NET,MVT_LOT,$A131,MVT_EMPL,H$13))</f>
        <v>0</v>
      </c>
      <c r="I131" s="42" t="n">
        <f aca="false">IF(OR($A131="",I$13=""),0,SUMIFS(MVT_NET,MVT_LOT,$A131,MVT_EMPL,I$13))</f>
        <v>0</v>
      </c>
      <c r="J131" s="42" t="n">
        <f aca="false">IF(OR($A131="",J$13=""),0,SUMIFS(MVT_NET,MVT_LOT,$A131,MVT_EMPL,J$13))</f>
        <v>0</v>
      </c>
      <c r="K131" s="42" t="n">
        <f aca="false">IF(OR($A131="",K$13=""),0,SUMIFS(MVT_NET,MVT_LOT,$A131,MVT_EMPL,K$13))</f>
        <v>0</v>
      </c>
      <c r="L131" s="42" t="n">
        <f aca="false">IF(OR($A131="",L$13=""),0,SUMIFS(MVT_NET,MVT_LOT,$A131,MVT_EMPL,L$13))</f>
        <v>0</v>
      </c>
      <c r="M131" s="42" t="n">
        <f aca="false">IF(OR($A131="",M$13=""),0,SUMIFS(MVT_NET,MVT_LOT,$A131,MVT_EMPL,M$13))</f>
        <v>0</v>
      </c>
      <c r="N131" s="43" t="n">
        <f aca="false">SUM($B131:$M131)</f>
        <v>0</v>
      </c>
      <c r="O131" s="44" t="n">
        <f aca="false">SUMPRODUCT(($B$12:$M$12="INTERNE")*$B131:$M131)</f>
        <v>0</v>
      </c>
      <c r="P131" s="44" t="n">
        <f aca="false">SUMPRODUCT(($B$12:$M$12="EXTERNE")*$B131:$M131)</f>
        <v>0</v>
      </c>
      <c r="Q131" s="44" t="n">
        <f aca="false">IF($A131="",0,SUMIFS(ST_ENCOURS,ST_LOT,$A131))</f>
        <v>0</v>
      </c>
      <c r="R131" s="45" t="str">
        <f aca="false">IF($A131="","",IF($N131&lt;-0.001,"STOCK NEGATIF - ANOMALIE",""))</f>
        <v/>
      </c>
    </row>
    <row r="132" customFormat="false" ht="15" hidden="false" customHeight="false" outlineLevel="0" collapsed="false">
      <c r="A132" s="41" t="str">
        <f aca="false">IF(LOTS!$A123="","",LOTS!$A123)</f>
        <v/>
      </c>
      <c r="B132" s="42" t="n">
        <f aca="false">IF(OR($A132="",B$13=""),0,SUMIFS(MVT_NET,MVT_LOT,$A132,MVT_EMPL,B$13))</f>
        <v>0</v>
      </c>
      <c r="C132" s="42" t="n">
        <f aca="false">IF(OR($A132="",C$13=""),0,SUMIFS(MVT_NET,MVT_LOT,$A132,MVT_EMPL,C$13))</f>
        <v>0</v>
      </c>
      <c r="D132" s="42" t="n">
        <f aca="false">IF(OR($A132="",D$13=""),0,SUMIFS(MVT_NET,MVT_LOT,$A132,MVT_EMPL,D$13))</f>
        <v>0</v>
      </c>
      <c r="E132" s="42" t="n">
        <f aca="false">IF(OR($A132="",E$13=""),0,SUMIFS(MVT_NET,MVT_LOT,$A132,MVT_EMPL,E$13))</f>
        <v>0</v>
      </c>
      <c r="F132" s="42" t="n">
        <f aca="false">IF(OR($A132="",F$13=""),0,SUMIFS(MVT_NET,MVT_LOT,$A132,MVT_EMPL,F$13))</f>
        <v>0</v>
      </c>
      <c r="G132" s="42" t="n">
        <f aca="false">IF(OR($A132="",G$13=""),0,SUMIFS(MVT_NET,MVT_LOT,$A132,MVT_EMPL,G$13))</f>
        <v>0</v>
      </c>
      <c r="H132" s="42" t="n">
        <f aca="false">IF(OR($A132="",H$13=""),0,SUMIFS(MVT_NET,MVT_LOT,$A132,MVT_EMPL,H$13))</f>
        <v>0</v>
      </c>
      <c r="I132" s="42" t="n">
        <f aca="false">IF(OR($A132="",I$13=""),0,SUMIFS(MVT_NET,MVT_LOT,$A132,MVT_EMPL,I$13))</f>
        <v>0</v>
      </c>
      <c r="J132" s="42" t="n">
        <f aca="false">IF(OR($A132="",J$13=""),0,SUMIFS(MVT_NET,MVT_LOT,$A132,MVT_EMPL,J$13))</f>
        <v>0</v>
      </c>
      <c r="K132" s="42" t="n">
        <f aca="false">IF(OR($A132="",K$13=""),0,SUMIFS(MVT_NET,MVT_LOT,$A132,MVT_EMPL,K$13))</f>
        <v>0</v>
      </c>
      <c r="L132" s="42" t="n">
        <f aca="false">IF(OR($A132="",L$13=""),0,SUMIFS(MVT_NET,MVT_LOT,$A132,MVT_EMPL,L$13))</f>
        <v>0</v>
      </c>
      <c r="M132" s="42" t="n">
        <f aca="false">IF(OR($A132="",M$13=""),0,SUMIFS(MVT_NET,MVT_LOT,$A132,MVT_EMPL,M$13))</f>
        <v>0</v>
      </c>
      <c r="N132" s="43" t="n">
        <f aca="false">SUM($B132:$M132)</f>
        <v>0</v>
      </c>
      <c r="O132" s="44" t="n">
        <f aca="false">SUMPRODUCT(($B$12:$M$12="INTERNE")*$B132:$M132)</f>
        <v>0</v>
      </c>
      <c r="P132" s="44" t="n">
        <f aca="false">SUMPRODUCT(($B$12:$M$12="EXTERNE")*$B132:$M132)</f>
        <v>0</v>
      </c>
      <c r="Q132" s="44" t="n">
        <f aca="false">IF($A132="",0,SUMIFS(ST_ENCOURS,ST_LOT,$A132))</f>
        <v>0</v>
      </c>
      <c r="R132" s="45" t="str">
        <f aca="false">IF($A132="","",IF($N132&lt;-0.001,"STOCK NEGATIF - ANOMALIE",""))</f>
        <v/>
      </c>
    </row>
    <row r="133" customFormat="false" ht="15" hidden="false" customHeight="false" outlineLevel="0" collapsed="false">
      <c r="A133" s="41" t="str">
        <f aca="false">IF(LOTS!$A124="","",LOTS!$A124)</f>
        <v/>
      </c>
      <c r="B133" s="42" t="n">
        <f aca="false">IF(OR($A133="",B$13=""),0,SUMIFS(MVT_NET,MVT_LOT,$A133,MVT_EMPL,B$13))</f>
        <v>0</v>
      </c>
      <c r="C133" s="42" t="n">
        <f aca="false">IF(OR($A133="",C$13=""),0,SUMIFS(MVT_NET,MVT_LOT,$A133,MVT_EMPL,C$13))</f>
        <v>0</v>
      </c>
      <c r="D133" s="42" t="n">
        <f aca="false">IF(OR($A133="",D$13=""),0,SUMIFS(MVT_NET,MVT_LOT,$A133,MVT_EMPL,D$13))</f>
        <v>0</v>
      </c>
      <c r="E133" s="42" t="n">
        <f aca="false">IF(OR($A133="",E$13=""),0,SUMIFS(MVT_NET,MVT_LOT,$A133,MVT_EMPL,E$13))</f>
        <v>0</v>
      </c>
      <c r="F133" s="42" t="n">
        <f aca="false">IF(OR($A133="",F$13=""),0,SUMIFS(MVT_NET,MVT_LOT,$A133,MVT_EMPL,F$13))</f>
        <v>0</v>
      </c>
      <c r="G133" s="42" t="n">
        <f aca="false">IF(OR($A133="",G$13=""),0,SUMIFS(MVT_NET,MVT_LOT,$A133,MVT_EMPL,G$13))</f>
        <v>0</v>
      </c>
      <c r="H133" s="42" t="n">
        <f aca="false">IF(OR($A133="",H$13=""),0,SUMIFS(MVT_NET,MVT_LOT,$A133,MVT_EMPL,H$13))</f>
        <v>0</v>
      </c>
      <c r="I133" s="42" t="n">
        <f aca="false">IF(OR($A133="",I$13=""),0,SUMIFS(MVT_NET,MVT_LOT,$A133,MVT_EMPL,I$13))</f>
        <v>0</v>
      </c>
      <c r="J133" s="42" t="n">
        <f aca="false">IF(OR($A133="",J$13=""),0,SUMIFS(MVT_NET,MVT_LOT,$A133,MVT_EMPL,J$13))</f>
        <v>0</v>
      </c>
      <c r="K133" s="42" t="n">
        <f aca="false">IF(OR($A133="",K$13=""),0,SUMIFS(MVT_NET,MVT_LOT,$A133,MVT_EMPL,K$13))</f>
        <v>0</v>
      </c>
      <c r="L133" s="42" t="n">
        <f aca="false">IF(OR($A133="",L$13=""),0,SUMIFS(MVT_NET,MVT_LOT,$A133,MVT_EMPL,L$13))</f>
        <v>0</v>
      </c>
      <c r="M133" s="42" t="n">
        <f aca="false">IF(OR($A133="",M$13=""),0,SUMIFS(MVT_NET,MVT_LOT,$A133,MVT_EMPL,M$13))</f>
        <v>0</v>
      </c>
      <c r="N133" s="43" t="n">
        <f aca="false">SUM($B133:$M133)</f>
        <v>0</v>
      </c>
      <c r="O133" s="44" t="n">
        <f aca="false">SUMPRODUCT(($B$12:$M$12="INTERNE")*$B133:$M133)</f>
        <v>0</v>
      </c>
      <c r="P133" s="44" t="n">
        <f aca="false">SUMPRODUCT(($B$12:$M$12="EXTERNE")*$B133:$M133)</f>
        <v>0</v>
      </c>
      <c r="Q133" s="44" t="n">
        <f aca="false">IF($A133="",0,SUMIFS(ST_ENCOURS,ST_LOT,$A133))</f>
        <v>0</v>
      </c>
      <c r="R133" s="45" t="str">
        <f aca="false">IF($A133="","",IF($N133&lt;-0.001,"STOCK NEGATIF - ANOMALIE",""))</f>
        <v/>
      </c>
    </row>
    <row r="134" customFormat="false" ht="15" hidden="false" customHeight="false" outlineLevel="0" collapsed="false">
      <c r="A134" s="41" t="str">
        <f aca="false">IF(LOTS!$A125="","",LOTS!$A125)</f>
        <v/>
      </c>
      <c r="B134" s="42" t="n">
        <f aca="false">IF(OR($A134="",B$13=""),0,SUMIFS(MVT_NET,MVT_LOT,$A134,MVT_EMPL,B$13))</f>
        <v>0</v>
      </c>
      <c r="C134" s="42" t="n">
        <f aca="false">IF(OR($A134="",C$13=""),0,SUMIFS(MVT_NET,MVT_LOT,$A134,MVT_EMPL,C$13))</f>
        <v>0</v>
      </c>
      <c r="D134" s="42" t="n">
        <f aca="false">IF(OR($A134="",D$13=""),0,SUMIFS(MVT_NET,MVT_LOT,$A134,MVT_EMPL,D$13))</f>
        <v>0</v>
      </c>
      <c r="E134" s="42" t="n">
        <f aca="false">IF(OR($A134="",E$13=""),0,SUMIFS(MVT_NET,MVT_LOT,$A134,MVT_EMPL,E$13))</f>
        <v>0</v>
      </c>
      <c r="F134" s="42" t="n">
        <f aca="false">IF(OR($A134="",F$13=""),0,SUMIFS(MVT_NET,MVT_LOT,$A134,MVT_EMPL,F$13))</f>
        <v>0</v>
      </c>
      <c r="G134" s="42" t="n">
        <f aca="false">IF(OR($A134="",G$13=""),0,SUMIFS(MVT_NET,MVT_LOT,$A134,MVT_EMPL,G$13))</f>
        <v>0</v>
      </c>
      <c r="H134" s="42" t="n">
        <f aca="false">IF(OR($A134="",H$13=""),0,SUMIFS(MVT_NET,MVT_LOT,$A134,MVT_EMPL,H$13))</f>
        <v>0</v>
      </c>
      <c r="I134" s="42" t="n">
        <f aca="false">IF(OR($A134="",I$13=""),0,SUMIFS(MVT_NET,MVT_LOT,$A134,MVT_EMPL,I$13))</f>
        <v>0</v>
      </c>
      <c r="J134" s="42" t="n">
        <f aca="false">IF(OR($A134="",J$13=""),0,SUMIFS(MVT_NET,MVT_LOT,$A134,MVT_EMPL,J$13))</f>
        <v>0</v>
      </c>
      <c r="K134" s="42" t="n">
        <f aca="false">IF(OR($A134="",K$13=""),0,SUMIFS(MVT_NET,MVT_LOT,$A134,MVT_EMPL,K$13))</f>
        <v>0</v>
      </c>
      <c r="L134" s="42" t="n">
        <f aca="false">IF(OR($A134="",L$13=""),0,SUMIFS(MVT_NET,MVT_LOT,$A134,MVT_EMPL,L$13))</f>
        <v>0</v>
      </c>
      <c r="M134" s="42" t="n">
        <f aca="false">IF(OR($A134="",M$13=""),0,SUMIFS(MVT_NET,MVT_LOT,$A134,MVT_EMPL,M$13))</f>
        <v>0</v>
      </c>
      <c r="N134" s="43" t="n">
        <f aca="false">SUM($B134:$M134)</f>
        <v>0</v>
      </c>
      <c r="O134" s="44" t="n">
        <f aca="false">SUMPRODUCT(($B$12:$M$12="INTERNE")*$B134:$M134)</f>
        <v>0</v>
      </c>
      <c r="P134" s="44" t="n">
        <f aca="false">SUMPRODUCT(($B$12:$M$12="EXTERNE")*$B134:$M134)</f>
        <v>0</v>
      </c>
      <c r="Q134" s="44" t="n">
        <f aca="false">IF($A134="",0,SUMIFS(ST_ENCOURS,ST_LOT,$A134))</f>
        <v>0</v>
      </c>
      <c r="R134" s="45" t="str">
        <f aca="false">IF($A134="","",IF($N134&lt;-0.001,"STOCK NEGATIF - ANOMALIE",""))</f>
        <v/>
      </c>
    </row>
    <row r="135" customFormat="false" ht="15" hidden="false" customHeight="false" outlineLevel="0" collapsed="false">
      <c r="A135" s="41" t="str">
        <f aca="false">IF(LOTS!$A126="","",LOTS!$A126)</f>
        <v/>
      </c>
      <c r="B135" s="42" t="n">
        <f aca="false">IF(OR($A135="",B$13=""),0,SUMIFS(MVT_NET,MVT_LOT,$A135,MVT_EMPL,B$13))</f>
        <v>0</v>
      </c>
      <c r="C135" s="42" t="n">
        <f aca="false">IF(OR($A135="",C$13=""),0,SUMIFS(MVT_NET,MVT_LOT,$A135,MVT_EMPL,C$13))</f>
        <v>0</v>
      </c>
      <c r="D135" s="42" t="n">
        <f aca="false">IF(OR($A135="",D$13=""),0,SUMIFS(MVT_NET,MVT_LOT,$A135,MVT_EMPL,D$13))</f>
        <v>0</v>
      </c>
      <c r="E135" s="42" t="n">
        <f aca="false">IF(OR($A135="",E$13=""),0,SUMIFS(MVT_NET,MVT_LOT,$A135,MVT_EMPL,E$13))</f>
        <v>0</v>
      </c>
      <c r="F135" s="42" t="n">
        <f aca="false">IF(OR($A135="",F$13=""),0,SUMIFS(MVT_NET,MVT_LOT,$A135,MVT_EMPL,F$13))</f>
        <v>0</v>
      </c>
      <c r="G135" s="42" t="n">
        <f aca="false">IF(OR($A135="",G$13=""),0,SUMIFS(MVT_NET,MVT_LOT,$A135,MVT_EMPL,G$13))</f>
        <v>0</v>
      </c>
      <c r="H135" s="42" t="n">
        <f aca="false">IF(OR($A135="",H$13=""),0,SUMIFS(MVT_NET,MVT_LOT,$A135,MVT_EMPL,H$13))</f>
        <v>0</v>
      </c>
      <c r="I135" s="42" t="n">
        <f aca="false">IF(OR($A135="",I$13=""),0,SUMIFS(MVT_NET,MVT_LOT,$A135,MVT_EMPL,I$13))</f>
        <v>0</v>
      </c>
      <c r="J135" s="42" t="n">
        <f aca="false">IF(OR($A135="",J$13=""),0,SUMIFS(MVT_NET,MVT_LOT,$A135,MVT_EMPL,J$13))</f>
        <v>0</v>
      </c>
      <c r="K135" s="42" t="n">
        <f aca="false">IF(OR($A135="",K$13=""),0,SUMIFS(MVT_NET,MVT_LOT,$A135,MVT_EMPL,K$13))</f>
        <v>0</v>
      </c>
      <c r="L135" s="42" t="n">
        <f aca="false">IF(OR($A135="",L$13=""),0,SUMIFS(MVT_NET,MVT_LOT,$A135,MVT_EMPL,L$13))</f>
        <v>0</v>
      </c>
      <c r="M135" s="42" t="n">
        <f aca="false">IF(OR($A135="",M$13=""),0,SUMIFS(MVT_NET,MVT_LOT,$A135,MVT_EMPL,M$13))</f>
        <v>0</v>
      </c>
      <c r="N135" s="43" t="n">
        <f aca="false">SUM($B135:$M135)</f>
        <v>0</v>
      </c>
      <c r="O135" s="44" t="n">
        <f aca="false">SUMPRODUCT(($B$12:$M$12="INTERNE")*$B135:$M135)</f>
        <v>0</v>
      </c>
      <c r="P135" s="44" t="n">
        <f aca="false">SUMPRODUCT(($B$12:$M$12="EXTERNE")*$B135:$M135)</f>
        <v>0</v>
      </c>
      <c r="Q135" s="44" t="n">
        <f aca="false">IF($A135="",0,SUMIFS(ST_ENCOURS,ST_LOT,$A135))</f>
        <v>0</v>
      </c>
      <c r="R135" s="45" t="str">
        <f aca="false">IF($A135="","",IF($N135&lt;-0.001,"STOCK NEGATIF - ANOMALIE",""))</f>
        <v/>
      </c>
    </row>
    <row r="136" customFormat="false" ht="15" hidden="false" customHeight="false" outlineLevel="0" collapsed="false">
      <c r="A136" s="41" t="str">
        <f aca="false">IF(LOTS!$A127="","",LOTS!$A127)</f>
        <v/>
      </c>
      <c r="B136" s="42" t="n">
        <f aca="false">IF(OR($A136="",B$13=""),0,SUMIFS(MVT_NET,MVT_LOT,$A136,MVT_EMPL,B$13))</f>
        <v>0</v>
      </c>
      <c r="C136" s="42" t="n">
        <f aca="false">IF(OR($A136="",C$13=""),0,SUMIFS(MVT_NET,MVT_LOT,$A136,MVT_EMPL,C$13))</f>
        <v>0</v>
      </c>
      <c r="D136" s="42" t="n">
        <f aca="false">IF(OR($A136="",D$13=""),0,SUMIFS(MVT_NET,MVT_LOT,$A136,MVT_EMPL,D$13))</f>
        <v>0</v>
      </c>
      <c r="E136" s="42" t="n">
        <f aca="false">IF(OR($A136="",E$13=""),0,SUMIFS(MVT_NET,MVT_LOT,$A136,MVT_EMPL,E$13))</f>
        <v>0</v>
      </c>
      <c r="F136" s="42" t="n">
        <f aca="false">IF(OR($A136="",F$13=""),0,SUMIFS(MVT_NET,MVT_LOT,$A136,MVT_EMPL,F$13))</f>
        <v>0</v>
      </c>
      <c r="G136" s="42" t="n">
        <f aca="false">IF(OR($A136="",G$13=""),0,SUMIFS(MVT_NET,MVT_LOT,$A136,MVT_EMPL,G$13))</f>
        <v>0</v>
      </c>
      <c r="H136" s="42" t="n">
        <f aca="false">IF(OR($A136="",H$13=""),0,SUMIFS(MVT_NET,MVT_LOT,$A136,MVT_EMPL,H$13))</f>
        <v>0</v>
      </c>
      <c r="I136" s="42" t="n">
        <f aca="false">IF(OR($A136="",I$13=""),0,SUMIFS(MVT_NET,MVT_LOT,$A136,MVT_EMPL,I$13))</f>
        <v>0</v>
      </c>
      <c r="J136" s="42" t="n">
        <f aca="false">IF(OR($A136="",J$13=""),0,SUMIFS(MVT_NET,MVT_LOT,$A136,MVT_EMPL,J$13))</f>
        <v>0</v>
      </c>
      <c r="K136" s="42" t="n">
        <f aca="false">IF(OR($A136="",K$13=""),0,SUMIFS(MVT_NET,MVT_LOT,$A136,MVT_EMPL,K$13))</f>
        <v>0</v>
      </c>
      <c r="L136" s="42" t="n">
        <f aca="false">IF(OR($A136="",L$13=""),0,SUMIFS(MVT_NET,MVT_LOT,$A136,MVT_EMPL,L$13))</f>
        <v>0</v>
      </c>
      <c r="M136" s="42" t="n">
        <f aca="false">IF(OR($A136="",M$13=""),0,SUMIFS(MVT_NET,MVT_LOT,$A136,MVT_EMPL,M$13))</f>
        <v>0</v>
      </c>
      <c r="N136" s="43" t="n">
        <f aca="false">SUM($B136:$M136)</f>
        <v>0</v>
      </c>
      <c r="O136" s="44" t="n">
        <f aca="false">SUMPRODUCT(($B$12:$M$12="INTERNE")*$B136:$M136)</f>
        <v>0</v>
      </c>
      <c r="P136" s="44" t="n">
        <f aca="false">SUMPRODUCT(($B$12:$M$12="EXTERNE")*$B136:$M136)</f>
        <v>0</v>
      </c>
      <c r="Q136" s="44" t="n">
        <f aca="false">IF($A136="",0,SUMIFS(ST_ENCOURS,ST_LOT,$A136))</f>
        <v>0</v>
      </c>
      <c r="R136" s="45" t="str">
        <f aca="false">IF($A136="","",IF($N136&lt;-0.001,"STOCK NEGATIF - ANOMALIE",""))</f>
        <v/>
      </c>
    </row>
    <row r="137" customFormat="false" ht="15" hidden="false" customHeight="false" outlineLevel="0" collapsed="false">
      <c r="A137" s="41" t="str">
        <f aca="false">IF(LOTS!$A128="","",LOTS!$A128)</f>
        <v/>
      </c>
      <c r="B137" s="42" t="n">
        <f aca="false">IF(OR($A137="",B$13=""),0,SUMIFS(MVT_NET,MVT_LOT,$A137,MVT_EMPL,B$13))</f>
        <v>0</v>
      </c>
      <c r="C137" s="42" t="n">
        <f aca="false">IF(OR($A137="",C$13=""),0,SUMIFS(MVT_NET,MVT_LOT,$A137,MVT_EMPL,C$13))</f>
        <v>0</v>
      </c>
      <c r="D137" s="42" t="n">
        <f aca="false">IF(OR($A137="",D$13=""),0,SUMIFS(MVT_NET,MVT_LOT,$A137,MVT_EMPL,D$13))</f>
        <v>0</v>
      </c>
      <c r="E137" s="42" t="n">
        <f aca="false">IF(OR($A137="",E$13=""),0,SUMIFS(MVT_NET,MVT_LOT,$A137,MVT_EMPL,E$13))</f>
        <v>0</v>
      </c>
      <c r="F137" s="42" t="n">
        <f aca="false">IF(OR($A137="",F$13=""),0,SUMIFS(MVT_NET,MVT_LOT,$A137,MVT_EMPL,F$13))</f>
        <v>0</v>
      </c>
      <c r="G137" s="42" t="n">
        <f aca="false">IF(OR($A137="",G$13=""),0,SUMIFS(MVT_NET,MVT_LOT,$A137,MVT_EMPL,G$13))</f>
        <v>0</v>
      </c>
      <c r="H137" s="42" t="n">
        <f aca="false">IF(OR($A137="",H$13=""),0,SUMIFS(MVT_NET,MVT_LOT,$A137,MVT_EMPL,H$13))</f>
        <v>0</v>
      </c>
      <c r="I137" s="42" t="n">
        <f aca="false">IF(OR($A137="",I$13=""),0,SUMIFS(MVT_NET,MVT_LOT,$A137,MVT_EMPL,I$13))</f>
        <v>0</v>
      </c>
      <c r="J137" s="42" t="n">
        <f aca="false">IF(OR($A137="",J$13=""),0,SUMIFS(MVT_NET,MVT_LOT,$A137,MVT_EMPL,J$13))</f>
        <v>0</v>
      </c>
      <c r="K137" s="42" t="n">
        <f aca="false">IF(OR($A137="",K$13=""),0,SUMIFS(MVT_NET,MVT_LOT,$A137,MVT_EMPL,K$13))</f>
        <v>0</v>
      </c>
      <c r="L137" s="42" t="n">
        <f aca="false">IF(OR($A137="",L$13=""),0,SUMIFS(MVT_NET,MVT_LOT,$A137,MVT_EMPL,L$13))</f>
        <v>0</v>
      </c>
      <c r="M137" s="42" t="n">
        <f aca="false">IF(OR($A137="",M$13=""),0,SUMIFS(MVT_NET,MVT_LOT,$A137,MVT_EMPL,M$13))</f>
        <v>0</v>
      </c>
      <c r="N137" s="43" t="n">
        <f aca="false">SUM($B137:$M137)</f>
        <v>0</v>
      </c>
      <c r="O137" s="44" t="n">
        <f aca="false">SUMPRODUCT(($B$12:$M$12="INTERNE")*$B137:$M137)</f>
        <v>0</v>
      </c>
      <c r="P137" s="44" t="n">
        <f aca="false">SUMPRODUCT(($B$12:$M$12="EXTERNE")*$B137:$M137)</f>
        <v>0</v>
      </c>
      <c r="Q137" s="44" t="n">
        <f aca="false">IF($A137="",0,SUMIFS(ST_ENCOURS,ST_LOT,$A137))</f>
        <v>0</v>
      </c>
      <c r="R137" s="45" t="str">
        <f aca="false">IF($A137="","",IF($N137&lt;-0.001,"STOCK NEGATIF - ANOMALIE",""))</f>
        <v/>
      </c>
    </row>
    <row r="138" customFormat="false" ht="15" hidden="false" customHeight="false" outlineLevel="0" collapsed="false">
      <c r="A138" s="41" t="str">
        <f aca="false">IF(LOTS!$A129="","",LOTS!$A129)</f>
        <v/>
      </c>
      <c r="B138" s="42" t="n">
        <f aca="false">IF(OR($A138="",B$13=""),0,SUMIFS(MVT_NET,MVT_LOT,$A138,MVT_EMPL,B$13))</f>
        <v>0</v>
      </c>
      <c r="C138" s="42" t="n">
        <f aca="false">IF(OR($A138="",C$13=""),0,SUMIFS(MVT_NET,MVT_LOT,$A138,MVT_EMPL,C$13))</f>
        <v>0</v>
      </c>
      <c r="D138" s="42" t="n">
        <f aca="false">IF(OR($A138="",D$13=""),0,SUMIFS(MVT_NET,MVT_LOT,$A138,MVT_EMPL,D$13))</f>
        <v>0</v>
      </c>
      <c r="E138" s="42" t="n">
        <f aca="false">IF(OR($A138="",E$13=""),0,SUMIFS(MVT_NET,MVT_LOT,$A138,MVT_EMPL,E$13))</f>
        <v>0</v>
      </c>
      <c r="F138" s="42" t="n">
        <f aca="false">IF(OR($A138="",F$13=""),0,SUMIFS(MVT_NET,MVT_LOT,$A138,MVT_EMPL,F$13))</f>
        <v>0</v>
      </c>
      <c r="G138" s="42" t="n">
        <f aca="false">IF(OR($A138="",G$13=""),0,SUMIFS(MVT_NET,MVT_LOT,$A138,MVT_EMPL,G$13))</f>
        <v>0</v>
      </c>
      <c r="H138" s="42" t="n">
        <f aca="false">IF(OR($A138="",H$13=""),0,SUMIFS(MVT_NET,MVT_LOT,$A138,MVT_EMPL,H$13))</f>
        <v>0</v>
      </c>
      <c r="I138" s="42" t="n">
        <f aca="false">IF(OR($A138="",I$13=""),0,SUMIFS(MVT_NET,MVT_LOT,$A138,MVT_EMPL,I$13))</f>
        <v>0</v>
      </c>
      <c r="J138" s="42" t="n">
        <f aca="false">IF(OR($A138="",J$13=""),0,SUMIFS(MVT_NET,MVT_LOT,$A138,MVT_EMPL,J$13))</f>
        <v>0</v>
      </c>
      <c r="K138" s="42" t="n">
        <f aca="false">IF(OR($A138="",K$13=""),0,SUMIFS(MVT_NET,MVT_LOT,$A138,MVT_EMPL,K$13))</f>
        <v>0</v>
      </c>
      <c r="L138" s="42" t="n">
        <f aca="false">IF(OR($A138="",L$13=""),0,SUMIFS(MVT_NET,MVT_LOT,$A138,MVT_EMPL,L$13))</f>
        <v>0</v>
      </c>
      <c r="M138" s="42" t="n">
        <f aca="false">IF(OR($A138="",M$13=""),0,SUMIFS(MVT_NET,MVT_LOT,$A138,MVT_EMPL,M$13))</f>
        <v>0</v>
      </c>
      <c r="N138" s="43" t="n">
        <f aca="false">SUM($B138:$M138)</f>
        <v>0</v>
      </c>
      <c r="O138" s="44" t="n">
        <f aca="false">SUMPRODUCT(($B$12:$M$12="INTERNE")*$B138:$M138)</f>
        <v>0</v>
      </c>
      <c r="P138" s="44" t="n">
        <f aca="false">SUMPRODUCT(($B$12:$M$12="EXTERNE")*$B138:$M138)</f>
        <v>0</v>
      </c>
      <c r="Q138" s="44" t="n">
        <f aca="false">IF($A138="",0,SUMIFS(ST_ENCOURS,ST_LOT,$A138))</f>
        <v>0</v>
      </c>
      <c r="R138" s="45" t="str">
        <f aca="false">IF($A138="","",IF($N138&lt;-0.001,"STOCK NEGATIF - ANOMALIE",""))</f>
        <v/>
      </c>
    </row>
    <row r="139" customFormat="false" ht="15" hidden="false" customHeight="false" outlineLevel="0" collapsed="false">
      <c r="A139" s="41" t="str">
        <f aca="false">IF(LOTS!$A130="","",LOTS!$A130)</f>
        <v/>
      </c>
      <c r="B139" s="42" t="n">
        <f aca="false">IF(OR($A139="",B$13=""),0,SUMIFS(MVT_NET,MVT_LOT,$A139,MVT_EMPL,B$13))</f>
        <v>0</v>
      </c>
      <c r="C139" s="42" t="n">
        <f aca="false">IF(OR($A139="",C$13=""),0,SUMIFS(MVT_NET,MVT_LOT,$A139,MVT_EMPL,C$13))</f>
        <v>0</v>
      </c>
      <c r="D139" s="42" t="n">
        <f aca="false">IF(OR($A139="",D$13=""),0,SUMIFS(MVT_NET,MVT_LOT,$A139,MVT_EMPL,D$13))</f>
        <v>0</v>
      </c>
      <c r="E139" s="42" t="n">
        <f aca="false">IF(OR($A139="",E$13=""),0,SUMIFS(MVT_NET,MVT_LOT,$A139,MVT_EMPL,E$13))</f>
        <v>0</v>
      </c>
      <c r="F139" s="42" t="n">
        <f aca="false">IF(OR($A139="",F$13=""),0,SUMIFS(MVT_NET,MVT_LOT,$A139,MVT_EMPL,F$13))</f>
        <v>0</v>
      </c>
      <c r="G139" s="42" t="n">
        <f aca="false">IF(OR($A139="",G$13=""),0,SUMIFS(MVT_NET,MVT_LOT,$A139,MVT_EMPL,G$13))</f>
        <v>0</v>
      </c>
      <c r="H139" s="42" t="n">
        <f aca="false">IF(OR($A139="",H$13=""),0,SUMIFS(MVT_NET,MVT_LOT,$A139,MVT_EMPL,H$13))</f>
        <v>0</v>
      </c>
      <c r="I139" s="42" t="n">
        <f aca="false">IF(OR($A139="",I$13=""),0,SUMIFS(MVT_NET,MVT_LOT,$A139,MVT_EMPL,I$13))</f>
        <v>0</v>
      </c>
      <c r="J139" s="42" t="n">
        <f aca="false">IF(OR($A139="",J$13=""),0,SUMIFS(MVT_NET,MVT_LOT,$A139,MVT_EMPL,J$13))</f>
        <v>0</v>
      </c>
      <c r="K139" s="42" t="n">
        <f aca="false">IF(OR($A139="",K$13=""),0,SUMIFS(MVT_NET,MVT_LOT,$A139,MVT_EMPL,K$13))</f>
        <v>0</v>
      </c>
      <c r="L139" s="42" t="n">
        <f aca="false">IF(OR($A139="",L$13=""),0,SUMIFS(MVT_NET,MVT_LOT,$A139,MVT_EMPL,L$13))</f>
        <v>0</v>
      </c>
      <c r="M139" s="42" t="n">
        <f aca="false">IF(OR($A139="",M$13=""),0,SUMIFS(MVT_NET,MVT_LOT,$A139,MVT_EMPL,M$13))</f>
        <v>0</v>
      </c>
      <c r="N139" s="43" t="n">
        <f aca="false">SUM($B139:$M139)</f>
        <v>0</v>
      </c>
      <c r="O139" s="44" t="n">
        <f aca="false">SUMPRODUCT(($B$12:$M$12="INTERNE")*$B139:$M139)</f>
        <v>0</v>
      </c>
      <c r="P139" s="44" t="n">
        <f aca="false">SUMPRODUCT(($B$12:$M$12="EXTERNE")*$B139:$M139)</f>
        <v>0</v>
      </c>
      <c r="Q139" s="44" t="n">
        <f aca="false">IF($A139="",0,SUMIFS(ST_ENCOURS,ST_LOT,$A139))</f>
        <v>0</v>
      </c>
      <c r="R139" s="45" t="str">
        <f aca="false">IF($A139="","",IF($N139&lt;-0.001,"STOCK NEGATIF - ANOMALIE",""))</f>
        <v/>
      </c>
    </row>
    <row r="140" customFormat="false" ht="15" hidden="false" customHeight="false" outlineLevel="0" collapsed="false">
      <c r="A140" s="41" t="str">
        <f aca="false">IF(LOTS!$A131="","",LOTS!$A131)</f>
        <v/>
      </c>
      <c r="B140" s="42" t="n">
        <f aca="false">IF(OR($A140="",B$13=""),0,SUMIFS(MVT_NET,MVT_LOT,$A140,MVT_EMPL,B$13))</f>
        <v>0</v>
      </c>
      <c r="C140" s="42" t="n">
        <f aca="false">IF(OR($A140="",C$13=""),0,SUMIFS(MVT_NET,MVT_LOT,$A140,MVT_EMPL,C$13))</f>
        <v>0</v>
      </c>
      <c r="D140" s="42" t="n">
        <f aca="false">IF(OR($A140="",D$13=""),0,SUMIFS(MVT_NET,MVT_LOT,$A140,MVT_EMPL,D$13))</f>
        <v>0</v>
      </c>
      <c r="E140" s="42" t="n">
        <f aca="false">IF(OR($A140="",E$13=""),0,SUMIFS(MVT_NET,MVT_LOT,$A140,MVT_EMPL,E$13))</f>
        <v>0</v>
      </c>
      <c r="F140" s="42" t="n">
        <f aca="false">IF(OR($A140="",F$13=""),0,SUMIFS(MVT_NET,MVT_LOT,$A140,MVT_EMPL,F$13))</f>
        <v>0</v>
      </c>
      <c r="G140" s="42" t="n">
        <f aca="false">IF(OR($A140="",G$13=""),0,SUMIFS(MVT_NET,MVT_LOT,$A140,MVT_EMPL,G$13))</f>
        <v>0</v>
      </c>
      <c r="H140" s="42" t="n">
        <f aca="false">IF(OR($A140="",H$13=""),0,SUMIFS(MVT_NET,MVT_LOT,$A140,MVT_EMPL,H$13))</f>
        <v>0</v>
      </c>
      <c r="I140" s="42" t="n">
        <f aca="false">IF(OR($A140="",I$13=""),0,SUMIFS(MVT_NET,MVT_LOT,$A140,MVT_EMPL,I$13))</f>
        <v>0</v>
      </c>
      <c r="J140" s="42" t="n">
        <f aca="false">IF(OR($A140="",J$13=""),0,SUMIFS(MVT_NET,MVT_LOT,$A140,MVT_EMPL,J$13))</f>
        <v>0</v>
      </c>
      <c r="K140" s="42" t="n">
        <f aca="false">IF(OR($A140="",K$13=""),0,SUMIFS(MVT_NET,MVT_LOT,$A140,MVT_EMPL,K$13))</f>
        <v>0</v>
      </c>
      <c r="L140" s="42" t="n">
        <f aca="false">IF(OR($A140="",L$13=""),0,SUMIFS(MVT_NET,MVT_LOT,$A140,MVT_EMPL,L$13))</f>
        <v>0</v>
      </c>
      <c r="M140" s="42" t="n">
        <f aca="false">IF(OR($A140="",M$13=""),0,SUMIFS(MVT_NET,MVT_LOT,$A140,MVT_EMPL,M$13))</f>
        <v>0</v>
      </c>
      <c r="N140" s="43" t="n">
        <f aca="false">SUM($B140:$M140)</f>
        <v>0</v>
      </c>
      <c r="O140" s="44" t="n">
        <f aca="false">SUMPRODUCT(($B$12:$M$12="INTERNE")*$B140:$M140)</f>
        <v>0</v>
      </c>
      <c r="P140" s="44" t="n">
        <f aca="false">SUMPRODUCT(($B$12:$M$12="EXTERNE")*$B140:$M140)</f>
        <v>0</v>
      </c>
      <c r="Q140" s="44" t="n">
        <f aca="false">IF($A140="",0,SUMIFS(ST_ENCOURS,ST_LOT,$A140))</f>
        <v>0</v>
      </c>
      <c r="R140" s="45" t="str">
        <f aca="false">IF($A140="","",IF($N140&lt;-0.001,"STOCK NEGATIF - ANOMALIE",""))</f>
        <v/>
      </c>
    </row>
    <row r="141" customFormat="false" ht="15" hidden="false" customHeight="false" outlineLevel="0" collapsed="false">
      <c r="A141" s="41" t="str">
        <f aca="false">IF(LOTS!$A132="","",LOTS!$A132)</f>
        <v/>
      </c>
      <c r="B141" s="42" t="n">
        <f aca="false">IF(OR($A141="",B$13=""),0,SUMIFS(MVT_NET,MVT_LOT,$A141,MVT_EMPL,B$13))</f>
        <v>0</v>
      </c>
      <c r="C141" s="42" t="n">
        <f aca="false">IF(OR($A141="",C$13=""),0,SUMIFS(MVT_NET,MVT_LOT,$A141,MVT_EMPL,C$13))</f>
        <v>0</v>
      </c>
      <c r="D141" s="42" t="n">
        <f aca="false">IF(OR($A141="",D$13=""),0,SUMIFS(MVT_NET,MVT_LOT,$A141,MVT_EMPL,D$13))</f>
        <v>0</v>
      </c>
      <c r="E141" s="42" t="n">
        <f aca="false">IF(OR($A141="",E$13=""),0,SUMIFS(MVT_NET,MVT_LOT,$A141,MVT_EMPL,E$13))</f>
        <v>0</v>
      </c>
      <c r="F141" s="42" t="n">
        <f aca="false">IF(OR($A141="",F$13=""),0,SUMIFS(MVT_NET,MVT_LOT,$A141,MVT_EMPL,F$13))</f>
        <v>0</v>
      </c>
      <c r="G141" s="42" t="n">
        <f aca="false">IF(OR($A141="",G$13=""),0,SUMIFS(MVT_NET,MVT_LOT,$A141,MVT_EMPL,G$13))</f>
        <v>0</v>
      </c>
      <c r="H141" s="42" t="n">
        <f aca="false">IF(OR($A141="",H$13=""),0,SUMIFS(MVT_NET,MVT_LOT,$A141,MVT_EMPL,H$13))</f>
        <v>0</v>
      </c>
      <c r="I141" s="42" t="n">
        <f aca="false">IF(OR($A141="",I$13=""),0,SUMIFS(MVT_NET,MVT_LOT,$A141,MVT_EMPL,I$13))</f>
        <v>0</v>
      </c>
      <c r="J141" s="42" t="n">
        <f aca="false">IF(OR($A141="",J$13=""),0,SUMIFS(MVT_NET,MVT_LOT,$A141,MVT_EMPL,J$13))</f>
        <v>0</v>
      </c>
      <c r="K141" s="42" t="n">
        <f aca="false">IF(OR($A141="",K$13=""),0,SUMIFS(MVT_NET,MVT_LOT,$A141,MVT_EMPL,K$13))</f>
        <v>0</v>
      </c>
      <c r="L141" s="42" t="n">
        <f aca="false">IF(OR($A141="",L$13=""),0,SUMIFS(MVT_NET,MVT_LOT,$A141,MVT_EMPL,L$13))</f>
        <v>0</v>
      </c>
      <c r="M141" s="42" t="n">
        <f aca="false">IF(OR($A141="",M$13=""),0,SUMIFS(MVT_NET,MVT_LOT,$A141,MVT_EMPL,M$13))</f>
        <v>0</v>
      </c>
      <c r="N141" s="43" t="n">
        <f aca="false">SUM($B141:$M141)</f>
        <v>0</v>
      </c>
      <c r="O141" s="44" t="n">
        <f aca="false">SUMPRODUCT(($B$12:$M$12="INTERNE")*$B141:$M141)</f>
        <v>0</v>
      </c>
      <c r="P141" s="44" t="n">
        <f aca="false">SUMPRODUCT(($B$12:$M$12="EXTERNE")*$B141:$M141)</f>
        <v>0</v>
      </c>
      <c r="Q141" s="44" t="n">
        <f aca="false">IF($A141="",0,SUMIFS(ST_ENCOURS,ST_LOT,$A141))</f>
        <v>0</v>
      </c>
      <c r="R141" s="45" t="str">
        <f aca="false">IF($A141="","",IF($N141&lt;-0.001,"STOCK NEGATIF - ANOMALIE",""))</f>
        <v/>
      </c>
    </row>
    <row r="142" customFormat="false" ht="15" hidden="false" customHeight="false" outlineLevel="0" collapsed="false">
      <c r="A142" s="41" t="str">
        <f aca="false">IF(LOTS!$A133="","",LOTS!$A133)</f>
        <v/>
      </c>
      <c r="B142" s="42" t="n">
        <f aca="false">IF(OR($A142="",B$13=""),0,SUMIFS(MVT_NET,MVT_LOT,$A142,MVT_EMPL,B$13))</f>
        <v>0</v>
      </c>
      <c r="C142" s="42" t="n">
        <f aca="false">IF(OR($A142="",C$13=""),0,SUMIFS(MVT_NET,MVT_LOT,$A142,MVT_EMPL,C$13))</f>
        <v>0</v>
      </c>
      <c r="D142" s="42" t="n">
        <f aca="false">IF(OR($A142="",D$13=""),0,SUMIFS(MVT_NET,MVT_LOT,$A142,MVT_EMPL,D$13))</f>
        <v>0</v>
      </c>
      <c r="E142" s="42" t="n">
        <f aca="false">IF(OR($A142="",E$13=""),0,SUMIFS(MVT_NET,MVT_LOT,$A142,MVT_EMPL,E$13))</f>
        <v>0</v>
      </c>
      <c r="F142" s="42" t="n">
        <f aca="false">IF(OR($A142="",F$13=""),0,SUMIFS(MVT_NET,MVT_LOT,$A142,MVT_EMPL,F$13))</f>
        <v>0</v>
      </c>
      <c r="G142" s="42" t="n">
        <f aca="false">IF(OR($A142="",G$13=""),0,SUMIFS(MVT_NET,MVT_LOT,$A142,MVT_EMPL,G$13))</f>
        <v>0</v>
      </c>
      <c r="H142" s="42" t="n">
        <f aca="false">IF(OR($A142="",H$13=""),0,SUMIFS(MVT_NET,MVT_LOT,$A142,MVT_EMPL,H$13))</f>
        <v>0</v>
      </c>
      <c r="I142" s="42" t="n">
        <f aca="false">IF(OR($A142="",I$13=""),0,SUMIFS(MVT_NET,MVT_LOT,$A142,MVT_EMPL,I$13))</f>
        <v>0</v>
      </c>
      <c r="J142" s="42" t="n">
        <f aca="false">IF(OR($A142="",J$13=""),0,SUMIFS(MVT_NET,MVT_LOT,$A142,MVT_EMPL,J$13))</f>
        <v>0</v>
      </c>
      <c r="K142" s="42" t="n">
        <f aca="false">IF(OR($A142="",K$13=""),0,SUMIFS(MVT_NET,MVT_LOT,$A142,MVT_EMPL,K$13))</f>
        <v>0</v>
      </c>
      <c r="L142" s="42" t="n">
        <f aca="false">IF(OR($A142="",L$13=""),0,SUMIFS(MVT_NET,MVT_LOT,$A142,MVT_EMPL,L$13))</f>
        <v>0</v>
      </c>
      <c r="M142" s="42" t="n">
        <f aca="false">IF(OR($A142="",M$13=""),0,SUMIFS(MVT_NET,MVT_LOT,$A142,MVT_EMPL,M$13))</f>
        <v>0</v>
      </c>
      <c r="N142" s="43" t="n">
        <f aca="false">SUM($B142:$M142)</f>
        <v>0</v>
      </c>
      <c r="O142" s="44" t="n">
        <f aca="false">SUMPRODUCT(($B$12:$M$12="INTERNE")*$B142:$M142)</f>
        <v>0</v>
      </c>
      <c r="P142" s="44" t="n">
        <f aca="false">SUMPRODUCT(($B$12:$M$12="EXTERNE")*$B142:$M142)</f>
        <v>0</v>
      </c>
      <c r="Q142" s="44" t="n">
        <f aca="false">IF($A142="",0,SUMIFS(ST_ENCOURS,ST_LOT,$A142))</f>
        <v>0</v>
      </c>
      <c r="R142" s="45" t="str">
        <f aca="false">IF($A142="","",IF($N142&lt;-0.001,"STOCK NEGATIF - ANOMALIE",""))</f>
        <v/>
      </c>
    </row>
    <row r="143" customFormat="false" ht="15" hidden="false" customHeight="false" outlineLevel="0" collapsed="false">
      <c r="A143" s="41" t="str">
        <f aca="false">IF(LOTS!$A134="","",LOTS!$A134)</f>
        <v/>
      </c>
      <c r="B143" s="42" t="n">
        <f aca="false">IF(OR($A143="",B$13=""),0,SUMIFS(MVT_NET,MVT_LOT,$A143,MVT_EMPL,B$13))</f>
        <v>0</v>
      </c>
      <c r="C143" s="42" t="n">
        <f aca="false">IF(OR($A143="",C$13=""),0,SUMIFS(MVT_NET,MVT_LOT,$A143,MVT_EMPL,C$13))</f>
        <v>0</v>
      </c>
      <c r="D143" s="42" t="n">
        <f aca="false">IF(OR($A143="",D$13=""),0,SUMIFS(MVT_NET,MVT_LOT,$A143,MVT_EMPL,D$13))</f>
        <v>0</v>
      </c>
      <c r="E143" s="42" t="n">
        <f aca="false">IF(OR($A143="",E$13=""),0,SUMIFS(MVT_NET,MVT_LOT,$A143,MVT_EMPL,E$13))</f>
        <v>0</v>
      </c>
      <c r="F143" s="42" t="n">
        <f aca="false">IF(OR($A143="",F$13=""),0,SUMIFS(MVT_NET,MVT_LOT,$A143,MVT_EMPL,F$13))</f>
        <v>0</v>
      </c>
      <c r="G143" s="42" t="n">
        <f aca="false">IF(OR($A143="",G$13=""),0,SUMIFS(MVT_NET,MVT_LOT,$A143,MVT_EMPL,G$13))</f>
        <v>0</v>
      </c>
      <c r="H143" s="42" t="n">
        <f aca="false">IF(OR($A143="",H$13=""),0,SUMIFS(MVT_NET,MVT_LOT,$A143,MVT_EMPL,H$13))</f>
        <v>0</v>
      </c>
      <c r="I143" s="42" t="n">
        <f aca="false">IF(OR($A143="",I$13=""),0,SUMIFS(MVT_NET,MVT_LOT,$A143,MVT_EMPL,I$13))</f>
        <v>0</v>
      </c>
      <c r="J143" s="42" t="n">
        <f aca="false">IF(OR($A143="",J$13=""),0,SUMIFS(MVT_NET,MVT_LOT,$A143,MVT_EMPL,J$13))</f>
        <v>0</v>
      </c>
      <c r="K143" s="42" t="n">
        <f aca="false">IF(OR($A143="",K$13=""),0,SUMIFS(MVT_NET,MVT_LOT,$A143,MVT_EMPL,K$13))</f>
        <v>0</v>
      </c>
      <c r="L143" s="42" t="n">
        <f aca="false">IF(OR($A143="",L$13=""),0,SUMIFS(MVT_NET,MVT_LOT,$A143,MVT_EMPL,L$13))</f>
        <v>0</v>
      </c>
      <c r="M143" s="42" t="n">
        <f aca="false">IF(OR($A143="",M$13=""),0,SUMIFS(MVT_NET,MVT_LOT,$A143,MVT_EMPL,M$13))</f>
        <v>0</v>
      </c>
      <c r="N143" s="43" t="n">
        <f aca="false">SUM($B143:$M143)</f>
        <v>0</v>
      </c>
      <c r="O143" s="44" t="n">
        <f aca="false">SUMPRODUCT(($B$12:$M$12="INTERNE")*$B143:$M143)</f>
        <v>0</v>
      </c>
      <c r="P143" s="44" t="n">
        <f aca="false">SUMPRODUCT(($B$12:$M$12="EXTERNE")*$B143:$M143)</f>
        <v>0</v>
      </c>
      <c r="Q143" s="44" t="n">
        <f aca="false">IF($A143="",0,SUMIFS(ST_ENCOURS,ST_LOT,$A143))</f>
        <v>0</v>
      </c>
      <c r="R143" s="45" t="str">
        <f aca="false">IF($A143="","",IF($N143&lt;-0.001,"STOCK NEGATIF - ANOMALIE",""))</f>
        <v/>
      </c>
    </row>
    <row r="144" customFormat="false" ht="15" hidden="false" customHeight="false" outlineLevel="0" collapsed="false">
      <c r="A144" s="41" t="str">
        <f aca="false">IF(LOTS!$A135="","",LOTS!$A135)</f>
        <v/>
      </c>
      <c r="B144" s="42" t="n">
        <f aca="false">IF(OR($A144="",B$13=""),0,SUMIFS(MVT_NET,MVT_LOT,$A144,MVT_EMPL,B$13))</f>
        <v>0</v>
      </c>
      <c r="C144" s="42" t="n">
        <f aca="false">IF(OR($A144="",C$13=""),0,SUMIFS(MVT_NET,MVT_LOT,$A144,MVT_EMPL,C$13))</f>
        <v>0</v>
      </c>
      <c r="D144" s="42" t="n">
        <f aca="false">IF(OR($A144="",D$13=""),0,SUMIFS(MVT_NET,MVT_LOT,$A144,MVT_EMPL,D$13))</f>
        <v>0</v>
      </c>
      <c r="E144" s="42" t="n">
        <f aca="false">IF(OR($A144="",E$13=""),0,SUMIFS(MVT_NET,MVT_LOT,$A144,MVT_EMPL,E$13))</f>
        <v>0</v>
      </c>
      <c r="F144" s="42" t="n">
        <f aca="false">IF(OR($A144="",F$13=""),0,SUMIFS(MVT_NET,MVT_LOT,$A144,MVT_EMPL,F$13))</f>
        <v>0</v>
      </c>
      <c r="G144" s="42" t="n">
        <f aca="false">IF(OR($A144="",G$13=""),0,SUMIFS(MVT_NET,MVT_LOT,$A144,MVT_EMPL,G$13))</f>
        <v>0</v>
      </c>
      <c r="H144" s="42" t="n">
        <f aca="false">IF(OR($A144="",H$13=""),0,SUMIFS(MVT_NET,MVT_LOT,$A144,MVT_EMPL,H$13))</f>
        <v>0</v>
      </c>
      <c r="I144" s="42" t="n">
        <f aca="false">IF(OR($A144="",I$13=""),0,SUMIFS(MVT_NET,MVT_LOT,$A144,MVT_EMPL,I$13))</f>
        <v>0</v>
      </c>
      <c r="J144" s="42" t="n">
        <f aca="false">IF(OR($A144="",J$13=""),0,SUMIFS(MVT_NET,MVT_LOT,$A144,MVT_EMPL,J$13))</f>
        <v>0</v>
      </c>
      <c r="K144" s="42" t="n">
        <f aca="false">IF(OR($A144="",K$13=""),0,SUMIFS(MVT_NET,MVT_LOT,$A144,MVT_EMPL,K$13))</f>
        <v>0</v>
      </c>
      <c r="L144" s="42" t="n">
        <f aca="false">IF(OR($A144="",L$13=""),0,SUMIFS(MVT_NET,MVT_LOT,$A144,MVT_EMPL,L$13))</f>
        <v>0</v>
      </c>
      <c r="M144" s="42" t="n">
        <f aca="false">IF(OR($A144="",M$13=""),0,SUMIFS(MVT_NET,MVT_LOT,$A144,MVT_EMPL,M$13))</f>
        <v>0</v>
      </c>
      <c r="N144" s="43" t="n">
        <f aca="false">SUM($B144:$M144)</f>
        <v>0</v>
      </c>
      <c r="O144" s="44" t="n">
        <f aca="false">SUMPRODUCT(($B$12:$M$12="INTERNE")*$B144:$M144)</f>
        <v>0</v>
      </c>
      <c r="P144" s="44" t="n">
        <f aca="false">SUMPRODUCT(($B$12:$M$12="EXTERNE")*$B144:$M144)</f>
        <v>0</v>
      </c>
      <c r="Q144" s="44" t="n">
        <f aca="false">IF($A144="",0,SUMIFS(ST_ENCOURS,ST_LOT,$A144))</f>
        <v>0</v>
      </c>
      <c r="R144" s="45" t="str">
        <f aca="false">IF($A144="","",IF($N144&lt;-0.001,"STOCK NEGATIF - ANOMALIE",""))</f>
        <v/>
      </c>
    </row>
    <row r="145" customFormat="false" ht="15" hidden="false" customHeight="false" outlineLevel="0" collapsed="false">
      <c r="A145" s="41" t="str">
        <f aca="false">IF(LOTS!$A136="","",LOTS!$A136)</f>
        <v/>
      </c>
      <c r="B145" s="42" t="n">
        <f aca="false">IF(OR($A145="",B$13=""),0,SUMIFS(MVT_NET,MVT_LOT,$A145,MVT_EMPL,B$13))</f>
        <v>0</v>
      </c>
      <c r="C145" s="42" t="n">
        <f aca="false">IF(OR($A145="",C$13=""),0,SUMIFS(MVT_NET,MVT_LOT,$A145,MVT_EMPL,C$13))</f>
        <v>0</v>
      </c>
      <c r="D145" s="42" t="n">
        <f aca="false">IF(OR($A145="",D$13=""),0,SUMIFS(MVT_NET,MVT_LOT,$A145,MVT_EMPL,D$13))</f>
        <v>0</v>
      </c>
      <c r="E145" s="42" t="n">
        <f aca="false">IF(OR($A145="",E$13=""),0,SUMIFS(MVT_NET,MVT_LOT,$A145,MVT_EMPL,E$13))</f>
        <v>0</v>
      </c>
      <c r="F145" s="42" t="n">
        <f aca="false">IF(OR($A145="",F$13=""),0,SUMIFS(MVT_NET,MVT_LOT,$A145,MVT_EMPL,F$13))</f>
        <v>0</v>
      </c>
      <c r="G145" s="42" t="n">
        <f aca="false">IF(OR($A145="",G$13=""),0,SUMIFS(MVT_NET,MVT_LOT,$A145,MVT_EMPL,G$13))</f>
        <v>0</v>
      </c>
      <c r="H145" s="42" t="n">
        <f aca="false">IF(OR($A145="",H$13=""),0,SUMIFS(MVT_NET,MVT_LOT,$A145,MVT_EMPL,H$13))</f>
        <v>0</v>
      </c>
      <c r="I145" s="42" t="n">
        <f aca="false">IF(OR($A145="",I$13=""),0,SUMIFS(MVT_NET,MVT_LOT,$A145,MVT_EMPL,I$13))</f>
        <v>0</v>
      </c>
      <c r="J145" s="42" t="n">
        <f aca="false">IF(OR($A145="",J$13=""),0,SUMIFS(MVT_NET,MVT_LOT,$A145,MVT_EMPL,J$13))</f>
        <v>0</v>
      </c>
      <c r="K145" s="42" t="n">
        <f aca="false">IF(OR($A145="",K$13=""),0,SUMIFS(MVT_NET,MVT_LOT,$A145,MVT_EMPL,K$13))</f>
        <v>0</v>
      </c>
      <c r="L145" s="42" t="n">
        <f aca="false">IF(OR($A145="",L$13=""),0,SUMIFS(MVT_NET,MVT_LOT,$A145,MVT_EMPL,L$13))</f>
        <v>0</v>
      </c>
      <c r="M145" s="42" t="n">
        <f aca="false">IF(OR($A145="",M$13=""),0,SUMIFS(MVT_NET,MVT_LOT,$A145,MVT_EMPL,M$13))</f>
        <v>0</v>
      </c>
      <c r="N145" s="43" t="n">
        <f aca="false">SUM($B145:$M145)</f>
        <v>0</v>
      </c>
      <c r="O145" s="44" t="n">
        <f aca="false">SUMPRODUCT(($B$12:$M$12="INTERNE")*$B145:$M145)</f>
        <v>0</v>
      </c>
      <c r="P145" s="44" t="n">
        <f aca="false">SUMPRODUCT(($B$12:$M$12="EXTERNE")*$B145:$M145)</f>
        <v>0</v>
      </c>
      <c r="Q145" s="44" t="n">
        <f aca="false">IF($A145="",0,SUMIFS(ST_ENCOURS,ST_LOT,$A145))</f>
        <v>0</v>
      </c>
      <c r="R145" s="45" t="str">
        <f aca="false">IF($A145="","",IF($N145&lt;-0.001,"STOCK NEGATIF - ANOMALIE",""))</f>
        <v/>
      </c>
    </row>
    <row r="146" customFormat="false" ht="15" hidden="false" customHeight="false" outlineLevel="0" collapsed="false">
      <c r="A146" s="41" t="str">
        <f aca="false">IF(LOTS!$A137="","",LOTS!$A137)</f>
        <v/>
      </c>
      <c r="B146" s="42" t="n">
        <f aca="false">IF(OR($A146="",B$13=""),0,SUMIFS(MVT_NET,MVT_LOT,$A146,MVT_EMPL,B$13))</f>
        <v>0</v>
      </c>
      <c r="C146" s="42" t="n">
        <f aca="false">IF(OR($A146="",C$13=""),0,SUMIFS(MVT_NET,MVT_LOT,$A146,MVT_EMPL,C$13))</f>
        <v>0</v>
      </c>
      <c r="D146" s="42" t="n">
        <f aca="false">IF(OR($A146="",D$13=""),0,SUMIFS(MVT_NET,MVT_LOT,$A146,MVT_EMPL,D$13))</f>
        <v>0</v>
      </c>
      <c r="E146" s="42" t="n">
        <f aca="false">IF(OR($A146="",E$13=""),0,SUMIFS(MVT_NET,MVT_LOT,$A146,MVT_EMPL,E$13))</f>
        <v>0</v>
      </c>
      <c r="F146" s="42" t="n">
        <f aca="false">IF(OR($A146="",F$13=""),0,SUMIFS(MVT_NET,MVT_LOT,$A146,MVT_EMPL,F$13))</f>
        <v>0</v>
      </c>
      <c r="G146" s="42" t="n">
        <f aca="false">IF(OR($A146="",G$13=""),0,SUMIFS(MVT_NET,MVT_LOT,$A146,MVT_EMPL,G$13))</f>
        <v>0</v>
      </c>
      <c r="H146" s="42" t="n">
        <f aca="false">IF(OR($A146="",H$13=""),0,SUMIFS(MVT_NET,MVT_LOT,$A146,MVT_EMPL,H$13))</f>
        <v>0</v>
      </c>
      <c r="I146" s="42" t="n">
        <f aca="false">IF(OR($A146="",I$13=""),0,SUMIFS(MVT_NET,MVT_LOT,$A146,MVT_EMPL,I$13))</f>
        <v>0</v>
      </c>
      <c r="J146" s="42" t="n">
        <f aca="false">IF(OR($A146="",J$13=""),0,SUMIFS(MVT_NET,MVT_LOT,$A146,MVT_EMPL,J$13))</f>
        <v>0</v>
      </c>
      <c r="K146" s="42" t="n">
        <f aca="false">IF(OR($A146="",K$13=""),0,SUMIFS(MVT_NET,MVT_LOT,$A146,MVT_EMPL,K$13))</f>
        <v>0</v>
      </c>
      <c r="L146" s="42" t="n">
        <f aca="false">IF(OR($A146="",L$13=""),0,SUMIFS(MVT_NET,MVT_LOT,$A146,MVT_EMPL,L$13))</f>
        <v>0</v>
      </c>
      <c r="M146" s="42" t="n">
        <f aca="false">IF(OR($A146="",M$13=""),0,SUMIFS(MVT_NET,MVT_LOT,$A146,MVT_EMPL,M$13))</f>
        <v>0</v>
      </c>
      <c r="N146" s="43" t="n">
        <f aca="false">SUM($B146:$M146)</f>
        <v>0</v>
      </c>
      <c r="O146" s="44" t="n">
        <f aca="false">SUMPRODUCT(($B$12:$M$12="INTERNE")*$B146:$M146)</f>
        <v>0</v>
      </c>
      <c r="P146" s="44" t="n">
        <f aca="false">SUMPRODUCT(($B$12:$M$12="EXTERNE")*$B146:$M146)</f>
        <v>0</v>
      </c>
      <c r="Q146" s="44" t="n">
        <f aca="false">IF($A146="",0,SUMIFS(ST_ENCOURS,ST_LOT,$A146))</f>
        <v>0</v>
      </c>
      <c r="R146" s="45" t="str">
        <f aca="false">IF($A146="","",IF($N146&lt;-0.001,"STOCK NEGATIF - ANOMALIE",""))</f>
        <v/>
      </c>
    </row>
    <row r="147" customFormat="false" ht="15" hidden="false" customHeight="false" outlineLevel="0" collapsed="false">
      <c r="A147" s="41" t="str">
        <f aca="false">IF(LOTS!$A138="","",LOTS!$A138)</f>
        <v/>
      </c>
      <c r="B147" s="42" t="n">
        <f aca="false">IF(OR($A147="",B$13=""),0,SUMIFS(MVT_NET,MVT_LOT,$A147,MVT_EMPL,B$13))</f>
        <v>0</v>
      </c>
      <c r="C147" s="42" t="n">
        <f aca="false">IF(OR($A147="",C$13=""),0,SUMIFS(MVT_NET,MVT_LOT,$A147,MVT_EMPL,C$13))</f>
        <v>0</v>
      </c>
      <c r="D147" s="42" t="n">
        <f aca="false">IF(OR($A147="",D$13=""),0,SUMIFS(MVT_NET,MVT_LOT,$A147,MVT_EMPL,D$13))</f>
        <v>0</v>
      </c>
      <c r="E147" s="42" t="n">
        <f aca="false">IF(OR($A147="",E$13=""),0,SUMIFS(MVT_NET,MVT_LOT,$A147,MVT_EMPL,E$13))</f>
        <v>0</v>
      </c>
      <c r="F147" s="42" t="n">
        <f aca="false">IF(OR($A147="",F$13=""),0,SUMIFS(MVT_NET,MVT_LOT,$A147,MVT_EMPL,F$13))</f>
        <v>0</v>
      </c>
      <c r="G147" s="42" t="n">
        <f aca="false">IF(OR($A147="",G$13=""),0,SUMIFS(MVT_NET,MVT_LOT,$A147,MVT_EMPL,G$13))</f>
        <v>0</v>
      </c>
      <c r="H147" s="42" t="n">
        <f aca="false">IF(OR($A147="",H$13=""),0,SUMIFS(MVT_NET,MVT_LOT,$A147,MVT_EMPL,H$13))</f>
        <v>0</v>
      </c>
      <c r="I147" s="42" t="n">
        <f aca="false">IF(OR($A147="",I$13=""),0,SUMIFS(MVT_NET,MVT_LOT,$A147,MVT_EMPL,I$13))</f>
        <v>0</v>
      </c>
      <c r="J147" s="42" t="n">
        <f aca="false">IF(OR($A147="",J$13=""),0,SUMIFS(MVT_NET,MVT_LOT,$A147,MVT_EMPL,J$13))</f>
        <v>0</v>
      </c>
      <c r="K147" s="42" t="n">
        <f aca="false">IF(OR($A147="",K$13=""),0,SUMIFS(MVT_NET,MVT_LOT,$A147,MVT_EMPL,K$13))</f>
        <v>0</v>
      </c>
      <c r="L147" s="42" t="n">
        <f aca="false">IF(OR($A147="",L$13=""),0,SUMIFS(MVT_NET,MVT_LOT,$A147,MVT_EMPL,L$13))</f>
        <v>0</v>
      </c>
      <c r="M147" s="42" t="n">
        <f aca="false">IF(OR($A147="",M$13=""),0,SUMIFS(MVT_NET,MVT_LOT,$A147,MVT_EMPL,M$13))</f>
        <v>0</v>
      </c>
      <c r="N147" s="43" t="n">
        <f aca="false">SUM($B147:$M147)</f>
        <v>0</v>
      </c>
      <c r="O147" s="44" t="n">
        <f aca="false">SUMPRODUCT(($B$12:$M$12="INTERNE")*$B147:$M147)</f>
        <v>0</v>
      </c>
      <c r="P147" s="44" t="n">
        <f aca="false">SUMPRODUCT(($B$12:$M$12="EXTERNE")*$B147:$M147)</f>
        <v>0</v>
      </c>
      <c r="Q147" s="44" t="n">
        <f aca="false">IF($A147="",0,SUMIFS(ST_ENCOURS,ST_LOT,$A147))</f>
        <v>0</v>
      </c>
      <c r="R147" s="45" t="str">
        <f aca="false">IF($A147="","",IF($N147&lt;-0.001,"STOCK NEGATIF - ANOMALIE",""))</f>
        <v/>
      </c>
    </row>
    <row r="148" customFormat="false" ht="15" hidden="false" customHeight="false" outlineLevel="0" collapsed="false">
      <c r="A148" s="41" t="str">
        <f aca="false">IF(LOTS!$A139="","",LOTS!$A139)</f>
        <v/>
      </c>
      <c r="B148" s="42" t="n">
        <f aca="false">IF(OR($A148="",B$13=""),0,SUMIFS(MVT_NET,MVT_LOT,$A148,MVT_EMPL,B$13))</f>
        <v>0</v>
      </c>
      <c r="C148" s="42" t="n">
        <f aca="false">IF(OR($A148="",C$13=""),0,SUMIFS(MVT_NET,MVT_LOT,$A148,MVT_EMPL,C$13))</f>
        <v>0</v>
      </c>
      <c r="D148" s="42" t="n">
        <f aca="false">IF(OR($A148="",D$13=""),0,SUMIFS(MVT_NET,MVT_LOT,$A148,MVT_EMPL,D$13))</f>
        <v>0</v>
      </c>
      <c r="E148" s="42" t="n">
        <f aca="false">IF(OR($A148="",E$13=""),0,SUMIFS(MVT_NET,MVT_LOT,$A148,MVT_EMPL,E$13))</f>
        <v>0</v>
      </c>
      <c r="F148" s="42" t="n">
        <f aca="false">IF(OR($A148="",F$13=""),0,SUMIFS(MVT_NET,MVT_LOT,$A148,MVT_EMPL,F$13))</f>
        <v>0</v>
      </c>
      <c r="G148" s="42" t="n">
        <f aca="false">IF(OR($A148="",G$13=""),0,SUMIFS(MVT_NET,MVT_LOT,$A148,MVT_EMPL,G$13))</f>
        <v>0</v>
      </c>
      <c r="H148" s="42" t="n">
        <f aca="false">IF(OR($A148="",H$13=""),0,SUMIFS(MVT_NET,MVT_LOT,$A148,MVT_EMPL,H$13))</f>
        <v>0</v>
      </c>
      <c r="I148" s="42" t="n">
        <f aca="false">IF(OR($A148="",I$13=""),0,SUMIFS(MVT_NET,MVT_LOT,$A148,MVT_EMPL,I$13))</f>
        <v>0</v>
      </c>
      <c r="J148" s="42" t="n">
        <f aca="false">IF(OR($A148="",J$13=""),0,SUMIFS(MVT_NET,MVT_LOT,$A148,MVT_EMPL,J$13))</f>
        <v>0</v>
      </c>
      <c r="K148" s="42" t="n">
        <f aca="false">IF(OR($A148="",K$13=""),0,SUMIFS(MVT_NET,MVT_LOT,$A148,MVT_EMPL,K$13))</f>
        <v>0</v>
      </c>
      <c r="L148" s="42" t="n">
        <f aca="false">IF(OR($A148="",L$13=""),0,SUMIFS(MVT_NET,MVT_LOT,$A148,MVT_EMPL,L$13))</f>
        <v>0</v>
      </c>
      <c r="M148" s="42" t="n">
        <f aca="false">IF(OR($A148="",M$13=""),0,SUMIFS(MVT_NET,MVT_LOT,$A148,MVT_EMPL,M$13))</f>
        <v>0</v>
      </c>
      <c r="N148" s="43" t="n">
        <f aca="false">SUM($B148:$M148)</f>
        <v>0</v>
      </c>
      <c r="O148" s="44" t="n">
        <f aca="false">SUMPRODUCT(($B$12:$M$12="INTERNE")*$B148:$M148)</f>
        <v>0</v>
      </c>
      <c r="P148" s="44" t="n">
        <f aca="false">SUMPRODUCT(($B$12:$M$12="EXTERNE")*$B148:$M148)</f>
        <v>0</v>
      </c>
      <c r="Q148" s="44" t="n">
        <f aca="false">IF($A148="",0,SUMIFS(ST_ENCOURS,ST_LOT,$A148))</f>
        <v>0</v>
      </c>
      <c r="R148" s="45" t="str">
        <f aca="false">IF($A148="","",IF($N148&lt;-0.001,"STOCK NEGATIF - ANOMALIE",""))</f>
        <v/>
      </c>
    </row>
    <row r="149" customFormat="false" ht="15" hidden="false" customHeight="false" outlineLevel="0" collapsed="false">
      <c r="A149" s="41" t="str">
        <f aca="false">IF(LOTS!$A140="","",LOTS!$A140)</f>
        <v/>
      </c>
      <c r="B149" s="42" t="n">
        <f aca="false">IF(OR($A149="",B$13=""),0,SUMIFS(MVT_NET,MVT_LOT,$A149,MVT_EMPL,B$13))</f>
        <v>0</v>
      </c>
      <c r="C149" s="42" t="n">
        <f aca="false">IF(OR($A149="",C$13=""),0,SUMIFS(MVT_NET,MVT_LOT,$A149,MVT_EMPL,C$13))</f>
        <v>0</v>
      </c>
      <c r="D149" s="42" t="n">
        <f aca="false">IF(OR($A149="",D$13=""),0,SUMIFS(MVT_NET,MVT_LOT,$A149,MVT_EMPL,D$13))</f>
        <v>0</v>
      </c>
      <c r="E149" s="42" t="n">
        <f aca="false">IF(OR($A149="",E$13=""),0,SUMIFS(MVT_NET,MVT_LOT,$A149,MVT_EMPL,E$13))</f>
        <v>0</v>
      </c>
      <c r="F149" s="42" t="n">
        <f aca="false">IF(OR($A149="",F$13=""),0,SUMIFS(MVT_NET,MVT_LOT,$A149,MVT_EMPL,F$13))</f>
        <v>0</v>
      </c>
      <c r="G149" s="42" t="n">
        <f aca="false">IF(OR($A149="",G$13=""),0,SUMIFS(MVT_NET,MVT_LOT,$A149,MVT_EMPL,G$13))</f>
        <v>0</v>
      </c>
      <c r="H149" s="42" t="n">
        <f aca="false">IF(OR($A149="",H$13=""),0,SUMIFS(MVT_NET,MVT_LOT,$A149,MVT_EMPL,H$13))</f>
        <v>0</v>
      </c>
      <c r="I149" s="42" t="n">
        <f aca="false">IF(OR($A149="",I$13=""),0,SUMIFS(MVT_NET,MVT_LOT,$A149,MVT_EMPL,I$13))</f>
        <v>0</v>
      </c>
      <c r="J149" s="42" t="n">
        <f aca="false">IF(OR($A149="",J$13=""),0,SUMIFS(MVT_NET,MVT_LOT,$A149,MVT_EMPL,J$13))</f>
        <v>0</v>
      </c>
      <c r="K149" s="42" t="n">
        <f aca="false">IF(OR($A149="",K$13=""),0,SUMIFS(MVT_NET,MVT_LOT,$A149,MVT_EMPL,K$13))</f>
        <v>0</v>
      </c>
      <c r="L149" s="42" t="n">
        <f aca="false">IF(OR($A149="",L$13=""),0,SUMIFS(MVT_NET,MVT_LOT,$A149,MVT_EMPL,L$13))</f>
        <v>0</v>
      </c>
      <c r="M149" s="42" t="n">
        <f aca="false">IF(OR($A149="",M$13=""),0,SUMIFS(MVT_NET,MVT_LOT,$A149,MVT_EMPL,M$13))</f>
        <v>0</v>
      </c>
      <c r="N149" s="43" t="n">
        <f aca="false">SUM($B149:$M149)</f>
        <v>0</v>
      </c>
      <c r="O149" s="44" t="n">
        <f aca="false">SUMPRODUCT(($B$12:$M$12="INTERNE")*$B149:$M149)</f>
        <v>0</v>
      </c>
      <c r="P149" s="44" t="n">
        <f aca="false">SUMPRODUCT(($B$12:$M$12="EXTERNE")*$B149:$M149)</f>
        <v>0</v>
      </c>
      <c r="Q149" s="44" t="n">
        <f aca="false">IF($A149="",0,SUMIFS(ST_ENCOURS,ST_LOT,$A149))</f>
        <v>0</v>
      </c>
      <c r="R149" s="45" t="str">
        <f aca="false">IF($A149="","",IF($N149&lt;-0.001,"STOCK NEGATIF - ANOMALIE",""))</f>
        <v/>
      </c>
    </row>
    <row r="150" customFormat="false" ht="15" hidden="false" customHeight="false" outlineLevel="0" collapsed="false">
      <c r="A150" s="41" t="str">
        <f aca="false">IF(LOTS!$A141="","",LOTS!$A141)</f>
        <v/>
      </c>
      <c r="B150" s="42" t="n">
        <f aca="false">IF(OR($A150="",B$13=""),0,SUMIFS(MVT_NET,MVT_LOT,$A150,MVT_EMPL,B$13))</f>
        <v>0</v>
      </c>
      <c r="C150" s="42" t="n">
        <f aca="false">IF(OR($A150="",C$13=""),0,SUMIFS(MVT_NET,MVT_LOT,$A150,MVT_EMPL,C$13))</f>
        <v>0</v>
      </c>
      <c r="D150" s="42" t="n">
        <f aca="false">IF(OR($A150="",D$13=""),0,SUMIFS(MVT_NET,MVT_LOT,$A150,MVT_EMPL,D$13))</f>
        <v>0</v>
      </c>
      <c r="E150" s="42" t="n">
        <f aca="false">IF(OR($A150="",E$13=""),0,SUMIFS(MVT_NET,MVT_LOT,$A150,MVT_EMPL,E$13))</f>
        <v>0</v>
      </c>
      <c r="F150" s="42" t="n">
        <f aca="false">IF(OR($A150="",F$13=""),0,SUMIFS(MVT_NET,MVT_LOT,$A150,MVT_EMPL,F$13))</f>
        <v>0</v>
      </c>
      <c r="G150" s="42" t="n">
        <f aca="false">IF(OR($A150="",G$13=""),0,SUMIFS(MVT_NET,MVT_LOT,$A150,MVT_EMPL,G$13))</f>
        <v>0</v>
      </c>
      <c r="H150" s="42" t="n">
        <f aca="false">IF(OR($A150="",H$13=""),0,SUMIFS(MVT_NET,MVT_LOT,$A150,MVT_EMPL,H$13))</f>
        <v>0</v>
      </c>
      <c r="I150" s="42" t="n">
        <f aca="false">IF(OR($A150="",I$13=""),0,SUMIFS(MVT_NET,MVT_LOT,$A150,MVT_EMPL,I$13))</f>
        <v>0</v>
      </c>
      <c r="J150" s="42" t="n">
        <f aca="false">IF(OR($A150="",J$13=""),0,SUMIFS(MVT_NET,MVT_LOT,$A150,MVT_EMPL,J$13))</f>
        <v>0</v>
      </c>
      <c r="K150" s="42" t="n">
        <f aca="false">IF(OR($A150="",K$13=""),0,SUMIFS(MVT_NET,MVT_LOT,$A150,MVT_EMPL,K$13))</f>
        <v>0</v>
      </c>
      <c r="L150" s="42" t="n">
        <f aca="false">IF(OR($A150="",L$13=""),0,SUMIFS(MVT_NET,MVT_LOT,$A150,MVT_EMPL,L$13))</f>
        <v>0</v>
      </c>
      <c r="M150" s="42" t="n">
        <f aca="false">IF(OR($A150="",M$13=""),0,SUMIFS(MVT_NET,MVT_LOT,$A150,MVT_EMPL,M$13))</f>
        <v>0</v>
      </c>
      <c r="N150" s="43" t="n">
        <f aca="false">SUM($B150:$M150)</f>
        <v>0</v>
      </c>
      <c r="O150" s="44" t="n">
        <f aca="false">SUMPRODUCT(($B$12:$M$12="INTERNE")*$B150:$M150)</f>
        <v>0</v>
      </c>
      <c r="P150" s="44" t="n">
        <f aca="false">SUMPRODUCT(($B$12:$M$12="EXTERNE")*$B150:$M150)</f>
        <v>0</v>
      </c>
      <c r="Q150" s="44" t="n">
        <f aca="false">IF($A150="",0,SUMIFS(ST_ENCOURS,ST_LOT,$A150))</f>
        <v>0</v>
      </c>
      <c r="R150" s="45" t="str">
        <f aca="false">IF($A150="","",IF($N150&lt;-0.001,"STOCK NEGATIF - ANOMALIE",""))</f>
        <v/>
      </c>
    </row>
    <row r="151" customFormat="false" ht="15" hidden="false" customHeight="false" outlineLevel="0" collapsed="false">
      <c r="A151" s="41" t="str">
        <f aca="false">IF(LOTS!$A142="","",LOTS!$A142)</f>
        <v/>
      </c>
      <c r="B151" s="42" t="n">
        <f aca="false">IF(OR($A151="",B$13=""),0,SUMIFS(MVT_NET,MVT_LOT,$A151,MVT_EMPL,B$13))</f>
        <v>0</v>
      </c>
      <c r="C151" s="42" t="n">
        <f aca="false">IF(OR($A151="",C$13=""),0,SUMIFS(MVT_NET,MVT_LOT,$A151,MVT_EMPL,C$13))</f>
        <v>0</v>
      </c>
      <c r="D151" s="42" t="n">
        <f aca="false">IF(OR($A151="",D$13=""),0,SUMIFS(MVT_NET,MVT_LOT,$A151,MVT_EMPL,D$13))</f>
        <v>0</v>
      </c>
      <c r="E151" s="42" t="n">
        <f aca="false">IF(OR($A151="",E$13=""),0,SUMIFS(MVT_NET,MVT_LOT,$A151,MVT_EMPL,E$13))</f>
        <v>0</v>
      </c>
      <c r="F151" s="42" t="n">
        <f aca="false">IF(OR($A151="",F$13=""),0,SUMIFS(MVT_NET,MVT_LOT,$A151,MVT_EMPL,F$13))</f>
        <v>0</v>
      </c>
      <c r="G151" s="42" t="n">
        <f aca="false">IF(OR($A151="",G$13=""),0,SUMIFS(MVT_NET,MVT_LOT,$A151,MVT_EMPL,G$13))</f>
        <v>0</v>
      </c>
      <c r="H151" s="42" t="n">
        <f aca="false">IF(OR($A151="",H$13=""),0,SUMIFS(MVT_NET,MVT_LOT,$A151,MVT_EMPL,H$13))</f>
        <v>0</v>
      </c>
      <c r="I151" s="42" t="n">
        <f aca="false">IF(OR($A151="",I$13=""),0,SUMIFS(MVT_NET,MVT_LOT,$A151,MVT_EMPL,I$13))</f>
        <v>0</v>
      </c>
      <c r="J151" s="42" t="n">
        <f aca="false">IF(OR($A151="",J$13=""),0,SUMIFS(MVT_NET,MVT_LOT,$A151,MVT_EMPL,J$13))</f>
        <v>0</v>
      </c>
      <c r="K151" s="42" t="n">
        <f aca="false">IF(OR($A151="",K$13=""),0,SUMIFS(MVT_NET,MVT_LOT,$A151,MVT_EMPL,K$13))</f>
        <v>0</v>
      </c>
      <c r="L151" s="42" t="n">
        <f aca="false">IF(OR($A151="",L$13=""),0,SUMIFS(MVT_NET,MVT_LOT,$A151,MVT_EMPL,L$13))</f>
        <v>0</v>
      </c>
      <c r="M151" s="42" t="n">
        <f aca="false">IF(OR($A151="",M$13=""),0,SUMIFS(MVT_NET,MVT_LOT,$A151,MVT_EMPL,M$13))</f>
        <v>0</v>
      </c>
      <c r="N151" s="43" t="n">
        <f aca="false">SUM($B151:$M151)</f>
        <v>0</v>
      </c>
      <c r="O151" s="44" t="n">
        <f aca="false">SUMPRODUCT(($B$12:$M$12="INTERNE")*$B151:$M151)</f>
        <v>0</v>
      </c>
      <c r="P151" s="44" t="n">
        <f aca="false">SUMPRODUCT(($B$12:$M$12="EXTERNE")*$B151:$M151)</f>
        <v>0</v>
      </c>
      <c r="Q151" s="44" t="n">
        <f aca="false">IF($A151="",0,SUMIFS(ST_ENCOURS,ST_LOT,$A151))</f>
        <v>0</v>
      </c>
      <c r="R151" s="45" t="str">
        <f aca="false">IF($A151="","",IF($N151&lt;-0.001,"STOCK NEGATIF - ANOMALIE",""))</f>
        <v/>
      </c>
    </row>
    <row r="152" customFormat="false" ht="15" hidden="false" customHeight="false" outlineLevel="0" collapsed="false">
      <c r="A152" s="41" t="str">
        <f aca="false">IF(LOTS!$A143="","",LOTS!$A143)</f>
        <v/>
      </c>
      <c r="B152" s="42" t="n">
        <f aca="false">IF(OR($A152="",B$13=""),0,SUMIFS(MVT_NET,MVT_LOT,$A152,MVT_EMPL,B$13))</f>
        <v>0</v>
      </c>
      <c r="C152" s="42" t="n">
        <f aca="false">IF(OR($A152="",C$13=""),0,SUMIFS(MVT_NET,MVT_LOT,$A152,MVT_EMPL,C$13))</f>
        <v>0</v>
      </c>
      <c r="D152" s="42" t="n">
        <f aca="false">IF(OR($A152="",D$13=""),0,SUMIFS(MVT_NET,MVT_LOT,$A152,MVT_EMPL,D$13))</f>
        <v>0</v>
      </c>
      <c r="E152" s="42" t="n">
        <f aca="false">IF(OR($A152="",E$13=""),0,SUMIFS(MVT_NET,MVT_LOT,$A152,MVT_EMPL,E$13))</f>
        <v>0</v>
      </c>
      <c r="F152" s="42" t="n">
        <f aca="false">IF(OR($A152="",F$13=""),0,SUMIFS(MVT_NET,MVT_LOT,$A152,MVT_EMPL,F$13))</f>
        <v>0</v>
      </c>
      <c r="G152" s="42" t="n">
        <f aca="false">IF(OR($A152="",G$13=""),0,SUMIFS(MVT_NET,MVT_LOT,$A152,MVT_EMPL,G$13))</f>
        <v>0</v>
      </c>
      <c r="H152" s="42" t="n">
        <f aca="false">IF(OR($A152="",H$13=""),0,SUMIFS(MVT_NET,MVT_LOT,$A152,MVT_EMPL,H$13))</f>
        <v>0</v>
      </c>
      <c r="I152" s="42" t="n">
        <f aca="false">IF(OR($A152="",I$13=""),0,SUMIFS(MVT_NET,MVT_LOT,$A152,MVT_EMPL,I$13))</f>
        <v>0</v>
      </c>
      <c r="J152" s="42" t="n">
        <f aca="false">IF(OR($A152="",J$13=""),0,SUMIFS(MVT_NET,MVT_LOT,$A152,MVT_EMPL,J$13))</f>
        <v>0</v>
      </c>
      <c r="K152" s="42" t="n">
        <f aca="false">IF(OR($A152="",K$13=""),0,SUMIFS(MVT_NET,MVT_LOT,$A152,MVT_EMPL,K$13))</f>
        <v>0</v>
      </c>
      <c r="L152" s="42" t="n">
        <f aca="false">IF(OR($A152="",L$13=""),0,SUMIFS(MVT_NET,MVT_LOT,$A152,MVT_EMPL,L$13))</f>
        <v>0</v>
      </c>
      <c r="M152" s="42" t="n">
        <f aca="false">IF(OR($A152="",M$13=""),0,SUMIFS(MVT_NET,MVT_LOT,$A152,MVT_EMPL,M$13))</f>
        <v>0</v>
      </c>
      <c r="N152" s="43" t="n">
        <f aca="false">SUM($B152:$M152)</f>
        <v>0</v>
      </c>
      <c r="O152" s="44" t="n">
        <f aca="false">SUMPRODUCT(($B$12:$M$12="INTERNE")*$B152:$M152)</f>
        <v>0</v>
      </c>
      <c r="P152" s="44" t="n">
        <f aca="false">SUMPRODUCT(($B$12:$M$12="EXTERNE")*$B152:$M152)</f>
        <v>0</v>
      </c>
      <c r="Q152" s="44" t="n">
        <f aca="false">IF($A152="",0,SUMIFS(ST_ENCOURS,ST_LOT,$A152))</f>
        <v>0</v>
      </c>
      <c r="R152" s="45" t="str">
        <f aca="false">IF($A152="","",IF($N152&lt;-0.001,"STOCK NEGATIF - ANOMALIE",""))</f>
        <v/>
      </c>
    </row>
    <row r="153" customFormat="false" ht="15" hidden="false" customHeight="false" outlineLevel="0" collapsed="false">
      <c r="A153" s="41" t="str">
        <f aca="false">IF(LOTS!$A144="","",LOTS!$A144)</f>
        <v/>
      </c>
      <c r="B153" s="42" t="n">
        <f aca="false">IF(OR($A153="",B$13=""),0,SUMIFS(MVT_NET,MVT_LOT,$A153,MVT_EMPL,B$13))</f>
        <v>0</v>
      </c>
      <c r="C153" s="42" t="n">
        <f aca="false">IF(OR($A153="",C$13=""),0,SUMIFS(MVT_NET,MVT_LOT,$A153,MVT_EMPL,C$13))</f>
        <v>0</v>
      </c>
      <c r="D153" s="42" t="n">
        <f aca="false">IF(OR($A153="",D$13=""),0,SUMIFS(MVT_NET,MVT_LOT,$A153,MVT_EMPL,D$13))</f>
        <v>0</v>
      </c>
      <c r="E153" s="42" t="n">
        <f aca="false">IF(OR($A153="",E$13=""),0,SUMIFS(MVT_NET,MVT_LOT,$A153,MVT_EMPL,E$13))</f>
        <v>0</v>
      </c>
      <c r="F153" s="42" t="n">
        <f aca="false">IF(OR($A153="",F$13=""),0,SUMIFS(MVT_NET,MVT_LOT,$A153,MVT_EMPL,F$13))</f>
        <v>0</v>
      </c>
      <c r="G153" s="42" t="n">
        <f aca="false">IF(OR($A153="",G$13=""),0,SUMIFS(MVT_NET,MVT_LOT,$A153,MVT_EMPL,G$13))</f>
        <v>0</v>
      </c>
      <c r="H153" s="42" t="n">
        <f aca="false">IF(OR($A153="",H$13=""),0,SUMIFS(MVT_NET,MVT_LOT,$A153,MVT_EMPL,H$13))</f>
        <v>0</v>
      </c>
      <c r="I153" s="42" t="n">
        <f aca="false">IF(OR($A153="",I$13=""),0,SUMIFS(MVT_NET,MVT_LOT,$A153,MVT_EMPL,I$13))</f>
        <v>0</v>
      </c>
      <c r="J153" s="42" t="n">
        <f aca="false">IF(OR($A153="",J$13=""),0,SUMIFS(MVT_NET,MVT_LOT,$A153,MVT_EMPL,J$13))</f>
        <v>0</v>
      </c>
      <c r="K153" s="42" t="n">
        <f aca="false">IF(OR($A153="",K$13=""),0,SUMIFS(MVT_NET,MVT_LOT,$A153,MVT_EMPL,K$13))</f>
        <v>0</v>
      </c>
      <c r="L153" s="42" t="n">
        <f aca="false">IF(OR($A153="",L$13=""),0,SUMIFS(MVT_NET,MVT_LOT,$A153,MVT_EMPL,L$13))</f>
        <v>0</v>
      </c>
      <c r="M153" s="42" t="n">
        <f aca="false">IF(OR($A153="",M$13=""),0,SUMIFS(MVT_NET,MVT_LOT,$A153,MVT_EMPL,M$13))</f>
        <v>0</v>
      </c>
      <c r="N153" s="43" t="n">
        <f aca="false">SUM($B153:$M153)</f>
        <v>0</v>
      </c>
      <c r="O153" s="44" t="n">
        <f aca="false">SUMPRODUCT(($B$12:$M$12="INTERNE")*$B153:$M153)</f>
        <v>0</v>
      </c>
      <c r="P153" s="44" t="n">
        <f aca="false">SUMPRODUCT(($B$12:$M$12="EXTERNE")*$B153:$M153)</f>
        <v>0</v>
      </c>
      <c r="Q153" s="44" t="n">
        <f aca="false">IF($A153="",0,SUMIFS(ST_ENCOURS,ST_LOT,$A153))</f>
        <v>0</v>
      </c>
      <c r="R153" s="45" t="str">
        <f aca="false">IF($A153="","",IF($N153&lt;-0.001,"STOCK NEGATIF - ANOMALIE",""))</f>
        <v/>
      </c>
    </row>
    <row r="154" customFormat="false" ht="15" hidden="false" customHeight="false" outlineLevel="0" collapsed="false">
      <c r="A154" s="41" t="str">
        <f aca="false">IF(LOTS!$A145="","",LOTS!$A145)</f>
        <v/>
      </c>
      <c r="B154" s="42" t="n">
        <f aca="false">IF(OR($A154="",B$13=""),0,SUMIFS(MVT_NET,MVT_LOT,$A154,MVT_EMPL,B$13))</f>
        <v>0</v>
      </c>
      <c r="C154" s="42" t="n">
        <f aca="false">IF(OR($A154="",C$13=""),0,SUMIFS(MVT_NET,MVT_LOT,$A154,MVT_EMPL,C$13))</f>
        <v>0</v>
      </c>
      <c r="D154" s="42" t="n">
        <f aca="false">IF(OR($A154="",D$13=""),0,SUMIFS(MVT_NET,MVT_LOT,$A154,MVT_EMPL,D$13))</f>
        <v>0</v>
      </c>
      <c r="E154" s="42" t="n">
        <f aca="false">IF(OR($A154="",E$13=""),0,SUMIFS(MVT_NET,MVT_LOT,$A154,MVT_EMPL,E$13))</f>
        <v>0</v>
      </c>
      <c r="F154" s="42" t="n">
        <f aca="false">IF(OR($A154="",F$13=""),0,SUMIFS(MVT_NET,MVT_LOT,$A154,MVT_EMPL,F$13))</f>
        <v>0</v>
      </c>
      <c r="G154" s="42" t="n">
        <f aca="false">IF(OR($A154="",G$13=""),0,SUMIFS(MVT_NET,MVT_LOT,$A154,MVT_EMPL,G$13))</f>
        <v>0</v>
      </c>
      <c r="H154" s="42" t="n">
        <f aca="false">IF(OR($A154="",H$13=""),0,SUMIFS(MVT_NET,MVT_LOT,$A154,MVT_EMPL,H$13))</f>
        <v>0</v>
      </c>
      <c r="I154" s="42" t="n">
        <f aca="false">IF(OR($A154="",I$13=""),0,SUMIFS(MVT_NET,MVT_LOT,$A154,MVT_EMPL,I$13))</f>
        <v>0</v>
      </c>
      <c r="J154" s="42" t="n">
        <f aca="false">IF(OR($A154="",J$13=""),0,SUMIFS(MVT_NET,MVT_LOT,$A154,MVT_EMPL,J$13))</f>
        <v>0</v>
      </c>
      <c r="K154" s="42" t="n">
        <f aca="false">IF(OR($A154="",K$13=""),0,SUMIFS(MVT_NET,MVT_LOT,$A154,MVT_EMPL,K$13))</f>
        <v>0</v>
      </c>
      <c r="L154" s="42" t="n">
        <f aca="false">IF(OR($A154="",L$13=""),0,SUMIFS(MVT_NET,MVT_LOT,$A154,MVT_EMPL,L$13))</f>
        <v>0</v>
      </c>
      <c r="M154" s="42" t="n">
        <f aca="false">IF(OR($A154="",M$13=""),0,SUMIFS(MVT_NET,MVT_LOT,$A154,MVT_EMPL,M$13))</f>
        <v>0</v>
      </c>
      <c r="N154" s="43" t="n">
        <f aca="false">SUM($B154:$M154)</f>
        <v>0</v>
      </c>
      <c r="O154" s="44" t="n">
        <f aca="false">SUMPRODUCT(($B$12:$M$12="INTERNE")*$B154:$M154)</f>
        <v>0</v>
      </c>
      <c r="P154" s="44" t="n">
        <f aca="false">SUMPRODUCT(($B$12:$M$12="EXTERNE")*$B154:$M154)</f>
        <v>0</v>
      </c>
      <c r="Q154" s="44" t="n">
        <f aca="false">IF($A154="",0,SUMIFS(ST_ENCOURS,ST_LOT,$A154))</f>
        <v>0</v>
      </c>
      <c r="R154" s="45" t="str">
        <f aca="false">IF($A154="","",IF($N154&lt;-0.001,"STOCK NEGATIF - ANOMALIE",""))</f>
        <v/>
      </c>
    </row>
    <row r="155" customFormat="false" ht="15" hidden="false" customHeight="false" outlineLevel="0" collapsed="false">
      <c r="A155" s="41" t="str">
        <f aca="false">IF(LOTS!$A146="","",LOTS!$A146)</f>
        <v/>
      </c>
      <c r="B155" s="42" t="n">
        <f aca="false">IF(OR($A155="",B$13=""),0,SUMIFS(MVT_NET,MVT_LOT,$A155,MVT_EMPL,B$13))</f>
        <v>0</v>
      </c>
      <c r="C155" s="42" t="n">
        <f aca="false">IF(OR($A155="",C$13=""),0,SUMIFS(MVT_NET,MVT_LOT,$A155,MVT_EMPL,C$13))</f>
        <v>0</v>
      </c>
      <c r="D155" s="42" t="n">
        <f aca="false">IF(OR($A155="",D$13=""),0,SUMIFS(MVT_NET,MVT_LOT,$A155,MVT_EMPL,D$13))</f>
        <v>0</v>
      </c>
      <c r="E155" s="42" t="n">
        <f aca="false">IF(OR($A155="",E$13=""),0,SUMIFS(MVT_NET,MVT_LOT,$A155,MVT_EMPL,E$13))</f>
        <v>0</v>
      </c>
      <c r="F155" s="42" t="n">
        <f aca="false">IF(OR($A155="",F$13=""),0,SUMIFS(MVT_NET,MVT_LOT,$A155,MVT_EMPL,F$13))</f>
        <v>0</v>
      </c>
      <c r="G155" s="42" t="n">
        <f aca="false">IF(OR($A155="",G$13=""),0,SUMIFS(MVT_NET,MVT_LOT,$A155,MVT_EMPL,G$13))</f>
        <v>0</v>
      </c>
      <c r="H155" s="42" t="n">
        <f aca="false">IF(OR($A155="",H$13=""),0,SUMIFS(MVT_NET,MVT_LOT,$A155,MVT_EMPL,H$13))</f>
        <v>0</v>
      </c>
      <c r="I155" s="42" t="n">
        <f aca="false">IF(OR($A155="",I$13=""),0,SUMIFS(MVT_NET,MVT_LOT,$A155,MVT_EMPL,I$13))</f>
        <v>0</v>
      </c>
      <c r="J155" s="42" t="n">
        <f aca="false">IF(OR($A155="",J$13=""),0,SUMIFS(MVT_NET,MVT_LOT,$A155,MVT_EMPL,J$13))</f>
        <v>0</v>
      </c>
      <c r="K155" s="42" t="n">
        <f aca="false">IF(OR($A155="",K$13=""),0,SUMIFS(MVT_NET,MVT_LOT,$A155,MVT_EMPL,K$13))</f>
        <v>0</v>
      </c>
      <c r="L155" s="42" t="n">
        <f aca="false">IF(OR($A155="",L$13=""),0,SUMIFS(MVT_NET,MVT_LOT,$A155,MVT_EMPL,L$13))</f>
        <v>0</v>
      </c>
      <c r="M155" s="42" t="n">
        <f aca="false">IF(OR($A155="",M$13=""),0,SUMIFS(MVT_NET,MVT_LOT,$A155,MVT_EMPL,M$13))</f>
        <v>0</v>
      </c>
      <c r="N155" s="43" t="n">
        <f aca="false">SUM($B155:$M155)</f>
        <v>0</v>
      </c>
      <c r="O155" s="44" t="n">
        <f aca="false">SUMPRODUCT(($B$12:$M$12="INTERNE")*$B155:$M155)</f>
        <v>0</v>
      </c>
      <c r="P155" s="44" t="n">
        <f aca="false">SUMPRODUCT(($B$12:$M$12="EXTERNE")*$B155:$M155)</f>
        <v>0</v>
      </c>
      <c r="Q155" s="44" t="n">
        <f aca="false">IF($A155="",0,SUMIFS(ST_ENCOURS,ST_LOT,$A155))</f>
        <v>0</v>
      </c>
      <c r="R155" s="45" t="str">
        <f aca="false">IF($A155="","",IF($N155&lt;-0.001,"STOCK NEGATIF - ANOMALIE",""))</f>
        <v/>
      </c>
    </row>
    <row r="156" customFormat="false" ht="15" hidden="false" customHeight="false" outlineLevel="0" collapsed="false">
      <c r="A156" s="41" t="str">
        <f aca="false">IF(LOTS!$A147="","",LOTS!$A147)</f>
        <v/>
      </c>
      <c r="B156" s="42" t="n">
        <f aca="false">IF(OR($A156="",B$13=""),0,SUMIFS(MVT_NET,MVT_LOT,$A156,MVT_EMPL,B$13))</f>
        <v>0</v>
      </c>
      <c r="C156" s="42" t="n">
        <f aca="false">IF(OR($A156="",C$13=""),0,SUMIFS(MVT_NET,MVT_LOT,$A156,MVT_EMPL,C$13))</f>
        <v>0</v>
      </c>
      <c r="D156" s="42" t="n">
        <f aca="false">IF(OR($A156="",D$13=""),0,SUMIFS(MVT_NET,MVT_LOT,$A156,MVT_EMPL,D$13))</f>
        <v>0</v>
      </c>
      <c r="E156" s="42" t="n">
        <f aca="false">IF(OR($A156="",E$13=""),0,SUMIFS(MVT_NET,MVT_LOT,$A156,MVT_EMPL,E$13))</f>
        <v>0</v>
      </c>
      <c r="F156" s="42" t="n">
        <f aca="false">IF(OR($A156="",F$13=""),0,SUMIFS(MVT_NET,MVT_LOT,$A156,MVT_EMPL,F$13))</f>
        <v>0</v>
      </c>
      <c r="G156" s="42" t="n">
        <f aca="false">IF(OR($A156="",G$13=""),0,SUMIFS(MVT_NET,MVT_LOT,$A156,MVT_EMPL,G$13))</f>
        <v>0</v>
      </c>
      <c r="H156" s="42" t="n">
        <f aca="false">IF(OR($A156="",H$13=""),0,SUMIFS(MVT_NET,MVT_LOT,$A156,MVT_EMPL,H$13))</f>
        <v>0</v>
      </c>
      <c r="I156" s="42" t="n">
        <f aca="false">IF(OR($A156="",I$13=""),0,SUMIFS(MVT_NET,MVT_LOT,$A156,MVT_EMPL,I$13))</f>
        <v>0</v>
      </c>
      <c r="J156" s="42" t="n">
        <f aca="false">IF(OR($A156="",J$13=""),0,SUMIFS(MVT_NET,MVT_LOT,$A156,MVT_EMPL,J$13))</f>
        <v>0</v>
      </c>
      <c r="K156" s="42" t="n">
        <f aca="false">IF(OR($A156="",K$13=""),0,SUMIFS(MVT_NET,MVT_LOT,$A156,MVT_EMPL,K$13))</f>
        <v>0</v>
      </c>
      <c r="L156" s="42" t="n">
        <f aca="false">IF(OR($A156="",L$13=""),0,SUMIFS(MVT_NET,MVT_LOT,$A156,MVT_EMPL,L$13))</f>
        <v>0</v>
      </c>
      <c r="M156" s="42" t="n">
        <f aca="false">IF(OR($A156="",M$13=""),0,SUMIFS(MVT_NET,MVT_LOT,$A156,MVT_EMPL,M$13))</f>
        <v>0</v>
      </c>
      <c r="N156" s="43" t="n">
        <f aca="false">SUM($B156:$M156)</f>
        <v>0</v>
      </c>
      <c r="O156" s="44" t="n">
        <f aca="false">SUMPRODUCT(($B$12:$M$12="INTERNE")*$B156:$M156)</f>
        <v>0</v>
      </c>
      <c r="P156" s="44" t="n">
        <f aca="false">SUMPRODUCT(($B$12:$M$12="EXTERNE")*$B156:$M156)</f>
        <v>0</v>
      </c>
      <c r="Q156" s="44" t="n">
        <f aca="false">IF($A156="",0,SUMIFS(ST_ENCOURS,ST_LOT,$A156))</f>
        <v>0</v>
      </c>
      <c r="R156" s="45" t="str">
        <f aca="false">IF($A156="","",IF($N156&lt;-0.001,"STOCK NEGATIF - ANOMALIE",""))</f>
        <v/>
      </c>
    </row>
    <row r="157" customFormat="false" ht="15" hidden="false" customHeight="false" outlineLevel="0" collapsed="false">
      <c r="A157" s="41" t="str">
        <f aca="false">IF(LOTS!$A148="","",LOTS!$A148)</f>
        <v/>
      </c>
      <c r="B157" s="42" t="n">
        <f aca="false">IF(OR($A157="",B$13=""),0,SUMIFS(MVT_NET,MVT_LOT,$A157,MVT_EMPL,B$13))</f>
        <v>0</v>
      </c>
      <c r="C157" s="42" t="n">
        <f aca="false">IF(OR($A157="",C$13=""),0,SUMIFS(MVT_NET,MVT_LOT,$A157,MVT_EMPL,C$13))</f>
        <v>0</v>
      </c>
      <c r="D157" s="42" t="n">
        <f aca="false">IF(OR($A157="",D$13=""),0,SUMIFS(MVT_NET,MVT_LOT,$A157,MVT_EMPL,D$13))</f>
        <v>0</v>
      </c>
      <c r="E157" s="42" t="n">
        <f aca="false">IF(OR($A157="",E$13=""),0,SUMIFS(MVT_NET,MVT_LOT,$A157,MVT_EMPL,E$13))</f>
        <v>0</v>
      </c>
      <c r="F157" s="42" t="n">
        <f aca="false">IF(OR($A157="",F$13=""),0,SUMIFS(MVT_NET,MVT_LOT,$A157,MVT_EMPL,F$13))</f>
        <v>0</v>
      </c>
      <c r="G157" s="42" t="n">
        <f aca="false">IF(OR($A157="",G$13=""),0,SUMIFS(MVT_NET,MVT_LOT,$A157,MVT_EMPL,G$13))</f>
        <v>0</v>
      </c>
      <c r="H157" s="42" t="n">
        <f aca="false">IF(OR($A157="",H$13=""),0,SUMIFS(MVT_NET,MVT_LOT,$A157,MVT_EMPL,H$13))</f>
        <v>0</v>
      </c>
      <c r="I157" s="42" t="n">
        <f aca="false">IF(OR($A157="",I$13=""),0,SUMIFS(MVT_NET,MVT_LOT,$A157,MVT_EMPL,I$13))</f>
        <v>0</v>
      </c>
      <c r="J157" s="42" t="n">
        <f aca="false">IF(OR($A157="",J$13=""),0,SUMIFS(MVT_NET,MVT_LOT,$A157,MVT_EMPL,J$13))</f>
        <v>0</v>
      </c>
      <c r="K157" s="42" t="n">
        <f aca="false">IF(OR($A157="",K$13=""),0,SUMIFS(MVT_NET,MVT_LOT,$A157,MVT_EMPL,K$13))</f>
        <v>0</v>
      </c>
      <c r="L157" s="42" t="n">
        <f aca="false">IF(OR($A157="",L$13=""),0,SUMIFS(MVT_NET,MVT_LOT,$A157,MVT_EMPL,L$13))</f>
        <v>0</v>
      </c>
      <c r="M157" s="42" t="n">
        <f aca="false">IF(OR($A157="",M$13=""),0,SUMIFS(MVT_NET,MVT_LOT,$A157,MVT_EMPL,M$13))</f>
        <v>0</v>
      </c>
      <c r="N157" s="43" t="n">
        <f aca="false">SUM($B157:$M157)</f>
        <v>0</v>
      </c>
      <c r="O157" s="44" t="n">
        <f aca="false">SUMPRODUCT(($B$12:$M$12="INTERNE")*$B157:$M157)</f>
        <v>0</v>
      </c>
      <c r="P157" s="44" t="n">
        <f aca="false">SUMPRODUCT(($B$12:$M$12="EXTERNE")*$B157:$M157)</f>
        <v>0</v>
      </c>
      <c r="Q157" s="44" t="n">
        <f aca="false">IF($A157="",0,SUMIFS(ST_ENCOURS,ST_LOT,$A157))</f>
        <v>0</v>
      </c>
      <c r="R157" s="45" t="str">
        <f aca="false">IF($A157="","",IF($N157&lt;-0.001,"STOCK NEGATIF - ANOMALIE",""))</f>
        <v/>
      </c>
    </row>
    <row r="158" customFormat="false" ht="15" hidden="false" customHeight="false" outlineLevel="0" collapsed="false">
      <c r="A158" s="41" t="str">
        <f aca="false">IF(LOTS!$A149="","",LOTS!$A149)</f>
        <v/>
      </c>
      <c r="B158" s="42" t="n">
        <f aca="false">IF(OR($A158="",B$13=""),0,SUMIFS(MVT_NET,MVT_LOT,$A158,MVT_EMPL,B$13))</f>
        <v>0</v>
      </c>
      <c r="C158" s="42" t="n">
        <f aca="false">IF(OR($A158="",C$13=""),0,SUMIFS(MVT_NET,MVT_LOT,$A158,MVT_EMPL,C$13))</f>
        <v>0</v>
      </c>
      <c r="D158" s="42" t="n">
        <f aca="false">IF(OR($A158="",D$13=""),0,SUMIFS(MVT_NET,MVT_LOT,$A158,MVT_EMPL,D$13))</f>
        <v>0</v>
      </c>
      <c r="E158" s="42" t="n">
        <f aca="false">IF(OR($A158="",E$13=""),0,SUMIFS(MVT_NET,MVT_LOT,$A158,MVT_EMPL,E$13))</f>
        <v>0</v>
      </c>
      <c r="F158" s="42" t="n">
        <f aca="false">IF(OR($A158="",F$13=""),0,SUMIFS(MVT_NET,MVT_LOT,$A158,MVT_EMPL,F$13))</f>
        <v>0</v>
      </c>
      <c r="G158" s="42" t="n">
        <f aca="false">IF(OR($A158="",G$13=""),0,SUMIFS(MVT_NET,MVT_LOT,$A158,MVT_EMPL,G$13))</f>
        <v>0</v>
      </c>
      <c r="H158" s="42" t="n">
        <f aca="false">IF(OR($A158="",H$13=""),0,SUMIFS(MVT_NET,MVT_LOT,$A158,MVT_EMPL,H$13))</f>
        <v>0</v>
      </c>
      <c r="I158" s="42" t="n">
        <f aca="false">IF(OR($A158="",I$13=""),0,SUMIFS(MVT_NET,MVT_LOT,$A158,MVT_EMPL,I$13))</f>
        <v>0</v>
      </c>
      <c r="J158" s="42" t="n">
        <f aca="false">IF(OR($A158="",J$13=""),0,SUMIFS(MVT_NET,MVT_LOT,$A158,MVT_EMPL,J$13))</f>
        <v>0</v>
      </c>
      <c r="K158" s="42" t="n">
        <f aca="false">IF(OR($A158="",K$13=""),0,SUMIFS(MVT_NET,MVT_LOT,$A158,MVT_EMPL,K$13))</f>
        <v>0</v>
      </c>
      <c r="L158" s="42" t="n">
        <f aca="false">IF(OR($A158="",L$13=""),0,SUMIFS(MVT_NET,MVT_LOT,$A158,MVT_EMPL,L$13))</f>
        <v>0</v>
      </c>
      <c r="M158" s="42" t="n">
        <f aca="false">IF(OR($A158="",M$13=""),0,SUMIFS(MVT_NET,MVT_LOT,$A158,MVT_EMPL,M$13))</f>
        <v>0</v>
      </c>
      <c r="N158" s="43" t="n">
        <f aca="false">SUM($B158:$M158)</f>
        <v>0</v>
      </c>
      <c r="O158" s="44" t="n">
        <f aca="false">SUMPRODUCT(($B$12:$M$12="INTERNE")*$B158:$M158)</f>
        <v>0</v>
      </c>
      <c r="P158" s="44" t="n">
        <f aca="false">SUMPRODUCT(($B$12:$M$12="EXTERNE")*$B158:$M158)</f>
        <v>0</v>
      </c>
      <c r="Q158" s="44" t="n">
        <f aca="false">IF($A158="",0,SUMIFS(ST_ENCOURS,ST_LOT,$A158))</f>
        <v>0</v>
      </c>
      <c r="R158" s="45" t="str">
        <f aca="false">IF($A158="","",IF($N158&lt;-0.001,"STOCK NEGATIF - ANOMALIE",""))</f>
        <v/>
      </c>
    </row>
    <row r="159" customFormat="false" ht="15" hidden="false" customHeight="false" outlineLevel="0" collapsed="false">
      <c r="A159" s="41" t="str">
        <f aca="false">IF(LOTS!$A150="","",LOTS!$A150)</f>
        <v/>
      </c>
      <c r="B159" s="42" t="n">
        <f aca="false">IF(OR($A159="",B$13=""),0,SUMIFS(MVT_NET,MVT_LOT,$A159,MVT_EMPL,B$13))</f>
        <v>0</v>
      </c>
      <c r="C159" s="42" t="n">
        <f aca="false">IF(OR($A159="",C$13=""),0,SUMIFS(MVT_NET,MVT_LOT,$A159,MVT_EMPL,C$13))</f>
        <v>0</v>
      </c>
      <c r="D159" s="42" t="n">
        <f aca="false">IF(OR($A159="",D$13=""),0,SUMIFS(MVT_NET,MVT_LOT,$A159,MVT_EMPL,D$13))</f>
        <v>0</v>
      </c>
      <c r="E159" s="42" t="n">
        <f aca="false">IF(OR($A159="",E$13=""),0,SUMIFS(MVT_NET,MVT_LOT,$A159,MVT_EMPL,E$13))</f>
        <v>0</v>
      </c>
      <c r="F159" s="42" t="n">
        <f aca="false">IF(OR($A159="",F$13=""),0,SUMIFS(MVT_NET,MVT_LOT,$A159,MVT_EMPL,F$13))</f>
        <v>0</v>
      </c>
      <c r="G159" s="42" t="n">
        <f aca="false">IF(OR($A159="",G$13=""),0,SUMIFS(MVT_NET,MVT_LOT,$A159,MVT_EMPL,G$13))</f>
        <v>0</v>
      </c>
      <c r="H159" s="42" t="n">
        <f aca="false">IF(OR($A159="",H$13=""),0,SUMIFS(MVT_NET,MVT_LOT,$A159,MVT_EMPL,H$13))</f>
        <v>0</v>
      </c>
      <c r="I159" s="42" t="n">
        <f aca="false">IF(OR($A159="",I$13=""),0,SUMIFS(MVT_NET,MVT_LOT,$A159,MVT_EMPL,I$13))</f>
        <v>0</v>
      </c>
      <c r="J159" s="42" t="n">
        <f aca="false">IF(OR($A159="",J$13=""),0,SUMIFS(MVT_NET,MVT_LOT,$A159,MVT_EMPL,J$13))</f>
        <v>0</v>
      </c>
      <c r="K159" s="42" t="n">
        <f aca="false">IF(OR($A159="",K$13=""),0,SUMIFS(MVT_NET,MVT_LOT,$A159,MVT_EMPL,K$13))</f>
        <v>0</v>
      </c>
      <c r="L159" s="42" t="n">
        <f aca="false">IF(OR($A159="",L$13=""),0,SUMIFS(MVT_NET,MVT_LOT,$A159,MVT_EMPL,L$13))</f>
        <v>0</v>
      </c>
      <c r="M159" s="42" t="n">
        <f aca="false">IF(OR($A159="",M$13=""),0,SUMIFS(MVT_NET,MVT_LOT,$A159,MVT_EMPL,M$13))</f>
        <v>0</v>
      </c>
      <c r="N159" s="43" t="n">
        <f aca="false">SUM($B159:$M159)</f>
        <v>0</v>
      </c>
      <c r="O159" s="44" t="n">
        <f aca="false">SUMPRODUCT(($B$12:$M$12="INTERNE")*$B159:$M159)</f>
        <v>0</v>
      </c>
      <c r="P159" s="44" t="n">
        <f aca="false">SUMPRODUCT(($B$12:$M$12="EXTERNE")*$B159:$M159)</f>
        <v>0</v>
      </c>
      <c r="Q159" s="44" t="n">
        <f aca="false">IF($A159="",0,SUMIFS(ST_ENCOURS,ST_LOT,$A159))</f>
        <v>0</v>
      </c>
      <c r="R159" s="45" t="str">
        <f aca="false">IF($A159="","",IF($N159&lt;-0.001,"STOCK NEGATIF - ANOMALIE",""))</f>
        <v/>
      </c>
    </row>
    <row r="160" customFormat="false" ht="15" hidden="false" customHeight="false" outlineLevel="0" collapsed="false">
      <c r="A160" s="41" t="str">
        <f aca="false">IF(LOTS!$A151="","",LOTS!$A151)</f>
        <v/>
      </c>
      <c r="B160" s="42" t="n">
        <f aca="false">IF(OR($A160="",B$13=""),0,SUMIFS(MVT_NET,MVT_LOT,$A160,MVT_EMPL,B$13))</f>
        <v>0</v>
      </c>
      <c r="C160" s="42" t="n">
        <f aca="false">IF(OR($A160="",C$13=""),0,SUMIFS(MVT_NET,MVT_LOT,$A160,MVT_EMPL,C$13))</f>
        <v>0</v>
      </c>
      <c r="D160" s="42" t="n">
        <f aca="false">IF(OR($A160="",D$13=""),0,SUMIFS(MVT_NET,MVT_LOT,$A160,MVT_EMPL,D$13))</f>
        <v>0</v>
      </c>
      <c r="E160" s="42" t="n">
        <f aca="false">IF(OR($A160="",E$13=""),0,SUMIFS(MVT_NET,MVT_LOT,$A160,MVT_EMPL,E$13))</f>
        <v>0</v>
      </c>
      <c r="F160" s="42" t="n">
        <f aca="false">IF(OR($A160="",F$13=""),0,SUMIFS(MVT_NET,MVT_LOT,$A160,MVT_EMPL,F$13))</f>
        <v>0</v>
      </c>
      <c r="G160" s="42" t="n">
        <f aca="false">IF(OR($A160="",G$13=""),0,SUMIFS(MVT_NET,MVT_LOT,$A160,MVT_EMPL,G$13))</f>
        <v>0</v>
      </c>
      <c r="H160" s="42" t="n">
        <f aca="false">IF(OR($A160="",H$13=""),0,SUMIFS(MVT_NET,MVT_LOT,$A160,MVT_EMPL,H$13))</f>
        <v>0</v>
      </c>
      <c r="I160" s="42" t="n">
        <f aca="false">IF(OR($A160="",I$13=""),0,SUMIFS(MVT_NET,MVT_LOT,$A160,MVT_EMPL,I$13))</f>
        <v>0</v>
      </c>
      <c r="J160" s="42" t="n">
        <f aca="false">IF(OR($A160="",J$13=""),0,SUMIFS(MVT_NET,MVT_LOT,$A160,MVT_EMPL,J$13))</f>
        <v>0</v>
      </c>
      <c r="K160" s="42" t="n">
        <f aca="false">IF(OR($A160="",K$13=""),0,SUMIFS(MVT_NET,MVT_LOT,$A160,MVT_EMPL,K$13))</f>
        <v>0</v>
      </c>
      <c r="L160" s="42" t="n">
        <f aca="false">IF(OR($A160="",L$13=""),0,SUMIFS(MVT_NET,MVT_LOT,$A160,MVT_EMPL,L$13))</f>
        <v>0</v>
      </c>
      <c r="M160" s="42" t="n">
        <f aca="false">IF(OR($A160="",M$13=""),0,SUMIFS(MVT_NET,MVT_LOT,$A160,MVT_EMPL,M$13))</f>
        <v>0</v>
      </c>
      <c r="N160" s="43" t="n">
        <f aca="false">SUM($B160:$M160)</f>
        <v>0</v>
      </c>
      <c r="O160" s="44" t="n">
        <f aca="false">SUMPRODUCT(($B$12:$M$12="INTERNE")*$B160:$M160)</f>
        <v>0</v>
      </c>
      <c r="P160" s="44" t="n">
        <f aca="false">SUMPRODUCT(($B$12:$M$12="EXTERNE")*$B160:$M160)</f>
        <v>0</v>
      </c>
      <c r="Q160" s="44" t="n">
        <f aca="false">IF($A160="",0,SUMIFS(ST_ENCOURS,ST_LOT,$A160))</f>
        <v>0</v>
      </c>
      <c r="R160" s="45" t="str">
        <f aca="false">IF($A160="","",IF($N160&lt;-0.001,"STOCK NEGATIF - ANOMALIE",""))</f>
        <v/>
      </c>
    </row>
    <row r="161" customFormat="false" ht="15" hidden="false" customHeight="false" outlineLevel="0" collapsed="false">
      <c r="A161" s="41" t="str">
        <f aca="false">IF(LOTS!$A152="","",LOTS!$A152)</f>
        <v/>
      </c>
      <c r="B161" s="42" t="n">
        <f aca="false">IF(OR($A161="",B$13=""),0,SUMIFS(MVT_NET,MVT_LOT,$A161,MVT_EMPL,B$13))</f>
        <v>0</v>
      </c>
      <c r="C161" s="42" t="n">
        <f aca="false">IF(OR($A161="",C$13=""),0,SUMIFS(MVT_NET,MVT_LOT,$A161,MVT_EMPL,C$13))</f>
        <v>0</v>
      </c>
      <c r="D161" s="42" t="n">
        <f aca="false">IF(OR($A161="",D$13=""),0,SUMIFS(MVT_NET,MVT_LOT,$A161,MVT_EMPL,D$13))</f>
        <v>0</v>
      </c>
      <c r="E161" s="42" t="n">
        <f aca="false">IF(OR($A161="",E$13=""),0,SUMIFS(MVT_NET,MVT_LOT,$A161,MVT_EMPL,E$13))</f>
        <v>0</v>
      </c>
      <c r="F161" s="42" t="n">
        <f aca="false">IF(OR($A161="",F$13=""),0,SUMIFS(MVT_NET,MVT_LOT,$A161,MVT_EMPL,F$13))</f>
        <v>0</v>
      </c>
      <c r="G161" s="42" t="n">
        <f aca="false">IF(OR($A161="",G$13=""),0,SUMIFS(MVT_NET,MVT_LOT,$A161,MVT_EMPL,G$13))</f>
        <v>0</v>
      </c>
      <c r="H161" s="42" t="n">
        <f aca="false">IF(OR($A161="",H$13=""),0,SUMIFS(MVT_NET,MVT_LOT,$A161,MVT_EMPL,H$13))</f>
        <v>0</v>
      </c>
      <c r="I161" s="42" t="n">
        <f aca="false">IF(OR($A161="",I$13=""),0,SUMIFS(MVT_NET,MVT_LOT,$A161,MVT_EMPL,I$13))</f>
        <v>0</v>
      </c>
      <c r="J161" s="42" t="n">
        <f aca="false">IF(OR($A161="",J$13=""),0,SUMIFS(MVT_NET,MVT_LOT,$A161,MVT_EMPL,J$13))</f>
        <v>0</v>
      </c>
      <c r="K161" s="42" t="n">
        <f aca="false">IF(OR($A161="",K$13=""),0,SUMIFS(MVT_NET,MVT_LOT,$A161,MVT_EMPL,K$13))</f>
        <v>0</v>
      </c>
      <c r="L161" s="42" t="n">
        <f aca="false">IF(OR($A161="",L$13=""),0,SUMIFS(MVT_NET,MVT_LOT,$A161,MVT_EMPL,L$13))</f>
        <v>0</v>
      </c>
      <c r="M161" s="42" t="n">
        <f aca="false">IF(OR($A161="",M$13=""),0,SUMIFS(MVT_NET,MVT_LOT,$A161,MVT_EMPL,M$13))</f>
        <v>0</v>
      </c>
      <c r="N161" s="43" t="n">
        <f aca="false">SUM($B161:$M161)</f>
        <v>0</v>
      </c>
      <c r="O161" s="44" t="n">
        <f aca="false">SUMPRODUCT(($B$12:$M$12="INTERNE")*$B161:$M161)</f>
        <v>0</v>
      </c>
      <c r="P161" s="44" t="n">
        <f aca="false">SUMPRODUCT(($B$12:$M$12="EXTERNE")*$B161:$M161)</f>
        <v>0</v>
      </c>
      <c r="Q161" s="44" t="n">
        <f aca="false">IF($A161="",0,SUMIFS(ST_ENCOURS,ST_LOT,$A161))</f>
        <v>0</v>
      </c>
      <c r="R161" s="45" t="str">
        <f aca="false">IF($A161="","",IF($N161&lt;-0.001,"STOCK NEGATIF - ANOMALIE",""))</f>
        <v/>
      </c>
    </row>
    <row r="162" customFormat="false" ht="15" hidden="false" customHeight="false" outlineLevel="0" collapsed="false">
      <c r="A162" s="41" t="str">
        <f aca="false">IF(LOTS!$A153="","",LOTS!$A153)</f>
        <v/>
      </c>
      <c r="B162" s="42" t="n">
        <f aca="false">IF(OR($A162="",B$13=""),0,SUMIFS(MVT_NET,MVT_LOT,$A162,MVT_EMPL,B$13))</f>
        <v>0</v>
      </c>
      <c r="C162" s="42" t="n">
        <f aca="false">IF(OR($A162="",C$13=""),0,SUMIFS(MVT_NET,MVT_LOT,$A162,MVT_EMPL,C$13))</f>
        <v>0</v>
      </c>
      <c r="D162" s="42" t="n">
        <f aca="false">IF(OR($A162="",D$13=""),0,SUMIFS(MVT_NET,MVT_LOT,$A162,MVT_EMPL,D$13))</f>
        <v>0</v>
      </c>
      <c r="E162" s="42" t="n">
        <f aca="false">IF(OR($A162="",E$13=""),0,SUMIFS(MVT_NET,MVT_LOT,$A162,MVT_EMPL,E$13))</f>
        <v>0</v>
      </c>
      <c r="F162" s="42" t="n">
        <f aca="false">IF(OR($A162="",F$13=""),0,SUMIFS(MVT_NET,MVT_LOT,$A162,MVT_EMPL,F$13))</f>
        <v>0</v>
      </c>
      <c r="G162" s="42" t="n">
        <f aca="false">IF(OR($A162="",G$13=""),0,SUMIFS(MVT_NET,MVT_LOT,$A162,MVT_EMPL,G$13))</f>
        <v>0</v>
      </c>
      <c r="H162" s="42" t="n">
        <f aca="false">IF(OR($A162="",H$13=""),0,SUMIFS(MVT_NET,MVT_LOT,$A162,MVT_EMPL,H$13))</f>
        <v>0</v>
      </c>
      <c r="I162" s="42" t="n">
        <f aca="false">IF(OR($A162="",I$13=""),0,SUMIFS(MVT_NET,MVT_LOT,$A162,MVT_EMPL,I$13))</f>
        <v>0</v>
      </c>
      <c r="J162" s="42" t="n">
        <f aca="false">IF(OR($A162="",J$13=""),0,SUMIFS(MVT_NET,MVT_LOT,$A162,MVT_EMPL,J$13))</f>
        <v>0</v>
      </c>
      <c r="K162" s="42" t="n">
        <f aca="false">IF(OR($A162="",K$13=""),0,SUMIFS(MVT_NET,MVT_LOT,$A162,MVT_EMPL,K$13))</f>
        <v>0</v>
      </c>
      <c r="L162" s="42" t="n">
        <f aca="false">IF(OR($A162="",L$13=""),0,SUMIFS(MVT_NET,MVT_LOT,$A162,MVT_EMPL,L$13))</f>
        <v>0</v>
      </c>
      <c r="M162" s="42" t="n">
        <f aca="false">IF(OR($A162="",M$13=""),0,SUMIFS(MVT_NET,MVT_LOT,$A162,MVT_EMPL,M$13))</f>
        <v>0</v>
      </c>
      <c r="N162" s="43" t="n">
        <f aca="false">SUM($B162:$M162)</f>
        <v>0</v>
      </c>
      <c r="O162" s="44" t="n">
        <f aca="false">SUMPRODUCT(($B$12:$M$12="INTERNE")*$B162:$M162)</f>
        <v>0</v>
      </c>
      <c r="P162" s="44" t="n">
        <f aca="false">SUMPRODUCT(($B$12:$M$12="EXTERNE")*$B162:$M162)</f>
        <v>0</v>
      </c>
      <c r="Q162" s="44" t="n">
        <f aca="false">IF($A162="",0,SUMIFS(ST_ENCOURS,ST_LOT,$A162))</f>
        <v>0</v>
      </c>
      <c r="R162" s="45" t="str">
        <f aca="false">IF($A162="","",IF($N162&lt;-0.001,"STOCK NEGATIF - ANOMALIE",""))</f>
        <v/>
      </c>
    </row>
    <row r="163" customFormat="false" ht="15" hidden="false" customHeight="false" outlineLevel="0" collapsed="false">
      <c r="A163" s="41" t="str">
        <f aca="false">IF(LOTS!$A154="","",LOTS!$A154)</f>
        <v/>
      </c>
      <c r="B163" s="42" t="n">
        <f aca="false">IF(OR($A163="",B$13=""),0,SUMIFS(MVT_NET,MVT_LOT,$A163,MVT_EMPL,B$13))</f>
        <v>0</v>
      </c>
      <c r="C163" s="42" t="n">
        <f aca="false">IF(OR($A163="",C$13=""),0,SUMIFS(MVT_NET,MVT_LOT,$A163,MVT_EMPL,C$13))</f>
        <v>0</v>
      </c>
      <c r="D163" s="42" t="n">
        <f aca="false">IF(OR($A163="",D$13=""),0,SUMIFS(MVT_NET,MVT_LOT,$A163,MVT_EMPL,D$13))</f>
        <v>0</v>
      </c>
      <c r="E163" s="42" t="n">
        <f aca="false">IF(OR($A163="",E$13=""),0,SUMIFS(MVT_NET,MVT_LOT,$A163,MVT_EMPL,E$13))</f>
        <v>0</v>
      </c>
      <c r="F163" s="42" t="n">
        <f aca="false">IF(OR($A163="",F$13=""),0,SUMIFS(MVT_NET,MVT_LOT,$A163,MVT_EMPL,F$13))</f>
        <v>0</v>
      </c>
      <c r="G163" s="42" t="n">
        <f aca="false">IF(OR($A163="",G$13=""),0,SUMIFS(MVT_NET,MVT_LOT,$A163,MVT_EMPL,G$13))</f>
        <v>0</v>
      </c>
      <c r="H163" s="42" t="n">
        <f aca="false">IF(OR($A163="",H$13=""),0,SUMIFS(MVT_NET,MVT_LOT,$A163,MVT_EMPL,H$13))</f>
        <v>0</v>
      </c>
      <c r="I163" s="42" t="n">
        <f aca="false">IF(OR($A163="",I$13=""),0,SUMIFS(MVT_NET,MVT_LOT,$A163,MVT_EMPL,I$13))</f>
        <v>0</v>
      </c>
      <c r="J163" s="42" t="n">
        <f aca="false">IF(OR($A163="",J$13=""),0,SUMIFS(MVT_NET,MVT_LOT,$A163,MVT_EMPL,J$13))</f>
        <v>0</v>
      </c>
      <c r="K163" s="42" t="n">
        <f aca="false">IF(OR($A163="",K$13=""),0,SUMIFS(MVT_NET,MVT_LOT,$A163,MVT_EMPL,K$13))</f>
        <v>0</v>
      </c>
      <c r="L163" s="42" t="n">
        <f aca="false">IF(OR($A163="",L$13=""),0,SUMIFS(MVT_NET,MVT_LOT,$A163,MVT_EMPL,L$13))</f>
        <v>0</v>
      </c>
      <c r="M163" s="42" t="n">
        <f aca="false">IF(OR($A163="",M$13=""),0,SUMIFS(MVT_NET,MVT_LOT,$A163,MVT_EMPL,M$13))</f>
        <v>0</v>
      </c>
      <c r="N163" s="43" t="n">
        <f aca="false">SUM($B163:$M163)</f>
        <v>0</v>
      </c>
      <c r="O163" s="44" t="n">
        <f aca="false">SUMPRODUCT(($B$12:$M$12="INTERNE")*$B163:$M163)</f>
        <v>0</v>
      </c>
      <c r="P163" s="44" t="n">
        <f aca="false">SUMPRODUCT(($B$12:$M$12="EXTERNE")*$B163:$M163)</f>
        <v>0</v>
      </c>
      <c r="Q163" s="44" t="n">
        <f aca="false">IF($A163="",0,SUMIFS(ST_ENCOURS,ST_LOT,$A163))</f>
        <v>0</v>
      </c>
      <c r="R163" s="45" t="str">
        <f aca="false">IF($A163="","",IF($N163&lt;-0.001,"STOCK NEGATIF - ANOMALIE",""))</f>
        <v/>
      </c>
    </row>
    <row r="164" customFormat="false" ht="15" hidden="false" customHeight="false" outlineLevel="0" collapsed="false">
      <c r="A164" s="41" t="str">
        <f aca="false">IF(LOTS!$A155="","",LOTS!$A155)</f>
        <v/>
      </c>
      <c r="B164" s="42" t="n">
        <f aca="false">IF(OR($A164="",B$13=""),0,SUMIFS(MVT_NET,MVT_LOT,$A164,MVT_EMPL,B$13))</f>
        <v>0</v>
      </c>
      <c r="C164" s="42" t="n">
        <f aca="false">IF(OR($A164="",C$13=""),0,SUMIFS(MVT_NET,MVT_LOT,$A164,MVT_EMPL,C$13))</f>
        <v>0</v>
      </c>
      <c r="D164" s="42" t="n">
        <f aca="false">IF(OR($A164="",D$13=""),0,SUMIFS(MVT_NET,MVT_LOT,$A164,MVT_EMPL,D$13))</f>
        <v>0</v>
      </c>
      <c r="E164" s="42" t="n">
        <f aca="false">IF(OR($A164="",E$13=""),0,SUMIFS(MVT_NET,MVT_LOT,$A164,MVT_EMPL,E$13))</f>
        <v>0</v>
      </c>
      <c r="F164" s="42" t="n">
        <f aca="false">IF(OR($A164="",F$13=""),0,SUMIFS(MVT_NET,MVT_LOT,$A164,MVT_EMPL,F$13))</f>
        <v>0</v>
      </c>
      <c r="G164" s="42" t="n">
        <f aca="false">IF(OR($A164="",G$13=""),0,SUMIFS(MVT_NET,MVT_LOT,$A164,MVT_EMPL,G$13))</f>
        <v>0</v>
      </c>
      <c r="H164" s="42" t="n">
        <f aca="false">IF(OR($A164="",H$13=""),0,SUMIFS(MVT_NET,MVT_LOT,$A164,MVT_EMPL,H$13))</f>
        <v>0</v>
      </c>
      <c r="I164" s="42" t="n">
        <f aca="false">IF(OR($A164="",I$13=""),0,SUMIFS(MVT_NET,MVT_LOT,$A164,MVT_EMPL,I$13))</f>
        <v>0</v>
      </c>
      <c r="J164" s="42" t="n">
        <f aca="false">IF(OR($A164="",J$13=""),0,SUMIFS(MVT_NET,MVT_LOT,$A164,MVT_EMPL,J$13))</f>
        <v>0</v>
      </c>
      <c r="K164" s="42" t="n">
        <f aca="false">IF(OR($A164="",K$13=""),0,SUMIFS(MVT_NET,MVT_LOT,$A164,MVT_EMPL,K$13))</f>
        <v>0</v>
      </c>
      <c r="L164" s="42" t="n">
        <f aca="false">IF(OR($A164="",L$13=""),0,SUMIFS(MVT_NET,MVT_LOT,$A164,MVT_EMPL,L$13))</f>
        <v>0</v>
      </c>
      <c r="M164" s="42" t="n">
        <f aca="false">IF(OR($A164="",M$13=""),0,SUMIFS(MVT_NET,MVT_LOT,$A164,MVT_EMPL,M$13))</f>
        <v>0</v>
      </c>
      <c r="N164" s="43" t="n">
        <f aca="false">SUM($B164:$M164)</f>
        <v>0</v>
      </c>
      <c r="O164" s="44" t="n">
        <f aca="false">SUMPRODUCT(($B$12:$M$12="INTERNE")*$B164:$M164)</f>
        <v>0</v>
      </c>
      <c r="P164" s="44" t="n">
        <f aca="false">SUMPRODUCT(($B$12:$M$12="EXTERNE")*$B164:$M164)</f>
        <v>0</v>
      </c>
      <c r="Q164" s="44" t="n">
        <f aca="false">IF($A164="",0,SUMIFS(ST_ENCOURS,ST_LOT,$A164))</f>
        <v>0</v>
      </c>
      <c r="R164" s="45" t="str">
        <f aca="false">IF($A164="","",IF($N164&lt;-0.001,"STOCK NEGATIF - ANOMALIE",""))</f>
        <v/>
      </c>
    </row>
    <row r="165" customFormat="false" ht="15" hidden="false" customHeight="false" outlineLevel="0" collapsed="false">
      <c r="A165" s="41" t="str">
        <f aca="false">IF(LOTS!$A156="","",LOTS!$A156)</f>
        <v/>
      </c>
      <c r="B165" s="42" t="n">
        <f aca="false">IF(OR($A165="",B$13=""),0,SUMIFS(MVT_NET,MVT_LOT,$A165,MVT_EMPL,B$13))</f>
        <v>0</v>
      </c>
      <c r="C165" s="42" t="n">
        <f aca="false">IF(OR($A165="",C$13=""),0,SUMIFS(MVT_NET,MVT_LOT,$A165,MVT_EMPL,C$13))</f>
        <v>0</v>
      </c>
      <c r="D165" s="42" t="n">
        <f aca="false">IF(OR($A165="",D$13=""),0,SUMIFS(MVT_NET,MVT_LOT,$A165,MVT_EMPL,D$13))</f>
        <v>0</v>
      </c>
      <c r="E165" s="42" t="n">
        <f aca="false">IF(OR($A165="",E$13=""),0,SUMIFS(MVT_NET,MVT_LOT,$A165,MVT_EMPL,E$13))</f>
        <v>0</v>
      </c>
      <c r="F165" s="42" t="n">
        <f aca="false">IF(OR($A165="",F$13=""),0,SUMIFS(MVT_NET,MVT_LOT,$A165,MVT_EMPL,F$13))</f>
        <v>0</v>
      </c>
      <c r="G165" s="42" t="n">
        <f aca="false">IF(OR($A165="",G$13=""),0,SUMIFS(MVT_NET,MVT_LOT,$A165,MVT_EMPL,G$13))</f>
        <v>0</v>
      </c>
      <c r="H165" s="42" t="n">
        <f aca="false">IF(OR($A165="",H$13=""),0,SUMIFS(MVT_NET,MVT_LOT,$A165,MVT_EMPL,H$13))</f>
        <v>0</v>
      </c>
      <c r="I165" s="42" t="n">
        <f aca="false">IF(OR($A165="",I$13=""),0,SUMIFS(MVT_NET,MVT_LOT,$A165,MVT_EMPL,I$13))</f>
        <v>0</v>
      </c>
      <c r="J165" s="42" t="n">
        <f aca="false">IF(OR($A165="",J$13=""),0,SUMIFS(MVT_NET,MVT_LOT,$A165,MVT_EMPL,J$13))</f>
        <v>0</v>
      </c>
      <c r="K165" s="42" t="n">
        <f aca="false">IF(OR($A165="",K$13=""),0,SUMIFS(MVT_NET,MVT_LOT,$A165,MVT_EMPL,K$13))</f>
        <v>0</v>
      </c>
      <c r="L165" s="42" t="n">
        <f aca="false">IF(OR($A165="",L$13=""),0,SUMIFS(MVT_NET,MVT_LOT,$A165,MVT_EMPL,L$13))</f>
        <v>0</v>
      </c>
      <c r="M165" s="42" t="n">
        <f aca="false">IF(OR($A165="",M$13=""),0,SUMIFS(MVT_NET,MVT_LOT,$A165,MVT_EMPL,M$13))</f>
        <v>0</v>
      </c>
      <c r="N165" s="43" t="n">
        <f aca="false">SUM($B165:$M165)</f>
        <v>0</v>
      </c>
      <c r="O165" s="44" t="n">
        <f aca="false">SUMPRODUCT(($B$12:$M$12="INTERNE")*$B165:$M165)</f>
        <v>0</v>
      </c>
      <c r="P165" s="44" t="n">
        <f aca="false">SUMPRODUCT(($B$12:$M$12="EXTERNE")*$B165:$M165)</f>
        <v>0</v>
      </c>
      <c r="Q165" s="44" t="n">
        <f aca="false">IF($A165="",0,SUMIFS(ST_ENCOURS,ST_LOT,$A165))</f>
        <v>0</v>
      </c>
      <c r="R165" s="45" t="str">
        <f aca="false">IF($A165="","",IF($N165&lt;-0.001,"STOCK NEGATIF - ANOMALIE",""))</f>
        <v/>
      </c>
    </row>
    <row r="166" customFormat="false" ht="15" hidden="false" customHeight="false" outlineLevel="0" collapsed="false">
      <c r="A166" s="41" t="str">
        <f aca="false">IF(LOTS!$A157="","",LOTS!$A157)</f>
        <v/>
      </c>
      <c r="B166" s="42" t="n">
        <f aca="false">IF(OR($A166="",B$13=""),0,SUMIFS(MVT_NET,MVT_LOT,$A166,MVT_EMPL,B$13))</f>
        <v>0</v>
      </c>
      <c r="C166" s="42" t="n">
        <f aca="false">IF(OR($A166="",C$13=""),0,SUMIFS(MVT_NET,MVT_LOT,$A166,MVT_EMPL,C$13))</f>
        <v>0</v>
      </c>
      <c r="D166" s="42" t="n">
        <f aca="false">IF(OR($A166="",D$13=""),0,SUMIFS(MVT_NET,MVT_LOT,$A166,MVT_EMPL,D$13))</f>
        <v>0</v>
      </c>
      <c r="E166" s="42" t="n">
        <f aca="false">IF(OR($A166="",E$13=""),0,SUMIFS(MVT_NET,MVT_LOT,$A166,MVT_EMPL,E$13))</f>
        <v>0</v>
      </c>
      <c r="F166" s="42" t="n">
        <f aca="false">IF(OR($A166="",F$13=""),0,SUMIFS(MVT_NET,MVT_LOT,$A166,MVT_EMPL,F$13))</f>
        <v>0</v>
      </c>
      <c r="G166" s="42" t="n">
        <f aca="false">IF(OR($A166="",G$13=""),0,SUMIFS(MVT_NET,MVT_LOT,$A166,MVT_EMPL,G$13))</f>
        <v>0</v>
      </c>
      <c r="H166" s="42" t="n">
        <f aca="false">IF(OR($A166="",H$13=""),0,SUMIFS(MVT_NET,MVT_LOT,$A166,MVT_EMPL,H$13))</f>
        <v>0</v>
      </c>
      <c r="I166" s="42" t="n">
        <f aca="false">IF(OR($A166="",I$13=""),0,SUMIFS(MVT_NET,MVT_LOT,$A166,MVT_EMPL,I$13))</f>
        <v>0</v>
      </c>
      <c r="J166" s="42" t="n">
        <f aca="false">IF(OR($A166="",J$13=""),0,SUMIFS(MVT_NET,MVT_LOT,$A166,MVT_EMPL,J$13))</f>
        <v>0</v>
      </c>
      <c r="K166" s="42" t="n">
        <f aca="false">IF(OR($A166="",K$13=""),0,SUMIFS(MVT_NET,MVT_LOT,$A166,MVT_EMPL,K$13))</f>
        <v>0</v>
      </c>
      <c r="L166" s="42" t="n">
        <f aca="false">IF(OR($A166="",L$13=""),0,SUMIFS(MVT_NET,MVT_LOT,$A166,MVT_EMPL,L$13))</f>
        <v>0</v>
      </c>
      <c r="M166" s="42" t="n">
        <f aca="false">IF(OR($A166="",M$13=""),0,SUMIFS(MVT_NET,MVT_LOT,$A166,MVT_EMPL,M$13))</f>
        <v>0</v>
      </c>
      <c r="N166" s="43" t="n">
        <f aca="false">SUM($B166:$M166)</f>
        <v>0</v>
      </c>
      <c r="O166" s="44" t="n">
        <f aca="false">SUMPRODUCT(($B$12:$M$12="INTERNE")*$B166:$M166)</f>
        <v>0</v>
      </c>
      <c r="P166" s="44" t="n">
        <f aca="false">SUMPRODUCT(($B$12:$M$12="EXTERNE")*$B166:$M166)</f>
        <v>0</v>
      </c>
      <c r="Q166" s="44" t="n">
        <f aca="false">IF($A166="",0,SUMIFS(ST_ENCOURS,ST_LOT,$A166))</f>
        <v>0</v>
      </c>
      <c r="R166" s="45" t="str">
        <f aca="false">IF($A166="","",IF($N166&lt;-0.001,"STOCK NEGATIF - ANOMALIE",""))</f>
        <v/>
      </c>
    </row>
    <row r="167" customFormat="false" ht="15" hidden="false" customHeight="false" outlineLevel="0" collapsed="false">
      <c r="A167" s="41" t="str">
        <f aca="false">IF(LOTS!$A158="","",LOTS!$A158)</f>
        <v/>
      </c>
      <c r="B167" s="42" t="n">
        <f aca="false">IF(OR($A167="",B$13=""),0,SUMIFS(MVT_NET,MVT_LOT,$A167,MVT_EMPL,B$13))</f>
        <v>0</v>
      </c>
      <c r="C167" s="42" t="n">
        <f aca="false">IF(OR($A167="",C$13=""),0,SUMIFS(MVT_NET,MVT_LOT,$A167,MVT_EMPL,C$13))</f>
        <v>0</v>
      </c>
      <c r="D167" s="42" t="n">
        <f aca="false">IF(OR($A167="",D$13=""),0,SUMIFS(MVT_NET,MVT_LOT,$A167,MVT_EMPL,D$13))</f>
        <v>0</v>
      </c>
      <c r="E167" s="42" t="n">
        <f aca="false">IF(OR($A167="",E$13=""),0,SUMIFS(MVT_NET,MVT_LOT,$A167,MVT_EMPL,E$13))</f>
        <v>0</v>
      </c>
      <c r="F167" s="42" t="n">
        <f aca="false">IF(OR($A167="",F$13=""),0,SUMIFS(MVT_NET,MVT_LOT,$A167,MVT_EMPL,F$13))</f>
        <v>0</v>
      </c>
      <c r="G167" s="42" t="n">
        <f aca="false">IF(OR($A167="",G$13=""),0,SUMIFS(MVT_NET,MVT_LOT,$A167,MVT_EMPL,G$13))</f>
        <v>0</v>
      </c>
      <c r="H167" s="42" t="n">
        <f aca="false">IF(OR($A167="",H$13=""),0,SUMIFS(MVT_NET,MVT_LOT,$A167,MVT_EMPL,H$13))</f>
        <v>0</v>
      </c>
      <c r="I167" s="42" t="n">
        <f aca="false">IF(OR($A167="",I$13=""),0,SUMIFS(MVT_NET,MVT_LOT,$A167,MVT_EMPL,I$13))</f>
        <v>0</v>
      </c>
      <c r="J167" s="42" t="n">
        <f aca="false">IF(OR($A167="",J$13=""),0,SUMIFS(MVT_NET,MVT_LOT,$A167,MVT_EMPL,J$13))</f>
        <v>0</v>
      </c>
      <c r="K167" s="42" t="n">
        <f aca="false">IF(OR($A167="",K$13=""),0,SUMIFS(MVT_NET,MVT_LOT,$A167,MVT_EMPL,K$13))</f>
        <v>0</v>
      </c>
      <c r="L167" s="42" t="n">
        <f aca="false">IF(OR($A167="",L$13=""),0,SUMIFS(MVT_NET,MVT_LOT,$A167,MVT_EMPL,L$13))</f>
        <v>0</v>
      </c>
      <c r="M167" s="42" t="n">
        <f aca="false">IF(OR($A167="",M$13=""),0,SUMIFS(MVT_NET,MVT_LOT,$A167,MVT_EMPL,M$13))</f>
        <v>0</v>
      </c>
      <c r="N167" s="43" t="n">
        <f aca="false">SUM($B167:$M167)</f>
        <v>0</v>
      </c>
      <c r="O167" s="44" t="n">
        <f aca="false">SUMPRODUCT(($B$12:$M$12="INTERNE")*$B167:$M167)</f>
        <v>0</v>
      </c>
      <c r="P167" s="44" t="n">
        <f aca="false">SUMPRODUCT(($B$12:$M$12="EXTERNE")*$B167:$M167)</f>
        <v>0</v>
      </c>
      <c r="Q167" s="44" t="n">
        <f aca="false">IF($A167="",0,SUMIFS(ST_ENCOURS,ST_LOT,$A167))</f>
        <v>0</v>
      </c>
      <c r="R167" s="45" t="str">
        <f aca="false">IF($A167="","",IF($N167&lt;-0.001,"STOCK NEGATIF - ANOMALIE",""))</f>
        <v/>
      </c>
    </row>
    <row r="168" customFormat="false" ht="15" hidden="false" customHeight="false" outlineLevel="0" collapsed="false">
      <c r="A168" s="41" t="str">
        <f aca="false">IF(LOTS!$A159="","",LOTS!$A159)</f>
        <v/>
      </c>
      <c r="B168" s="42" t="n">
        <f aca="false">IF(OR($A168="",B$13=""),0,SUMIFS(MVT_NET,MVT_LOT,$A168,MVT_EMPL,B$13))</f>
        <v>0</v>
      </c>
      <c r="C168" s="42" t="n">
        <f aca="false">IF(OR($A168="",C$13=""),0,SUMIFS(MVT_NET,MVT_LOT,$A168,MVT_EMPL,C$13))</f>
        <v>0</v>
      </c>
      <c r="D168" s="42" t="n">
        <f aca="false">IF(OR($A168="",D$13=""),0,SUMIFS(MVT_NET,MVT_LOT,$A168,MVT_EMPL,D$13))</f>
        <v>0</v>
      </c>
      <c r="E168" s="42" t="n">
        <f aca="false">IF(OR($A168="",E$13=""),0,SUMIFS(MVT_NET,MVT_LOT,$A168,MVT_EMPL,E$13))</f>
        <v>0</v>
      </c>
      <c r="F168" s="42" t="n">
        <f aca="false">IF(OR($A168="",F$13=""),0,SUMIFS(MVT_NET,MVT_LOT,$A168,MVT_EMPL,F$13))</f>
        <v>0</v>
      </c>
      <c r="G168" s="42" t="n">
        <f aca="false">IF(OR($A168="",G$13=""),0,SUMIFS(MVT_NET,MVT_LOT,$A168,MVT_EMPL,G$13))</f>
        <v>0</v>
      </c>
      <c r="H168" s="42" t="n">
        <f aca="false">IF(OR($A168="",H$13=""),0,SUMIFS(MVT_NET,MVT_LOT,$A168,MVT_EMPL,H$13))</f>
        <v>0</v>
      </c>
      <c r="I168" s="42" t="n">
        <f aca="false">IF(OR($A168="",I$13=""),0,SUMIFS(MVT_NET,MVT_LOT,$A168,MVT_EMPL,I$13))</f>
        <v>0</v>
      </c>
      <c r="J168" s="42" t="n">
        <f aca="false">IF(OR($A168="",J$13=""),0,SUMIFS(MVT_NET,MVT_LOT,$A168,MVT_EMPL,J$13))</f>
        <v>0</v>
      </c>
      <c r="K168" s="42" t="n">
        <f aca="false">IF(OR($A168="",K$13=""),0,SUMIFS(MVT_NET,MVT_LOT,$A168,MVT_EMPL,K$13))</f>
        <v>0</v>
      </c>
      <c r="L168" s="42" t="n">
        <f aca="false">IF(OR($A168="",L$13=""),0,SUMIFS(MVT_NET,MVT_LOT,$A168,MVT_EMPL,L$13))</f>
        <v>0</v>
      </c>
      <c r="M168" s="42" t="n">
        <f aca="false">IF(OR($A168="",M$13=""),0,SUMIFS(MVT_NET,MVT_LOT,$A168,MVT_EMPL,M$13))</f>
        <v>0</v>
      </c>
      <c r="N168" s="43" t="n">
        <f aca="false">SUM($B168:$M168)</f>
        <v>0</v>
      </c>
      <c r="O168" s="44" t="n">
        <f aca="false">SUMPRODUCT(($B$12:$M$12="INTERNE")*$B168:$M168)</f>
        <v>0</v>
      </c>
      <c r="P168" s="44" t="n">
        <f aca="false">SUMPRODUCT(($B$12:$M$12="EXTERNE")*$B168:$M168)</f>
        <v>0</v>
      </c>
      <c r="Q168" s="44" t="n">
        <f aca="false">IF($A168="",0,SUMIFS(ST_ENCOURS,ST_LOT,$A168))</f>
        <v>0</v>
      </c>
      <c r="R168" s="45" t="str">
        <f aca="false">IF($A168="","",IF($N168&lt;-0.001,"STOCK NEGATIF - ANOMALIE",""))</f>
        <v/>
      </c>
    </row>
    <row r="169" customFormat="false" ht="15" hidden="false" customHeight="false" outlineLevel="0" collapsed="false">
      <c r="A169" s="41" t="str">
        <f aca="false">IF(LOTS!$A160="","",LOTS!$A160)</f>
        <v/>
      </c>
      <c r="B169" s="42" t="n">
        <f aca="false">IF(OR($A169="",B$13=""),0,SUMIFS(MVT_NET,MVT_LOT,$A169,MVT_EMPL,B$13))</f>
        <v>0</v>
      </c>
      <c r="C169" s="42" t="n">
        <f aca="false">IF(OR($A169="",C$13=""),0,SUMIFS(MVT_NET,MVT_LOT,$A169,MVT_EMPL,C$13))</f>
        <v>0</v>
      </c>
      <c r="D169" s="42" t="n">
        <f aca="false">IF(OR($A169="",D$13=""),0,SUMIFS(MVT_NET,MVT_LOT,$A169,MVT_EMPL,D$13))</f>
        <v>0</v>
      </c>
      <c r="E169" s="42" t="n">
        <f aca="false">IF(OR($A169="",E$13=""),0,SUMIFS(MVT_NET,MVT_LOT,$A169,MVT_EMPL,E$13))</f>
        <v>0</v>
      </c>
      <c r="F169" s="42" t="n">
        <f aca="false">IF(OR($A169="",F$13=""),0,SUMIFS(MVT_NET,MVT_LOT,$A169,MVT_EMPL,F$13))</f>
        <v>0</v>
      </c>
      <c r="G169" s="42" t="n">
        <f aca="false">IF(OR($A169="",G$13=""),0,SUMIFS(MVT_NET,MVT_LOT,$A169,MVT_EMPL,G$13))</f>
        <v>0</v>
      </c>
      <c r="H169" s="42" t="n">
        <f aca="false">IF(OR($A169="",H$13=""),0,SUMIFS(MVT_NET,MVT_LOT,$A169,MVT_EMPL,H$13))</f>
        <v>0</v>
      </c>
      <c r="I169" s="42" t="n">
        <f aca="false">IF(OR($A169="",I$13=""),0,SUMIFS(MVT_NET,MVT_LOT,$A169,MVT_EMPL,I$13))</f>
        <v>0</v>
      </c>
      <c r="J169" s="42" t="n">
        <f aca="false">IF(OR($A169="",J$13=""),0,SUMIFS(MVT_NET,MVT_LOT,$A169,MVT_EMPL,J$13))</f>
        <v>0</v>
      </c>
      <c r="K169" s="42" t="n">
        <f aca="false">IF(OR($A169="",K$13=""),0,SUMIFS(MVT_NET,MVT_LOT,$A169,MVT_EMPL,K$13))</f>
        <v>0</v>
      </c>
      <c r="L169" s="42" t="n">
        <f aca="false">IF(OR($A169="",L$13=""),0,SUMIFS(MVT_NET,MVT_LOT,$A169,MVT_EMPL,L$13))</f>
        <v>0</v>
      </c>
      <c r="M169" s="42" t="n">
        <f aca="false">IF(OR($A169="",M$13=""),0,SUMIFS(MVT_NET,MVT_LOT,$A169,MVT_EMPL,M$13))</f>
        <v>0</v>
      </c>
      <c r="N169" s="43" t="n">
        <f aca="false">SUM($B169:$M169)</f>
        <v>0</v>
      </c>
      <c r="O169" s="44" t="n">
        <f aca="false">SUMPRODUCT(($B$12:$M$12="INTERNE")*$B169:$M169)</f>
        <v>0</v>
      </c>
      <c r="P169" s="44" t="n">
        <f aca="false">SUMPRODUCT(($B$12:$M$12="EXTERNE")*$B169:$M169)</f>
        <v>0</v>
      </c>
      <c r="Q169" s="44" t="n">
        <f aca="false">IF($A169="",0,SUMIFS(ST_ENCOURS,ST_LOT,$A169))</f>
        <v>0</v>
      </c>
      <c r="R169" s="45" t="str">
        <f aca="false">IF($A169="","",IF($N169&lt;-0.001,"STOCK NEGATIF - ANOMALIE",""))</f>
        <v/>
      </c>
    </row>
    <row r="170" customFormat="false" ht="15" hidden="false" customHeight="false" outlineLevel="0" collapsed="false">
      <c r="A170" s="41" t="str">
        <f aca="false">IF(LOTS!$A161="","",LOTS!$A161)</f>
        <v/>
      </c>
      <c r="B170" s="42" t="n">
        <f aca="false">IF(OR($A170="",B$13=""),0,SUMIFS(MVT_NET,MVT_LOT,$A170,MVT_EMPL,B$13))</f>
        <v>0</v>
      </c>
      <c r="C170" s="42" t="n">
        <f aca="false">IF(OR($A170="",C$13=""),0,SUMIFS(MVT_NET,MVT_LOT,$A170,MVT_EMPL,C$13))</f>
        <v>0</v>
      </c>
      <c r="D170" s="42" t="n">
        <f aca="false">IF(OR($A170="",D$13=""),0,SUMIFS(MVT_NET,MVT_LOT,$A170,MVT_EMPL,D$13))</f>
        <v>0</v>
      </c>
      <c r="E170" s="42" t="n">
        <f aca="false">IF(OR($A170="",E$13=""),0,SUMIFS(MVT_NET,MVT_LOT,$A170,MVT_EMPL,E$13))</f>
        <v>0</v>
      </c>
      <c r="F170" s="42" t="n">
        <f aca="false">IF(OR($A170="",F$13=""),0,SUMIFS(MVT_NET,MVT_LOT,$A170,MVT_EMPL,F$13))</f>
        <v>0</v>
      </c>
      <c r="G170" s="42" t="n">
        <f aca="false">IF(OR($A170="",G$13=""),0,SUMIFS(MVT_NET,MVT_LOT,$A170,MVT_EMPL,G$13))</f>
        <v>0</v>
      </c>
      <c r="H170" s="42" t="n">
        <f aca="false">IF(OR($A170="",H$13=""),0,SUMIFS(MVT_NET,MVT_LOT,$A170,MVT_EMPL,H$13))</f>
        <v>0</v>
      </c>
      <c r="I170" s="42" t="n">
        <f aca="false">IF(OR($A170="",I$13=""),0,SUMIFS(MVT_NET,MVT_LOT,$A170,MVT_EMPL,I$13))</f>
        <v>0</v>
      </c>
      <c r="J170" s="42" t="n">
        <f aca="false">IF(OR($A170="",J$13=""),0,SUMIFS(MVT_NET,MVT_LOT,$A170,MVT_EMPL,J$13))</f>
        <v>0</v>
      </c>
      <c r="K170" s="42" t="n">
        <f aca="false">IF(OR($A170="",K$13=""),0,SUMIFS(MVT_NET,MVT_LOT,$A170,MVT_EMPL,K$13))</f>
        <v>0</v>
      </c>
      <c r="L170" s="42" t="n">
        <f aca="false">IF(OR($A170="",L$13=""),0,SUMIFS(MVT_NET,MVT_LOT,$A170,MVT_EMPL,L$13))</f>
        <v>0</v>
      </c>
      <c r="M170" s="42" t="n">
        <f aca="false">IF(OR($A170="",M$13=""),0,SUMIFS(MVT_NET,MVT_LOT,$A170,MVT_EMPL,M$13))</f>
        <v>0</v>
      </c>
      <c r="N170" s="43" t="n">
        <f aca="false">SUM($B170:$M170)</f>
        <v>0</v>
      </c>
      <c r="O170" s="44" t="n">
        <f aca="false">SUMPRODUCT(($B$12:$M$12="INTERNE")*$B170:$M170)</f>
        <v>0</v>
      </c>
      <c r="P170" s="44" t="n">
        <f aca="false">SUMPRODUCT(($B$12:$M$12="EXTERNE")*$B170:$M170)</f>
        <v>0</v>
      </c>
      <c r="Q170" s="44" t="n">
        <f aca="false">IF($A170="",0,SUMIFS(ST_ENCOURS,ST_LOT,$A170))</f>
        <v>0</v>
      </c>
      <c r="R170" s="45" t="str">
        <f aca="false">IF($A170="","",IF($N170&lt;-0.001,"STOCK NEGATIF - ANOMALIE",""))</f>
        <v/>
      </c>
    </row>
    <row r="171" customFormat="false" ht="15" hidden="false" customHeight="false" outlineLevel="0" collapsed="false">
      <c r="A171" s="41" t="str">
        <f aca="false">IF(LOTS!$A162="","",LOTS!$A162)</f>
        <v/>
      </c>
      <c r="B171" s="42" t="n">
        <f aca="false">IF(OR($A171="",B$13=""),0,SUMIFS(MVT_NET,MVT_LOT,$A171,MVT_EMPL,B$13))</f>
        <v>0</v>
      </c>
      <c r="C171" s="42" t="n">
        <f aca="false">IF(OR($A171="",C$13=""),0,SUMIFS(MVT_NET,MVT_LOT,$A171,MVT_EMPL,C$13))</f>
        <v>0</v>
      </c>
      <c r="D171" s="42" t="n">
        <f aca="false">IF(OR($A171="",D$13=""),0,SUMIFS(MVT_NET,MVT_LOT,$A171,MVT_EMPL,D$13))</f>
        <v>0</v>
      </c>
      <c r="E171" s="42" t="n">
        <f aca="false">IF(OR($A171="",E$13=""),0,SUMIFS(MVT_NET,MVT_LOT,$A171,MVT_EMPL,E$13))</f>
        <v>0</v>
      </c>
      <c r="F171" s="42" t="n">
        <f aca="false">IF(OR($A171="",F$13=""),0,SUMIFS(MVT_NET,MVT_LOT,$A171,MVT_EMPL,F$13))</f>
        <v>0</v>
      </c>
      <c r="G171" s="42" t="n">
        <f aca="false">IF(OR($A171="",G$13=""),0,SUMIFS(MVT_NET,MVT_LOT,$A171,MVT_EMPL,G$13))</f>
        <v>0</v>
      </c>
      <c r="H171" s="42" t="n">
        <f aca="false">IF(OR($A171="",H$13=""),0,SUMIFS(MVT_NET,MVT_LOT,$A171,MVT_EMPL,H$13))</f>
        <v>0</v>
      </c>
      <c r="I171" s="42" t="n">
        <f aca="false">IF(OR($A171="",I$13=""),0,SUMIFS(MVT_NET,MVT_LOT,$A171,MVT_EMPL,I$13))</f>
        <v>0</v>
      </c>
      <c r="J171" s="42" t="n">
        <f aca="false">IF(OR($A171="",J$13=""),0,SUMIFS(MVT_NET,MVT_LOT,$A171,MVT_EMPL,J$13))</f>
        <v>0</v>
      </c>
      <c r="K171" s="42" t="n">
        <f aca="false">IF(OR($A171="",K$13=""),0,SUMIFS(MVT_NET,MVT_LOT,$A171,MVT_EMPL,K$13))</f>
        <v>0</v>
      </c>
      <c r="L171" s="42" t="n">
        <f aca="false">IF(OR($A171="",L$13=""),0,SUMIFS(MVT_NET,MVT_LOT,$A171,MVT_EMPL,L$13))</f>
        <v>0</v>
      </c>
      <c r="M171" s="42" t="n">
        <f aca="false">IF(OR($A171="",M$13=""),0,SUMIFS(MVT_NET,MVT_LOT,$A171,MVT_EMPL,M$13))</f>
        <v>0</v>
      </c>
      <c r="N171" s="43" t="n">
        <f aca="false">SUM($B171:$M171)</f>
        <v>0</v>
      </c>
      <c r="O171" s="44" t="n">
        <f aca="false">SUMPRODUCT(($B$12:$M$12="INTERNE")*$B171:$M171)</f>
        <v>0</v>
      </c>
      <c r="P171" s="44" t="n">
        <f aca="false">SUMPRODUCT(($B$12:$M$12="EXTERNE")*$B171:$M171)</f>
        <v>0</v>
      </c>
      <c r="Q171" s="44" t="n">
        <f aca="false">IF($A171="",0,SUMIFS(ST_ENCOURS,ST_LOT,$A171))</f>
        <v>0</v>
      </c>
      <c r="R171" s="45" t="str">
        <f aca="false">IF($A171="","",IF($N171&lt;-0.001,"STOCK NEGATIF - ANOMALIE",""))</f>
        <v/>
      </c>
    </row>
    <row r="172" customFormat="false" ht="15" hidden="false" customHeight="false" outlineLevel="0" collapsed="false">
      <c r="A172" s="41" t="str">
        <f aca="false">IF(LOTS!$A163="","",LOTS!$A163)</f>
        <v/>
      </c>
      <c r="B172" s="42" t="n">
        <f aca="false">IF(OR($A172="",B$13=""),0,SUMIFS(MVT_NET,MVT_LOT,$A172,MVT_EMPL,B$13))</f>
        <v>0</v>
      </c>
      <c r="C172" s="42" t="n">
        <f aca="false">IF(OR($A172="",C$13=""),0,SUMIFS(MVT_NET,MVT_LOT,$A172,MVT_EMPL,C$13))</f>
        <v>0</v>
      </c>
      <c r="D172" s="42" t="n">
        <f aca="false">IF(OR($A172="",D$13=""),0,SUMIFS(MVT_NET,MVT_LOT,$A172,MVT_EMPL,D$13))</f>
        <v>0</v>
      </c>
      <c r="E172" s="42" t="n">
        <f aca="false">IF(OR($A172="",E$13=""),0,SUMIFS(MVT_NET,MVT_LOT,$A172,MVT_EMPL,E$13))</f>
        <v>0</v>
      </c>
      <c r="F172" s="42" t="n">
        <f aca="false">IF(OR($A172="",F$13=""),0,SUMIFS(MVT_NET,MVT_LOT,$A172,MVT_EMPL,F$13))</f>
        <v>0</v>
      </c>
      <c r="G172" s="42" t="n">
        <f aca="false">IF(OR($A172="",G$13=""),0,SUMIFS(MVT_NET,MVT_LOT,$A172,MVT_EMPL,G$13))</f>
        <v>0</v>
      </c>
      <c r="H172" s="42" t="n">
        <f aca="false">IF(OR($A172="",H$13=""),0,SUMIFS(MVT_NET,MVT_LOT,$A172,MVT_EMPL,H$13))</f>
        <v>0</v>
      </c>
      <c r="I172" s="42" t="n">
        <f aca="false">IF(OR($A172="",I$13=""),0,SUMIFS(MVT_NET,MVT_LOT,$A172,MVT_EMPL,I$13))</f>
        <v>0</v>
      </c>
      <c r="J172" s="42" t="n">
        <f aca="false">IF(OR($A172="",J$13=""),0,SUMIFS(MVT_NET,MVT_LOT,$A172,MVT_EMPL,J$13))</f>
        <v>0</v>
      </c>
      <c r="K172" s="42" t="n">
        <f aca="false">IF(OR($A172="",K$13=""),0,SUMIFS(MVT_NET,MVT_LOT,$A172,MVT_EMPL,K$13))</f>
        <v>0</v>
      </c>
      <c r="L172" s="42" t="n">
        <f aca="false">IF(OR($A172="",L$13=""),0,SUMIFS(MVT_NET,MVT_LOT,$A172,MVT_EMPL,L$13))</f>
        <v>0</v>
      </c>
      <c r="M172" s="42" t="n">
        <f aca="false">IF(OR($A172="",M$13=""),0,SUMIFS(MVT_NET,MVT_LOT,$A172,MVT_EMPL,M$13))</f>
        <v>0</v>
      </c>
      <c r="N172" s="43" t="n">
        <f aca="false">SUM($B172:$M172)</f>
        <v>0</v>
      </c>
      <c r="O172" s="44" t="n">
        <f aca="false">SUMPRODUCT(($B$12:$M$12="INTERNE")*$B172:$M172)</f>
        <v>0</v>
      </c>
      <c r="P172" s="44" t="n">
        <f aca="false">SUMPRODUCT(($B$12:$M$12="EXTERNE")*$B172:$M172)</f>
        <v>0</v>
      </c>
      <c r="Q172" s="44" t="n">
        <f aca="false">IF($A172="",0,SUMIFS(ST_ENCOURS,ST_LOT,$A172))</f>
        <v>0</v>
      </c>
      <c r="R172" s="45" t="str">
        <f aca="false">IF($A172="","",IF($N172&lt;-0.001,"STOCK NEGATIF - ANOMALIE",""))</f>
        <v/>
      </c>
    </row>
    <row r="173" customFormat="false" ht="15" hidden="false" customHeight="false" outlineLevel="0" collapsed="false">
      <c r="A173" s="41" t="str">
        <f aca="false">IF(LOTS!$A164="","",LOTS!$A164)</f>
        <v/>
      </c>
      <c r="B173" s="42" t="n">
        <f aca="false">IF(OR($A173="",B$13=""),0,SUMIFS(MVT_NET,MVT_LOT,$A173,MVT_EMPL,B$13))</f>
        <v>0</v>
      </c>
      <c r="C173" s="42" t="n">
        <f aca="false">IF(OR($A173="",C$13=""),0,SUMIFS(MVT_NET,MVT_LOT,$A173,MVT_EMPL,C$13))</f>
        <v>0</v>
      </c>
      <c r="D173" s="42" t="n">
        <f aca="false">IF(OR($A173="",D$13=""),0,SUMIFS(MVT_NET,MVT_LOT,$A173,MVT_EMPL,D$13))</f>
        <v>0</v>
      </c>
      <c r="E173" s="42" t="n">
        <f aca="false">IF(OR($A173="",E$13=""),0,SUMIFS(MVT_NET,MVT_LOT,$A173,MVT_EMPL,E$13))</f>
        <v>0</v>
      </c>
      <c r="F173" s="42" t="n">
        <f aca="false">IF(OR($A173="",F$13=""),0,SUMIFS(MVT_NET,MVT_LOT,$A173,MVT_EMPL,F$13))</f>
        <v>0</v>
      </c>
      <c r="G173" s="42" t="n">
        <f aca="false">IF(OR($A173="",G$13=""),0,SUMIFS(MVT_NET,MVT_LOT,$A173,MVT_EMPL,G$13))</f>
        <v>0</v>
      </c>
      <c r="H173" s="42" t="n">
        <f aca="false">IF(OR($A173="",H$13=""),0,SUMIFS(MVT_NET,MVT_LOT,$A173,MVT_EMPL,H$13))</f>
        <v>0</v>
      </c>
      <c r="I173" s="42" t="n">
        <f aca="false">IF(OR($A173="",I$13=""),0,SUMIFS(MVT_NET,MVT_LOT,$A173,MVT_EMPL,I$13))</f>
        <v>0</v>
      </c>
      <c r="J173" s="42" t="n">
        <f aca="false">IF(OR($A173="",J$13=""),0,SUMIFS(MVT_NET,MVT_LOT,$A173,MVT_EMPL,J$13))</f>
        <v>0</v>
      </c>
      <c r="K173" s="42" t="n">
        <f aca="false">IF(OR($A173="",K$13=""),0,SUMIFS(MVT_NET,MVT_LOT,$A173,MVT_EMPL,K$13))</f>
        <v>0</v>
      </c>
      <c r="L173" s="42" t="n">
        <f aca="false">IF(OR($A173="",L$13=""),0,SUMIFS(MVT_NET,MVT_LOT,$A173,MVT_EMPL,L$13))</f>
        <v>0</v>
      </c>
      <c r="M173" s="42" t="n">
        <f aca="false">IF(OR($A173="",M$13=""),0,SUMIFS(MVT_NET,MVT_LOT,$A173,MVT_EMPL,M$13))</f>
        <v>0</v>
      </c>
      <c r="N173" s="43" t="n">
        <f aca="false">SUM($B173:$M173)</f>
        <v>0</v>
      </c>
      <c r="O173" s="44" t="n">
        <f aca="false">SUMPRODUCT(($B$12:$M$12="INTERNE")*$B173:$M173)</f>
        <v>0</v>
      </c>
      <c r="P173" s="44" t="n">
        <f aca="false">SUMPRODUCT(($B$12:$M$12="EXTERNE")*$B173:$M173)</f>
        <v>0</v>
      </c>
      <c r="Q173" s="44" t="n">
        <f aca="false">IF($A173="",0,SUMIFS(ST_ENCOURS,ST_LOT,$A173))</f>
        <v>0</v>
      </c>
      <c r="R173" s="45" t="str">
        <f aca="false">IF($A173="","",IF($N173&lt;-0.001,"STOCK NEGATIF - ANOMALIE",""))</f>
        <v/>
      </c>
    </row>
    <row r="174" customFormat="false" ht="15" hidden="false" customHeight="false" outlineLevel="0" collapsed="false">
      <c r="A174" s="41" t="str">
        <f aca="false">IF(LOTS!$A165="","",LOTS!$A165)</f>
        <v/>
      </c>
      <c r="B174" s="42" t="n">
        <f aca="false">IF(OR($A174="",B$13=""),0,SUMIFS(MVT_NET,MVT_LOT,$A174,MVT_EMPL,B$13))</f>
        <v>0</v>
      </c>
      <c r="C174" s="42" t="n">
        <f aca="false">IF(OR($A174="",C$13=""),0,SUMIFS(MVT_NET,MVT_LOT,$A174,MVT_EMPL,C$13))</f>
        <v>0</v>
      </c>
      <c r="D174" s="42" t="n">
        <f aca="false">IF(OR($A174="",D$13=""),0,SUMIFS(MVT_NET,MVT_LOT,$A174,MVT_EMPL,D$13))</f>
        <v>0</v>
      </c>
      <c r="E174" s="42" t="n">
        <f aca="false">IF(OR($A174="",E$13=""),0,SUMIFS(MVT_NET,MVT_LOT,$A174,MVT_EMPL,E$13))</f>
        <v>0</v>
      </c>
      <c r="F174" s="42" t="n">
        <f aca="false">IF(OR($A174="",F$13=""),0,SUMIFS(MVT_NET,MVT_LOT,$A174,MVT_EMPL,F$13))</f>
        <v>0</v>
      </c>
      <c r="G174" s="42" t="n">
        <f aca="false">IF(OR($A174="",G$13=""),0,SUMIFS(MVT_NET,MVT_LOT,$A174,MVT_EMPL,G$13))</f>
        <v>0</v>
      </c>
      <c r="H174" s="42" t="n">
        <f aca="false">IF(OR($A174="",H$13=""),0,SUMIFS(MVT_NET,MVT_LOT,$A174,MVT_EMPL,H$13))</f>
        <v>0</v>
      </c>
      <c r="I174" s="42" t="n">
        <f aca="false">IF(OR($A174="",I$13=""),0,SUMIFS(MVT_NET,MVT_LOT,$A174,MVT_EMPL,I$13))</f>
        <v>0</v>
      </c>
      <c r="J174" s="42" t="n">
        <f aca="false">IF(OR($A174="",J$13=""),0,SUMIFS(MVT_NET,MVT_LOT,$A174,MVT_EMPL,J$13))</f>
        <v>0</v>
      </c>
      <c r="K174" s="42" t="n">
        <f aca="false">IF(OR($A174="",K$13=""),0,SUMIFS(MVT_NET,MVT_LOT,$A174,MVT_EMPL,K$13))</f>
        <v>0</v>
      </c>
      <c r="L174" s="42" t="n">
        <f aca="false">IF(OR($A174="",L$13=""),0,SUMIFS(MVT_NET,MVT_LOT,$A174,MVT_EMPL,L$13))</f>
        <v>0</v>
      </c>
      <c r="M174" s="42" t="n">
        <f aca="false">IF(OR($A174="",M$13=""),0,SUMIFS(MVT_NET,MVT_LOT,$A174,MVT_EMPL,M$13))</f>
        <v>0</v>
      </c>
      <c r="N174" s="43" t="n">
        <f aca="false">SUM($B174:$M174)</f>
        <v>0</v>
      </c>
      <c r="O174" s="44" t="n">
        <f aca="false">SUMPRODUCT(($B$12:$M$12="INTERNE")*$B174:$M174)</f>
        <v>0</v>
      </c>
      <c r="P174" s="44" t="n">
        <f aca="false">SUMPRODUCT(($B$12:$M$12="EXTERNE")*$B174:$M174)</f>
        <v>0</v>
      </c>
      <c r="Q174" s="44" t="n">
        <f aca="false">IF($A174="",0,SUMIFS(ST_ENCOURS,ST_LOT,$A174))</f>
        <v>0</v>
      </c>
      <c r="R174" s="45" t="str">
        <f aca="false">IF($A174="","",IF($N174&lt;-0.001,"STOCK NEGATIF - ANOMALIE",""))</f>
        <v/>
      </c>
    </row>
    <row r="175" customFormat="false" ht="15" hidden="false" customHeight="false" outlineLevel="0" collapsed="false">
      <c r="A175" s="41" t="str">
        <f aca="false">IF(LOTS!$A166="","",LOTS!$A166)</f>
        <v/>
      </c>
      <c r="B175" s="42" t="n">
        <f aca="false">IF(OR($A175="",B$13=""),0,SUMIFS(MVT_NET,MVT_LOT,$A175,MVT_EMPL,B$13))</f>
        <v>0</v>
      </c>
      <c r="C175" s="42" t="n">
        <f aca="false">IF(OR($A175="",C$13=""),0,SUMIFS(MVT_NET,MVT_LOT,$A175,MVT_EMPL,C$13))</f>
        <v>0</v>
      </c>
      <c r="D175" s="42" t="n">
        <f aca="false">IF(OR($A175="",D$13=""),0,SUMIFS(MVT_NET,MVT_LOT,$A175,MVT_EMPL,D$13))</f>
        <v>0</v>
      </c>
      <c r="E175" s="42" t="n">
        <f aca="false">IF(OR($A175="",E$13=""),0,SUMIFS(MVT_NET,MVT_LOT,$A175,MVT_EMPL,E$13))</f>
        <v>0</v>
      </c>
      <c r="F175" s="42" t="n">
        <f aca="false">IF(OR($A175="",F$13=""),0,SUMIFS(MVT_NET,MVT_LOT,$A175,MVT_EMPL,F$13))</f>
        <v>0</v>
      </c>
      <c r="G175" s="42" t="n">
        <f aca="false">IF(OR($A175="",G$13=""),0,SUMIFS(MVT_NET,MVT_LOT,$A175,MVT_EMPL,G$13))</f>
        <v>0</v>
      </c>
      <c r="H175" s="42" t="n">
        <f aca="false">IF(OR($A175="",H$13=""),0,SUMIFS(MVT_NET,MVT_LOT,$A175,MVT_EMPL,H$13))</f>
        <v>0</v>
      </c>
      <c r="I175" s="42" t="n">
        <f aca="false">IF(OR($A175="",I$13=""),0,SUMIFS(MVT_NET,MVT_LOT,$A175,MVT_EMPL,I$13))</f>
        <v>0</v>
      </c>
      <c r="J175" s="42" t="n">
        <f aca="false">IF(OR($A175="",J$13=""),0,SUMIFS(MVT_NET,MVT_LOT,$A175,MVT_EMPL,J$13))</f>
        <v>0</v>
      </c>
      <c r="K175" s="42" t="n">
        <f aca="false">IF(OR($A175="",K$13=""),0,SUMIFS(MVT_NET,MVT_LOT,$A175,MVT_EMPL,K$13))</f>
        <v>0</v>
      </c>
      <c r="L175" s="42" t="n">
        <f aca="false">IF(OR($A175="",L$13=""),0,SUMIFS(MVT_NET,MVT_LOT,$A175,MVT_EMPL,L$13))</f>
        <v>0</v>
      </c>
      <c r="M175" s="42" t="n">
        <f aca="false">IF(OR($A175="",M$13=""),0,SUMIFS(MVT_NET,MVT_LOT,$A175,MVT_EMPL,M$13))</f>
        <v>0</v>
      </c>
      <c r="N175" s="43" t="n">
        <f aca="false">SUM($B175:$M175)</f>
        <v>0</v>
      </c>
      <c r="O175" s="44" t="n">
        <f aca="false">SUMPRODUCT(($B$12:$M$12="INTERNE")*$B175:$M175)</f>
        <v>0</v>
      </c>
      <c r="P175" s="44" t="n">
        <f aca="false">SUMPRODUCT(($B$12:$M$12="EXTERNE")*$B175:$M175)</f>
        <v>0</v>
      </c>
      <c r="Q175" s="44" t="n">
        <f aca="false">IF($A175="",0,SUMIFS(ST_ENCOURS,ST_LOT,$A175))</f>
        <v>0</v>
      </c>
      <c r="R175" s="45" t="str">
        <f aca="false">IF($A175="","",IF($N175&lt;-0.001,"STOCK NEGATIF - ANOMALIE",""))</f>
        <v/>
      </c>
    </row>
    <row r="176" customFormat="false" ht="15" hidden="false" customHeight="false" outlineLevel="0" collapsed="false">
      <c r="A176" s="41" t="str">
        <f aca="false">IF(LOTS!$A167="","",LOTS!$A167)</f>
        <v/>
      </c>
      <c r="B176" s="42" t="n">
        <f aca="false">IF(OR($A176="",B$13=""),0,SUMIFS(MVT_NET,MVT_LOT,$A176,MVT_EMPL,B$13))</f>
        <v>0</v>
      </c>
      <c r="C176" s="42" t="n">
        <f aca="false">IF(OR($A176="",C$13=""),0,SUMIFS(MVT_NET,MVT_LOT,$A176,MVT_EMPL,C$13))</f>
        <v>0</v>
      </c>
      <c r="D176" s="42" t="n">
        <f aca="false">IF(OR($A176="",D$13=""),0,SUMIFS(MVT_NET,MVT_LOT,$A176,MVT_EMPL,D$13))</f>
        <v>0</v>
      </c>
      <c r="E176" s="42" t="n">
        <f aca="false">IF(OR($A176="",E$13=""),0,SUMIFS(MVT_NET,MVT_LOT,$A176,MVT_EMPL,E$13))</f>
        <v>0</v>
      </c>
      <c r="F176" s="42" t="n">
        <f aca="false">IF(OR($A176="",F$13=""),0,SUMIFS(MVT_NET,MVT_LOT,$A176,MVT_EMPL,F$13))</f>
        <v>0</v>
      </c>
      <c r="G176" s="42" t="n">
        <f aca="false">IF(OR($A176="",G$13=""),0,SUMIFS(MVT_NET,MVT_LOT,$A176,MVT_EMPL,G$13))</f>
        <v>0</v>
      </c>
      <c r="H176" s="42" t="n">
        <f aca="false">IF(OR($A176="",H$13=""),0,SUMIFS(MVT_NET,MVT_LOT,$A176,MVT_EMPL,H$13))</f>
        <v>0</v>
      </c>
      <c r="I176" s="42" t="n">
        <f aca="false">IF(OR($A176="",I$13=""),0,SUMIFS(MVT_NET,MVT_LOT,$A176,MVT_EMPL,I$13))</f>
        <v>0</v>
      </c>
      <c r="J176" s="42" t="n">
        <f aca="false">IF(OR($A176="",J$13=""),0,SUMIFS(MVT_NET,MVT_LOT,$A176,MVT_EMPL,J$13))</f>
        <v>0</v>
      </c>
      <c r="K176" s="42" t="n">
        <f aca="false">IF(OR($A176="",K$13=""),0,SUMIFS(MVT_NET,MVT_LOT,$A176,MVT_EMPL,K$13))</f>
        <v>0</v>
      </c>
      <c r="L176" s="42" t="n">
        <f aca="false">IF(OR($A176="",L$13=""),0,SUMIFS(MVT_NET,MVT_LOT,$A176,MVT_EMPL,L$13))</f>
        <v>0</v>
      </c>
      <c r="M176" s="42" t="n">
        <f aca="false">IF(OR($A176="",M$13=""),0,SUMIFS(MVT_NET,MVT_LOT,$A176,MVT_EMPL,M$13))</f>
        <v>0</v>
      </c>
      <c r="N176" s="43" t="n">
        <f aca="false">SUM($B176:$M176)</f>
        <v>0</v>
      </c>
      <c r="O176" s="44" t="n">
        <f aca="false">SUMPRODUCT(($B$12:$M$12="INTERNE")*$B176:$M176)</f>
        <v>0</v>
      </c>
      <c r="P176" s="44" t="n">
        <f aca="false">SUMPRODUCT(($B$12:$M$12="EXTERNE")*$B176:$M176)</f>
        <v>0</v>
      </c>
      <c r="Q176" s="44" t="n">
        <f aca="false">IF($A176="",0,SUMIFS(ST_ENCOURS,ST_LOT,$A176))</f>
        <v>0</v>
      </c>
      <c r="R176" s="45" t="str">
        <f aca="false">IF($A176="","",IF($N176&lt;-0.001,"STOCK NEGATIF - ANOMALIE",""))</f>
        <v/>
      </c>
    </row>
    <row r="177" customFormat="false" ht="15" hidden="false" customHeight="false" outlineLevel="0" collapsed="false">
      <c r="A177" s="41" t="str">
        <f aca="false">IF(LOTS!$A168="","",LOTS!$A168)</f>
        <v/>
      </c>
      <c r="B177" s="42" t="n">
        <f aca="false">IF(OR($A177="",B$13=""),0,SUMIFS(MVT_NET,MVT_LOT,$A177,MVT_EMPL,B$13))</f>
        <v>0</v>
      </c>
      <c r="C177" s="42" t="n">
        <f aca="false">IF(OR($A177="",C$13=""),0,SUMIFS(MVT_NET,MVT_LOT,$A177,MVT_EMPL,C$13))</f>
        <v>0</v>
      </c>
      <c r="D177" s="42" t="n">
        <f aca="false">IF(OR($A177="",D$13=""),0,SUMIFS(MVT_NET,MVT_LOT,$A177,MVT_EMPL,D$13))</f>
        <v>0</v>
      </c>
      <c r="E177" s="42" t="n">
        <f aca="false">IF(OR($A177="",E$13=""),0,SUMIFS(MVT_NET,MVT_LOT,$A177,MVT_EMPL,E$13))</f>
        <v>0</v>
      </c>
      <c r="F177" s="42" t="n">
        <f aca="false">IF(OR($A177="",F$13=""),0,SUMIFS(MVT_NET,MVT_LOT,$A177,MVT_EMPL,F$13))</f>
        <v>0</v>
      </c>
      <c r="G177" s="42" t="n">
        <f aca="false">IF(OR($A177="",G$13=""),0,SUMIFS(MVT_NET,MVT_LOT,$A177,MVT_EMPL,G$13))</f>
        <v>0</v>
      </c>
      <c r="H177" s="42" t="n">
        <f aca="false">IF(OR($A177="",H$13=""),0,SUMIFS(MVT_NET,MVT_LOT,$A177,MVT_EMPL,H$13))</f>
        <v>0</v>
      </c>
      <c r="I177" s="42" t="n">
        <f aca="false">IF(OR($A177="",I$13=""),0,SUMIFS(MVT_NET,MVT_LOT,$A177,MVT_EMPL,I$13))</f>
        <v>0</v>
      </c>
      <c r="J177" s="42" t="n">
        <f aca="false">IF(OR($A177="",J$13=""),0,SUMIFS(MVT_NET,MVT_LOT,$A177,MVT_EMPL,J$13))</f>
        <v>0</v>
      </c>
      <c r="K177" s="42" t="n">
        <f aca="false">IF(OR($A177="",K$13=""),0,SUMIFS(MVT_NET,MVT_LOT,$A177,MVT_EMPL,K$13))</f>
        <v>0</v>
      </c>
      <c r="L177" s="42" t="n">
        <f aca="false">IF(OR($A177="",L$13=""),0,SUMIFS(MVT_NET,MVT_LOT,$A177,MVT_EMPL,L$13))</f>
        <v>0</v>
      </c>
      <c r="M177" s="42" t="n">
        <f aca="false">IF(OR($A177="",M$13=""),0,SUMIFS(MVT_NET,MVT_LOT,$A177,MVT_EMPL,M$13))</f>
        <v>0</v>
      </c>
      <c r="N177" s="43" t="n">
        <f aca="false">SUM($B177:$M177)</f>
        <v>0</v>
      </c>
      <c r="O177" s="44" t="n">
        <f aca="false">SUMPRODUCT(($B$12:$M$12="INTERNE")*$B177:$M177)</f>
        <v>0</v>
      </c>
      <c r="P177" s="44" t="n">
        <f aca="false">SUMPRODUCT(($B$12:$M$12="EXTERNE")*$B177:$M177)</f>
        <v>0</v>
      </c>
      <c r="Q177" s="44" t="n">
        <f aca="false">IF($A177="",0,SUMIFS(ST_ENCOURS,ST_LOT,$A177))</f>
        <v>0</v>
      </c>
      <c r="R177" s="45" t="str">
        <f aca="false">IF($A177="","",IF($N177&lt;-0.001,"STOCK NEGATIF - ANOMALIE",""))</f>
        <v/>
      </c>
    </row>
    <row r="178" customFormat="false" ht="15" hidden="false" customHeight="false" outlineLevel="0" collapsed="false">
      <c r="A178" s="41" t="str">
        <f aca="false">IF(LOTS!$A169="","",LOTS!$A169)</f>
        <v/>
      </c>
      <c r="B178" s="42" t="n">
        <f aca="false">IF(OR($A178="",B$13=""),0,SUMIFS(MVT_NET,MVT_LOT,$A178,MVT_EMPL,B$13))</f>
        <v>0</v>
      </c>
      <c r="C178" s="42" t="n">
        <f aca="false">IF(OR($A178="",C$13=""),0,SUMIFS(MVT_NET,MVT_LOT,$A178,MVT_EMPL,C$13))</f>
        <v>0</v>
      </c>
      <c r="D178" s="42" t="n">
        <f aca="false">IF(OR($A178="",D$13=""),0,SUMIFS(MVT_NET,MVT_LOT,$A178,MVT_EMPL,D$13))</f>
        <v>0</v>
      </c>
      <c r="E178" s="42" t="n">
        <f aca="false">IF(OR($A178="",E$13=""),0,SUMIFS(MVT_NET,MVT_LOT,$A178,MVT_EMPL,E$13))</f>
        <v>0</v>
      </c>
      <c r="F178" s="42" t="n">
        <f aca="false">IF(OR($A178="",F$13=""),0,SUMIFS(MVT_NET,MVT_LOT,$A178,MVT_EMPL,F$13))</f>
        <v>0</v>
      </c>
      <c r="G178" s="42" t="n">
        <f aca="false">IF(OR($A178="",G$13=""),0,SUMIFS(MVT_NET,MVT_LOT,$A178,MVT_EMPL,G$13))</f>
        <v>0</v>
      </c>
      <c r="H178" s="42" t="n">
        <f aca="false">IF(OR($A178="",H$13=""),0,SUMIFS(MVT_NET,MVT_LOT,$A178,MVT_EMPL,H$13))</f>
        <v>0</v>
      </c>
      <c r="I178" s="42" t="n">
        <f aca="false">IF(OR($A178="",I$13=""),0,SUMIFS(MVT_NET,MVT_LOT,$A178,MVT_EMPL,I$13))</f>
        <v>0</v>
      </c>
      <c r="J178" s="42" t="n">
        <f aca="false">IF(OR($A178="",J$13=""),0,SUMIFS(MVT_NET,MVT_LOT,$A178,MVT_EMPL,J$13))</f>
        <v>0</v>
      </c>
      <c r="K178" s="42" t="n">
        <f aca="false">IF(OR($A178="",K$13=""),0,SUMIFS(MVT_NET,MVT_LOT,$A178,MVT_EMPL,K$13))</f>
        <v>0</v>
      </c>
      <c r="L178" s="42" t="n">
        <f aca="false">IF(OR($A178="",L$13=""),0,SUMIFS(MVT_NET,MVT_LOT,$A178,MVT_EMPL,L$13))</f>
        <v>0</v>
      </c>
      <c r="M178" s="42" t="n">
        <f aca="false">IF(OR($A178="",M$13=""),0,SUMIFS(MVT_NET,MVT_LOT,$A178,MVT_EMPL,M$13))</f>
        <v>0</v>
      </c>
      <c r="N178" s="43" t="n">
        <f aca="false">SUM($B178:$M178)</f>
        <v>0</v>
      </c>
      <c r="O178" s="44" t="n">
        <f aca="false">SUMPRODUCT(($B$12:$M$12="INTERNE")*$B178:$M178)</f>
        <v>0</v>
      </c>
      <c r="P178" s="44" t="n">
        <f aca="false">SUMPRODUCT(($B$12:$M$12="EXTERNE")*$B178:$M178)</f>
        <v>0</v>
      </c>
      <c r="Q178" s="44" t="n">
        <f aca="false">IF($A178="",0,SUMIFS(ST_ENCOURS,ST_LOT,$A178))</f>
        <v>0</v>
      </c>
      <c r="R178" s="45" t="str">
        <f aca="false">IF($A178="","",IF($N178&lt;-0.001,"STOCK NEGATIF - ANOMALIE",""))</f>
        <v/>
      </c>
    </row>
    <row r="179" customFormat="false" ht="15" hidden="false" customHeight="false" outlineLevel="0" collapsed="false">
      <c r="A179" s="41" t="str">
        <f aca="false">IF(LOTS!$A170="","",LOTS!$A170)</f>
        <v/>
      </c>
      <c r="B179" s="42" t="n">
        <f aca="false">IF(OR($A179="",B$13=""),0,SUMIFS(MVT_NET,MVT_LOT,$A179,MVT_EMPL,B$13))</f>
        <v>0</v>
      </c>
      <c r="C179" s="42" t="n">
        <f aca="false">IF(OR($A179="",C$13=""),0,SUMIFS(MVT_NET,MVT_LOT,$A179,MVT_EMPL,C$13))</f>
        <v>0</v>
      </c>
      <c r="D179" s="42" t="n">
        <f aca="false">IF(OR($A179="",D$13=""),0,SUMIFS(MVT_NET,MVT_LOT,$A179,MVT_EMPL,D$13))</f>
        <v>0</v>
      </c>
      <c r="E179" s="42" t="n">
        <f aca="false">IF(OR($A179="",E$13=""),0,SUMIFS(MVT_NET,MVT_LOT,$A179,MVT_EMPL,E$13))</f>
        <v>0</v>
      </c>
      <c r="F179" s="42" t="n">
        <f aca="false">IF(OR($A179="",F$13=""),0,SUMIFS(MVT_NET,MVT_LOT,$A179,MVT_EMPL,F$13))</f>
        <v>0</v>
      </c>
      <c r="G179" s="42" t="n">
        <f aca="false">IF(OR($A179="",G$13=""),0,SUMIFS(MVT_NET,MVT_LOT,$A179,MVT_EMPL,G$13))</f>
        <v>0</v>
      </c>
      <c r="H179" s="42" t="n">
        <f aca="false">IF(OR($A179="",H$13=""),0,SUMIFS(MVT_NET,MVT_LOT,$A179,MVT_EMPL,H$13))</f>
        <v>0</v>
      </c>
      <c r="I179" s="42" t="n">
        <f aca="false">IF(OR($A179="",I$13=""),0,SUMIFS(MVT_NET,MVT_LOT,$A179,MVT_EMPL,I$13))</f>
        <v>0</v>
      </c>
      <c r="J179" s="42" t="n">
        <f aca="false">IF(OR($A179="",J$13=""),0,SUMIFS(MVT_NET,MVT_LOT,$A179,MVT_EMPL,J$13))</f>
        <v>0</v>
      </c>
      <c r="K179" s="42" t="n">
        <f aca="false">IF(OR($A179="",K$13=""),0,SUMIFS(MVT_NET,MVT_LOT,$A179,MVT_EMPL,K$13))</f>
        <v>0</v>
      </c>
      <c r="L179" s="42" t="n">
        <f aca="false">IF(OR($A179="",L$13=""),0,SUMIFS(MVT_NET,MVT_LOT,$A179,MVT_EMPL,L$13))</f>
        <v>0</v>
      </c>
      <c r="M179" s="42" t="n">
        <f aca="false">IF(OR($A179="",M$13=""),0,SUMIFS(MVT_NET,MVT_LOT,$A179,MVT_EMPL,M$13))</f>
        <v>0</v>
      </c>
      <c r="N179" s="43" t="n">
        <f aca="false">SUM($B179:$M179)</f>
        <v>0</v>
      </c>
      <c r="O179" s="44" t="n">
        <f aca="false">SUMPRODUCT(($B$12:$M$12="INTERNE")*$B179:$M179)</f>
        <v>0</v>
      </c>
      <c r="P179" s="44" t="n">
        <f aca="false">SUMPRODUCT(($B$12:$M$12="EXTERNE")*$B179:$M179)</f>
        <v>0</v>
      </c>
      <c r="Q179" s="44" t="n">
        <f aca="false">IF($A179="",0,SUMIFS(ST_ENCOURS,ST_LOT,$A179))</f>
        <v>0</v>
      </c>
      <c r="R179" s="45" t="str">
        <f aca="false">IF($A179="","",IF($N179&lt;-0.001,"STOCK NEGATIF - ANOMALIE",""))</f>
        <v/>
      </c>
    </row>
    <row r="180" customFormat="false" ht="15" hidden="false" customHeight="false" outlineLevel="0" collapsed="false">
      <c r="A180" s="41" t="str">
        <f aca="false">IF(LOTS!$A171="","",LOTS!$A171)</f>
        <v/>
      </c>
      <c r="B180" s="42" t="n">
        <f aca="false">IF(OR($A180="",B$13=""),0,SUMIFS(MVT_NET,MVT_LOT,$A180,MVT_EMPL,B$13))</f>
        <v>0</v>
      </c>
      <c r="C180" s="42" t="n">
        <f aca="false">IF(OR($A180="",C$13=""),0,SUMIFS(MVT_NET,MVT_LOT,$A180,MVT_EMPL,C$13))</f>
        <v>0</v>
      </c>
      <c r="D180" s="42" t="n">
        <f aca="false">IF(OR($A180="",D$13=""),0,SUMIFS(MVT_NET,MVT_LOT,$A180,MVT_EMPL,D$13))</f>
        <v>0</v>
      </c>
      <c r="E180" s="42" t="n">
        <f aca="false">IF(OR($A180="",E$13=""),0,SUMIFS(MVT_NET,MVT_LOT,$A180,MVT_EMPL,E$13))</f>
        <v>0</v>
      </c>
      <c r="F180" s="42" t="n">
        <f aca="false">IF(OR($A180="",F$13=""),0,SUMIFS(MVT_NET,MVT_LOT,$A180,MVT_EMPL,F$13))</f>
        <v>0</v>
      </c>
      <c r="G180" s="42" t="n">
        <f aca="false">IF(OR($A180="",G$13=""),0,SUMIFS(MVT_NET,MVT_LOT,$A180,MVT_EMPL,G$13))</f>
        <v>0</v>
      </c>
      <c r="H180" s="42" t="n">
        <f aca="false">IF(OR($A180="",H$13=""),0,SUMIFS(MVT_NET,MVT_LOT,$A180,MVT_EMPL,H$13))</f>
        <v>0</v>
      </c>
      <c r="I180" s="42" t="n">
        <f aca="false">IF(OR($A180="",I$13=""),0,SUMIFS(MVT_NET,MVT_LOT,$A180,MVT_EMPL,I$13))</f>
        <v>0</v>
      </c>
      <c r="J180" s="42" t="n">
        <f aca="false">IF(OR($A180="",J$13=""),0,SUMIFS(MVT_NET,MVT_LOT,$A180,MVT_EMPL,J$13))</f>
        <v>0</v>
      </c>
      <c r="K180" s="42" t="n">
        <f aca="false">IF(OR($A180="",K$13=""),0,SUMIFS(MVT_NET,MVT_LOT,$A180,MVT_EMPL,K$13))</f>
        <v>0</v>
      </c>
      <c r="L180" s="42" t="n">
        <f aca="false">IF(OR($A180="",L$13=""),0,SUMIFS(MVT_NET,MVT_LOT,$A180,MVT_EMPL,L$13))</f>
        <v>0</v>
      </c>
      <c r="M180" s="42" t="n">
        <f aca="false">IF(OR($A180="",M$13=""),0,SUMIFS(MVT_NET,MVT_LOT,$A180,MVT_EMPL,M$13))</f>
        <v>0</v>
      </c>
      <c r="N180" s="43" t="n">
        <f aca="false">SUM($B180:$M180)</f>
        <v>0</v>
      </c>
      <c r="O180" s="44" t="n">
        <f aca="false">SUMPRODUCT(($B$12:$M$12="INTERNE")*$B180:$M180)</f>
        <v>0</v>
      </c>
      <c r="P180" s="44" t="n">
        <f aca="false">SUMPRODUCT(($B$12:$M$12="EXTERNE")*$B180:$M180)</f>
        <v>0</v>
      </c>
      <c r="Q180" s="44" t="n">
        <f aca="false">IF($A180="",0,SUMIFS(ST_ENCOURS,ST_LOT,$A180))</f>
        <v>0</v>
      </c>
      <c r="R180" s="45" t="str">
        <f aca="false">IF($A180="","",IF($N180&lt;-0.001,"STOCK NEGATIF - ANOMALIE",""))</f>
        <v/>
      </c>
    </row>
    <row r="181" customFormat="false" ht="15" hidden="false" customHeight="false" outlineLevel="0" collapsed="false">
      <c r="A181" s="41" t="str">
        <f aca="false">IF(LOTS!$A172="","",LOTS!$A172)</f>
        <v/>
      </c>
      <c r="B181" s="42" t="n">
        <f aca="false">IF(OR($A181="",B$13=""),0,SUMIFS(MVT_NET,MVT_LOT,$A181,MVT_EMPL,B$13))</f>
        <v>0</v>
      </c>
      <c r="C181" s="42" t="n">
        <f aca="false">IF(OR($A181="",C$13=""),0,SUMIFS(MVT_NET,MVT_LOT,$A181,MVT_EMPL,C$13))</f>
        <v>0</v>
      </c>
      <c r="D181" s="42" t="n">
        <f aca="false">IF(OR($A181="",D$13=""),0,SUMIFS(MVT_NET,MVT_LOT,$A181,MVT_EMPL,D$13))</f>
        <v>0</v>
      </c>
      <c r="E181" s="42" t="n">
        <f aca="false">IF(OR($A181="",E$13=""),0,SUMIFS(MVT_NET,MVT_LOT,$A181,MVT_EMPL,E$13))</f>
        <v>0</v>
      </c>
      <c r="F181" s="42" t="n">
        <f aca="false">IF(OR($A181="",F$13=""),0,SUMIFS(MVT_NET,MVT_LOT,$A181,MVT_EMPL,F$13))</f>
        <v>0</v>
      </c>
      <c r="G181" s="42" t="n">
        <f aca="false">IF(OR($A181="",G$13=""),0,SUMIFS(MVT_NET,MVT_LOT,$A181,MVT_EMPL,G$13))</f>
        <v>0</v>
      </c>
      <c r="H181" s="42" t="n">
        <f aca="false">IF(OR($A181="",H$13=""),0,SUMIFS(MVT_NET,MVT_LOT,$A181,MVT_EMPL,H$13))</f>
        <v>0</v>
      </c>
      <c r="I181" s="42" t="n">
        <f aca="false">IF(OR($A181="",I$13=""),0,SUMIFS(MVT_NET,MVT_LOT,$A181,MVT_EMPL,I$13))</f>
        <v>0</v>
      </c>
      <c r="J181" s="42" t="n">
        <f aca="false">IF(OR($A181="",J$13=""),0,SUMIFS(MVT_NET,MVT_LOT,$A181,MVT_EMPL,J$13))</f>
        <v>0</v>
      </c>
      <c r="K181" s="42" t="n">
        <f aca="false">IF(OR($A181="",K$13=""),0,SUMIFS(MVT_NET,MVT_LOT,$A181,MVT_EMPL,K$13))</f>
        <v>0</v>
      </c>
      <c r="L181" s="42" t="n">
        <f aca="false">IF(OR($A181="",L$13=""),0,SUMIFS(MVT_NET,MVT_LOT,$A181,MVT_EMPL,L$13))</f>
        <v>0</v>
      </c>
      <c r="M181" s="42" t="n">
        <f aca="false">IF(OR($A181="",M$13=""),0,SUMIFS(MVT_NET,MVT_LOT,$A181,MVT_EMPL,M$13))</f>
        <v>0</v>
      </c>
      <c r="N181" s="43" t="n">
        <f aca="false">SUM($B181:$M181)</f>
        <v>0</v>
      </c>
      <c r="O181" s="44" t="n">
        <f aca="false">SUMPRODUCT(($B$12:$M$12="INTERNE")*$B181:$M181)</f>
        <v>0</v>
      </c>
      <c r="P181" s="44" t="n">
        <f aca="false">SUMPRODUCT(($B$12:$M$12="EXTERNE")*$B181:$M181)</f>
        <v>0</v>
      </c>
      <c r="Q181" s="44" t="n">
        <f aca="false">IF($A181="",0,SUMIFS(ST_ENCOURS,ST_LOT,$A181))</f>
        <v>0</v>
      </c>
      <c r="R181" s="45" t="str">
        <f aca="false">IF($A181="","",IF($N181&lt;-0.001,"STOCK NEGATIF - ANOMALIE",""))</f>
        <v/>
      </c>
    </row>
    <row r="182" customFormat="false" ht="15" hidden="false" customHeight="false" outlineLevel="0" collapsed="false">
      <c r="A182" s="41" t="str">
        <f aca="false">IF(LOTS!$A173="","",LOTS!$A173)</f>
        <v/>
      </c>
      <c r="B182" s="42" t="n">
        <f aca="false">IF(OR($A182="",B$13=""),0,SUMIFS(MVT_NET,MVT_LOT,$A182,MVT_EMPL,B$13))</f>
        <v>0</v>
      </c>
      <c r="C182" s="42" t="n">
        <f aca="false">IF(OR($A182="",C$13=""),0,SUMIFS(MVT_NET,MVT_LOT,$A182,MVT_EMPL,C$13))</f>
        <v>0</v>
      </c>
      <c r="D182" s="42" t="n">
        <f aca="false">IF(OR($A182="",D$13=""),0,SUMIFS(MVT_NET,MVT_LOT,$A182,MVT_EMPL,D$13))</f>
        <v>0</v>
      </c>
      <c r="E182" s="42" t="n">
        <f aca="false">IF(OR($A182="",E$13=""),0,SUMIFS(MVT_NET,MVT_LOT,$A182,MVT_EMPL,E$13))</f>
        <v>0</v>
      </c>
      <c r="F182" s="42" t="n">
        <f aca="false">IF(OR($A182="",F$13=""),0,SUMIFS(MVT_NET,MVT_LOT,$A182,MVT_EMPL,F$13))</f>
        <v>0</v>
      </c>
      <c r="G182" s="42" t="n">
        <f aca="false">IF(OR($A182="",G$13=""),0,SUMIFS(MVT_NET,MVT_LOT,$A182,MVT_EMPL,G$13))</f>
        <v>0</v>
      </c>
      <c r="H182" s="42" t="n">
        <f aca="false">IF(OR($A182="",H$13=""),0,SUMIFS(MVT_NET,MVT_LOT,$A182,MVT_EMPL,H$13))</f>
        <v>0</v>
      </c>
      <c r="I182" s="42" t="n">
        <f aca="false">IF(OR($A182="",I$13=""),0,SUMIFS(MVT_NET,MVT_LOT,$A182,MVT_EMPL,I$13))</f>
        <v>0</v>
      </c>
      <c r="J182" s="42" t="n">
        <f aca="false">IF(OR($A182="",J$13=""),0,SUMIFS(MVT_NET,MVT_LOT,$A182,MVT_EMPL,J$13))</f>
        <v>0</v>
      </c>
      <c r="K182" s="42" t="n">
        <f aca="false">IF(OR($A182="",K$13=""),0,SUMIFS(MVT_NET,MVT_LOT,$A182,MVT_EMPL,K$13))</f>
        <v>0</v>
      </c>
      <c r="L182" s="42" t="n">
        <f aca="false">IF(OR($A182="",L$13=""),0,SUMIFS(MVT_NET,MVT_LOT,$A182,MVT_EMPL,L$13))</f>
        <v>0</v>
      </c>
      <c r="M182" s="42" t="n">
        <f aca="false">IF(OR($A182="",M$13=""),0,SUMIFS(MVT_NET,MVT_LOT,$A182,MVT_EMPL,M$13))</f>
        <v>0</v>
      </c>
      <c r="N182" s="43" t="n">
        <f aca="false">SUM($B182:$M182)</f>
        <v>0</v>
      </c>
      <c r="O182" s="44" t="n">
        <f aca="false">SUMPRODUCT(($B$12:$M$12="INTERNE")*$B182:$M182)</f>
        <v>0</v>
      </c>
      <c r="P182" s="44" t="n">
        <f aca="false">SUMPRODUCT(($B$12:$M$12="EXTERNE")*$B182:$M182)</f>
        <v>0</v>
      </c>
      <c r="Q182" s="44" t="n">
        <f aca="false">IF($A182="",0,SUMIFS(ST_ENCOURS,ST_LOT,$A182))</f>
        <v>0</v>
      </c>
      <c r="R182" s="45" t="str">
        <f aca="false">IF($A182="","",IF($N182&lt;-0.001,"STOCK NEGATIF - ANOMALIE",""))</f>
        <v/>
      </c>
    </row>
    <row r="183" customFormat="false" ht="15" hidden="false" customHeight="false" outlineLevel="0" collapsed="false">
      <c r="A183" s="41" t="str">
        <f aca="false">IF(LOTS!$A174="","",LOTS!$A174)</f>
        <v/>
      </c>
      <c r="B183" s="42" t="n">
        <f aca="false">IF(OR($A183="",B$13=""),0,SUMIFS(MVT_NET,MVT_LOT,$A183,MVT_EMPL,B$13))</f>
        <v>0</v>
      </c>
      <c r="C183" s="42" t="n">
        <f aca="false">IF(OR($A183="",C$13=""),0,SUMIFS(MVT_NET,MVT_LOT,$A183,MVT_EMPL,C$13))</f>
        <v>0</v>
      </c>
      <c r="D183" s="42" t="n">
        <f aca="false">IF(OR($A183="",D$13=""),0,SUMIFS(MVT_NET,MVT_LOT,$A183,MVT_EMPL,D$13))</f>
        <v>0</v>
      </c>
      <c r="E183" s="42" t="n">
        <f aca="false">IF(OR($A183="",E$13=""),0,SUMIFS(MVT_NET,MVT_LOT,$A183,MVT_EMPL,E$13))</f>
        <v>0</v>
      </c>
      <c r="F183" s="42" t="n">
        <f aca="false">IF(OR($A183="",F$13=""),0,SUMIFS(MVT_NET,MVT_LOT,$A183,MVT_EMPL,F$13))</f>
        <v>0</v>
      </c>
      <c r="G183" s="42" t="n">
        <f aca="false">IF(OR($A183="",G$13=""),0,SUMIFS(MVT_NET,MVT_LOT,$A183,MVT_EMPL,G$13))</f>
        <v>0</v>
      </c>
      <c r="H183" s="42" t="n">
        <f aca="false">IF(OR($A183="",H$13=""),0,SUMIFS(MVT_NET,MVT_LOT,$A183,MVT_EMPL,H$13))</f>
        <v>0</v>
      </c>
      <c r="I183" s="42" t="n">
        <f aca="false">IF(OR($A183="",I$13=""),0,SUMIFS(MVT_NET,MVT_LOT,$A183,MVT_EMPL,I$13))</f>
        <v>0</v>
      </c>
      <c r="J183" s="42" t="n">
        <f aca="false">IF(OR($A183="",J$13=""),0,SUMIFS(MVT_NET,MVT_LOT,$A183,MVT_EMPL,J$13))</f>
        <v>0</v>
      </c>
      <c r="K183" s="42" t="n">
        <f aca="false">IF(OR($A183="",K$13=""),0,SUMIFS(MVT_NET,MVT_LOT,$A183,MVT_EMPL,K$13))</f>
        <v>0</v>
      </c>
      <c r="L183" s="42" t="n">
        <f aca="false">IF(OR($A183="",L$13=""),0,SUMIFS(MVT_NET,MVT_LOT,$A183,MVT_EMPL,L$13))</f>
        <v>0</v>
      </c>
      <c r="M183" s="42" t="n">
        <f aca="false">IF(OR($A183="",M$13=""),0,SUMIFS(MVT_NET,MVT_LOT,$A183,MVT_EMPL,M$13))</f>
        <v>0</v>
      </c>
      <c r="N183" s="43" t="n">
        <f aca="false">SUM($B183:$M183)</f>
        <v>0</v>
      </c>
      <c r="O183" s="44" t="n">
        <f aca="false">SUMPRODUCT(($B$12:$M$12="INTERNE")*$B183:$M183)</f>
        <v>0</v>
      </c>
      <c r="P183" s="44" t="n">
        <f aca="false">SUMPRODUCT(($B$12:$M$12="EXTERNE")*$B183:$M183)</f>
        <v>0</v>
      </c>
      <c r="Q183" s="44" t="n">
        <f aca="false">IF($A183="",0,SUMIFS(ST_ENCOURS,ST_LOT,$A183))</f>
        <v>0</v>
      </c>
      <c r="R183" s="45" t="str">
        <f aca="false">IF($A183="","",IF($N183&lt;-0.001,"STOCK NEGATIF - ANOMALIE",""))</f>
        <v/>
      </c>
    </row>
    <row r="184" customFormat="false" ht="15" hidden="false" customHeight="false" outlineLevel="0" collapsed="false">
      <c r="A184" s="41" t="str">
        <f aca="false">IF(LOTS!$A175="","",LOTS!$A175)</f>
        <v/>
      </c>
      <c r="B184" s="42" t="n">
        <f aca="false">IF(OR($A184="",B$13=""),0,SUMIFS(MVT_NET,MVT_LOT,$A184,MVT_EMPL,B$13))</f>
        <v>0</v>
      </c>
      <c r="C184" s="42" t="n">
        <f aca="false">IF(OR($A184="",C$13=""),0,SUMIFS(MVT_NET,MVT_LOT,$A184,MVT_EMPL,C$13))</f>
        <v>0</v>
      </c>
      <c r="D184" s="42" t="n">
        <f aca="false">IF(OR($A184="",D$13=""),0,SUMIFS(MVT_NET,MVT_LOT,$A184,MVT_EMPL,D$13))</f>
        <v>0</v>
      </c>
      <c r="E184" s="42" t="n">
        <f aca="false">IF(OR($A184="",E$13=""),0,SUMIFS(MVT_NET,MVT_LOT,$A184,MVT_EMPL,E$13))</f>
        <v>0</v>
      </c>
      <c r="F184" s="42" t="n">
        <f aca="false">IF(OR($A184="",F$13=""),0,SUMIFS(MVT_NET,MVT_LOT,$A184,MVT_EMPL,F$13))</f>
        <v>0</v>
      </c>
      <c r="G184" s="42" t="n">
        <f aca="false">IF(OR($A184="",G$13=""),0,SUMIFS(MVT_NET,MVT_LOT,$A184,MVT_EMPL,G$13))</f>
        <v>0</v>
      </c>
      <c r="H184" s="42" t="n">
        <f aca="false">IF(OR($A184="",H$13=""),0,SUMIFS(MVT_NET,MVT_LOT,$A184,MVT_EMPL,H$13))</f>
        <v>0</v>
      </c>
      <c r="I184" s="42" t="n">
        <f aca="false">IF(OR($A184="",I$13=""),0,SUMIFS(MVT_NET,MVT_LOT,$A184,MVT_EMPL,I$13))</f>
        <v>0</v>
      </c>
      <c r="J184" s="42" t="n">
        <f aca="false">IF(OR($A184="",J$13=""),0,SUMIFS(MVT_NET,MVT_LOT,$A184,MVT_EMPL,J$13))</f>
        <v>0</v>
      </c>
      <c r="K184" s="42" t="n">
        <f aca="false">IF(OR($A184="",K$13=""),0,SUMIFS(MVT_NET,MVT_LOT,$A184,MVT_EMPL,K$13))</f>
        <v>0</v>
      </c>
      <c r="L184" s="42" t="n">
        <f aca="false">IF(OR($A184="",L$13=""),0,SUMIFS(MVT_NET,MVT_LOT,$A184,MVT_EMPL,L$13))</f>
        <v>0</v>
      </c>
      <c r="M184" s="42" t="n">
        <f aca="false">IF(OR($A184="",M$13=""),0,SUMIFS(MVT_NET,MVT_LOT,$A184,MVT_EMPL,M$13))</f>
        <v>0</v>
      </c>
      <c r="N184" s="43" t="n">
        <f aca="false">SUM($B184:$M184)</f>
        <v>0</v>
      </c>
      <c r="O184" s="44" t="n">
        <f aca="false">SUMPRODUCT(($B$12:$M$12="INTERNE")*$B184:$M184)</f>
        <v>0</v>
      </c>
      <c r="P184" s="44" t="n">
        <f aca="false">SUMPRODUCT(($B$12:$M$12="EXTERNE")*$B184:$M184)</f>
        <v>0</v>
      </c>
      <c r="Q184" s="44" t="n">
        <f aca="false">IF($A184="",0,SUMIFS(ST_ENCOURS,ST_LOT,$A184))</f>
        <v>0</v>
      </c>
      <c r="R184" s="45" t="str">
        <f aca="false">IF($A184="","",IF($N184&lt;-0.001,"STOCK NEGATIF - ANOMALIE",""))</f>
        <v/>
      </c>
    </row>
    <row r="185" customFormat="false" ht="15" hidden="false" customHeight="false" outlineLevel="0" collapsed="false">
      <c r="A185" s="41" t="str">
        <f aca="false">IF(LOTS!$A176="","",LOTS!$A176)</f>
        <v/>
      </c>
      <c r="B185" s="42" t="n">
        <f aca="false">IF(OR($A185="",B$13=""),0,SUMIFS(MVT_NET,MVT_LOT,$A185,MVT_EMPL,B$13))</f>
        <v>0</v>
      </c>
      <c r="C185" s="42" t="n">
        <f aca="false">IF(OR($A185="",C$13=""),0,SUMIFS(MVT_NET,MVT_LOT,$A185,MVT_EMPL,C$13))</f>
        <v>0</v>
      </c>
      <c r="D185" s="42" t="n">
        <f aca="false">IF(OR($A185="",D$13=""),0,SUMIFS(MVT_NET,MVT_LOT,$A185,MVT_EMPL,D$13))</f>
        <v>0</v>
      </c>
      <c r="E185" s="42" t="n">
        <f aca="false">IF(OR($A185="",E$13=""),0,SUMIFS(MVT_NET,MVT_LOT,$A185,MVT_EMPL,E$13))</f>
        <v>0</v>
      </c>
      <c r="F185" s="42" t="n">
        <f aca="false">IF(OR($A185="",F$13=""),0,SUMIFS(MVT_NET,MVT_LOT,$A185,MVT_EMPL,F$13))</f>
        <v>0</v>
      </c>
      <c r="G185" s="42" t="n">
        <f aca="false">IF(OR($A185="",G$13=""),0,SUMIFS(MVT_NET,MVT_LOT,$A185,MVT_EMPL,G$13))</f>
        <v>0</v>
      </c>
      <c r="H185" s="42" t="n">
        <f aca="false">IF(OR($A185="",H$13=""),0,SUMIFS(MVT_NET,MVT_LOT,$A185,MVT_EMPL,H$13))</f>
        <v>0</v>
      </c>
      <c r="I185" s="42" t="n">
        <f aca="false">IF(OR($A185="",I$13=""),0,SUMIFS(MVT_NET,MVT_LOT,$A185,MVT_EMPL,I$13))</f>
        <v>0</v>
      </c>
      <c r="J185" s="42" t="n">
        <f aca="false">IF(OR($A185="",J$13=""),0,SUMIFS(MVT_NET,MVT_LOT,$A185,MVT_EMPL,J$13))</f>
        <v>0</v>
      </c>
      <c r="K185" s="42" t="n">
        <f aca="false">IF(OR($A185="",K$13=""),0,SUMIFS(MVT_NET,MVT_LOT,$A185,MVT_EMPL,K$13))</f>
        <v>0</v>
      </c>
      <c r="L185" s="42" t="n">
        <f aca="false">IF(OR($A185="",L$13=""),0,SUMIFS(MVT_NET,MVT_LOT,$A185,MVT_EMPL,L$13))</f>
        <v>0</v>
      </c>
      <c r="M185" s="42" t="n">
        <f aca="false">IF(OR($A185="",M$13=""),0,SUMIFS(MVT_NET,MVT_LOT,$A185,MVT_EMPL,M$13))</f>
        <v>0</v>
      </c>
      <c r="N185" s="43" t="n">
        <f aca="false">SUM($B185:$M185)</f>
        <v>0</v>
      </c>
      <c r="O185" s="44" t="n">
        <f aca="false">SUMPRODUCT(($B$12:$M$12="INTERNE")*$B185:$M185)</f>
        <v>0</v>
      </c>
      <c r="P185" s="44" t="n">
        <f aca="false">SUMPRODUCT(($B$12:$M$12="EXTERNE")*$B185:$M185)</f>
        <v>0</v>
      </c>
      <c r="Q185" s="44" t="n">
        <f aca="false">IF($A185="",0,SUMIFS(ST_ENCOURS,ST_LOT,$A185))</f>
        <v>0</v>
      </c>
      <c r="R185" s="45" t="str">
        <f aca="false">IF($A185="","",IF($N185&lt;-0.001,"STOCK NEGATIF - ANOMALIE",""))</f>
        <v/>
      </c>
    </row>
    <row r="186" customFormat="false" ht="15" hidden="false" customHeight="false" outlineLevel="0" collapsed="false">
      <c r="A186" s="41" t="str">
        <f aca="false">IF(LOTS!$A177="","",LOTS!$A177)</f>
        <v/>
      </c>
      <c r="B186" s="42" t="n">
        <f aca="false">IF(OR($A186="",B$13=""),0,SUMIFS(MVT_NET,MVT_LOT,$A186,MVT_EMPL,B$13))</f>
        <v>0</v>
      </c>
      <c r="C186" s="42" t="n">
        <f aca="false">IF(OR($A186="",C$13=""),0,SUMIFS(MVT_NET,MVT_LOT,$A186,MVT_EMPL,C$13))</f>
        <v>0</v>
      </c>
      <c r="D186" s="42" t="n">
        <f aca="false">IF(OR($A186="",D$13=""),0,SUMIFS(MVT_NET,MVT_LOT,$A186,MVT_EMPL,D$13))</f>
        <v>0</v>
      </c>
      <c r="E186" s="42" t="n">
        <f aca="false">IF(OR($A186="",E$13=""),0,SUMIFS(MVT_NET,MVT_LOT,$A186,MVT_EMPL,E$13))</f>
        <v>0</v>
      </c>
      <c r="F186" s="42" t="n">
        <f aca="false">IF(OR($A186="",F$13=""),0,SUMIFS(MVT_NET,MVT_LOT,$A186,MVT_EMPL,F$13))</f>
        <v>0</v>
      </c>
      <c r="G186" s="42" t="n">
        <f aca="false">IF(OR($A186="",G$13=""),0,SUMIFS(MVT_NET,MVT_LOT,$A186,MVT_EMPL,G$13))</f>
        <v>0</v>
      </c>
      <c r="H186" s="42" t="n">
        <f aca="false">IF(OR($A186="",H$13=""),0,SUMIFS(MVT_NET,MVT_LOT,$A186,MVT_EMPL,H$13))</f>
        <v>0</v>
      </c>
      <c r="I186" s="42" t="n">
        <f aca="false">IF(OR($A186="",I$13=""),0,SUMIFS(MVT_NET,MVT_LOT,$A186,MVT_EMPL,I$13))</f>
        <v>0</v>
      </c>
      <c r="J186" s="42" t="n">
        <f aca="false">IF(OR($A186="",J$13=""),0,SUMIFS(MVT_NET,MVT_LOT,$A186,MVT_EMPL,J$13))</f>
        <v>0</v>
      </c>
      <c r="K186" s="42" t="n">
        <f aca="false">IF(OR($A186="",K$13=""),0,SUMIFS(MVT_NET,MVT_LOT,$A186,MVT_EMPL,K$13))</f>
        <v>0</v>
      </c>
      <c r="L186" s="42" t="n">
        <f aca="false">IF(OR($A186="",L$13=""),0,SUMIFS(MVT_NET,MVT_LOT,$A186,MVT_EMPL,L$13))</f>
        <v>0</v>
      </c>
      <c r="M186" s="42" t="n">
        <f aca="false">IF(OR($A186="",M$13=""),0,SUMIFS(MVT_NET,MVT_LOT,$A186,MVT_EMPL,M$13))</f>
        <v>0</v>
      </c>
      <c r="N186" s="43" t="n">
        <f aca="false">SUM($B186:$M186)</f>
        <v>0</v>
      </c>
      <c r="O186" s="44" t="n">
        <f aca="false">SUMPRODUCT(($B$12:$M$12="INTERNE")*$B186:$M186)</f>
        <v>0</v>
      </c>
      <c r="P186" s="44" t="n">
        <f aca="false">SUMPRODUCT(($B$12:$M$12="EXTERNE")*$B186:$M186)</f>
        <v>0</v>
      </c>
      <c r="Q186" s="44" t="n">
        <f aca="false">IF($A186="",0,SUMIFS(ST_ENCOURS,ST_LOT,$A186))</f>
        <v>0</v>
      </c>
      <c r="R186" s="45" t="str">
        <f aca="false">IF($A186="","",IF($N186&lt;-0.001,"STOCK NEGATIF - ANOMALIE",""))</f>
        <v/>
      </c>
    </row>
    <row r="187" customFormat="false" ht="15" hidden="false" customHeight="false" outlineLevel="0" collapsed="false">
      <c r="A187" s="41" t="str">
        <f aca="false">IF(LOTS!$A178="","",LOTS!$A178)</f>
        <v/>
      </c>
      <c r="B187" s="42" t="n">
        <f aca="false">IF(OR($A187="",B$13=""),0,SUMIFS(MVT_NET,MVT_LOT,$A187,MVT_EMPL,B$13))</f>
        <v>0</v>
      </c>
      <c r="C187" s="42" t="n">
        <f aca="false">IF(OR($A187="",C$13=""),0,SUMIFS(MVT_NET,MVT_LOT,$A187,MVT_EMPL,C$13))</f>
        <v>0</v>
      </c>
      <c r="D187" s="42" t="n">
        <f aca="false">IF(OR($A187="",D$13=""),0,SUMIFS(MVT_NET,MVT_LOT,$A187,MVT_EMPL,D$13))</f>
        <v>0</v>
      </c>
      <c r="E187" s="42" t="n">
        <f aca="false">IF(OR($A187="",E$13=""),0,SUMIFS(MVT_NET,MVT_LOT,$A187,MVT_EMPL,E$13))</f>
        <v>0</v>
      </c>
      <c r="F187" s="42" t="n">
        <f aca="false">IF(OR($A187="",F$13=""),0,SUMIFS(MVT_NET,MVT_LOT,$A187,MVT_EMPL,F$13))</f>
        <v>0</v>
      </c>
      <c r="G187" s="42" t="n">
        <f aca="false">IF(OR($A187="",G$13=""),0,SUMIFS(MVT_NET,MVT_LOT,$A187,MVT_EMPL,G$13))</f>
        <v>0</v>
      </c>
      <c r="H187" s="42" t="n">
        <f aca="false">IF(OR($A187="",H$13=""),0,SUMIFS(MVT_NET,MVT_LOT,$A187,MVT_EMPL,H$13))</f>
        <v>0</v>
      </c>
      <c r="I187" s="42" t="n">
        <f aca="false">IF(OR($A187="",I$13=""),0,SUMIFS(MVT_NET,MVT_LOT,$A187,MVT_EMPL,I$13))</f>
        <v>0</v>
      </c>
      <c r="J187" s="42" t="n">
        <f aca="false">IF(OR($A187="",J$13=""),0,SUMIFS(MVT_NET,MVT_LOT,$A187,MVT_EMPL,J$13))</f>
        <v>0</v>
      </c>
      <c r="K187" s="42" t="n">
        <f aca="false">IF(OR($A187="",K$13=""),0,SUMIFS(MVT_NET,MVT_LOT,$A187,MVT_EMPL,K$13))</f>
        <v>0</v>
      </c>
      <c r="L187" s="42" t="n">
        <f aca="false">IF(OR($A187="",L$13=""),0,SUMIFS(MVT_NET,MVT_LOT,$A187,MVT_EMPL,L$13))</f>
        <v>0</v>
      </c>
      <c r="M187" s="42" t="n">
        <f aca="false">IF(OR($A187="",M$13=""),0,SUMIFS(MVT_NET,MVT_LOT,$A187,MVT_EMPL,M$13))</f>
        <v>0</v>
      </c>
      <c r="N187" s="43" t="n">
        <f aca="false">SUM($B187:$M187)</f>
        <v>0</v>
      </c>
      <c r="O187" s="44" t="n">
        <f aca="false">SUMPRODUCT(($B$12:$M$12="INTERNE")*$B187:$M187)</f>
        <v>0</v>
      </c>
      <c r="P187" s="44" t="n">
        <f aca="false">SUMPRODUCT(($B$12:$M$12="EXTERNE")*$B187:$M187)</f>
        <v>0</v>
      </c>
      <c r="Q187" s="44" t="n">
        <f aca="false">IF($A187="",0,SUMIFS(ST_ENCOURS,ST_LOT,$A187))</f>
        <v>0</v>
      </c>
      <c r="R187" s="45" t="str">
        <f aca="false">IF($A187="","",IF($N187&lt;-0.001,"STOCK NEGATIF - ANOMALIE",""))</f>
        <v/>
      </c>
    </row>
    <row r="188" customFormat="false" ht="15" hidden="false" customHeight="false" outlineLevel="0" collapsed="false">
      <c r="A188" s="41" t="str">
        <f aca="false">IF(LOTS!$A179="","",LOTS!$A179)</f>
        <v/>
      </c>
      <c r="B188" s="42" t="n">
        <f aca="false">IF(OR($A188="",B$13=""),0,SUMIFS(MVT_NET,MVT_LOT,$A188,MVT_EMPL,B$13))</f>
        <v>0</v>
      </c>
      <c r="C188" s="42" t="n">
        <f aca="false">IF(OR($A188="",C$13=""),0,SUMIFS(MVT_NET,MVT_LOT,$A188,MVT_EMPL,C$13))</f>
        <v>0</v>
      </c>
      <c r="D188" s="42" t="n">
        <f aca="false">IF(OR($A188="",D$13=""),0,SUMIFS(MVT_NET,MVT_LOT,$A188,MVT_EMPL,D$13))</f>
        <v>0</v>
      </c>
      <c r="E188" s="42" t="n">
        <f aca="false">IF(OR($A188="",E$13=""),0,SUMIFS(MVT_NET,MVT_LOT,$A188,MVT_EMPL,E$13))</f>
        <v>0</v>
      </c>
      <c r="F188" s="42" t="n">
        <f aca="false">IF(OR($A188="",F$13=""),0,SUMIFS(MVT_NET,MVT_LOT,$A188,MVT_EMPL,F$13))</f>
        <v>0</v>
      </c>
      <c r="G188" s="42" t="n">
        <f aca="false">IF(OR($A188="",G$13=""),0,SUMIFS(MVT_NET,MVT_LOT,$A188,MVT_EMPL,G$13))</f>
        <v>0</v>
      </c>
      <c r="H188" s="42" t="n">
        <f aca="false">IF(OR($A188="",H$13=""),0,SUMIFS(MVT_NET,MVT_LOT,$A188,MVT_EMPL,H$13))</f>
        <v>0</v>
      </c>
      <c r="I188" s="42" t="n">
        <f aca="false">IF(OR($A188="",I$13=""),0,SUMIFS(MVT_NET,MVT_LOT,$A188,MVT_EMPL,I$13))</f>
        <v>0</v>
      </c>
      <c r="J188" s="42" t="n">
        <f aca="false">IF(OR($A188="",J$13=""),0,SUMIFS(MVT_NET,MVT_LOT,$A188,MVT_EMPL,J$13))</f>
        <v>0</v>
      </c>
      <c r="K188" s="42" t="n">
        <f aca="false">IF(OR($A188="",K$13=""),0,SUMIFS(MVT_NET,MVT_LOT,$A188,MVT_EMPL,K$13))</f>
        <v>0</v>
      </c>
      <c r="L188" s="42" t="n">
        <f aca="false">IF(OR($A188="",L$13=""),0,SUMIFS(MVT_NET,MVT_LOT,$A188,MVT_EMPL,L$13))</f>
        <v>0</v>
      </c>
      <c r="M188" s="42" t="n">
        <f aca="false">IF(OR($A188="",M$13=""),0,SUMIFS(MVT_NET,MVT_LOT,$A188,MVT_EMPL,M$13))</f>
        <v>0</v>
      </c>
      <c r="N188" s="43" t="n">
        <f aca="false">SUM($B188:$M188)</f>
        <v>0</v>
      </c>
      <c r="O188" s="44" t="n">
        <f aca="false">SUMPRODUCT(($B$12:$M$12="INTERNE")*$B188:$M188)</f>
        <v>0</v>
      </c>
      <c r="P188" s="44" t="n">
        <f aca="false">SUMPRODUCT(($B$12:$M$12="EXTERNE")*$B188:$M188)</f>
        <v>0</v>
      </c>
      <c r="Q188" s="44" t="n">
        <f aca="false">IF($A188="",0,SUMIFS(ST_ENCOURS,ST_LOT,$A188))</f>
        <v>0</v>
      </c>
      <c r="R188" s="45" t="str">
        <f aca="false">IF($A188="","",IF($N188&lt;-0.001,"STOCK NEGATIF - ANOMALIE",""))</f>
        <v/>
      </c>
    </row>
    <row r="189" customFormat="false" ht="15" hidden="false" customHeight="false" outlineLevel="0" collapsed="false">
      <c r="A189" s="41" t="str">
        <f aca="false">IF(LOTS!$A180="","",LOTS!$A180)</f>
        <v/>
      </c>
      <c r="B189" s="42" t="n">
        <f aca="false">IF(OR($A189="",B$13=""),0,SUMIFS(MVT_NET,MVT_LOT,$A189,MVT_EMPL,B$13))</f>
        <v>0</v>
      </c>
      <c r="C189" s="42" t="n">
        <f aca="false">IF(OR($A189="",C$13=""),0,SUMIFS(MVT_NET,MVT_LOT,$A189,MVT_EMPL,C$13))</f>
        <v>0</v>
      </c>
      <c r="D189" s="42" t="n">
        <f aca="false">IF(OR($A189="",D$13=""),0,SUMIFS(MVT_NET,MVT_LOT,$A189,MVT_EMPL,D$13))</f>
        <v>0</v>
      </c>
      <c r="E189" s="42" t="n">
        <f aca="false">IF(OR($A189="",E$13=""),0,SUMIFS(MVT_NET,MVT_LOT,$A189,MVT_EMPL,E$13))</f>
        <v>0</v>
      </c>
      <c r="F189" s="42" t="n">
        <f aca="false">IF(OR($A189="",F$13=""),0,SUMIFS(MVT_NET,MVT_LOT,$A189,MVT_EMPL,F$13))</f>
        <v>0</v>
      </c>
      <c r="G189" s="42" t="n">
        <f aca="false">IF(OR($A189="",G$13=""),0,SUMIFS(MVT_NET,MVT_LOT,$A189,MVT_EMPL,G$13))</f>
        <v>0</v>
      </c>
      <c r="H189" s="42" t="n">
        <f aca="false">IF(OR($A189="",H$13=""),0,SUMIFS(MVT_NET,MVT_LOT,$A189,MVT_EMPL,H$13))</f>
        <v>0</v>
      </c>
      <c r="I189" s="42" t="n">
        <f aca="false">IF(OR($A189="",I$13=""),0,SUMIFS(MVT_NET,MVT_LOT,$A189,MVT_EMPL,I$13))</f>
        <v>0</v>
      </c>
      <c r="J189" s="42" t="n">
        <f aca="false">IF(OR($A189="",J$13=""),0,SUMIFS(MVT_NET,MVT_LOT,$A189,MVT_EMPL,J$13))</f>
        <v>0</v>
      </c>
      <c r="K189" s="42" t="n">
        <f aca="false">IF(OR($A189="",K$13=""),0,SUMIFS(MVT_NET,MVT_LOT,$A189,MVT_EMPL,K$13))</f>
        <v>0</v>
      </c>
      <c r="L189" s="42" t="n">
        <f aca="false">IF(OR($A189="",L$13=""),0,SUMIFS(MVT_NET,MVT_LOT,$A189,MVT_EMPL,L$13))</f>
        <v>0</v>
      </c>
      <c r="M189" s="42" t="n">
        <f aca="false">IF(OR($A189="",M$13=""),0,SUMIFS(MVT_NET,MVT_LOT,$A189,MVT_EMPL,M$13))</f>
        <v>0</v>
      </c>
      <c r="N189" s="43" t="n">
        <f aca="false">SUM($B189:$M189)</f>
        <v>0</v>
      </c>
      <c r="O189" s="44" t="n">
        <f aca="false">SUMPRODUCT(($B$12:$M$12="INTERNE")*$B189:$M189)</f>
        <v>0</v>
      </c>
      <c r="P189" s="44" t="n">
        <f aca="false">SUMPRODUCT(($B$12:$M$12="EXTERNE")*$B189:$M189)</f>
        <v>0</v>
      </c>
      <c r="Q189" s="44" t="n">
        <f aca="false">IF($A189="",0,SUMIFS(ST_ENCOURS,ST_LOT,$A189))</f>
        <v>0</v>
      </c>
      <c r="R189" s="45" t="str">
        <f aca="false">IF($A189="","",IF($N189&lt;-0.001,"STOCK NEGATIF - ANOMALIE",""))</f>
        <v/>
      </c>
    </row>
    <row r="190" customFormat="false" ht="15" hidden="false" customHeight="false" outlineLevel="0" collapsed="false">
      <c r="A190" s="41" t="str">
        <f aca="false">IF(LOTS!$A181="","",LOTS!$A181)</f>
        <v/>
      </c>
      <c r="B190" s="42" t="n">
        <f aca="false">IF(OR($A190="",B$13=""),0,SUMIFS(MVT_NET,MVT_LOT,$A190,MVT_EMPL,B$13))</f>
        <v>0</v>
      </c>
      <c r="C190" s="42" t="n">
        <f aca="false">IF(OR($A190="",C$13=""),0,SUMIFS(MVT_NET,MVT_LOT,$A190,MVT_EMPL,C$13))</f>
        <v>0</v>
      </c>
      <c r="D190" s="42" t="n">
        <f aca="false">IF(OR($A190="",D$13=""),0,SUMIFS(MVT_NET,MVT_LOT,$A190,MVT_EMPL,D$13))</f>
        <v>0</v>
      </c>
      <c r="E190" s="42" t="n">
        <f aca="false">IF(OR($A190="",E$13=""),0,SUMIFS(MVT_NET,MVT_LOT,$A190,MVT_EMPL,E$13))</f>
        <v>0</v>
      </c>
      <c r="F190" s="42" t="n">
        <f aca="false">IF(OR($A190="",F$13=""),0,SUMIFS(MVT_NET,MVT_LOT,$A190,MVT_EMPL,F$13))</f>
        <v>0</v>
      </c>
      <c r="G190" s="42" t="n">
        <f aca="false">IF(OR($A190="",G$13=""),0,SUMIFS(MVT_NET,MVT_LOT,$A190,MVT_EMPL,G$13))</f>
        <v>0</v>
      </c>
      <c r="H190" s="42" t="n">
        <f aca="false">IF(OR($A190="",H$13=""),0,SUMIFS(MVT_NET,MVT_LOT,$A190,MVT_EMPL,H$13))</f>
        <v>0</v>
      </c>
      <c r="I190" s="42" t="n">
        <f aca="false">IF(OR($A190="",I$13=""),0,SUMIFS(MVT_NET,MVT_LOT,$A190,MVT_EMPL,I$13))</f>
        <v>0</v>
      </c>
      <c r="J190" s="42" t="n">
        <f aca="false">IF(OR($A190="",J$13=""),0,SUMIFS(MVT_NET,MVT_LOT,$A190,MVT_EMPL,J$13))</f>
        <v>0</v>
      </c>
      <c r="K190" s="42" t="n">
        <f aca="false">IF(OR($A190="",K$13=""),0,SUMIFS(MVT_NET,MVT_LOT,$A190,MVT_EMPL,K$13))</f>
        <v>0</v>
      </c>
      <c r="L190" s="42" t="n">
        <f aca="false">IF(OR($A190="",L$13=""),0,SUMIFS(MVT_NET,MVT_LOT,$A190,MVT_EMPL,L$13))</f>
        <v>0</v>
      </c>
      <c r="M190" s="42" t="n">
        <f aca="false">IF(OR($A190="",M$13=""),0,SUMIFS(MVT_NET,MVT_LOT,$A190,MVT_EMPL,M$13))</f>
        <v>0</v>
      </c>
      <c r="N190" s="43" t="n">
        <f aca="false">SUM($B190:$M190)</f>
        <v>0</v>
      </c>
      <c r="O190" s="44" t="n">
        <f aca="false">SUMPRODUCT(($B$12:$M$12="INTERNE")*$B190:$M190)</f>
        <v>0</v>
      </c>
      <c r="P190" s="44" t="n">
        <f aca="false">SUMPRODUCT(($B$12:$M$12="EXTERNE")*$B190:$M190)</f>
        <v>0</v>
      </c>
      <c r="Q190" s="44" t="n">
        <f aca="false">IF($A190="",0,SUMIFS(ST_ENCOURS,ST_LOT,$A190))</f>
        <v>0</v>
      </c>
      <c r="R190" s="45" t="str">
        <f aca="false">IF($A190="","",IF($N190&lt;-0.001,"STOCK NEGATIF - ANOMALIE",""))</f>
        <v/>
      </c>
    </row>
    <row r="191" customFormat="false" ht="15" hidden="false" customHeight="false" outlineLevel="0" collapsed="false">
      <c r="A191" s="41" t="str">
        <f aca="false">IF(LOTS!$A182="","",LOTS!$A182)</f>
        <v/>
      </c>
      <c r="B191" s="42" t="n">
        <f aca="false">IF(OR($A191="",B$13=""),0,SUMIFS(MVT_NET,MVT_LOT,$A191,MVT_EMPL,B$13))</f>
        <v>0</v>
      </c>
      <c r="C191" s="42" t="n">
        <f aca="false">IF(OR($A191="",C$13=""),0,SUMIFS(MVT_NET,MVT_LOT,$A191,MVT_EMPL,C$13))</f>
        <v>0</v>
      </c>
      <c r="D191" s="42" t="n">
        <f aca="false">IF(OR($A191="",D$13=""),0,SUMIFS(MVT_NET,MVT_LOT,$A191,MVT_EMPL,D$13))</f>
        <v>0</v>
      </c>
      <c r="E191" s="42" t="n">
        <f aca="false">IF(OR($A191="",E$13=""),0,SUMIFS(MVT_NET,MVT_LOT,$A191,MVT_EMPL,E$13))</f>
        <v>0</v>
      </c>
      <c r="F191" s="42" t="n">
        <f aca="false">IF(OR($A191="",F$13=""),0,SUMIFS(MVT_NET,MVT_LOT,$A191,MVT_EMPL,F$13))</f>
        <v>0</v>
      </c>
      <c r="G191" s="42" t="n">
        <f aca="false">IF(OR($A191="",G$13=""),0,SUMIFS(MVT_NET,MVT_LOT,$A191,MVT_EMPL,G$13))</f>
        <v>0</v>
      </c>
      <c r="H191" s="42" t="n">
        <f aca="false">IF(OR($A191="",H$13=""),0,SUMIFS(MVT_NET,MVT_LOT,$A191,MVT_EMPL,H$13))</f>
        <v>0</v>
      </c>
      <c r="I191" s="42" t="n">
        <f aca="false">IF(OR($A191="",I$13=""),0,SUMIFS(MVT_NET,MVT_LOT,$A191,MVT_EMPL,I$13))</f>
        <v>0</v>
      </c>
      <c r="J191" s="42" t="n">
        <f aca="false">IF(OR($A191="",J$13=""),0,SUMIFS(MVT_NET,MVT_LOT,$A191,MVT_EMPL,J$13))</f>
        <v>0</v>
      </c>
      <c r="K191" s="42" t="n">
        <f aca="false">IF(OR($A191="",K$13=""),0,SUMIFS(MVT_NET,MVT_LOT,$A191,MVT_EMPL,K$13))</f>
        <v>0</v>
      </c>
      <c r="L191" s="42" t="n">
        <f aca="false">IF(OR($A191="",L$13=""),0,SUMIFS(MVT_NET,MVT_LOT,$A191,MVT_EMPL,L$13))</f>
        <v>0</v>
      </c>
      <c r="M191" s="42" t="n">
        <f aca="false">IF(OR($A191="",M$13=""),0,SUMIFS(MVT_NET,MVT_LOT,$A191,MVT_EMPL,M$13))</f>
        <v>0</v>
      </c>
      <c r="N191" s="43" t="n">
        <f aca="false">SUM($B191:$M191)</f>
        <v>0</v>
      </c>
      <c r="O191" s="44" t="n">
        <f aca="false">SUMPRODUCT(($B$12:$M$12="INTERNE")*$B191:$M191)</f>
        <v>0</v>
      </c>
      <c r="P191" s="44" t="n">
        <f aca="false">SUMPRODUCT(($B$12:$M$12="EXTERNE")*$B191:$M191)</f>
        <v>0</v>
      </c>
      <c r="Q191" s="44" t="n">
        <f aca="false">IF($A191="",0,SUMIFS(ST_ENCOURS,ST_LOT,$A191))</f>
        <v>0</v>
      </c>
      <c r="R191" s="45" t="str">
        <f aca="false">IF($A191="","",IF($N191&lt;-0.001,"STOCK NEGATIF - ANOMALIE",""))</f>
        <v/>
      </c>
    </row>
    <row r="192" customFormat="false" ht="15" hidden="false" customHeight="false" outlineLevel="0" collapsed="false">
      <c r="A192" s="41" t="str">
        <f aca="false">IF(LOTS!$A183="","",LOTS!$A183)</f>
        <v/>
      </c>
      <c r="B192" s="42" t="n">
        <f aca="false">IF(OR($A192="",B$13=""),0,SUMIFS(MVT_NET,MVT_LOT,$A192,MVT_EMPL,B$13))</f>
        <v>0</v>
      </c>
      <c r="C192" s="42" t="n">
        <f aca="false">IF(OR($A192="",C$13=""),0,SUMIFS(MVT_NET,MVT_LOT,$A192,MVT_EMPL,C$13))</f>
        <v>0</v>
      </c>
      <c r="D192" s="42" t="n">
        <f aca="false">IF(OR($A192="",D$13=""),0,SUMIFS(MVT_NET,MVT_LOT,$A192,MVT_EMPL,D$13))</f>
        <v>0</v>
      </c>
      <c r="E192" s="42" t="n">
        <f aca="false">IF(OR($A192="",E$13=""),0,SUMIFS(MVT_NET,MVT_LOT,$A192,MVT_EMPL,E$13))</f>
        <v>0</v>
      </c>
      <c r="F192" s="42" t="n">
        <f aca="false">IF(OR($A192="",F$13=""),0,SUMIFS(MVT_NET,MVT_LOT,$A192,MVT_EMPL,F$13))</f>
        <v>0</v>
      </c>
      <c r="G192" s="42" t="n">
        <f aca="false">IF(OR($A192="",G$13=""),0,SUMIFS(MVT_NET,MVT_LOT,$A192,MVT_EMPL,G$13))</f>
        <v>0</v>
      </c>
      <c r="H192" s="42" t="n">
        <f aca="false">IF(OR($A192="",H$13=""),0,SUMIFS(MVT_NET,MVT_LOT,$A192,MVT_EMPL,H$13))</f>
        <v>0</v>
      </c>
      <c r="I192" s="42" t="n">
        <f aca="false">IF(OR($A192="",I$13=""),0,SUMIFS(MVT_NET,MVT_LOT,$A192,MVT_EMPL,I$13))</f>
        <v>0</v>
      </c>
      <c r="J192" s="42" t="n">
        <f aca="false">IF(OR($A192="",J$13=""),0,SUMIFS(MVT_NET,MVT_LOT,$A192,MVT_EMPL,J$13))</f>
        <v>0</v>
      </c>
      <c r="K192" s="42" t="n">
        <f aca="false">IF(OR($A192="",K$13=""),0,SUMIFS(MVT_NET,MVT_LOT,$A192,MVT_EMPL,K$13))</f>
        <v>0</v>
      </c>
      <c r="L192" s="42" t="n">
        <f aca="false">IF(OR($A192="",L$13=""),0,SUMIFS(MVT_NET,MVT_LOT,$A192,MVT_EMPL,L$13))</f>
        <v>0</v>
      </c>
      <c r="M192" s="42" t="n">
        <f aca="false">IF(OR($A192="",M$13=""),0,SUMIFS(MVT_NET,MVT_LOT,$A192,MVT_EMPL,M$13))</f>
        <v>0</v>
      </c>
      <c r="N192" s="43" t="n">
        <f aca="false">SUM($B192:$M192)</f>
        <v>0</v>
      </c>
      <c r="O192" s="44" t="n">
        <f aca="false">SUMPRODUCT(($B$12:$M$12="INTERNE")*$B192:$M192)</f>
        <v>0</v>
      </c>
      <c r="P192" s="44" t="n">
        <f aca="false">SUMPRODUCT(($B$12:$M$12="EXTERNE")*$B192:$M192)</f>
        <v>0</v>
      </c>
      <c r="Q192" s="44" t="n">
        <f aca="false">IF($A192="",0,SUMIFS(ST_ENCOURS,ST_LOT,$A192))</f>
        <v>0</v>
      </c>
      <c r="R192" s="45" t="str">
        <f aca="false">IF($A192="","",IF($N192&lt;-0.001,"STOCK NEGATIF - ANOMALIE",""))</f>
        <v/>
      </c>
    </row>
    <row r="193" customFormat="false" ht="15" hidden="false" customHeight="false" outlineLevel="0" collapsed="false">
      <c r="A193" s="41" t="str">
        <f aca="false">IF(LOTS!$A184="","",LOTS!$A184)</f>
        <v/>
      </c>
      <c r="B193" s="42" t="n">
        <f aca="false">IF(OR($A193="",B$13=""),0,SUMIFS(MVT_NET,MVT_LOT,$A193,MVT_EMPL,B$13))</f>
        <v>0</v>
      </c>
      <c r="C193" s="42" t="n">
        <f aca="false">IF(OR($A193="",C$13=""),0,SUMIFS(MVT_NET,MVT_LOT,$A193,MVT_EMPL,C$13))</f>
        <v>0</v>
      </c>
      <c r="D193" s="42" t="n">
        <f aca="false">IF(OR($A193="",D$13=""),0,SUMIFS(MVT_NET,MVT_LOT,$A193,MVT_EMPL,D$13))</f>
        <v>0</v>
      </c>
      <c r="E193" s="42" t="n">
        <f aca="false">IF(OR($A193="",E$13=""),0,SUMIFS(MVT_NET,MVT_LOT,$A193,MVT_EMPL,E$13))</f>
        <v>0</v>
      </c>
      <c r="F193" s="42" t="n">
        <f aca="false">IF(OR($A193="",F$13=""),0,SUMIFS(MVT_NET,MVT_LOT,$A193,MVT_EMPL,F$13))</f>
        <v>0</v>
      </c>
      <c r="G193" s="42" t="n">
        <f aca="false">IF(OR($A193="",G$13=""),0,SUMIFS(MVT_NET,MVT_LOT,$A193,MVT_EMPL,G$13))</f>
        <v>0</v>
      </c>
      <c r="H193" s="42" t="n">
        <f aca="false">IF(OR($A193="",H$13=""),0,SUMIFS(MVT_NET,MVT_LOT,$A193,MVT_EMPL,H$13))</f>
        <v>0</v>
      </c>
      <c r="I193" s="42" t="n">
        <f aca="false">IF(OR($A193="",I$13=""),0,SUMIFS(MVT_NET,MVT_LOT,$A193,MVT_EMPL,I$13))</f>
        <v>0</v>
      </c>
      <c r="J193" s="42" t="n">
        <f aca="false">IF(OR($A193="",J$13=""),0,SUMIFS(MVT_NET,MVT_LOT,$A193,MVT_EMPL,J$13))</f>
        <v>0</v>
      </c>
      <c r="K193" s="42" t="n">
        <f aca="false">IF(OR($A193="",K$13=""),0,SUMIFS(MVT_NET,MVT_LOT,$A193,MVT_EMPL,K$13))</f>
        <v>0</v>
      </c>
      <c r="L193" s="42" t="n">
        <f aca="false">IF(OR($A193="",L$13=""),0,SUMIFS(MVT_NET,MVT_LOT,$A193,MVT_EMPL,L$13))</f>
        <v>0</v>
      </c>
      <c r="M193" s="42" t="n">
        <f aca="false">IF(OR($A193="",M$13=""),0,SUMIFS(MVT_NET,MVT_LOT,$A193,MVT_EMPL,M$13))</f>
        <v>0</v>
      </c>
      <c r="N193" s="43" t="n">
        <f aca="false">SUM($B193:$M193)</f>
        <v>0</v>
      </c>
      <c r="O193" s="44" t="n">
        <f aca="false">SUMPRODUCT(($B$12:$M$12="INTERNE")*$B193:$M193)</f>
        <v>0</v>
      </c>
      <c r="P193" s="44" t="n">
        <f aca="false">SUMPRODUCT(($B$12:$M$12="EXTERNE")*$B193:$M193)</f>
        <v>0</v>
      </c>
      <c r="Q193" s="44" t="n">
        <f aca="false">IF($A193="",0,SUMIFS(ST_ENCOURS,ST_LOT,$A193))</f>
        <v>0</v>
      </c>
      <c r="R193" s="45" t="str">
        <f aca="false">IF($A193="","",IF($N193&lt;-0.001,"STOCK NEGATIF - ANOMALIE",""))</f>
        <v/>
      </c>
    </row>
    <row r="194" customFormat="false" ht="15" hidden="false" customHeight="false" outlineLevel="0" collapsed="false">
      <c r="A194" s="41" t="str">
        <f aca="false">IF(LOTS!$A185="","",LOTS!$A185)</f>
        <v/>
      </c>
      <c r="B194" s="42" t="n">
        <f aca="false">IF(OR($A194="",B$13=""),0,SUMIFS(MVT_NET,MVT_LOT,$A194,MVT_EMPL,B$13))</f>
        <v>0</v>
      </c>
      <c r="C194" s="42" t="n">
        <f aca="false">IF(OR($A194="",C$13=""),0,SUMIFS(MVT_NET,MVT_LOT,$A194,MVT_EMPL,C$13))</f>
        <v>0</v>
      </c>
      <c r="D194" s="42" t="n">
        <f aca="false">IF(OR($A194="",D$13=""),0,SUMIFS(MVT_NET,MVT_LOT,$A194,MVT_EMPL,D$13))</f>
        <v>0</v>
      </c>
      <c r="E194" s="42" t="n">
        <f aca="false">IF(OR($A194="",E$13=""),0,SUMIFS(MVT_NET,MVT_LOT,$A194,MVT_EMPL,E$13))</f>
        <v>0</v>
      </c>
      <c r="F194" s="42" t="n">
        <f aca="false">IF(OR($A194="",F$13=""),0,SUMIFS(MVT_NET,MVT_LOT,$A194,MVT_EMPL,F$13))</f>
        <v>0</v>
      </c>
      <c r="G194" s="42" t="n">
        <f aca="false">IF(OR($A194="",G$13=""),0,SUMIFS(MVT_NET,MVT_LOT,$A194,MVT_EMPL,G$13))</f>
        <v>0</v>
      </c>
      <c r="H194" s="42" t="n">
        <f aca="false">IF(OR($A194="",H$13=""),0,SUMIFS(MVT_NET,MVT_LOT,$A194,MVT_EMPL,H$13))</f>
        <v>0</v>
      </c>
      <c r="I194" s="42" t="n">
        <f aca="false">IF(OR($A194="",I$13=""),0,SUMIFS(MVT_NET,MVT_LOT,$A194,MVT_EMPL,I$13))</f>
        <v>0</v>
      </c>
      <c r="J194" s="42" t="n">
        <f aca="false">IF(OR($A194="",J$13=""),0,SUMIFS(MVT_NET,MVT_LOT,$A194,MVT_EMPL,J$13))</f>
        <v>0</v>
      </c>
      <c r="K194" s="42" t="n">
        <f aca="false">IF(OR($A194="",K$13=""),0,SUMIFS(MVT_NET,MVT_LOT,$A194,MVT_EMPL,K$13))</f>
        <v>0</v>
      </c>
      <c r="L194" s="42" t="n">
        <f aca="false">IF(OR($A194="",L$13=""),0,SUMIFS(MVT_NET,MVT_LOT,$A194,MVT_EMPL,L$13))</f>
        <v>0</v>
      </c>
      <c r="M194" s="42" t="n">
        <f aca="false">IF(OR($A194="",M$13=""),0,SUMIFS(MVT_NET,MVT_LOT,$A194,MVT_EMPL,M$13))</f>
        <v>0</v>
      </c>
      <c r="N194" s="43" t="n">
        <f aca="false">SUM($B194:$M194)</f>
        <v>0</v>
      </c>
      <c r="O194" s="44" t="n">
        <f aca="false">SUMPRODUCT(($B$12:$M$12="INTERNE")*$B194:$M194)</f>
        <v>0</v>
      </c>
      <c r="P194" s="44" t="n">
        <f aca="false">SUMPRODUCT(($B$12:$M$12="EXTERNE")*$B194:$M194)</f>
        <v>0</v>
      </c>
      <c r="Q194" s="44" t="n">
        <f aca="false">IF($A194="",0,SUMIFS(ST_ENCOURS,ST_LOT,$A194))</f>
        <v>0</v>
      </c>
      <c r="R194" s="45" t="str">
        <f aca="false">IF($A194="","",IF($N194&lt;-0.001,"STOCK NEGATIF - ANOMALIE",""))</f>
        <v/>
      </c>
    </row>
    <row r="195" customFormat="false" ht="15" hidden="false" customHeight="false" outlineLevel="0" collapsed="false">
      <c r="A195" s="41" t="str">
        <f aca="false">IF(LOTS!$A186="","",LOTS!$A186)</f>
        <v/>
      </c>
      <c r="B195" s="42" t="n">
        <f aca="false">IF(OR($A195="",B$13=""),0,SUMIFS(MVT_NET,MVT_LOT,$A195,MVT_EMPL,B$13))</f>
        <v>0</v>
      </c>
      <c r="C195" s="42" t="n">
        <f aca="false">IF(OR($A195="",C$13=""),0,SUMIFS(MVT_NET,MVT_LOT,$A195,MVT_EMPL,C$13))</f>
        <v>0</v>
      </c>
      <c r="D195" s="42" t="n">
        <f aca="false">IF(OR($A195="",D$13=""),0,SUMIFS(MVT_NET,MVT_LOT,$A195,MVT_EMPL,D$13))</f>
        <v>0</v>
      </c>
      <c r="E195" s="42" t="n">
        <f aca="false">IF(OR($A195="",E$13=""),0,SUMIFS(MVT_NET,MVT_LOT,$A195,MVT_EMPL,E$13))</f>
        <v>0</v>
      </c>
      <c r="F195" s="42" t="n">
        <f aca="false">IF(OR($A195="",F$13=""),0,SUMIFS(MVT_NET,MVT_LOT,$A195,MVT_EMPL,F$13))</f>
        <v>0</v>
      </c>
      <c r="G195" s="42" t="n">
        <f aca="false">IF(OR($A195="",G$13=""),0,SUMIFS(MVT_NET,MVT_LOT,$A195,MVT_EMPL,G$13))</f>
        <v>0</v>
      </c>
      <c r="H195" s="42" t="n">
        <f aca="false">IF(OR($A195="",H$13=""),0,SUMIFS(MVT_NET,MVT_LOT,$A195,MVT_EMPL,H$13))</f>
        <v>0</v>
      </c>
      <c r="I195" s="42" t="n">
        <f aca="false">IF(OR($A195="",I$13=""),0,SUMIFS(MVT_NET,MVT_LOT,$A195,MVT_EMPL,I$13))</f>
        <v>0</v>
      </c>
      <c r="J195" s="42" t="n">
        <f aca="false">IF(OR($A195="",J$13=""),0,SUMIFS(MVT_NET,MVT_LOT,$A195,MVT_EMPL,J$13))</f>
        <v>0</v>
      </c>
      <c r="K195" s="42" t="n">
        <f aca="false">IF(OR($A195="",K$13=""),0,SUMIFS(MVT_NET,MVT_LOT,$A195,MVT_EMPL,K$13))</f>
        <v>0</v>
      </c>
      <c r="L195" s="42" t="n">
        <f aca="false">IF(OR($A195="",L$13=""),0,SUMIFS(MVT_NET,MVT_LOT,$A195,MVT_EMPL,L$13))</f>
        <v>0</v>
      </c>
      <c r="M195" s="42" t="n">
        <f aca="false">IF(OR($A195="",M$13=""),0,SUMIFS(MVT_NET,MVT_LOT,$A195,MVT_EMPL,M$13))</f>
        <v>0</v>
      </c>
      <c r="N195" s="43" t="n">
        <f aca="false">SUM($B195:$M195)</f>
        <v>0</v>
      </c>
      <c r="O195" s="44" t="n">
        <f aca="false">SUMPRODUCT(($B$12:$M$12="INTERNE")*$B195:$M195)</f>
        <v>0</v>
      </c>
      <c r="P195" s="44" t="n">
        <f aca="false">SUMPRODUCT(($B$12:$M$12="EXTERNE")*$B195:$M195)</f>
        <v>0</v>
      </c>
      <c r="Q195" s="44" t="n">
        <f aca="false">IF($A195="",0,SUMIFS(ST_ENCOURS,ST_LOT,$A195))</f>
        <v>0</v>
      </c>
      <c r="R195" s="45" t="str">
        <f aca="false">IF($A195="","",IF($N195&lt;-0.001,"STOCK NEGATIF - ANOMALIE",""))</f>
        <v/>
      </c>
    </row>
    <row r="196" customFormat="false" ht="15" hidden="false" customHeight="false" outlineLevel="0" collapsed="false">
      <c r="A196" s="41" t="str">
        <f aca="false">IF(LOTS!$A187="","",LOTS!$A187)</f>
        <v/>
      </c>
      <c r="B196" s="42" t="n">
        <f aca="false">IF(OR($A196="",B$13=""),0,SUMIFS(MVT_NET,MVT_LOT,$A196,MVT_EMPL,B$13))</f>
        <v>0</v>
      </c>
      <c r="C196" s="42" t="n">
        <f aca="false">IF(OR($A196="",C$13=""),0,SUMIFS(MVT_NET,MVT_LOT,$A196,MVT_EMPL,C$13))</f>
        <v>0</v>
      </c>
      <c r="D196" s="42" t="n">
        <f aca="false">IF(OR($A196="",D$13=""),0,SUMIFS(MVT_NET,MVT_LOT,$A196,MVT_EMPL,D$13))</f>
        <v>0</v>
      </c>
      <c r="E196" s="42" t="n">
        <f aca="false">IF(OR($A196="",E$13=""),0,SUMIFS(MVT_NET,MVT_LOT,$A196,MVT_EMPL,E$13))</f>
        <v>0</v>
      </c>
      <c r="F196" s="42" t="n">
        <f aca="false">IF(OR($A196="",F$13=""),0,SUMIFS(MVT_NET,MVT_LOT,$A196,MVT_EMPL,F$13))</f>
        <v>0</v>
      </c>
      <c r="G196" s="42" t="n">
        <f aca="false">IF(OR($A196="",G$13=""),0,SUMIFS(MVT_NET,MVT_LOT,$A196,MVT_EMPL,G$13))</f>
        <v>0</v>
      </c>
      <c r="H196" s="42" t="n">
        <f aca="false">IF(OR($A196="",H$13=""),0,SUMIFS(MVT_NET,MVT_LOT,$A196,MVT_EMPL,H$13))</f>
        <v>0</v>
      </c>
      <c r="I196" s="42" t="n">
        <f aca="false">IF(OR($A196="",I$13=""),0,SUMIFS(MVT_NET,MVT_LOT,$A196,MVT_EMPL,I$13))</f>
        <v>0</v>
      </c>
      <c r="J196" s="42" t="n">
        <f aca="false">IF(OR($A196="",J$13=""),0,SUMIFS(MVT_NET,MVT_LOT,$A196,MVT_EMPL,J$13))</f>
        <v>0</v>
      </c>
      <c r="K196" s="42" t="n">
        <f aca="false">IF(OR($A196="",K$13=""),0,SUMIFS(MVT_NET,MVT_LOT,$A196,MVT_EMPL,K$13))</f>
        <v>0</v>
      </c>
      <c r="L196" s="42" t="n">
        <f aca="false">IF(OR($A196="",L$13=""),0,SUMIFS(MVT_NET,MVT_LOT,$A196,MVT_EMPL,L$13))</f>
        <v>0</v>
      </c>
      <c r="M196" s="42" t="n">
        <f aca="false">IF(OR($A196="",M$13=""),0,SUMIFS(MVT_NET,MVT_LOT,$A196,MVT_EMPL,M$13))</f>
        <v>0</v>
      </c>
      <c r="N196" s="43" t="n">
        <f aca="false">SUM($B196:$M196)</f>
        <v>0</v>
      </c>
      <c r="O196" s="44" t="n">
        <f aca="false">SUMPRODUCT(($B$12:$M$12="INTERNE")*$B196:$M196)</f>
        <v>0</v>
      </c>
      <c r="P196" s="44" t="n">
        <f aca="false">SUMPRODUCT(($B$12:$M$12="EXTERNE")*$B196:$M196)</f>
        <v>0</v>
      </c>
      <c r="Q196" s="44" t="n">
        <f aca="false">IF($A196="",0,SUMIFS(ST_ENCOURS,ST_LOT,$A196))</f>
        <v>0</v>
      </c>
      <c r="R196" s="45" t="str">
        <f aca="false">IF($A196="","",IF($N196&lt;-0.001,"STOCK NEGATIF - ANOMALIE",""))</f>
        <v/>
      </c>
    </row>
    <row r="197" customFormat="false" ht="15" hidden="false" customHeight="false" outlineLevel="0" collapsed="false">
      <c r="A197" s="41" t="str">
        <f aca="false">IF(LOTS!$A188="","",LOTS!$A188)</f>
        <v/>
      </c>
      <c r="B197" s="42" t="n">
        <f aca="false">IF(OR($A197="",B$13=""),0,SUMIFS(MVT_NET,MVT_LOT,$A197,MVT_EMPL,B$13))</f>
        <v>0</v>
      </c>
      <c r="C197" s="42" t="n">
        <f aca="false">IF(OR($A197="",C$13=""),0,SUMIFS(MVT_NET,MVT_LOT,$A197,MVT_EMPL,C$13))</f>
        <v>0</v>
      </c>
      <c r="D197" s="42" t="n">
        <f aca="false">IF(OR($A197="",D$13=""),0,SUMIFS(MVT_NET,MVT_LOT,$A197,MVT_EMPL,D$13))</f>
        <v>0</v>
      </c>
      <c r="E197" s="42" t="n">
        <f aca="false">IF(OR($A197="",E$13=""),0,SUMIFS(MVT_NET,MVT_LOT,$A197,MVT_EMPL,E$13))</f>
        <v>0</v>
      </c>
      <c r="F197" s="42" t="n">
        <f aca="false">IF(OR($A197="",F$13=""),0,SUMIFS(MVT_NET,MVT_LOT,$A197,MVT_EMPL,F$13))</f>
        <v>0</v>
      </c>
      <c r="G197" s="42" t="n">
        <f aca="false">IF(OR($A197="",G$13=""),0,SUMIFS(MVT_NET,MVT_LOT,$A197,MVT_EMPL,G$13))</f>
        <v>0</v>
      </c>
      <c r="H197" s="42" t="n">
        <f aca="false">IF(OR($A197="",H$13=""),0,SUMIFS(MVT_NET,MVT_LOT,$A197,MVT_EMPL,H$13))</f>
        <v>0</v>
      </c>
      <c r="I197" s="42" t="n">
        <f aca="false">IF(OR($A197="",I$13=""),0,SUMIFS(MVT_NET,MVT_LOT,$A197,MVT_EMPL,I$13))</f>
        <v>0</v>
      </c>
      <c r="J197" s="42" t="n">
        <f aca="false">IF(OR($A197="",J$13=""),0,SUMIFS(MVT_NET,MVT_LOT,$A197,MVT_EMPL,J$13))</f>
        <v>0</v>
      </c>
      <c r="K197" s="42" t="n">
        <f aca="false">IF(OR($A197="",K$13=""),0,SUMIFS(MVT_NET,MVT_LOT,$A197,MVT_EMPL,K$13))</f>
        <v>0</v>
      </c>
      <c r="L197" s="42" t="n">
        <f aca="false">IF(OR($A197="",L$13=""),0,SUMIFS(MVT_NET,MVT_LOT,$A197,MVT_EMPL,L$13))</f>
        <v>0</v>
      </c>
      <c r="M197" s="42" t="n">
        <f aca="false">IF(OR($A197="",M$13=""),0,SUMIFS(MVT_NET,MVT_LOT,$A197,MVT_EMPL,M$13))</f>
        <v>0</v>
      </c>
      <c r="N197" s="43" t="n">
        <f aca="false">SUM($B197:$M197)</f>
        <v>0</v>
      </c>
      <c r="O197" s="44" t="n">
        <f aca="false">SUMPRODUCT(($B$12:$M$12="INTERNE")*$B197:$M197)</f>
        <v>0</v>
      </c>
      <c r="P197" s="44" t="n">
        <f aca="false">SUMPRODUCT(($B$12:$M$12="EXTERNE")*$B197:$M197)</f>
        <v>0</v>
      </c>
      <c r="Q197" s="44" t="n">
        <f aca="false">IF($A197="",0,SUMIFS(ST_ENCOURS,ST_LOT,$A197))</f>
        <v>0</v>
      </c>
      <c r="R197" s="45" t="str">
        <f aca="false">IF($A197="","",IF($N197&lt;-0.001,"STOCK NEGATIF - ANOMALIE",""))</f>
        <v/>
      </c>
    </row>
    <row r="198" customFormat="false" ht="15" hidden="false" customHeight="false" outlineLevel="0" collapsed="false">
      <c r="A198" s="41" t="str">
        <f aca="false">IF(LOTS!$A189="","",LOTS!$A189)</f>
        <v/>
      </c>
      <c r="B198" s="42" t="n">
        <f aca="false">IF(OR($A198="",B$13=""),0,SUMIFS(MVT_NET,MVT_LOT,$A198,MVT_EMPL,B$13))</f>
        <v>0</v>
      </c>
      <c r="C198" s="42" t="n">
        <f aca="false">IF(OR($A198="",C$13=""),0,SUMIFS(MVT_NET,MVT_LOT,$A198,MVT_EMPL,C$13))</f>
        <v>0</v>
      </c>
      <c r="D198" s="42" t="n">
        <f aca="false">IF(OR($A198="",D$13=""),0,SUMIFS(MVT_NET,MVT_LOT,$A198,MVT_EMPL,D$13))</f>
        <v>0</v>
      </c>
      <c r="E198" s="42" t="n">
        <f aca="false">IF(OR($A198="",E$13=""),0,SUMIFS(MVT_NET,MVT_LOT,$A198,MVT_EMPL,E$13))</f>
        <v>0</v>
      </c>
      <c r="F198" s="42" t="n">
        <f aca="false">IF(OR($A198="",F$13=""),0,SUMIFS(MVT_NET,MVT_LOT,$A198,MVT_EMPL,F$13))</f>
        <v>0</v>
      </c>
      <c r="G198" s="42" t="n">
        <f aca="false">IF(OR($A198="",G$13=""),0,SUMIFS(MVT_NET,MVT_LOT,$A198,MVT_EMPL,G$13))</f>
        <v>0</v>
      </c>
      <c r="H198" s="42" t="n">
        <f aca="false">IF(OR($A198="",H$13=""),0,SUMIFS(MVT_NET,MVT_LOT,$A198,MVT_EMPL,H$13))</f>
        <v>0</v>
      </c>
      <c r="I198" s="42" t="n">
        <f aca="false">IF(OR($A198="",I$13=""),0,SUMIFS(MVT_NET,MVT_LOT,$A198,MVT_EMPL,I$13))</f>
        <v>0</v>
      </c>
      <c r="J198" s="42" t="n">
        <f aca="false">IF(OR($A198="",J$13=""),0,SUMIFS(MVT_NET,MVT_LOT,$A198,MVT_EMPL,J$13))</f>
        <v>0</v>
      </c>
      <c r="K198" s="42" t="n">
        <f aca="false">IF(OR($A198="",K$13=""),0,SUMIFS(MVT_NET,MVT_LOT,$A198,MVT_EMPL,K$13))</f>
        <v>0</v>
      </c>
      <c r="L198" s="42" t="n">
        <f aca="false">IF(OR($A198="",L$13=""),0,SUMIFS(MVT_NET,MVT_LOT,$A198,MVT_EMPL,L$13))</f>
        <v>0</v>
      </c>
      <c r="M198" s="42" t="n">
        <f aca="false">IF(OR($A198="",M$13=""),0,SUMIFS(MVT_NET,MVT_LOT,$A198,MVT_EMPL,M$13))</f>
        <v>0</v>
      </c>
      <c r="N198" s="43" t="n">
        <f aca="false">SUM($B198:$M198)</f>
        <v>0</v>
      </c>
      <c r="O198" s="44" t="n">
        <f aca="false">SUMPRODUCT(($B$12:$M$12="INTERNE")*$B198:$M198)</f>
        <v>0</v>
      </c>
      <c r="P198" s="44" t="n">
        <f aca="false">SUMPRODUCT(($B$12:$M$12="EXTERNE")*$B198:$M198)</f>
        <v>0</v>
      </c>
      <c r="Q198" s="44" t="n">
        <f aca="false">IF($A198="",0,SUMIFS(ST_ENCOURS,ST_LOT,$A198))</f>
        <v>0</v>
      </c>
      <c r="R198" s="45" t="str">
        <f aca="false">IF($A198="","",IF($N198&lt;-0.001,"STOCK NEGATIF - ANOMALIE",""))</f>
        <v/>
      </c>
    </row>
    <row r="199" customFormat="false" ht="15" hidden="false" customHeight="false" outlineLevel="0" collapsed="false">
      <c r="A199" s="41" t="str">
        <f aca="false">IF(LOTS!$A190="","",LOTS!$A190)</f>
        <v/>
      </c>
      <c r="B199" s="42" t="n">
        <f aca="false">IF(OR($A199="",B$13=""),0,SUMIFS(MVT_NET,MVT_LOT,$A199,MVT_EMPL,B$13))</f>
        <v>0</v>
      </c>
      <c r="C199" s="42" t="n">
        <f aca="false">IF(OR($A199="",C$13=""),0,SUMIFS(MVT_NET,MVT_LOT,$A199,MVT_EMPL,C$13))</f>
        <v>0</v>
      </c>
      <c r="D199" s="42" t="n">
        <f aca="false">IF(OR($A199="",D$13=""),0,SUMIFS(MVT_NET,MVT_LOT,$A199,MVT_EMPL,D$13))</f>
        <v>0</v>
      </c>
      <c r="E199" s="42" t="n">
        <f aca="false">IF(OR($A199="",E$13=""),0,SUMIFS(MVT_NET,MVT_LOT,$A199,MVT_EMPL,E$13))</f>
        <v>0</v>
      </c>
      <c r="F199" s="42" t="n">
        <f aca="false">IF(OR($A199="",F$13=""),0,SUMIFS(MVT_NET,MVT_LOT,$A199,MVT_EMPL,F$13))</f>
        <v>0</v>
      </c>
      <c r="G199" s="42" t="n">
        <f aca="false">IF(OR($A199="",G$13=""),0,SUMIFS(MVT_NET,MVT_LOT,$A199,MVT_EMPL,G$13))</f>
        <v>0</v>
      </c>
      <c r="H199" s="42" t="n">
        <f aca="false">IF(OR($A199="",H$13=""),0,SUMIFS(MVT_NET,MVT_LOT,$A199,MVT_EMPL,H$13))</f>
        <v>0</v>
      </c>
      <c r="I199" s="42" t="n">
        <f aca="false">IF(OR($A199="",I$13=""),0,SUMIFS(MVT_NET,MVT_LOT,$A199,MVT_EMPL,I$13))</f>
        <v>0</v>
      </c>
      <c r="J199" s="42" t="n">
        <f aca="false">IF(OR($A199="",J$13=""),0,SUMIFS(MVT_NET,MVT_LOT,$A199,MVT_EMPL,J$13))</f>
        <v>0</v>
      </c>
      <c r="K199" s="42" t="n">
        <f aca="false">IF(OR($A199="",K$13=""),0,SUMIFS(MVT_NET,MVT_LOT,$A199,MVT_EMPL,K$13))</f>
        <v>0</v>
      </c>
      <c r="L199" s="42" t="n">
        <f aca="false">IF(OR($A199="",L$13=""),0,SUMIFS(MVT_NET,MVT_LOT,$A199,MVT_EMPL,L$13))</f>
        <v>0</v>
      </c>
      <c r="M199" s="42" t="n">
        <f aca="false">IF(OR($A199="",M$13=""),0,SUMIFS(MVT_NET,MVT_LOT,$A199,MVT_EMPL,M$13))</f>
        <v>0</v>
      </c>
      <c r="N199" s="43" t="n">
        <f aca="false">SUM($B199:$M199)</f>
        <v>0</v>
      </c>
      <c r="O199" s="44" t="n">
        <f aca="false">SUMPRODUCT(($B$12:$M$12="INTERNE")*$B199:$M199)</f>
        <v>0</v>
      </c>
      <c r="P199" s="44" t="n">
        <f aca="false">SUMPRODUCT(($B$12:$M$12="EXTERNE")*$B199:$M199)</f>
        <v>0</v>
      </c>
      <c r="Q199" s="44" t="n">
        <f aca="false">IF($A199="",0,SUMIFS(ST_ENCOURS,ST_LOT,$A199))</f>
        <v>0</v>
      </c>
      <c r="R199" s="45" t="str">
        <f aca="false">IF($A199="","",IF($N199&lt;-0.001,"STOCK NEGATIF - ANOMALIE",""))</f>
        <v/>
      </c>
    </row>
    <row r="200" customFormat="false" ht="15" hidden="false" customHeight="false" outlineLevel="0" collapsed="false">
      <c r="A200" s="41" t="str">
        <f aca="false">IF(LOTS!$A191="","",LOTS!$A191)</f>
        <v/>
      </c>
      <c r="B200" s="42" t="n">
        <f aca="false">IF(OR($A200="",B$13=""),0,SUMIFS(MVT_NET,MVT_LOT,$A200,MVT_EMPL,B$13))</f>
        <v>0</v>
      </c>
      <c r="C200" s="42" t="n">
        <f aca="false">IF(OR($A200="",C$13=""),0,SUMIFS(MVT_NET,MVT_LOT,$A200,MVT_EMPL,C$13))</f>
        <v>0</v>
      </c>
      <c r="D200" s="42" t="n">
        <f aca="false">IF(OR($A200="",D$13=""),0,SUMIFS(MVT_NET,MVT_LOT,$A200,MVT_EMPL,D$13))</f>
        <v>0</v>
      </c>
      <c r="E200" s="42" t="n">
        <f aca="false">IF(OR($A200="",E$13=""),0,SUMIFS(MVT_NET,MVT_LOT,$A200,MVT_EMPL,E$13))</f>
        <v>0</v>
      </c>
      <c r="F200" s="42" t="n">
        <f aca="false">IF(OR($A200="",F$13=""),0,SUMIFS(MVT_NET,MVT_LOT,$A200,MVT_EMPL,F$13))</f>
        <v>0</v>
      </c>
      <c r="G200" s="42" t="n">
        <f aca="false">IF(OR($A200="",G$13=""),0,SUMIFS(MVT_NET,MVT_LOT,$A200,MVT_EMPL,G$13))</f>
        <v>0</v>
      </c>
      <c r="H200" s="42" t="n">
        <f aca="false">IF(OR($A200="",H$13=""),0,SUMIFS(MVT_NET,MVT_LOT,$A200,MVT_EMPL,H$13))</f>
        <v>0</v>
      </c>
      <c r="I200" s="42" t="n">
        <f aca="false">IF(OR($A200="",I$13=""),0,SUMIFS(MVT_NET,MVT_LOT,$A200,MVT_EMPL,I$13))</f>
        <v>0</v>
      </c>
      <c r="J200" s="42" t="n">
        <f aca="false">IF(OR($A200="",J$13=""),0,SUMIFS(MVT_NET,MVT_LOT,$A200,MVT_EMPL,J$13))</f>
        <v>0</v>
      </c>
      <c r="K200" s="42" t="n">
        <f aca="false">IF(OR($A200="",K$13=""),0,SUMIFS(MVT_NET,MVT_LOT,$A200,MVT_EMPL,K$13))</f>
        <v>0</v>
      </c>
      <c r="L200" s="42" t="n">
        <f aca="false">IF(OR($A200="",L$13=""),0,SUMIFS(MVT_NET,MVT_LOT,$A200,MVT_EMPL,L$13))</f>
        <v>0</v>
      </c>
      <c r="M200" s="42" t="n">
        <f aca="false">IF(OR($A200="",M$13=""),0,SUMIFS(MVT_NET,MVT_LOT,$A200,MVT_EMPL,M$13))</f>
        <v>0</v>
      </c>
      <c r="N200" s="43" t="n">
        <f aca="false">SUM($B200:$M200)</f>
        <v>0</v>
      </c>
      <c r="O200" s="44" t="n">
        <f aca="false">SUMPRODUCT(($B$12:$M$12="INTERNE")*$B200:$M200)</f>
        <v>0</v>
      </c>
      <c r="P200" s="44" t="n">
        <f aca="false">SUMPRODUCT(($B$12:$M$12="EXTERNE")*$B200:$M200)</f>
        <v>0</v>
      </c>
      <c r="Q200" s="44" t="n">
        <f aca="false">IF($A200="",0,SUMIFS(ST_ENCOURS,ST_LOT,$A200))</f>
        <v>0</v>
      </c>
      <c r="R200" s="45" t="str">
        <f aca="false">IF($A200="","",IF($N200&lt;-0.001,"STOCK NEGATIF - ANOMALIE",""))</f>
        <v/>
      </c>
    </row>
    <row r="201" customFormat="false" ht="15" hidden="false" customHeight="false" outlineLevel="0" collapsed="false">
      <c r="A201" s="41" t="str">
        <f aca="false">IF(LOTS!$A192="","",LOTS!$A192)</f>
        <v/>
      </c>
      <c r="B201" s="42" t="n">
        <f aca="false">IF(OR($A201="",B$13=""),0,SUMIFS(MVT_NET,MVT_LOT,$A201,MVT_EMPL,B$13))</f>
        <v>0</v>
      </c>
      <c r="C201" s="42" t="n">
        <f aca="false">IF(OR($A201="",C$13=""),0,SUMIFS(MVT_NET,MVT_LOT,$A201,MVT_EMPL,C$13))</f>
        <v>0</v>
      </c>
      <c r="D201" s="42" t="n">
        <f aca="false">IF(OR($A201="",D$13=""),0,SUMIFS(MVT_NET,MVT_LOT,$A201,MVT_EMPL,D$13))</f>
        <v>0</v>
      </c>
      <c r="E201" s="42" t="n">
        <f aca="false">IF(OR($A201="",E$13=""),0,SUMIFS(MVT_NET,MVT_LOT,$A201,MVT_EMPL,E$13))</f>
        <v>0</v>
      </c>
      <c r="F201" s="42" t="n">
        <f aca="false">IF(OR($A201="",F$13=""),0,SUMIFS(MVT_NET,MVT_LOT,$A201,MVT_EMPL,F$13))</f>
        <v>0</v>
      </c>
      <c r="G201" s="42" t="n">
        <f aca="false">IF(OR($A201="",G$13=""),0,SUMIFS(MVT_NET,MVT_LOT,$A201,MVT_EMPL,G$13))</f>
        <v>0</v>
      </c>
      <c r="H201" s="42" t="n">
        <f aca="false">IF(OR($A201="",H$13=""),0,SUMIFS(MVT_NET,MVT_LOT,$A201,MVT_EMPL,H$13))</f>
        <v>0</v>
      </c>
      <c r="I201" s="42" t="n">
        <f aca="false">IF(OR($A201="",I$13=""),0,SUMIFS(MVT_NET,MVT_LOT,$A201,MVT_EMPL,I$13))</f>
        <v>0</v>
      </c>
      <c r="J201" s="42" t="n">
        <f aca="false">IF(OR($A201="",J$13=""),0,SUMIFS(MVT_NET,MVT_LOT,$A201,MVT_EMPL,J$13))</f>
        <v>0</v>
      </c>
      <c r="K201" s="42" t="n">
        <f aca="false">IF(OR($A201="",K$13=""),0,SUMIFS(MVT_NET,MVT_LOT,$A201,MVT_EMPL,K$13))</f>
        <v>0</v>
      </c>
      <c r="L201" s="42" t="n">
        <f aca="false">IF(OR($A201="",L$13=""),0,SUMIFS(MVT_NET,MVT_LOT,$A201,MVT_EMPL,L$13))</f>
        <v>0</v>
      </c>
      <c r="M201" s="42" t="n">
        <f aca="false">IF(OR($A201="",M$13=""),0,SUMIFS(MVT_NET,MVT_LOT,$A201,MVT_EMPL,M$13))</f>
        <v>0</v>
      </c>
      <c r="N201" s="43" t="n">
        <f aca="false">SUM($B201:$M201)</f>
        <v>0</v>
      </c>
      <c r="O201" s="44" t="n">
        <f aca="false">SUMPRODUCT(($B$12:$M$12="INTERNE")*$B201:$M201)</f>
        <v>0</v>
      </c>
      <c r="P201" s="44" t="n">
        <f aca="false">SUMPRODUCT(($B$12:$M$12="EXTERNE")*$B201:$M201)</f>
        <v>0</v>
      </c>
      <c r="Q201" s="44" t="n">
        <f aca="false">IF($A201="",0,SUMIFS(ST_ENCOURS,ST_LOT,$A201))</f>
        <v>0</v>
      </c>
      <c r="R201" s="45" t="str">
        <f aca="false">IF($A201="","",IF($N201&lt;-0.001,"STOCK NEGATIF - ANOMALIE",""))</f>
        <v/>
      </c>
    </row>
    <row r="202" customFormat="false" ht="15" hidden="false" customHeight="false" outlineLevel="0" collapsed="false">
      <c r="A202" s="41" t="str">
        <f aca="false">IF(LOTS!$A193="","",LOTS!$A193)</f>
        <v/>
      </c>
      <c r="B202" s="42" t="n">
        <f aca="false">IF(OR($A202="",B$13=""),0,SUMIFS(MVT_NET,MVT_LOT,$A202,MVT_EMPL,B$13))</f>
        <v>0</v>
      </c>
      <c r="C202" s="42" t="n">
        <f aca="false">IF(OR($A202="",C$13=""),0,SUMIFS(MVT_NET,MVT_LOT,$A202,MVT_EMPL,C$13))</f>
        <v>0</v>
      </c>
      <c r="D202" s="42" t="n">
        <f aca="false">IF(OR($A202="",D$13=""),0,SUMIFS(MVT_NET,MVT_LOT,$A202,MVT_EMPL,D$13))</f>
        <v>0</v>
      </c>
      <c r="E202" s="42" t="n">
        <f aca="false">IF(OR($A202="",E$13=""),0,SUMIFS(MVT_NET,MVT_LOT,$A202,MVT_EMPL,E$13))</f>
        <v>0</v>
      </c>
      <c r="F202" s="42" t="n">
        <f aca="false">IF(OR($A202="",F$13=""),0,SUMIFS(MVT_NET,MVT_LOT,$A202,MVT_EMPL,F$13))</f>
        <v>0</v>
      </c>
      <c r="G202" s="42" t="n">
        <f aca="false">IF(OR($A202="",G$13=""),0,SUMIFS(MVT_NET,MVT_LOT,$A202,MVT_EMPL,G$13))</f>
        <v>0</v>
      </c>
      <c r="H202" s="42" t="n">
        <f aca="false">IF(OR($A202="",H$13=""),0,SUMIFS(MVT_NET,MVT_LOT,$A202,MVT_EMPL,H$13))</f>
        <v>0</v>
      </c>
      <c r="I202" s="42" t="n">
        <f aca="false">IF(OR($A202="",I$13=""),0,SUMIFS(MVT_NET,MVT_LOT,$A202,MVT_EMPL,I$13))</f>
        <v>0</v>
      </c>
      <c r="J202" s="42" t="n">
        <f aca="false">IF(OR($A202="",J$13=""),0,SUMIFS(MVT_NET,MVT_LOT,$A202,MVT_EMPL,J$13))</f>
        <v>0</v>
      </c>
      <c r="K202" s="42" t="n">
        <f aca="false">IF(OR($A202="",K$13=""),0,SUMIFS(MVT_NET,MVT_LOT,$A202,MVT_EMPL,K$13))</f>
        <v>0</v>
      </c>
      <c r="L202" s="42" t="n">
        <f aca="false">IF(OR($A202="",L$13=""),0,SUMIFS(MVT_NET,MVT_LOT,$A202,MVT_EMPL,L$13))</f>
        <v>0</v>
      </c>
      <c r="M202" s="42" t="n">
        <f aca="false">IF(OR($A202="",M$13=""),0,SUMIFS(MVT_NET,MVT_LOT,$A202,MVT_EMPL,M$13))</f>
        <v>0</v>
      </c>
      <c r="N202" s="43" t="n">
        <f aca="false">SUM($B202:$M202)</f>
        <v>0</v>
      </c>
      <c r="O202" s="44" t="n">
        <f aca="false">SUMPRODUCT(($B$12:$M$12="INTERNE")*$B202:$M202)</f>
        <v>0</v>
      </c>
      <c r="P202" s="44" t="n">
        <f aca="false">SUMPRODUCT(($B$12:$M$12="EXTERNE")*$B202:$M202)</f>
        <v>0</v>
      </c>
      <c r="Q202" s="44" t="n">
        <f aca="false">IF($A202="",0,SUMIFS(ST_ENCOURS,ST_LOT,$A202))</f>
        <v>0</v>
      </c>
      <c r="R202" s="45" t="str">
        <f aca="false">IF($A202="","",IF($N202&lt;-0.001,"STOCK NEGATIF - ANOMALIE",""))</f>
        <v/>
      </c>
    </row>
    <row r="203" customFormat="false" ht="15" hidden="false" customHeight="false" outlineLevel="0" collapsed="false">
      <c r="A203" s="41" t="str">
        <f aca="false">IF(LOTS!$A194="","",LOTS!$A194)</f>
        <v/>
      </c>
      <c r="B203" s="42" t="n">
        <f aca="false">IF(OR($A203="",B$13=""),0,SUMIFS(MVT_NET,MVT_LOT,$A203,MVT_EMPL,B$13))</f>
        <v>0</v>
      </c>
      <c r="C203" s="42" t="n">
        <f aca="false">IF(OR($A203="",C$13=""),0,SUMIFS(MVT_NET,MVT_LOT,$A203,MVT_EMPL,C$13))</f>
        <v>0</v>
      </c>
      <c r="D203" s="42" t="n">
        <f aca="false">IF(OR($A203="",D$13=""),0,SUMIFS(MVT_NET,MVT_LOT,$A203,MVT_EMPL,D$13))</f>
        <v>0</v>
      </c>
      <c r="E203" s="42" t="n">
        <f aca="false">IF(OR($A203="",E$13=""),0,SUMIFS(MVT_NET,MVT_LOT,$A203,MVT_EMPL,E$13))</f>
        <v>0</v>
      </c>
      <c r="F203" s="42" t="n">
        <f aca="false">IF(OR($A203="",F$13=""),0,SUMIFS(MVT_NET,MVT_LOT,$A203,MVT_EMPL,F$13))</f>
        <v>0</v>
      </c>
      <c r="G203" s="42" t="n">
        <f aca="false">IF(OR($A203="",G$13=""),0,SUMIFS(MVT_NET,MVT_LOT,$A203,MVT_EMPL,G$13))</f>
        <v>0</v>
      </c>
      <c r="H203" s="42" t="n">
        <f aca="false">IF(OR($A203="",H$13=""),0,SUMIFS(MVT_NET,MVT_LOT,$A203,MVT_EMPL,H$13))</f>
        <v>0</v>
      </c>
      <c r="I203" s="42" t="n">
        <f aca="false">IF(OR($A203="",I$13=""),0,SUMIFS(MVT_NET,MVT_LOT,$A203,MVT_EMPL,I$13))</f>
        <v>0</v>
      </c>
      <c r="J203" s="42" t="n">
        <f aca="false">IF(OR($A203="",J$13=""),0,SUMIFS(MVT_NET,MVT_LOT,$A203,MVT_EMPL,J$13))</f>
        <v>0</v>
      </c>
      <c r="K203" s="42" t="n">
        <f aca="false">IF(OR($A203="",K$13=""),0,SUMIFS(MVT_NET,MVT_LOT,$A203,MVT_EMPL,K$13))</f>
        <v>0</v>
      </c>
      <c r="L203" s="42" t="n">
        <f aca="false">IF(OR($A203="",L$13=""),0,SUMIFS(MVT_NET,MVT_LOT,$A203,MVT_EMPL,L$13))</f>
        <v>0</v>
      </c>
      <c r="M203" s="42" t="n">
        <f aca="false">IF(OR($A203="",M$13=""),0,SUMIFS(MVT_NET,MVT_LOT,$A203,MVT_EMPL,M$13))</f>
        <v>0</v>
      </c>
      <c r="N203" s="43" t="n">
        <f aca="false">SUM($B203:$M203)</f>
        <v>0</v>
      </c>
      <c r="O203" s="44" t="n">
        <f aca="false">SUMPRODUCT(($B$12:$M$12="INTERNE")*$B203:$M203)</f>
        <v>0</v>
      </c>
      <c r="P203" s="44" t="n">
        <f aca="false">SUMPRODUCT(($B$12:$M$12="EXTERNE")*$B203:$M203)</f>
        <v>0</v>
      </c>
      <c r="Q203" s="44" t="n">
        <f aca="false">IF($A203="",0,SUMIFS(ST_ENCOURS,ST_LOT,$A203))</f>
        <v>0</v>
      </c>
      <c r="R203" s="45" t="str">
        <f aca="false">IF($A203="","",IF($N203&lt;-0.001,"STOCK NEGATIF - ANOMALIE",""))</f>
        <v/>
      </c>
    </row>
    <row r="204" customFormat="false" ht="15" hidden="false" customHeight="false" outlineLevel="0" collapsed="false">
      <c r="A204" s="41" t="str">
        <f aca="false">IF(LOTS!$A195="","",LOTS!$A195)</f>
        <v/>
      </c>
      <c r="B204" s="42" t="n">
        <f aca="false">IF(OR($A204="",B$13=""),0,SUMIFS(MVT_NET,MVT_LOT,$A204,MVT_EMPL,B$13))</f>
        <v>0</v>
      </c>
      <c r="C204" s="42" t="n">
        <f aca="false">IF(OR($A204="",C$13=""),0,SUMIFS(MVT_NET,MVT_LOT,$A204,MVT_EMPL,C$13))</f>
        <v>0</v>
      </c>
      <c r="D204" s="42" t="n">
        <f aca="false">IF(OR($A204="",D$13=""),0,SUMIFS(MVT_NET,MVT_LOT,$A204,MVT_EMPL,D$13))</f>
        <v>0</v>
      </c>
      <c r="E204" s="42" t="n">
        <f aca="false">IF(OR($A204="",E$13=""),0,SUMIFS(MVT_NET,MVT_LOT,$A204,MVT_EMPL,E$13))</f>
        <v>0</v>
      </c>
      <c r="F204" s="42" t="n">
        <f aca="false">IF(OR($A204="",F$13=""),0,SUMIFS(MVT_NET,MVT_LOT,$A204,MVT_EMPL,F$13))</f>
        <v>0</v>
      </c>
      <c r="G204" s="42" t="n">
        <f aca="false">IF(OR($A204="",G$13=""),0,SUMIFS(MVT_NET,MVT_LOT,$A204,MVT_EMPL,G$13))</f>
        <v>0</v>
      </c>
      <c r="H204" s="42" t="n">
        <f aca="false">IF(OR($A204="",H$13=""),0,SUMIFS(MVT_NET,MVT_LOT,$A204,MVT_EMPL,H$13))</f>
        <v>0</v>
      </c>
      <c r="I204" s="42" t="n">
        <f aca="false">IF(OR($A204="",I$13=""),0,SUMIFS(MVT_NET,MVT_LOT,$A204,MVT_EMPL,I$13))</f>
        <v>0</v>
      </c>
      <c r="J204" s="42" t="n">
        <f aca="false">IF(OR($A204="",J$13=""),0,SUMIFS(MVT_NET,MVT_LOT,$A204,MVT_EMPL,J$13))</f>
        <v>0</v>
      </c>
      <c r="K204" s="42" t="n">
        <f aca="false">IF(OR($A204="",K$13=""),0,SUMIFS(MVT_NET,MVT_LOT,$A204,MVT_EMPL,K$13))</f>
        <v>0</v>
      </c>
      <c r="L204" s="42" t="n">
        <f aca="false">IF(OR($A204="",L$13=""),0,SUMIFS(MVT_NET,MVT_LOT,$A204,MVT_EMPL,L$13))</f>
        <v>0</v>
      </c>
      <c r="M204" s="42" t="n">
        <f aca="false">IF(OR($A204="",M$13=""),0,SUMIFS(MVT_NET,MVT_LOT,$A204,MVT_EMPL,M$13))</f>
        <v>0</v>
      </c>
      <c r="N204" s="43" t="n">
        <f aca="false">SUM($B204:$M204)</f>
        <v>0</v>
      </c>
      <c r="O204" s="44" t="n">
        <f aca="false">SUMPRODUCT(($B$12:$M$12="INTERNE")*$B204:$M204)</f>
        <v>0</v>
      </c>
      <c r="P204" s="44" t="n">
        <f aca="false">SUMPRODUCT(($B$12:$M$12="EXTERNE")*$B204:$M204)</f>
        <v>0</v>
      </c>
      <c r="Q204" s="44" t="n">
        <f aca="false">IF($A204="",0,SUMIFS(ST_ENCOURS,ST_LOT,$A204))</f>
        <v>0</v>
      </c>
      <c r="R204" s="45" t="str">
        <f aca="false">IF($A204="","",IF($N204&lt;-0.001,"STOCK NEGATIF - ANOMALIE",""))</f>
        <v/>
      </c>
    </row>
    <row r="205" customFormat="false" ht="15" hidden="false" customHeight="false" outlineLevel="0" collapsed="false">
      <c r="A205" s="41" t="str">
        <f aca="false">IF(LOTS!$A196="","",LOTS!$A196)</f>
        <v/>
      </c>
      <c r="B205" s="42" t="n">
        <f aca="false">IF(OR($A205="",B$13=""),0,SUMIFS(MVT_NET,MVT_LOT,$A205,MVT_EMPL,B$13))</f>
        <v>0</v>
      </c>
      <c r="C205" s="42" t="n">
        <f aca="false">IF(OR($A205="",C$13=""),0,SUMIFS(MVT_NET,MVT_LOT,$A205,MVT_EMPL,C$13))</f>
        <v>0</v>
      </c>
      <c r="D205" s="42" t="n">
        <f aca="false">IF(OR($A205="",D$13=""),0,SUMIFS(MVT_NET,MVT_LOT,$A205,MVT_EMPL,D$13))</f>
        <v>0</v>
      </c>
      <c r="E205" s="42" t="n">
        <f aca="false">IF(OR($A205="",E$13=""),0,SUMIFS(MVT_NET,MVT_LOT,$A205,MVT_EMPL,E$13))</f>
        <v>0</v>
      </c>
      <c r="F205" s="42" t="n">
        <f aca="false">IF(OR($A205="",F$13=""),0,SUMIFS(MVT_NET,MVT_LOT,$A205,MVT_EMPL,F$13))</f>
        <v>0</v>
      </c>
      <c r="G205" s="42" t="n">
        <f aca="false">IF(OR($A205="",G$13=""),0,SUMIFS(MVT_NET,MVT_LOT,$A205,MVT_EMPL,G$13))</f>
        <v>0</v>
      </c>
      <c r="H205" s="42" t="n">
        <f aca="false">IF(OR($A205="",H$13=""),0,SUMIFS(MVT_NET,MVT_LOT,$A205,MVT_EMPL,H$13))</f>
        <v>0</v>
      </c>
      <c r="I205" s="42" t="n">
        <f aca="false">IF(OR($A205="",I$13=""),0,SUMIFS(MVT_NET,MVT_LOT,$A205,MVT_EMPL,I$13))</f>
        <v>0</v>
      </c>
      <c r="J205" s="42" t="n">
        <f aca="false">IF(OR($A205="",J$13=""),0,SUMIFS(MVT_NET,MVT_LOT,$A205,MVT_EMPL,J$13))</f>
        <v>0</v>
      </c>
      <c r="K205" s="42" t="n">
        <f aca="false">IF(OR($A205="",K$13=""),0,SUMIFS(MVT_NET,MVT_LOT,$A205,MVT_EMPL,K$13))</f>
        <v>0</v>
      </c>
      <c r="L205" s="42" t="n">
        <f aca="false">IF(OR($A205="",L$13=""),0,SUMIFS(MVT_NET,MVT_LOT,$A205,MVT_EMPL,L$13))</f>
        <v>0</v>
      </c>
      <c r="M205" s="42" t="n">
        <f aca="false">IF(OR($A205="",M$13=""),0,SUMIFS(MVT_NET,MVT_LOT,$A205,MVT_EMPL,M$13))</f>
        <v>0</v>
      </c>
      <c r="N205" s="43" t="n">
        <f aca="false">SUM($B205:$M205)</f>
        <v>0</v>
      </c>
      <c r="O205" s="44" t="n">
        <f aca="false">SUMPRODUCT(($B$12:$M$12="INTERNE")*$B205:$M205)</f>
        <v>0</v>
      </c>
      <c r="P205" s="44" t="n">
        <f aca="false">SUMPRODUCT(($B$12:$M$12="EXTERNE")*$B205:$M205)</f>
        <v>0</v>
      </c>
      <c r="Q205" s="44" t="n">
        <f aca="false">IF($A205="",0,SUMIFS(ST_ENCOURS,ST_LOT,$A205))</f>
        <v>0</v>
      </c>
      <c r="R205" s="45" t="str">
        <f aca="false">IF($A205="","",IF($N205&lt;-0.001,"STOCK NEGATIF - ANOMALIE",""))</f>
        <v/>
      </c>
    </row>
    <row r="206" customFormat="false" ht="15" hidden="false" customHeight="false" outlineLevel="0" collapsed="false">
      <c r="A206" s="41" t="str">
        <f aca="false">IF(LOTS!$A197="","",LOTS!$A197)</f>
        <v/>
      </c>
      <c r="B206" s="42" t="n">
        <f aca="false">IF(OR($A206="",B$13=""),0,SUMIFS(MVT_NET,MVT_LOT,$A206,MVT_EMPL,B$13))</f>
        <v>0</v>
      </c>
      <c r="C206" s="42" t="n">
        <f aca="false">IF(OR($A206="",C$13=""),0,SUMIFS(MVT_NET,MVT_LOT,$A206,MVT_EMPL,C$13))</f>
        <v>0</v>
      </c>
      <c r="D206" s="42" t="n">
        <f aca="false">IF(OR($A206="",D$13=""),0,SUMIFS(MVT_NET,MVT_LOT,$A206,MVT_EMPL,D$13))</f>
        <v>0</v>
      </c>
      <c r="E206" s="42" t="n">
        <f aca="false">IF(OR($A206="",E$13=""),0,SUMIFS(MVT_NET,MVT_LOT,$A206,MVT_EMPL,E$13))</f>
        <v>0</v>
      </c>
      <c r="F206" s="42" t="n">
        <f aca="false">IF(OR($A206="",F$13=""),0,SUMIFS(MVT_NET,MVT_LOT,$A206,MVT_EMPL,F$13))</f>
        <v>0</v>
      </c>
      <c r="G206" s="42" t="n">
        <f aca="false">IF(OR($A206="",G$13=""),0,SUMIFS(MVT_NET,MVT_LOT,$A206,MVT_EMPL,G$13))</f>
        <v>0</v>
      </c>
      <c r="H206" s="42" t="n">
        <f aca="false">IF(OR($A206="",H$13=""),0,SUMIFS(MVT_NET,MVT_LOT,$A206,MVT_EMPL,H$13))</f>
        <v>0</v>
      </c>
      <c r="I206" s="42" t="n">
        <f aca="false">IF(OR($A206="",I$13=""),0,SUMIFS(MVT_NET,MVT_LOT,$A206,MVT_EMPL,I$13))</f>
        <v>0</v>
      </c>
      <c r="J206" s="42" t="n">
        <f aca="false">IF(OR($A206="",J$13=""),0,SUMIFS(MVT_NET,MVT_LOT,$A206,MVT_EMPL,J$13))</f>
        <v>0</v>
      </c>
      <c r="K206" s="42" t="n">
        <f aca="false">IF(OR($A206="",K$13=""),0,SUMIFS(MVT_NET,MVT_LOT,$A206,MVT_EMPL,K$13))</f>
        <v>0</v>
      </c>
      <c r="L206" s="42" t="n">
        <f aca="false">IF(OR($A206="",L$13=""),0,SUMIFS(MVT_NET,MVT_LOT,$A206,MVT_EMPL,L$13))</f>
        <v>0</v>
      </c>
      <c r="M206" s="42" t="n">
        <f aca="false">IF(OR($A206="",M$13=""),0,SUMIFS(MVT_NET,MVT_LOT,$A206,MVT_EMPL,M$13))</f>
        <v>0</v>
      </c>
      <c r="N206" s="43" t="n">
        <f aca="false">SUM($B206:$M206)</f>
        <v>0</v>
      </c>
      <c r="O206" s="44" t="n">
        <f aca="false">SUMPRODUCT(($B$12:$M$12="INTERNE")*$B206:$M206)</f>
        <v>0</v>
      </c>
      <c r="P206" s="44" t="n">
        <f aca="false">SUMPRODUCT(($B$12:$M$12="EXTERNE")*$B206:$M206)</f>
        <v>0</v>
      </c>
      <c r="Q206" s="44" t="n">
        <f aca="false">IF($A206="",0,SUMIFS(ST_ENCOURS,ST_LOT,$A206))</f>
        <v>0</v>
      </c>
      <c r="R206" s="45" t="str">
        <f aca="false">IF($A206="","",IF($N206&lt;-0.001,"STOCK NEGATIF - ANOMALIE",""))</f>
        <v/>
      </c>
    </row>
    <row r="207" customFormat="false" ht="15" hidden="false" customHeight="false" outlineLevel="0" collapsed="false">
      <c r="A207" s="41" t="str">
        <f aca="false">IF(LOTS!$A198="","",LOTS!$A198)</f>
        <v/>
      </c>
      <c r="B207" s="42" t="n">
        <f aca="false">IF(OR($A207="",B$13=""),0,SUMIFS(MVT_NET,MVT_LOT,$A207,MVT_EMPL,B$13))</f>
        <v>0</v>
      </c>
      <c r="C207" s="42" t="n">
        <f aca="false">IF(OR($A207="",C$13=""),0,SUMIFS(MVT_NET,MVT_LOT,$A207,MVT_EMPL,C$13))</f>
        <v>0</v>
      </c>
      <c r="D207" s="42" t="n">
        <f aca="false">IF(OR($A207="",D$13=""),0,SUMIFS(MVT_NET,MVT_LOT,$A207,MVT_EMPL,D$13))</f>
        <v>0</v>
      </c>
      <c r="E207" s="42" t="n">
        <f aca="false">IF(OR($A207="",E$13=""),0,SUMIFS(MVT_NET,MVT_LOT,$A207,MVT_EMPL,E$13))</f>
        <v>0</v>
      </c>
      <c r="F207" s="42" t="n">
        <f aca="false">IF(OR($A207="",F$13=""),0,SUMIFS(MVT_NET,MVT_LOT,$A207,MVT_EMPL,F$13))</f>
        <v>0</v>
      </c>
      <c r="G207" s="42" t="n">
        <f aca="false">IF(OR($A207="",G$13=""),0,SUMIFS(MVT_NET,MVT_LOT,$A207,MVT_EMPL,G$13))</f>
        <v>0</v>
      </c>
      <c r="H207" s="42" t="n">
        <f aca="false">IF(OR($A207="",H$13=""),0,SUMIFS(MVT_NET,MVT_LOT,$A207,MVT_EMPL,H$13))</f>
        <v>0</v>
      </c>
      <c r="I207" s="42" t="n">
        <f aca="false">IF(OR($A207="",I$13=""),0,SUMIFS(MVT_NET,MVT_LOT,$A207,MVT_EMPL,I$13))</f>
        <v>0</v>
      </c>
      <c r="J207" s="42" t="n">
        <f aca="false">IF(OR($A207="",J$13=""),0,SUMIFS(MVT_NET,MVT_LOT,$A207,MVT_EMPL,J$13))</f>
        <v>0</v>
      </c>
      <c r="K207" s="42" t="n">
        <f aca="false">IF(OR($A207="",K$13=""),0,SUMIFS(MVT_NET,MVT_LOT,$A207,MVT_EMPL,K$13))</f>
        <v>0</v>
      </c>
      <c r="L207" s="42" t="n">
        <f aca="false">IF(OR($A207="",L$13=""),0,SUMIFS(MVT_NET,MVT_LOT,$A207,MVT_EMPL,L$13))</f>
        <v>0</v>
      </c>
      <c r="M207" s="42" t="n">
        <f aca="false">IF(OR($A207="",M$13=""),0,SUMIFS(MVT_NET,MVT_LOT,$A207,MVT_EMPL,M$13))</f>
        <v>0</v>
      </c>
      <c r="N207" s="43" t="n">
        <f aca="false">SUM($B207:$M207)</f>
        <v>0</v>
      </c>
      <c r="O207" s="44" t="n">
        <f aca="false">SUMPRODUCT(($B$12:$M$12="INTERNE")*$B207:$M207)</f>
        <v>0</v>
      </c>
      <c r="P207" s="44" t="n">
        <f aca="false">SUMPRODUCT(($B$12:$M$12="EXTERNE")*$B207:$M207)</f>
        <v>0</v>
      </c>
      <c r="Q207" s="44" t="n">
        <f aca="false">IF($A207="",0,SUMIFS(ST_ENCOURS,ST_LOT,$A207))</f>
        <v>0</v>
      </c>
      <c r="R207" s="45" t="str">
        <f aca="false">IF($A207="","",IF($N207&lt;-0.001,"STOCK NEGATIF - ANOMALIE",""))</f>
        <v/>
      </c>
    </row>
    <row r="208" customFormat="false" ht="15" hidden="false" customHeight="false" outlineLevel="0" collapsed="false">
      <c r="A208" s="41" t="str">
        <f aca="false">IF(LOTS!$A199="","",LOTS!$A199)</f>
        <v/>
      </c>
      <c r="B208" s="42" t="n">
        <f aca="false">IF(OR($A208="",B$13=""),0,SUMIFS(MVT_NET,MVT_LOT,$A208,MVT_EMPL,B$13))</f>
        <v>0</v>
      </c>
      <c r="C208" s="42" t="n">
        <f aca="false">IF(OR($A208="",C$13=""),0,SUMIFS(MVT_NET,MVT_LOT,$A208,MVT_EMPL,C$13))</f>
        <v>0</v>
      </c>
      <c r="D208" s="42" t="n">
        <f aca="false">IF(OR($A208="",D$13=""),0,SUMIFS(MVT_NET,MVT_LOT,$A208,MVT_EMPL,D$13))</f>
        <v>0</v>
      </c>
      <c r="E208" s="42" t="n">
        <f aca="false">IF(OR($A208="",E$13=""),0,SUMIFS(MVT_NET,MVT_LOT,$A208,MVT_EMPL,E$13))</f>
        <v>0</v>
      </c>
      <c r="F208" s="42" t="n">
        <f aca="false">IF(OR($A208="",F$13=""),0,SUMIFS(MVT_NET,MVT_LOT,$A208,MVT_EMPL,F$13))</f>
        <v>0</v>
      </c>
      <c r="G208" s="42" t="n">
        <f aca="false">IF(OR($A208="",G$13=""),0,SUMIFS(MVT_NET,MVT_LOT,$A208,MVT_EMPL,G$13))</f>
        <v>0</v>
      </c>
      <c r="H208" s="42" t="n">
        <f aca="false">IF(OR($A208="",H$13=""),0,SUMIFS(MVT_NET,MVT_LOT,$A208,MVT_EMPL,H$13))</f>
        <v>0</v>
      </c>
      <c r="I208" s="42" t="n">
        <f aca="false">IF(OR($A208="",I$13=""),0,SUMIFS(MVT_NET,MVT_LOT,$A208,MVT_EMPL,I$13))</f>
        <v>0</v>
      </c>
      <c r="J208" s="42" t="n">
        <f aca="false">IF(OR($A208="",J$13=""),0,SUMIFS(MVT_NET,MVT_LOT,$A208,MVT_EMPL,J$13))</f>
        <v>0</v>
      </c>
      <c r="K208" s="42" t="n">
        <f aca="false">IF(OR($A208="",K$13=""),0,SUMIFS(MVT_NET,MVT_LOT,$A208,MVT_EMPL,K$13))</f>
        <v>0</v>
      </c>
      <c r="L208" s="42" t="n">
        <f aca="false">IF(OR($A208="",L$13=""),0,SUMIFS(MVT_NET,MVT_LOT,$A208,MVT_EMPL,L$13))</f>
        <v>0</v>
      </c>
      <c r="M208" s="42" t="n">
        <f aca="false">IF(OR($A208="",M$13=""),0,SUMIFS(MVT_NET,MVT_LOT,$A208,MVT_EMPL,M$13))</f>
        <v>0</v>
      </c>
      <c r="N208" s="43" t="n">
        <f aca="false">SUM($B208:$M208)</f>
        <v>0</v>
      </c>
      <c r="O208" s="44" t="n">
        <f aca="false">SUMPRODUCT(($B$12:$M$12="INTERNE")*$B208:$M208)</f>
        <v>0</v>
      </c>
      <c r="P208" s="44" t="n">
        <f aca="false">SUMPRODUCT(($B$12:$M$12="EXTERNE")*$B208:$M208)</f>
        <v>0</v>
      </c>
      <c r="Q208" s="44" t="n">
        <f aca="false">IF($A208="",0,SUMIFS(ST_ENCOURS,ST_LOT,$A208))</f>
        <v>0</v>
      </c>
      <c r="R208" s="45" t="str">
        <f aca="false">IF($A208="","",IF($N208&lt;-0.001,"STOCK NEGATIF - ANOMALIE",""))</f>
        <v/>
      </c>
    </row>
    <row r="209" customFormat="false" ht="15" hidden="false" customHeight="false" outlineLevel="0" collapsed="false">
      <c r="A209" s="41" t="str">
        <f aca="false">IF(LOTS!$A200="","",LOTS!$A200)</f>
        <v/>
      </c>
      <c r="B209" s="42" t="n">
        <f aca="false">IF(OR($A209="",B$13=""),0,SUMIFS(MVT_NET,MVT_LOT,$A209,MVT_EMPL,B$13))</f>
        <v>0</v>
      </c>
      <c r="C209" s="42" t="n">
        <f aca="false">IF(OR($A209="",C$13=""),0,SUMIFS(MVT_NET,MVT_LOT,$A209,MVT_EMPL,C$13))</f>
        <v>0</v>
      </c>
      <c r="D209" s="42" t="n">
        <f aca="false">IF(OR($A209="",D$13=""),0,SUMIFS(MVT_NET,MVT_LOT,$A209,MVT_EMPL,D$13))</f>
        <v>0</v>
      </c>
      <c r="E209" s="42" t="n">
        <f aca="false">IF(OR($A209="",E$13=""),0,SUMIFS(MVT_NET,MVT_LOT,$A209,MVT_EMPL,E$13))</f>
        <v>0</v>
      </c>
      <c r="F209" s="42" t="n">
        <f aca="false">IF(OR($A209="",F$13=""),0,SUMIFS(MVT_NET,MVT_LOT,$A209,MVT_EMPL,F$13))</f>
        <v>0</v>
      </c>
      <c r="G209" s="42" t="n">
        <f aca="false">IF(OR($A209="",G$13=""),0,SUMIFS(MVT_NET,MVT_LOT,$A209,MVT_EMPL,G$13))</f>
        <v>0</v>
      </c>
      <c r="H209" s="42" t="n">
        <f aca="false">IF(OR($A209="",H$13=""),0,SUMIFS(MVT_NET,MVT_LOT,$A209,MVT_EMPL,H$13))</f>
        <v>0</v>
      </c>
      <c r="I209" s="42" t="n">
        <f aca="false">IF(OR($A209="",I$13=""),0,SUMIFS(MVT_NET,MVT_LOT,$A209,MVT_EMPL,I$13))</f>
        <v>0</v>
      </c>
      <c r="J209" s="42" t="n">
        <f aca="false">IF(OR($A209="",J$13=""),0,SUMIFS(MVT_NET,MVT_LOT,$A209,MVT_EMPL,J$13))</f>
        <v>0</v>
      </c>
      <c r="K209" s="42" t="n">
        <f aca="false">IF(OR($A209="",K$13=""),0,SUMIFS(MVT_NET,MVT_LOT,$A209,MVT_EMPL,K$13))</f>
        <v>0</v>
      </c>
      <c r="L209" s="42" t="n">
        <f aca="false">IF(OR($A209="",L$13=""),0,SUMIFS(MVT_NET,MVT_LOT,$A209,MVT_EMPL,L$13))</f>
        <v>0</v>
      </c>
      <c r="M209" s="42" t="n">
        <f aca="false">IF(OR($A209="",M$13=""),0,SUMIFS(MVT_NET,MVT_LOT,$A209,MVT_EMPL,M$13))</f>
        <v>0</v>
      </c>
      <c r="N209" s="43" t="n">
        <f aca="false">SUM($B209:$M209)</f>
        <v>0</v>
      </c>
      <c r="O209" s="44" t="n">
        <f aca="false">SUMPRODUCT(($B$12:$M$12="INTERNE")*$B209:$M209)</f>
        <v>0</v>
      </c>
      <c r="P209" s="44" t="n">
        <f aca="false">SUMPRODUCT(($B$12:$M$12="EXTERNE")*$B209:$M209)</f>
        <v>0</v>
      </c>
      <c r="Q209" s="44" t="n">
        <f aca="false">IF($A209="",0,SUMIFS(ST_ENCOURS,ST_LOT,$A209))</f>
        <v>0</v>
      </c>
      <c r="R209" s="45" t="str">
        <f aca="false">IF($A209="","",IF($N209&lt;-0.001,"STOCK NEGATIF - ANOMALIE",""))</f>
        <v/>
      </c>
    </row>
    <row r="210" customFormat="false" ht="15" hidden="false" customHeight="false" outlineLevel="0" collapsed="false">
      <c r="A210" s="41" t="str">
        <f aca="false">IF(LOTS!$A201="","",LOTS!$A201)</f>
        <v/>
      </c>
      <c r="B210" s="42" t="n">
        <f aca="false">IF(OR($A210="",B$13=""),0,SUMIFS(MVT_NET,MVT_LOT,$A210,MVT_EMPL,B$13))</f>
        <v>0</v>
      </c>
      <c r="C210" s="42" t="n">
        <f aca="false">IF(OR($A210="",C$13=""),0,SUMIFS(MVT_NET,MVT_LOT,$A210,MVT_EMPL,C$13))</f>
        <v>0</v>
      </c>
      <c r="D210" s="42" t="n">
        <f aca="false">IF(OR($A210="",D$13=""),0,SUMIFS(MVT_NET,MVT_LOT,$A210,MVT_EMPL,D$13))</f>
        <v>0</v>
      </c>
      <c r="E210" s="42" t="n">
        <f aca="false">IF(OR($A210="",E$13=""),0,SUMIFS(MVT_NET,MVT_LOT,$A210,MVT_EMPL,E$13))</f>
        <v>0</v>
      </c>
      <c r="F210" s="42" t="n">
        <f aca="false">IF(OR($A210="",F$13=""),0,SUMIFS(MVT_NET,MVT_LOT,$A210,MVT_EMPL,F$13))</f>
        <v>0</v>
      </c>
      <c r="G210" s="42" t="n">
        <f aca="false">IF(OR($A210="",G$13=""),0,SUMIFS(MVT_NET,MVT_LOT,$A210,MVT_EMPL,G$13))</f>
        <v>0</v>
      </c>
      <c r="H210" s="42" t="n">
        <f aca="false">IF(OR($A210="",H$13=""),0,SUMIFS(MVT_NET,MVT_LOT,$A210,MVT_EMPL,H$13))</f>
        <v>0</v>
      </c>
      <c r="I210" s="42" t="n">
        <f aca="false">IF(OR($A210="",I$13=""),0,SUMIFS(MVT_NET,MVT_LOT,$A210,MVT_EMPL,I$13))</f>
        <v>0</v>
      </c>
      <c r="J210" s="42" t="n">
        <f aca="false">IF(OR($A210="",J$13=""),0,SUMIFS(MVT_NET,MVT_LOT,$A210,MVT_EMPL,J$13))</f>
        <v>0</v>
      </c>
      <c r="K210" s="42" t="n">
        <f aca="false">IF(OR($A210="",K$13=""),0,SUMIFS(MVT_NET,MVT_LOT,$A210,MVT_EMPL,K$13))</f>
        <v>0</v>
      </c>
      <c r="L210" s="42" t="n">
        <f aca="false">IF(OR($A210="",L$13=""),0,SUMIFS(MVT_NET,MVT_LOT,$A210,MVT_EMPL,L$13))</f>
        <v>0</v>
      </c>
      <c r="M210" s="42" t="n">
        <f aca="false">IF(OR($A210="",M$13=""),0,SUMIFS(MVT_NET,MVT_LOT,$A210,MVT_EMPL,M$13))</f>
        <v>0</v>
      </c>
      <c r="N210" s="43" t="n">
        <f aca="false">SUM($B210:$M210)</f>
        <v>0</v>
      </c>
      <c r="O210" s="44" t="n">
        <f aca="false">SUMPRODUCT(($B$12:$M$12="INTERNE")*$B210:$M210)</f>
        <v>0</v>
      </c>
      <c r="P210" s="44" t="n">
        <f aca="false">SUMPRODUCT(($B$12:$M$12="EXTERNE")*$B210:$M210)</f>
        <v>0</v>
      </c>
      <c r="Q210" s="44" t="n">
        <f aca="false">IF($A210="",0,SUMIFS(ST_ENCOURS,ST_LOT,$A210))</f>
        <v>0</v>
      </c>
      <c r="R210" s="45" t="str">
        <f aca="false">IF($A210="","",IF($N210&lt;-0.001,"STOCK NEGATIF - ANOMALIE",""))</f>
        <v/>
      </c>
    </row>
    <row r="211" customFormat="false" ht="15" hidden="false" customHeight="false" outlineLevel="0" collapsed="false">
      <c r="A211" s="41" t="str">
        <f aca="false">IF(LOTS!$A202="","",LOTS!$A202)</f>
        <v/>
      </c>
      <c r="B211" s="42" t="n">
        <f aca="false">IF(OR($A211="",B$13=""),0,SUMIFS(MVT_NET,MVT_LOT,$A211,MVT_EMPL,B$13))</f>
        <v>0</v>
      </c>
      <c r="C211" s="42" t="n">
        <f aca="false">IF(OR($A211="",C$13=""),0,SUMIFS(MVT_NET,MVT_LOT,$A211,MVT_EMPL,C$13))</f>
        <v>0</v>
      </c>
      <c r="D211" s="42" t="n">
        <f aca="false">IF(OR($A211="",D$13=""),0,SUMIFS(MVT_NET,MVT_LOT,$A211,MVT_EMPL,D$13))</f>
        <v>0</v>
      </c>
      <c r="E211" s="42" t="n">
        <f aca="false">IF(OR($A211="",E$13=""),0,SUMIFS(MVT_NET,MVT_LOT,$A211,MVT_EMPL,E$13))</f>
        <v>0</v>
      </c>
      <c r="F211" s="42" t="n">
        <f aca="false">IF(OR($A211="",F$13=""),0,SUMIFS(MVT_NET,MVT_LOT,$A211,MVT_EMPL,F$13))</f>
        <v>0</v>
      </c>
      <c r="G211" s="42" t="n">
        <f aca="false">IF(OR($A211="",G$13=""),0,SUMIFS(MVT_NET,MVT_LOT,$A211,MVT_EMPL,G$13))</f>
        <v>0</v>
      </c>
      <c r="H211" s="42" t="n">
        <f aca="false">IF(OR($A211="",H$13=""),0,SUMIFS(MVT_NET,MVT_LOT,$A211,MVT_EMPL,H$13))</f>
        <v>0</v>
      </c>
      <c r="I211" s="42" t="n">
        <f aca="false">IF(OR($A211="",I$13=""),0,SUMIFS(MVT_NET,MVT_LOT,$A211,MVT_EMPL,I$13))</f>
        <v>0</v>
      </c>
      <c r="J211" s="42" t="n">
        <f aca="false">IF(OR($A211="",J$13=""),0,SUMIFS(MVT_NET,MVT_LOT,$A211,MVT_EMPL,J$13))</f>
        <v>0</v>
      </c>
      <c r="K211" s="42" t="n">
        <f aca="false">IF(OR($A211="",K$13=""),0,SUMIFS(MVT_NET,MVT_LOT,$A211,MVT_EMPL,K$13))</f>
        <v>0</v>
      </c>
      <c r="L211" s="42" t="n">
        <f aca="false">IF(OR($A211="",L$13=""),0,SUMIFS(MVT_NET,MVT_LOT,$A211,MVT_EMPL,L$13))</f>
        <v>0</v>
      </c>
      <c r="M211" s="42" t="n">
        <f aca="false">IF(OR($A211="",M$13=""),0,SUMIFS(MVT_NET,MVT_LOT,$A211,MVT_EMPL,M$13))</f>
        <v>0</v>
      </c>
      <c r="N211" s="43" t="n">
        <f aca="false">SUM($B211:$M211)</f>
        <v>0</v>
      </c>
      <c r="O211" s="44" t="n">
        <f aca="false">SUMPRODUCT(($B$12:$M$12="INTERNE")*$B211:$M211)</f>
        <v>0</v>
      </c>
      <c r="P211" s="44" t="n">
        <f aca="false">SUMPRODUCT(($B$12:$M$12="EXTERNE")*$B211:$M211)</f>
        <v>0</v>
      </c>
      <c r="Q211" s="44" t="n">
        <f aca="false">IF($A211="",0,SUMIFS(ST_ENCOURS,ST_LOT,$A211))</f>
        <v>0</v>
      </c>
      <c r="R211" s="45" t="str">
        <f aca="false">IF($A211="","",IF($N211&lt;-0.001,"STOCK NEGATIF - ANOMALIE",""))</f>
        <v/>
      </c>
    </row>
    <row r="212" customFormat="false" ht="15" hidden="false" customHeight="false" outlineLevel="0" collapsed="false">
      <c r="A212" s="41" t="str">
        <f aca="false">IF(LOTS!$A203="","",LOTS!$A203)</f>
        <v/>
      </c>
      <c r="B212" s="42" t="n">
        <f aca="false">IF(OR($A212="",B$13=""),0,SUMIFS(MVT_NET,MVT_LOT,$A212,MVT_EMPL,B$13))</f>
        <v>0</v>
      </c>
      <c r="C212" s="42" t="n">
        <f aca="false">IF(OR($A212="",C$13=""),0,SUMIFS(MVT_NET,MVT_LOT,$A212,MVT_EMPL,C$13))</f>
        <v>0</v>
      </c>
      <c r="D212" s="42" t="n">
        <f aca="false">IF(OR($A212="",D$13=""),0,SUMIFS(MVT_NET,MVT_LOT,$A212,MVT_EMPL,D$13))</f>
        <v>0</v>
      </c>
      <c r="E212" s="42" t="n">
        <f aca="false">IF(OR($A212="",E$13=""),0,SUMIFS(MVT_NET,MVT_LOT,$A212,MVT_EMPL,E$13))</f>
        <v>0</v>
      </c>
      <c r="F212" s="42" t="n">
        <f aca="false">IF(OR($A212="",F$13=""),0,SUMIFS(MVT_NET,MVT_LOT,$A212,MVT_EMPL,F$13))</f>
        <v>0</v>
      </c>
      <c r="G212" s="42" t="n">
        <f aca="false">IF(OR($A212="",G$13=""),0,SUMIFS(MVT_NET,MVT_LOT,$A212,MVT_EMPL,G$13))</f>
        <v>0</v>
      </c>
      <c r="H212" s="42" t="n">
        <f aca="false">IF(OR($A212="",H$13=""),0,SUMIFS(MVT_NET,MVT_LOT,$A212,MVT_EMPL,H$13))</f>
        <v>0</v>
      </c>
      <c r="I212" s="42" t="n">
        <f aca="false">IF(OR($A212="",I$13=""),0,SUMIFS(MVT_NET,MVT_LOT,$A212,MVT_EMPL,I$13))</f>
        <v>0</v>
      </c>
      <c r="J212" s="42" t="n">
        <f aca="false">IF(OR($A212="",J$13=""),0,SUMIFS(MVT_NET,MVT_LOT,$A212,MVT_EMPL,J$13))</f>
        <v>0</v>
      </c>
      <c r="K212" s="42" t="n">
        <f aca="false">IF(OR($A212="",K$13=""),0,SUMIFS(MVT_NET,MVT_LOT,$A212,MVT_EMPL,K$13))</f>
        <v>0</v>
      </c>
      <c r="L212" s="42" t="n">
        <f aca="false">IF(OR($A212="",L$13=""),0,SUMIFS(MVT_NET,MVT_LOT,$A212,MVT_EMPL,L$13))</f>
        <v>0</v>
      </c>
      <c r="M212" s="42" t="n">
        <f aca="false">IF(OR($A212="",M$13=""),0,SUMIFS(MVT_NET,MVT_LOT,$A212,MVT_EMPL,M$13))</f>
        <v>0</v>
      </c>
      <c r="N212" s="43" t="n">
        <f aca="false">SUM($B212:$M212)</f>
        <v>0</v>
      </c>
      <c r="O212" s="44" t="n">
        <f aca="false">SUMPRODUCT(($B$12:$M$12="INTERNE")*$B212:$M212)</f>
        <v>0</v>
      </c>
      <c r="P212" s="44" t="n">
        <f aca="false">SUMPRODUCT(($B$12:$M$12="EXTERNE")*$B212:$M212)</f>
        <v>0</v>
      </c>
      <c r="Q212" s="44" t="n">
        <f aca="false">IF($A212="",0,SUMIFS(ST_ENCOURS,ST_LOT,$A212))</f>
        <v>0</v>
      </c>
      <c r="R212" s="45" t="str">
        <f aca="false">IF($A212="","",IF($N212&lt;-0.001,"STOCK NEGATIF - ANOMALIE",""))</f>
        <v/>
      </c>
    </row>
    <row r="213" customFormat="false" ht="15" hidden="false" customHeight="false" outlineLevel="0" collapsed="false">
      <c r="A213" s="41" t="str">
        <f aca="false">IF(LOTS!$A204="","",LOTS!$A204)</f>
        <v/>
      </c>
      <c r="B213" s="42" t="n">
        <f aca="false">IF(OR($A213="",B$13=""),0,SUMIFS(MVT_NET,MVT_LOT,$A213,MVT_EMPL,B$13))</f>
        <v>0</v>
      </c>
      <c r="C213" s="42" t="n">
        <f aca="false">IF(OR($A213="",C$13=""),0,SUMIFS(MVT_NET,MVT_LOT,$A213,MVT_EMPL,C$13))</f>
        <v>0</v>
      </c>
      <c r="D213" s="42" t="n">
        <f aca="false">IF(OR($A213="",D$13=""),0,SUMIFS(MVT_NET,MVT_LOT,$A213,MVT_EMPL,D$13))</f>
        <v>0</v>
      </c>
      <c r="E213" s="42" t="n">
        <f aca="false">IF(OR($A213="",E$13=""),0,SUMIFS(MVT_NET,MVT_LOT,$A213,MVT_EMPL,E$13))</f>
        <v>0</v>
      </c>
      <c r="F213" s="42" t="n">
        <f aca="false">IF(OR($A213="",F$13=""),0,SUMIFS(MVT_NET,MVT_LOT,$A213,MVT_EMPL,F$13))</f>
        <v>0</v>
      </c>
      <c r="G213" s="42" t="n">
        <f aca="false">IF(OR($A213="",G$13=""),0,SUMIFS(MVT_NET,MVT_LOT,$A213,MVT_EMPL,G$13))</f>
        <v>0</v>
      </c>
      <c r="H213" s="42" t="n">
        <f aca="false">IF(OR($A213="",H$13=""),0,SUMIFS(MVT_NET,MVT_LOT,$A213,MVT_EMPL,H$13))</f>
        <v>0</v>
      </c>
      <c r="I213" s="42" t="n">
        <f aca="false">IF(OR($A213="",I$13=""),0,SUMIFS(MVT_NET,MVT_LOT,$A213,MVT_EMPL,I$13))</f>
        <v>0</v>
      </c>
      <c r="J213" s="42" t="n">
        <f aca="false">IF(OR($A213="",J$13=""),0,SUMIFS(MVT_NET,MVT_LOT,$A213,MVT_EMPL,J$13))</f>
        <v>0</v>
      </c>
      <c r="K213" s="42" t="n">
        <f aca="false">IF(OR($A213="",K$13=""),0,SUMIFS(MVT_NET,MVT_LOT,$A213,MVT_EMPL,K$13))</f>
        <v>0</v>
      </c>
      <c r="L213" s="42" t="n">
        <f aca="false">IF(OR($A213="",L$13=""),0,SUMIFS(MVT_NET,MVT_LOT,$A213,MVT_EMPL,L$13))</f>
        <v>0</v>
      </c>
      <c r="M213" s="42" t="n">
        <f aca="false">IF(OR($A213="",M$13=""),0,SUMIFS(MVT_NET,MVT_LOT,$A213,MVT_EMPL,M$13))</f>
        <v>0</v>
      </c>
      <c r="N213" s="43" t="n">
        <f aca="false">SUM($B213:$M213)</f>
        <v>0</v>
      </c>
      <c r="O213" s="44" t="n">
        <f aca="false">SUMPRODUCT(($B$12:$M$12="INTERNE")*$B213:$M213)</f>
        <v>0</v>
      </c>
      <c r="P213" s="44" t="n">
        <f aca="false">SUMPRODUCT(($B$12:$M$12="EXTERNE")*$B213:$M213)</f>
        <v>0</v>
      </c>
      <c r="Q213" s="44" t="n">
        <f aca="false">IF($A213="",0,SUMIFS(ST_ENCOURS,ST_LOT,$A213))</f>
        <v>0</v>
      </c>
      <c r="R213" s="45" t="str">
        <f aca="false">IF($A213="","",IF($N213&lt;-0.001,"STOCK NEGATIF - ANOMALIE",""))</f>
        <v/>
      </c>
    </row>
    <row r="214" customFormat="false" ht="15" hidden="false" customHeight="false" outlineLevel="0" collapsed="false">
      <c r="A214" s="46" t="s">
        <v>238</v>
      </c>
      <c r="B214" s="47" t="n">
        <f aca="false">SUM(B14:B213)</f>
        <v>3090</v>
      </c>
      <c r="C214" s="47" t="n">
        <f aca="false">SUM(C14:C213)</f>
        <v>1200</v>
      </c>
      <c r="D214" s="47" t="n">
        <f aca="false">SUM(D14:D213)</f>
        <v>0</v>
      </c>
      <c r="E214" s="47" t="n">
        <f aca="false">SUM(E14:E213)</f>
        <v>150</v>
      </c>
      <c r="F214" s="47" t="n">
        <f aca="false">SUM(F14:F213)</f>
        <v>0</v>
      </c>
      <c r="G214" s="47" t="n">
        <f aca="false">SUM(G14:G213)</f>
        <v>0</v>
      </c>
      <c r="H214" s="47" t="n">
        <f aca="false">SUM(H14:H213)</f>
        <v>0</v>
      </c>
      <c r="I214" s="47" t="n">
        <f aca="false">SUM(I14:I213)</f>
        <v>0</v>
      </c>
      <c r="J214" s="47" t="n">
        <f aca="false">SUM(J14:J213)</f>
        <v>0</v>
      </c>
      <c r="K214" s="47" t="n">
        <f aca="false">SUM(K14:K213)</f>
        <v>0</v>
      </c>
      <c r="L214" s="47" t="n">
        <f aca="false">SUM(L14:L213)</f>
        <v>0</v>
      </c>
      <c r="M214" s="47" t="n">
        <f aca="false">SUM(M14:M213)</f>
        <v>0</v>
      </c>
      <c r="N214" s="47" t="n">
        <f aca="false">SUM(N14:N213)</f>
        <v>4440</v>
      </c>
      <c r="O214" s="47" t="n">
        <f aca="false">SUM(O14:O213)</f>
        <v>3090</v>
      </c>
      <c r="P214" s="47" t="n">
        <f aca="false">SUM(P14:P213)</f>
        <v>1350</v>
      </c>
      <c r="Q214" s="47" t="n">
        <f aca="false">SUM(Q14:Q213)</f>
        <v>200</v>
      </c>
      <c r="R214" s="48"/>
    </row>
  </sheetData>
  <mergeCells count="10">
    <mergeCell ref="A1:R1"/>
    <mergeCell ref="A2:R2"/>
    <mergeCell ref="A4:C4"/>
    <mergeCell ref="A5:C5"/>
    <mergeCell ref="A6:C6"/>
    <mergeCell ref="A7:C7"/>
    <mergeCell ref="A8:C8"/>
    <mergeCell ref="A9:C9"/>
    <mergeCell ref="E9:K9"/>
    <mergeCell ref="A11:R11"/>
  </mergeCells>
  <conditionalFormatting sqref="D9">
    <cfRule type="cellIs" priority="2" operator="notEqual" aboveAverage="0" equalAverage="0" bottom="0" percent="0" rank="0" text="" dxfId="1">
      <formula>0</formula>
    </cfRule>
  </conditionalFormatting>
  <conditionalFormatting sqref="B14:N213">
    <cfRule type="cellIs" priority="3" operator="lessThan" aboveAverage="0" equalAverage="0" bottom="0" percent="0" rank="0" text="" dxfId="15">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3D5C"/>
    <pageSetUpPr fitToPage="false"/>
  </sheetPr>
  <dimension ref="A1:K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6"/>
    <col collapsed="false" customWidth="true" hidden="false" outlineLevel="0" max="3" min="3" style="0" width="17"/>
    <col collapsed="false" customWidth="true" hidden="false" outlineLevel="0" max="5" min="4" style="0" width="18"/>
    <col collapsed="false" customWidth="true" hidden="false" outlineLevel="0" max="8" min="6" style="0" width="15"/>
    <col collapsed="false" customWidth="true" hidden="false" outlineLevel="0" max="9" min="9" style="0" width="16"/>
    <col collapsed="false" customWidth="true" hidden="false" outlineLevel="0" max="10" min="10" style="0" width="21"/>
    <col collapsed="false" customWidth="true" hidden="false" outlineLevel="0" max="11" min="11" style="0" width="30"/>
  </cols>
  <sheetData>
    <row r="1" customFormat="false" ht="30" hidden="false" customHeight="true" outlineLevel="0" collapsed="false">
      <c r="A1" s="1" t="s">
        <v>239</v>
      </c>
      <c r="B1" s="1"/>
      <c r="C1" s="1"/>
      <c r="D1" s="1"/>
      <c r="E1" s="1"/>
      <c r="F1" s="1"/>
      <c r="G1" s="1"/>
      <c r="H1" s="1"/>
      <c r="I1" s="1"/>
      <c r="J1" s="1"/>
      <c r="K1" s="1"/>
    </row>
    <row r="2" customFormat="false" ht="18" hidden="false" customHeight="true" outlineLevel="0" collapsed="false">
      <c r="A2" s="2" t="s">
        <v>240</v>
      </c>
      <c r="B2" s="2"/>
      <c r="C2" s="2"/>
      <c r="D2" s="2"/>
      <c r="E2" s="2"/>
      <c r="F2" s="2"/>
      <c r="G2" s="2"/>
      <c r="H2" s="2"/>
      <c r="I2" s="2"/>
      <c r="J2" s="2"/>
      <c r="K2" s="2"/>
    </row>
    <row r="4" customFormat="false" ht="24" hidden="false" customHeight="true" outlineLevel="0" collapsed="false">
      <c r="B4" s="49" t="s">
        <v>241</v>
      </c>
      <c r="C4" s="50" t="s">
        <v>69</v>
      </c>
      <c r="D4" s="50"/>
      <c r="E4" s="50"/>
    </row>
    <row r="6" customFormat="false" ht="15" hidden="false" customHeight="false" outlineLevel="0" collapsed="false">
      <c r="A6" s="3" t="s">
        <v>242</v>
      </c>
      <c r="B6" s="3"/>
      <c r="C6" s="3"/>
      <c r="D6" s="3"/>
      <c r="E6" s="3"/>
      <c r="G6" s="3" t="s">
        <v>243</v>
      </c>
      <c r="H6" s="3"/>
      <c r="I6" s="3"/>
    </row>
    <row r="7" customFormat="false" ht="15" hidden="false" customHeight="false" outlineLevel="0" collapsed="false">
      <c r="B7" s="51" t="s">
        <v>49</v>
      </c>
      <c r="C7" s="52" t="str">
        <f aca="false">IF($C$4="","",IF(IFERROR(INDEX(LOT_PROD,MATCH($C$4,LOT_KEY,0)),"")&lt;&gt;"",INDEX(LOT_PROD,MATCH($C$4,LOT_KEY,0)),IF(IFERROR(INDEX(LOT_PRODE,MATCH($C$4,LOT_KEY,0)),"")="","",INDEX(LOT_PRODE,MATCH($C$4,LOT_KEY,0))&amp;"   (herite du lot "&amp;$C$16&amp;")")))</f>
        <v>SARDINE</v>
      </c>
      <c r="D7" s="52"/>
      <c r="E7" s="52"/>
      <c r="G7" s="40" t="s">
        <v>203</v>
      </c>
      <c r="H7" s="40" t="s">
        <v>233</v>
      </c>
      <c r="I7" s="40" t="s">
        <v>244</v>
      </c>
    </row>
    <row r="8" customFormat="false" ht="15" hidden="false" customHeight="false" outlineLevel="0" collapsed="false">
      <c r="B8" s="51" t="s">
        <v>50</v>
      </c>
      <c r="C8" s="52" t="str">
        <f aca="false">IF($C$4="","",IF(IFERROR(INDEX(LOT_FOURN,MATCH($C$4,LOT_KEY,0)),"")&lt;&gt;"",INDEX(LOT_FOURN,MATCH($C$4,LOT_KEY,0)),IF(IFERROR(INDEX(LOT_FOURNE,MATCH($C$4,LOT_KEY,0)),"")="","",INDEX(LOT_FOURNE,MATCH($C$4,LOT_KEY,0))&amp;"   (herite du lot "&amp;$C$16&amp;")")))</f>
        <v>ATLAS PECHE SARL</v>
      </c>
      <c r="D8" s="52"/>
      <c r="E8" s="52"/>
      <c r="G8" s="53" t="str">
        <f aca="false">IF(INDEX(EMPL_KEY,1)="","",INDEX(EMPL_KEY,1))</f>
        <v>OCEAMIC 2</v>
      </c>
      <c r="H8" s="54" t="str">
        <f aca="false">IF($G8="","",IFERROR(INDEX(EMPL_CLASSE,MATCH($G8,EMPL_KEY,0)),""))</f>
        <v>INTERNE</v>
      </c>
      <c r="I8" s="42" t="n">
        <f aca="false">IF(OR($G8="",$C$4=""),"",SUMIFS(MVT_NET,MVT_LOT,$C$4,MVT_EMPL,$G8))</f>
        <v>500</v>
      </c>
    </row>
    <row r="9" customFormat="false" ht="15" hidden="false" customHeight="false" outlineLevel="0" collapsed="false">
      <c r="B9" s="51" t="s">
        <v>51</v>
      </c>
      <c r="C9" s="52" t="str">
        <f aca="false">IF($C$4="","",IF(IFERROR(INDEX(LOT_ORIG,MATCH($C$4,LOT_KEY,0)),"")&lt;&gt;"",INDEX(LOT_ORIG,MATCH($C$4,LOT_KEY,0)),IF(IFERROR(INDEX(LOT_ORIGE,MATCH($C$4,LOT_KEY,0)),"")="","",INDEX(LOT_ORIGE,MATCH($C$4,LOT_KEY,0))&amp;"   (herite du lot "&amp;$C$16&amp;")")))</f>
        <v>AGADIR</v>
      </c>
      <c r="D9" s="52"/>
      <c r="E9" s="52"/>
      <c r="G9" s="53" t="str">
        <f aca="false">IF(INDEX(EMPL_KEY,2)="","",INDEX(EMPL_KEY,2))</f>
        <v>SARMA</v>
      </c>
      <c r="H9" s="54" t="str">
        <f aca="false">IF($G9="","",IFERROR(INDEX(EMPL_CLASSE,MATCH($G9,EMPL_KEY,0)),""))</f>
        <v>EXTERNE</v>
      </c>
      <c r="I9" s="42" t="n">
        <f aca="false">IF(OR($G9="",$C$4=""),"",SUMIFS(MVT_NET,MVT_LOT,$C$4,MVT_EMPL,$G9))</f>
        <v>0</v>
      </c>
    </row>
    <row r="10" customFormat="false" ht="15" hidden="false" customHeight="false" outlineLevel="0" collapsed="false">
      <c r="B10" s="51" t="s">
        <v>245</v>
      </c>
      <c r="C10" s="52" t="str">
        <f aca="false">IF($C$4="","",IF(IFERROR(INDEX(LOT_IMMAT,MATCH($C$4,LOT_KEY,0)),"")="","",INDEX(LOT_IMMAT,MATCH($C$4,LOT_KEY,0))))</f>
        <v>12345-A-6</v>
      </c>
      <c r="D10" s="52"/>
      <c r="E10" s="52"/>
      <c r="G10" s="53" t="str">
        <f aca="false">IF(INDEX(EMPL_KEY,3)="","",INDEX(EMPL_KEY,3))</f>
        <v>DAMSA</v>
      </c>
      <c r="H10" s="54" t="str">
        <f aca="false">IF($G10="","",IFERROR(INDEX(EMPL_CLASSE,MATCH($G10,EMPL_KEY,0)),""))</f>
        <v>EXTERNE</v>
      </c>
      <c r="I10" s="42" t="n">
        <f aca="false">IF(OR($G10="",$C$4=""),"",SUMIFS(MVT_NET,MVT_LOT,$C$4,MVT_EMPL,$G10))</f>
        <v>0</v>
      </c>
    </row>
    <row r="11" customFormat="false" ht="15" hidden="false" customHeight="false" outlineLevel="0" collapsed="false">
      <c r="B11" s="51" t="s">
        <v>53</v>
      </c>
      <c r="C11" s="52" t="str">
        <f aca="false">IF($C$4="","",IF(IFERROR(INDEX(LOT_ETAT,MATCH($C$4,LOT_KEY,0)),"")="","",INDEX(LOT_ETAT,MATCH($C$4,LOT_KEY,0))))</f>
        <v>ENTIER</v>
      </c>
      <c r="D11" s="52"/>
      <c r="E11" s="52"/>
      <c r="G11" s="53" t="str">
        <f aca="false">IF(INDEX(EMPL_KEY,4)="","",INDEX(EMPL_KEY,4))</f>
        <v>COFRIGOP</v>
      </c>
      <c r="H11" s="54" t="str">
        <f aca="false">IF($G11="","",IFERROR(INDEX(EMPL_CLASSE,MATCH($G11,EMPL_KEY,0)),""))</f>
        <v>EXTERNE</v>
      </c>
      <c r="I11" s="42" t="n">
        <f aca="false">IF(OR($G11="",$C$4=""),"",SUMIFS(MVT_NET,MVT_LOT,$C$4,MVT_EMPL,$G11))</f>
        <v>0</v>
      </c>
    </row>
    <row r="12" customFormat="false" ht="15" hidden="false" customHeight="false" outlineLevel="0" collapsed="false">
      <c r="B12" s="51" t="s">
        <v>54</v>
      </c>
      <c r="C12" s="52" t="str">
        <f aca="false">IF($C$4="","",IF(IFERROR(INDEX(LOT_CONSERV,MATCH($C$4,LOT_KEY,0)),"")&lt;&gt;"",INDEX(LOT_CONSERV,MATCH($C$4,LOT_KEY,0)),IF(IFERROR(INDEX(LOT_CONSERVE,MATCH($C$4,LOT_KEY,0)),"")="","",INDEX(LOT_CONSERVE,MATCH($C$4,LOT_KEY,0))&amp;"   (herite du lot "&amp;$C$16&amp;")")))</f>
        <v>CONGELE</v>
      </c>
      <c r="D12" s="52"/>
      <c r="E12" s="52"/>
      <c r="G12" s="53" t="str">
        <f aca="false">IF(INDEX(EMPL_KEY,5)="","",INDEX(EMPL_KEY,5))</f>
        <v>COFRIGOB</v>
      </c>
      <c r="H12" s="54" t="str">
        <f aca="false">IF($G12="","",IFERROR(INDEX(EMPL_CLASSE,MATCH($G12,EMPL_KEY,0)),""))</f>
        <v>EXTERNE</v>
      </c>
      <c r="I12" s="42" t="n">
        <f aca="false">IF(OR($G12="",$C$4=""),"",SUMIFS(MVT_NET,MVT_LOT,$C$4,MVT_EMPL,$G12))</f>
        <v>0</v>
      </c>
    </row>
    <row r="13" customFormat="false" ht="15" hidden="false" customHeight="false" outlineLevel="0" collapsed="false">
      <c r="B13" s="51" t="s">
        <v>55</v>
      </c>
      <c r="C13" s="52" t="str">
        <f aca="false">IF($C$4="","",IF(IFERROR(INDEX(LOT_QUAL,MATCH($C$4,LOT_KEY,0)),"")="","",INDEX(LOT_QUAL,MATCH($C$4,LOT_KEY,0))))</f>
        <v>A</v>
      </c>
      <c r="D13" s="52"/>
      <c r="E13" s="52"/>
      <c r="G13" s="53" t="str">
        <f aca="false">IF(INDEX(EMPL_KEY,6)="","",INDEX(EMPL_KEY,6))</f>
        <v/>
      </c>
      <c r="H13" s="54" t="str">
        <f aca="false">IF($G13="","",IFERROR(INDEX(EMPL_CLASSE,MATCH($G13,EMPL_KEY,0)),""))</f>
        <v/>
      </c>
      <c r="I13" s="42" t="str">
        <f aca="false">IF(OR($G13="",$C$4=""),"",SUMIFS(MVT_NET,MVT_LOT,$C$4,MVT_EMPL,$G13))</f>
        <v/>
      </c>
    </row>
    <row r="14" customFormat="false" ht="15" hidden="false" customHeight="false" outlineLevel="0" collapsed="false">
      <c r="B14" s="51" t="s">
        <v>56</v>
      </c>
      <c r="C14" s="52" t="str">
        <f aca="false">IF($C$4="","",IF(IFERROR(INDEX(LOT_MOULE,MATCH($C$4,LOT_KEY,0)),"")="","",INDEX(LOT_MOULE,MATCH($C$4,LOT_KEY,0))))</f>
        <v>03</v>
      </c>
      <c r="D14" s="52"/>
      <c r="E14" s="52"/>
      <c r="G14" s="53" t="str">
        <f aca="false">IF(INDEX(EMPL_KEY,7)="","",INDEX(EMPL_KEY,7))</f>
        <v/>
      </c>
      <c r="H14" s="54" t="str">
        <f aca="false">IF($G14="","",IFERROR(INDEX(EMPL_CLASSE,MATCH($G14,EMPL_KEY,0)),""))</f>
        <v/>
      </c>
      <c r="I14" s="42" t="str">
        <f aca="false">IF(OR($G14="",$C$4=""),"",SUMIFS(MVT_NET,MVT_LOT,$C$4,MVT_EMPL,$G14))</f>
        <v/>
      </c>
    </row>
    <row r="15" customFormat="false" ht="15" hidden="false" customHeight="false" outlineLevel="0" collapsed="false">
      <c r="B15" s="51" t="s">
        <v>57</v>
      </c>
      <c r="C15" s="55" t="n">
        <f aca="false">IF($C$4="","",IF(IFERROR(INDEX(LOT_DATE,MATCH($C$4,LOT_KEY,0)),"")="","",INDEX(LOT_DATE,MATCH($C$4,LOT_KEY,0))))</f>
        <v>46237</v>
      </c>
      <c r="D15" s="55"/>
      <c r="E15" s="55"/>
      <c r="G15" s="53" t="str">
        <f aca="false">IF(INDEX(EMPL_KEY,8)="","",INDEX(EMPL_KEY,8))</f>
        <v/>
      </c>
      <c r="H15" s="54" t="str">
        <f aca="false">IF($G15="","",IFERROR(INDEX(EMPL_CLASSE,MATCH($G15,EMPL_KEY,0)),""))</f>
        <v/>
      </c>
      <c r="I15" s="42" t="str">
        <f aca="false">IF(OR($G15="",$C$4=""),"",SUMIFS(MVT_NET,MVT_LOT,$C$4,MVT_EMPL,$G15))</f>
        <v/>
      </c>
    </row>
    <row r="16" customFormat="false" ht="15" hidden="false" customHeight="false" outlineLevel="0" collapsed="false">
      <c r="B16" s="51" t="s">
        <v>246</v>
      </c>
      <c r="C16" s="52" t="str">
        <f aca="false">IF($C$4="","",IF(IFERROR(INDEX(LOT_PARENTE,MATCH($C$4,LOT_KEY,0)),"")="","",INDEX(LOT_PARENTE,MATCH($C$4,LOT_KEY,0))))</f>
        <v/>
      </c>
      <c r="D16" s="52"/>
      <c r="E16" s="52"/>
      <c r="G16" s="53" t="str">
        <f aca="false">IF(INDEX(EMPL_KEY,9)="","",INDEX(EMPL_KEY,9))</f>
        <v/>
      </c>
      <c r="H16" s="54" t="str">
        <f aca="false">IF($G16="","",IFERROR(INDEX(EMPL_CLASSE,MATCH($G16,EMPL_KEY,0)),""))</f>
        <v/>
      </c>
      <c r="I16" s="42" t="str">
        <f aca="false">IF(OR($G16="",$C$4=""),"",SUMIFS(MVT_NET,MVT_LOT,$C$4,MVT_EMPL,$G16))</f>
        <v/>
      </c>
    </row>
    <row r="17" customFormat="false" ht="15" hidden="false" customHeight="false" outlineLevel="0" collapsed="false">
      <c r="B17" s="51" t="s">
        <v>59</v>
      </c>
      <c r="C17" s="52" t="str">
        <f aca="false">IF($C$4="","",IF(IFERROR(INDEX(LOT_OBS,MATCH($C$4,LOT_KEY,0)),"")="","",INDEX(LOT_OBS,MATCH($C$4,LOT_KEY,0))))</f>
        <v>Lot de reference - scenarios 1, 5, 8, 11, 12, 14, 15</v>
      </c>
      <c r="D17" s="52"/>
      <c r="E17" s="52"/>
      <c r="G17" s="53" t="str">
        <f aca="false">IF(INDEX(EMPL_KEY,10)="","",INDEX(EMPL_KEY,10))</f>
        <v/>
      </c>
      <c r="H17" s="54" t="str">
        <f aca="false">IF($G17="","",IFERROR(INDEX(EMPL_CLASSE,MATCH($G17,EMPL_KEY,0)),""))</f>
        <v/>
      </c>
      <c r="I17" s="42" t="str">
        <f aca="false">IF(OR($G17="",$C$4=""),"",SUMIFS(MVT_NET,MVT_LOT,$C$4,MVT_EMPL,$G17))</f>
        <v/>
      </c>
    </row>
    <row r="18" customFormat="false" ht="15" hidden="false" customHeight="false" outlineLevel="0" collapsed="false">
      <c r="B18" s="51" t="s">
        <v>247</v>
      </c>
      <c r="C18" s="52" t="str">
        <f aca="false">IF($C$4="","",IF(IFERROR(INDEX(LOT_STATUT,MATCH($C$4,LOT_KEY,0)),"")="","",INDEX(LOT_STATUT,MATCH($C$4,LOT_KEY,0))))</f>
        <v>OK</v>
      </c>
      <c r="D18" s="52"/>
      <c r="E18" s="52"/>
      <c r="G18" s="53" t="str">
        <f aca="false">IF(INDEX(EMPL_KEY,11)="","",INDEX(EMPL_KEY,11))</f>
        <v/>
      </c>
      <c r="H18" s="54" t="str">
        <f aca="false">IF($G18="","",IFERROR(INDEX(EMPL_CLASSE,MATCH($G18,EMPL_KEY,0)),""))</f>
        <v/>
      </c>
      <c r="I18" s="42" t="str">
        <f aca="false">IF(OR($G18="",$C$4=""),"",SUMIFS(MVT_NET,MVT_LOT,$C$4,MVT_EMPL,$G18))</f>
        <v/>
      </c>
    </row>
    <row r="19" customFormat="false" ht="15" hidden="false" customHeight="false" outlineLevel="0" collapsed="false">
      <c r="G19" s="53" t="str">
        <f aca="false">IF(INDEX(EMPL_KEY,12)="","",INDEX(EMPL_KEY,12))</f>
        <v/>
      </c>
      <c r="H19" s="54" t="str">
        <f aca="false">IF($G19="","",IFERROR(INDEX(EMPL_CLASSE,MATCH($G19,EMPL_KEY,0)),""))</f>
        <v/>
      </c>
      <c r="I19" s="42" t="str">
        <f aca="false">IF(OR($G19="",$C$4=""),"",SUMIFS(MVT_NET,MVT_LOT,$C$4,MVT_EMPL,$G19))</f>
        <v/>
      </c>
    </row>
    <row r="20" customFormat="false" ht="15" hidden="false" customHeight="false" outlineLevel="0" collapsed="false">
      <c r="G20" s="56" t="s">
        <v>248</v>
      </c>
      <c r="H20" s="56"/>
      <c r="I20" s="57" t="n">
        <f aca="false">IF($C$4="","",SUM($I$8:$I$19))</f>
        <v>500</v>
      </c>
    </row>
    <row r="21" customFormat="false" ht="15" hidden="false" customHeight="false" outlineLevel="0" collapsed="false">
      <c r="G21" s="58" t="s">
        <v>249</v>
      </c>
      <c r="H21" s="58"/>
      <c r="I21" s="59" t="n">
        <f aca="false">IF($C$4="","",SUMIFS(ST_ENCOURS,ST_LOT,$C$4))</f>
        <v>0</v>
      </c>
    </row>
    <row r="23" customFormat="false" ht="19.5" hidden="false" customHeight="true" outlineLevel="0" collapsed="false">
      <c r="A23" s="3" t="s">
        <v>250</v>
      </c>
      <c r="B23" s="3"/>
      <c r="C23" s="3"/>
      <c r="D23" s="3"/>
      <c r="E23" s="3"/>
      <c r="F23" s="3"/>
      <c r="G23" s="3"/>
      <c r="H23" s="3"/>
      <c r="I23" s="3"/>
      <c r="J23" s="3"/>
      <c r="K23" s="3"/>
    </row>
    <row r="24" customFormat="false" ht="25.5" hidden="false" customHeight="true" outlineLevel="0" collapsed="false">
      <c r="B24" s="60" t="s">
        <v>251</v>
      </c>
      <c r="C24" s="60" t="s">
        <v>118</v>
      </c>
      <c r="D24" s="60" t="s">
        <v>252</v>
      </c>
      <c r="E24" s="60" t="s">
        <v>253</v>
      </c>
      <c r="F24" s="60" t="s">
        <v>203</v>
      </c>
      <c r="G24" s="60" t="s">
        <v>233</v>
      </c>
      <c r="H24" s="60" t="s">
        <v>254</v>
      </c>
      <c r="I24" s="60" t="s">
        <v>255</v>
      </c>
      <c r="J24" s="60" t="s">
        <v>130</v>
      </c>
      <c r="K24" s="60" t="s">
        <v>256</v>
      </c>
    </row>
    <row r="25" customFormat="false" ht="15" hidden="false" customHeight="false" outlineLevel="0" collapsed="false">
      <c r="B25" s="61" t="n">
        <f aca="false">IFERROR(INDEX(MVT_NO,MATCH(ROW()-24,MVT_RANG,0)),"")</f>
        <v>301</v>
      </c>
      <c r="C25" s="62" t="n">
        <f aca="false">IFERROR(INDEX(MVT_DATE,MATCH(ROW()-24,MVT_RANG,0)),"")</f>
        <v>46237</v>
      </c>
      <c r="D25" s="53" t="str">
        <f aca="false">IFERROR(INDEX(MVT_OP,MATCH(ROW()-24,MVT_RANG,0)),"")</f>
        <v>RECEPTION</v>
      </c>
      <c r="E25" s="53" t="str">
        <f aca="false">IFERROR(INDEX(MVT_SENS,MATCH(ROW()-24,MVT_RANG,0)),"")</f>
        <v>ENTREE</v>
      </c>
      <c r="F25" s="53" t="str">
        <f aca="false">IFERROR(INDEX(MVT_EMPL,MATCH(ROW()-24,MVT_RANG,0)),"")</f>
        <v>OCEAMIC 2</v>
      </c>
      <c r="G25" s="53" t="str">
        <f aca="false">IFERROR(INDEX(MVT_CLASSE,MATCH(ROW()-24,MVT_RANG,0)),"")</f>
        <v>INTERNE</v>
      </c>
      <c r="H25" s="63" t="n">
        <f aca="false">IFERROR(INDEX(MVT_BRUT,MATCH(ROW()-24,MVT_RANG,0)),"")</f>
        <v>1000</v>
      </c>
      <c r="I25" s="63" t="n">
        <f aca="false">IFERROR(INDEX(MVT_NET,MATCH(ROW()-24,MVT_RANG,0)),"")</f>
        <v>1000</v>
      </c>
      <c r="J25" s="53" t="str">
        <f aca="false">IFERROR(INDEX(MVT_STATUT,MATCH(ROW()-24,MVT_RANG,0)),"")</f>
        <v>OK</v>
      </c>
      <c r="K25" s="53" t="str">
        <f aca="false">IFERROR(INDEX(MVT_REF,MATCH(ROW()-24,MVT_RANG,0)),"")</f>
        <v>OP-001</v>
      </c>
    </row>
    <row r="26" customFormat="false" ht="15" hidden="false" customHeight="false" outlineLevel="0" collapsed="false">
      <c r="B26" s="61" t="n">
        <f aca="false">IFERROR(INDEX(MVT_NO,MATCH(ROW()-24,MVT_RANG,0)),"")</f>
        <v>601</v>
      </c>
      <c r="C26" s="62" t="n">
        <f aca="false">IFERROR(INDEX(MVT_DATE,MATCH(ROW()-24,MVT_RANG,0)),"")</f>
        <v>46246</v>
      </c>
      <c r="D26" s="53" t="str">
        <f aca="false">IFERROR(INDEX(MVT_OP,MATCH(ROW()-24,MVT_RANG,0)),"")</f>
        <v>ENVOI SOUS-TRAITANCE</v>
      </c>
      <c r="E26" s="53" t="str">
        <f aca="false">IFERROR(INDEX(MVT_SENS,MATCH(ROW()-24,MVT_RANG,0)),"")</f>
        <v>SORTIE</v>
      </c>
      <c r="F26" s="53" t="str">
        <f aca="false">IFERROR(INDEX(MVT_EMPL,MATCH(ROW()-24,MVT_RANG,0)),"")</f>
        <v>OCEAMIC 2</v>
      </c>
      <c r="G26" s="53" t="str">
        <f aca="false">IFERROR(INDEX(MVT_CLASSE,MATCH(ROW()-24,MVT_RANG,0)),"")</f>
        <v>INTERNE</v>
      </c>
      <c r="H26" s="63" t="n">
        <f aca="false">IFERROR(INDEX(MVT_BRUT,MATCH(ROW()-24,MVT_RANG,0)),"")</f>
        <v>-500</v>
      </c>
      <c r="I26" s="63" t="n">
        <f aca="false">IFERROR(INDEX(MVT_NET,MATCH(ROW()-24,MVT_RANG,0)),"")</f>
        <v>-500</v>
      </c>
      <c r="J26" s="53" t="str">
        <f aca="false">IFERROR(INDEX(MVT_STATUT,MATCH(ROW()-24,MVT_RANG,0)),"")</f>
        <v>A JUSTIFIER</v>
      </c>
      <c r="K26" s="53" t="str">
        <f aca="false">IFERROR(INDEX(MVT_REF,MATCH(ROW()-24,MVT_RANG,0)),"")</f>
        <v>ST-001</v>
      </c>
    </row>
    <row r="27" customFormat="false" ht="15" hidden="false" customHeight="false" outlineLevel="0" collapsed="false">
      <c r="B27" s="53" t="str">
        <f aca="false">IFERROR(INDEX(MVT_NO,MATCH(ROW()-24,MVT_RANG,0)),"")</f>
        <v/>
      </c>
      <c r="C27" s="62" t="str">
        <f aca="false">IFERROR(INDEX(MVT_DATE,MATCH(ROW()-24,MVT_RANG,0)),"")</f>
        <v/>
      </c>
      <c r="D27" s="53" t="str">
        <f aca="false">IFERROR(INDEX(MVT_OP,MATCH(ROW()-24,MVT_RANG,0)),"")</f>
        <v/>
      </c>
      <c r="E27" s="53" t="str">
        <f aca="false">IFERROR(INDEX(MVT_SENS,MATCH(ROW()-24,MVT_RANG,0)),"")</f>
        <v/>
      </c>
      <c r="F27" s="53" t="str">
        <f aca="false">IFERROR(INDEX(MVT_EMPL,MATCH(ROW()-24,MVT_RANG,0)),"")</f>
        <v/>
      </c>
      <c r="G27" s="53" t="str">
        <f aca="false">IFERROR(INDEX(MVT_CLASSE,MATCH(ROW()-24,MVT_RANG,0)),"")</f>
        <v/>
      </c>
      <c r="H27" s="63" t="str">
        <f aca="false">IFERROR(INDEX(MVT_BRUT,MATCH(ROW()-24,MVT_RANG,0)),"")</f>
        <v/>
      </c>
      <c r="I27" s="63" t="str">
        <f aca="false">IFERROR(INDEX(MVT_NET,MATCH(ROW()-24,MVT_RANG,0)),"")</f>
        <v/>
      </c>
      <c r="J27" s="53" t="str">
        <f aca="false">IFERROR(INDEX(MVT_STATUT,MATCH(ROW()-24,MVT_RANG,0)),"")</f>
        <v/>
      </c>
      <c r="K27" s="53" t="str">
        <f aca="false">IFERROR(INDEX(MVT_REF,MATCH(ROW()-24,MVT_RANG,0)),"")</f>
        <v/>
      </c>
    </row>
    <row r="28" customFormat="false" ht="15" hidden="false" customHeight="false" outlineLevel="0" collapsed="false">
      <c r="B28" s="53" t="str">
        <f aca="false">IFERROR(INDEX(MVT_NO,MATCH(ROW()-24,MVT_RANG,0)),"")</f>
        <v/>
      </c>
      <c r="C28" s="62" t="str">
        <f aca="false">IFERROR(INDEX(MVT_DATE,MATCH(ROW()-24,MVT_RANG,0)),"")</f>
        <v/>
      </c>
      <c r="D28" s="53" t="str">
        <f aca="false">IFERROR(INDEX(MVT_OP,MATCH(ROW()-24,MVT_RANG,0)),"")</f>
        <v/>
      </c>
      <c r="E28" s="53" t="str">
        <f aca="false">IFERROR(INDEX(MVT_SENS,MATCH(ROW()-24,MVT_RANG,0)),"")</f>
        <v/>
      </c>
      <c r="F28" s="53" t="str">
        <f aca="false">IFERROR(INDEX(MVT_EMPL,MATCH(ROW()-24,MVT_RANG,0)),"")</f>
        <v/>
      </c>
      <c r="G28" s="53" t="str">
        <f aca="false">IFERROR(INDEX(MVT_CLASSE,MATCH(ROW()-24,MVT_RANG,0)),"")</f>
        <v/>
      </c>
      <c r="H28" s="63" t="str">
        <f aca="false">IFERROR(INDEX(MVT_BRUT,MATCH(ROW()-24,MVT_RANG,0)),"")</f>
        <v/>
      </c>
      <c r="I28" s="63" t="str">
        <f aca="false">IFERROR(INDEX(MVT_NET,MATCH(ROW()-24,MVT_RANG,0)),"")</f>
        <v/>
      </c>
      <c r="J28" s="53" t="str">
        <f aca="false">IFERROR(INDEX(MVT_STATUT,MATCH(ROW()-24,MVT_RANG,0)),"")</f>
        <v/>
      </c>
      <c r="K28" s="53" t="str">
        <f aca="false">IFERROR(INDEX(MVT_REF,MATCH(ROW()-24,MVT_RANG,0)),"")</f>
        <v/>
      </c>
    </row>
    <row r="29" customFormat="false" ht="15" hidden="false" customHeight="false" outlineLevel="0" collapsed="false">
      <c r="B29" s="53" t="str">
        <f aca="false">IFERROR(INDEX(MVT_NO,MATCH(ROW()-24,MVT_RANG,0)),"")</f>
        <v/>
      </c>
      <c r="C29" s="62" t="str">
        <f aca="false">IFERROR(INDEX(MVT_DATE,MATCH(ROW()-24,MVT_RANG,0)),"")</f>
        <v/>
      </c>
      <c r="D29" s="53" t="str">
        <f aca="false">IFERROR(INDEX(MVT_OP,MATCH(ROW()-24,MVT_RANG,0)),"")</f>
        <v/>
      </c>
      <c r="E29" s="53" t="str">
        <f aca="false">IFERROR(INDEX(MVT_SENS,MATCH(ROW()-24,MVT_RANG,0)),"")</f>
        <v/>
      </c>
      <c r="F29" s="53" t="str">
        <f aca="false">IFERROR(INDEX(MVT_EMPL,MATCH(ROW()-24,MVT_RANG,0)),"")</f>
        <v/>
      </c>
      <c r="G29" s="53" t="str">
        <f aca="false">IFERROR(INDEX(MVT_CLASSE,MATCH(ROW()-24,MVT_RANG,0)),"")</f>
        <v/>
      </c>
      <c r="H29" s="63" t="str">
        <f aca="false">IFERROR(INDEX(MVT_BRUT,MATCH(ROW()-24,MVT_RANG,0)),"")</f>
        <v/>
      </c>
      <c r="I29" s="63" t="str">
        <f aca="false">IFERROR(INDEX(MVT_NET,MATCH(ROW()-24,MVT_RANG,0)),"")</f>
        <v/>
      </c>
      <c r="J29" s="53" t="str">
        <f aca="false">IFERROR(INDEX(MVT_STATUT,MATCH(ROW()-24,MVT_RANG,0)),"")</f>
        <v/>
      </c>
      <c r="K29" s="53" t="str">
        <f aca="false">IFERROR(INDEX(MVT_REF,MATCH(ROW()-24,MVT_RANG,0)),"")</f>
        <v/>
      </c>
    </row>
    <row r="30" customFormat="false" ht="15" hidden="false" customHeight="false" outlineLevel="0" collapsed="false">
      <c r="B30" s="53" t="str">
        <f aca="false">IFERROR(INDEX(MVT_NO,MATCH(ROW()-24,MVT_RANG,0)),"")</f>
        <v/>
      </c>
      <c r="C30" s="62" t="str">
        <f aca="false">IFERROR(INDEX(MVT_DATE,MATCH(ROW()-24,MVT_RANG,0)),"")</f>
        <v/>
      </c>
      <c r="D30" s="53" t="str">
        <f aca="false">IFERROR(INDEX(MVT_OP,MATCH(ROW()-24,MVT_RANG,0)),"")</f>
        <v/>
      </c>
      <c r="E30" s="53" t="str">
        <f aca="false">IFERROR(INDEX(MVT_SENS,MATCH(ROW()-24,MVT_RANG,0)),"")</f>
        <v/>
      </c>
      <c r="F30" s="53" t="str">
        <f aca="false">IFERROR(INDEX(MVT_EMPL,MATCH(ROW()-24,MVT_RANG,0)),"")</f>
        <v/>
      </c>
      <c r="G30" s="53" t="str">
        <f aca="false">IFERROR(INDEX(MVT_CLASSE,MATCH(ROW()-24,MVT_RANG,0)),"")</f>
        <v/>
      </c>
      <c r="H30" s="63" t="str">
        <f aca="false">IFERROR(INDEX(MVT_BRUT,MATCH(ROW()-24,MVT_RANG,0)),"")</f>
        <v/>
      </c>
      <c r="I30" s="63" t="str">
        <f aca="false">IFERROR(INDEX(MVT_NET,MATCH(ROW()-24,MVT_RANG,0)),"")</f>
        <v/>
      </c>
      <c r="J30" s="53" t="str">
        <f aca="false">IFERROR(INDEX(MVT_STATUT,MATCH(ROW()-24,MVT_RANG,0)),"")</f>
        <v/>
      </c>
      <c r="K30" s="53" t="str">
        <f aca="false">IFERROR(INDEX(MVT_REF,MATCH(ROW()-24,MVT_RANG,0)),"")</f>
        <v/>
      </c>
    </row>
    <row r="31" customFormat="false" ht="15" hidden="false" customHeight="false" outlineLevel="0" collapsed="false">
      <c r="B31" s="53" t="str">
        <f aca="false">IFERROR(INDEX(MVT_NO,MATCH(ROW()-24,MVT_RANG,0)),"")</f>
        <v/>
      </c>
      <c r="C31" s="62" t="str">
        <f aca="false">IFERROR(INDEX(MVT_DATE,MATCH(ROW()-24,MVT_RANG,0)),"")</f>
        <v/>
      </c>
      <c r="D31" s="53" t="str">
        <f aca="false">IFERROR(INDEX(MVT_OP,MATCH(ROW()-24,MVT_RANG,0)),"")</f>
        <v/>
      </c>
      <c r="E31" s="53" t="str">
        <f aca="false">IFERROR(INDEX(MVT_SENS,MATCH(ROW()-24,MVT_RANG,0)),"")</f>
        <v/>
      </c>
      <c r="F31" s="53" t="str">
        <f aca="false">IFERROR(INDEX(MVT_EMPL,MATCH(ROW()-24,MVT_RANG,0)),"")</f>
        <v/>
      </c>
      <c r="G31" s="53" t="str">
        <f aca="false">IFERROR(INDEX(MVT_CLASSE,MATCH(ROW()-24,MVT_RANG,0)),"")</f>
        <v/>
      </c>
      <c r="H31" s="63" t="str">
        <f aca="false">IFERROR(INDEX(MVT_BRUT,MATCH(ROW()-24,MVT_RANG,0)),"")</f>
        <v/>
      </c>
      <c r="I31" s="63" t="str">
        <f aca="false">IFERROR(INDEX(MVT_NET,MATCH(ROW()-24,MVT_RANG,0)),"")</f>
        <v/>
      </c>
      <c r="J31" s="53" t="str">
        <f aca="false">IFERROR(INDEX(MVT_STATUT,MATCH(ROW()-24,MVT_RANG,0)),"")</f>
        <v/>
      </c>
      <c r="K31" s="53" t="str">
        <f aca="false">IFERROR(INDEX(MVT_REF,MATCH(ROW()-24,MVT_RANG,0)),"")</f>
        <v/>
      </c>
    </row>
    <row r="32" customFormat="false" ht="15" hidden="false" customHeight="false" outlineLevel="0" collapsed="false">
      <c r="B32" s="53" t="str">
        <f aca="false">IFERROR(INDEX(MVT_NO,MATCH(ROW()-24,MVT_RANG,0)),"")</f>
        <v/>
      </c>
      <c r="C32" s="62" t="str">
        <f aca="false">IFERROR(INDEX(MVT_DATE,MATCH(ROW()-24,MVT_RANG,0)),"")</f>
        <v/>
      </c>
      <c r="D32" s="53" t="str">
        <f aca="false">IFERROR(INDEX(MVT_OP,MATCH(ROW()-24,MVT_RANG,0)),"")</f>
        <v/>
      </c>
      <c r="E32" s="53" t="str">
        <f aca="false">IFERROR(INDEX(MVT_SENS,MATCH(ROW()-24,MVT_RANG,0)),"")</f>
        <v/>
      </c>
      <c r="F32" s="53" t="str">
        <f aca="false">IFERROR(INDEX(MVT_EMPL,MATCH(ROW()-24,MVT_RANG,0)),"")</f>
        <v/>
      </c>
      <c r="G32" s="53" t="str">
        <f aca="false">IFERROR(INDEX(MVT_CLASSE,MATCH(ROW()-24,MVT_RANG,0)),"")</f>
        <v/>
      </c>
      <c r="H32" s="63" t="str">
        <f aca="false">IFERROR(INDEX(MVT_BRUT,MATCH(ROW()-24,MVT_RANG,0)),"")</f>
        <v/>
      </c>
      <c r="I32" s="63" t="str">
        <f aca="false">IFERROR(INDEX(MVT_NET,MATCH(ROW()-24,MVT_RANG,0)),"")</f>
        <v/>
      </c>
      <c r="J32" s="53" t="str">
        <f aca="false">IFERROR(INDEX(MVT_STATUT,MATCH(ROW()-24,MVT_RANG,0)),"")</f>
        <v/>
      </c>
      <c r="K32" s="53" t="str">
        <f aca="false">IFERROR(INDEX(MVT_REF,MATCH(ROW()-24,MVT_RANG,0)),"")</f>
        <v/>
      </c>
    </row>
    <row r="33" customFormat="false" ht="15" hidden="false" customHeight="false" outlineLevel="0" collapsed="false">
      <c r="B33" s="53" t="str">
        <f aca="false">IFERROR(INDEX(MVT_NO,MATCH(ROW()-24,MVT_RANG,0)),"")</f>
        <v/>
      </c>
      <c r="C33" s="62" t="str">
        <f aca="false">IFERROR(INDEX(MVT_DATE,MATCH(ROW()-24,MVT_RANG,0)),"")</f>
        <v/>
      </c>
      <c r="D33" s="53" t="str">
        <f aca="false">IFERROR(INDEX(MVT_OP,MATCH(ROW()-24,MVT_RANG,0)),"")</f>
        <v/>
      </c>
      <c r="E33" s="53" t="str">
        <f aca="false">IFERROR(INDEX(MVT_SENS,MATCH(ROW()-24,MVT_RANG,0)),"")</f>
        <v/>
      </c>
      <c r="F33" s="53" t="str">
        <f aca="false">IFERROR(INDEX(MVT_EMPL,MATCH(ROW()-24,MVT_RANG,0)),"")</f>
        <v/>
      </c>
      <c r="G33" s="53" t="str">
        <f aca="false">IFERROR(INDEX(MVT_CLASSE,MATCH(ROW()-24,MVT_RANG,0)),"")</f>
        <v/>
      </c>
      <c r="H33" s="63" t="str">
        <f aca="false">IFERROR(INDEX(MVT_BRUT,MATCH(ROW()-24,MVT_RANG,0)),"")</f>
        <v/>
      </c>
      <c r="I33" s="63" t="str">
        <f aca="false">IFERROR(INDEX(MVT_NET,MATCH(ROW()-24,MVT_RANG,0)),"")</f>
        <v/>
      </c>
      <c r="J33" s="53" t="str">
        <f aca="false">IFERROR(INDEX(MVT_STATUT,MATCH(ROW()-24,MVT_RANG,0)),"")</f>
        <v/>
      </c>
      <c r="K33" s="53" t="str">
        <f aca="false">IFERROR(INDEX(MVT_REF,MATCH(ROW()-24,MVT_RANG,0)),"")</f>
        <v/>
      </c>
    </row>
    <row r="34" customFormat="false" ht="15" hidden="false" customHeight="false" outlineLevel="0" collapsed="false">
      <c r="B34" s="53" t="str">
        <f aca="false">IFERROR(INDEX(MVT_NO,MATCH(ROW()-24,MVT_RANG,0)),"")</f>
        <v/>
      </c>
      <c r="C34" s="62" t="str">
        <f aca="false">IFERROR(INDEX(MVT_DATE,MATCH(ROW()-24,MVT_RANG,0)),"")</f>
        <v/>
      </c>
      <c r="D34" s="53" t="str">
        <f aca="false">IFERROR(INDEX(MVT_OP,MATCH(ROW()-24,MVT_RANG,0)),"")</f>
        <v/>
      </c>
      <c r="E34" s="53" t="str">
        <f aca="false">IFERROR(INDEX(MVT_SENS,MATCH(ROW()-24,MVT_RANG,0)),"")</f>
        <v/>
      </c>
      <c r="F34" s="53" t="str">
        <f aca="false">IFERROR(INDEX(MVT_EMPL,MATCH(ROW()-24,MVT_RANG,0)),"")</f>
        <v/>
      </c>
      <c r="G34" s="53" t="str">
        <f aca="false">IFERROR(INDEX(MVT_CLASSE,MATCH(ROW()-24,MVT_RANG,0)),"")</f>
        <v/>
      </c>
      <c r="H34" s="63" t="str">
        <f aca="false">IFERROR(INDEX(MVT_BRUT,MATCH(ROW()-24,MVT_RANG,0)),"")</f>
        <v/>
      </c>
      <c r="I34" s="63" t="str">
        <f aca="false">IFERROR(INDEX(MVT_NET,MATCH(ROW()-24,MVT_RANG,0)),"")</f>
        <v/>
      </c>
      <c r="J34" s="53" t="str">
        <f aca="false">IFERROR(INDEX(MVT_STATUT,MATCH(ROW()-24,MVT_RANG,0)),"")</f>
        <v/>
      </c>
      <c r="K34" s="53" t="str">
        <f aca="false">IFERROR(INDEX(MVT_REF,MATCH(ROW()-24,MVT_RANG,0)),"")</f>
        <v/>
      </c>
    </row>
    <row r="35" customFormat="false" ht="15" hidden="false" customHeight="false" outlineLevel="0" collapsed="false">
      <c r="B35" s="53" t="str">
        <f aca="false">IFERROR(INDEX(MVT_NO,MATCH(ROW()-24,MVT_RANG,0)),"")</f>
        <v/>
      </c>
      <c r="C35" s="62" t="str">
        <f aca="false">IFERROR(INDEX(MVT_DATE,MATCH(ROW()-24,MVT_RANG,0)),"")</f>
        <v/>
      </c>
      <c r="D35" s="53" t="str">
        <f aca="false">IFERROR(INDEX(MVT_OP,MATCH(ROW()-24,MVT_RANG,0)),"")</f>
        <v/>
      </c>
      <c r="E35" s="53" t="str">
        <f aca="false">IFERROR(INDEX(MVT_SENS,MATCH(ROW()-24,MVT_RANG,0)),"")</f>
        <v/>
      </c>
      <c r="F35" s="53" t="str">
        <f aca="false">IFERROR(INDEX(MVT_EMPL,MATCH(ROW()-24,MVT_RANG,0)),"")</f>
        <v/>
      </c>
      <c r="G35" s="53" t="str">
        <f aca="false">IFERROR(INDEX(MVT_CLASSE,MATCH(ROW()-24,MVT_RANG,0)),"")</f>
        <v/>
      </c>
      <c r="H35" s="63" t="str">
        <f aca="false">IFERROR(INDEX(MVT_BRUT,MATCH(ROW()-24,MVT_RANG,0)),"")</f>
        <v/>
      </c>
      <c r="I35" s="63" t="str">
        <f aca="false">IFERROR(INDEX(MVT_NET,MATCH(ROW()-24,MVT_RANG,0)),"")</f>
        <v/>
      </c>
      <c r="J35" s="53" t="str">
        <f aca="false">IFERROR(INDEX(MVT_STATUT,MATCH(ROW()-24,MVT_RANG,0)),"")</f>
        <v/>
      </c>
      <c r="K35" s="53" t="str">
        <f aca="false">IFERROR(INDEX(MVT_REF,MATCH(ROW()-24,MVT_RANG,0)),"")</f>
        <v/>
      </c>
    </row>
    <row r="36" customFormat="false" ht="15" hidden="false" customHeight="false" outlineLevel="0" collapsed="false">
      <c r="B36" s="53" t="str">
        <f aca="false">IFERROR(INDEX(MVT_NO,MATCH(ROW()-24,MVT_RANG,0)),"")</f>
        <v/>
      </c>
      <c r="C36" s="62" t="str">
        <f aca="false">IFERROR(INDEX(MVT_DATE,MATCH(ROW()-24,MVT_RANG,0)),"")</f>
        <v/>
      </c>
      <c r="D36" s="53" t="str">
        <f aca="false">IFERROR(INDEX(MVT_OP,MATCH(ROW()-24,MVT_RANG,0)),"")</f>
        <v/>
      </c>
      <c r="E36" s="53" t="str">
        <f aca="false">IFERROR(INDEX(MVT_SENS,MATCH(ROW()-24,MVT_RANG,0)),"")</f>
        <v/>
      </c>
      <c r="F36" s="53" t="str">
        <f aca="false">IFERROR(INDEX(MVT_EMPL,MATCH(ROW()-24,MVT_RANG,0)),"")</f>
        <v/>
      </c>
      <c r="G36" s="53" t="str">
        <f aca="false">IFERROR(INDEX(MVT_CLASSE,MATCH(ROW()-24,MVT_RANG,0)),"")</f>
        <v/>
      </c>
      <c r="H36" s="63" t="str">
        <f aca="false">IFERROR(INDEX(MVT_BRUT,MATCH(ROW()-24,MVT_RANG,0)),"")</f>
        <v/>
      </c>
      <c r="I36" s="63" t="str">
        <f aca="false">IFERROR(INDEX(MVT_NET,MATCH(ROW()-24,MVT_RANG,0)),"")</f>
        <v/>
      </c>
      <c r="J36" s="53" t="str">
        <f aca="false">IFERROR(INDEX(MVT_STATUT,MATCH(ROW()-24,MVT_RANG,0)),"")</f>
        <v/>
      </c>
      <c r="K36" s="53" t="str">
        <f aca="false">IFERROR(INDEX(MVT_REF,MATCH(ROW()-24,MVT_RANG,0)),"")</f>
        <v/>
      </c>
    </row>
    <row r="37" customFormat="false" ht="15" hidden="false" customHeight="false" outlineLevel="0" collapsed="false">
      <c r="B37" s="53" t="str">
        <f aca="false">IFERROR(INDEX(MVT_NO,MATCH(ROW()-24,MVT_RANG,0)),"")</f>
        <v/>
      </c>
      <c r="C37" s="62" t="str">
        <f aca="false">IFERROR(INDEX(MVT_DATE,MATCH(ROW()-24,MVT_RANG,0)),"")</f>
        <v/>
      </c>
      <c r="D37" s="53" t="str">
        <f aca="false">IFERROR(INDEX(MVT_OP,MATCH(ROW()-24,MVT_RANG,0)),"")</f>
        <v/>
      </c>
      <c r="E37" s="53" t="str">
        <f aca="false">IFERROR(INDEX(MVT_SENS,MATCH(ROW()-24,MVT_RANG,0)),"")</f>
        <v/>
      </c>
      <c r="F37" s="53" t="str">
        <f aca="false">IFERROR(INDEX(MVT_EMPL,MATCH(ROW()-24,MVT_RANG,0)),"")</f>
        <v/>
      </c>
      <c r="G37" s="53" t="str">
        <f aca="false">IFERROR(INDEX(MVT_CLASSE,MATCH(ROW()-24,MVT_RANG,0)),"")</f>
        <v/>
      </c>
      <c r="H37" s="63" t="str">
        <f aca="false">IFERROR(INDEX(MVT_BRUT,MATCH(ROW()-24,MVT_RANG,0)),"")</f>
        <v/>
      </c>
      <c r="I37" s="63" t="str">
        <f aca="false">IFERROR(INDEX(MVT_NET,MATCH(ROW()-24,MVT_RANG,0)),"")</f>
        <v/>
      </c>
      <c r="J37" s="53" t="str">
        <f aca="false">IFERROR(INDEX(MVT_STATUT,MATCH(ROW()-24,MVT_RANG,0)),"")</f>
        <v/>
      </c>
      <c r="K37" s="53" t="str">
        <f aca="false">IFERROR(INDEX(MVT_REF,MATCH(ROW()-24,MVT_RANG,0)),"")</f>
        <v/>
      </c>
    </row>
    <row r="38" customFormat="false" ht="15" hidden="false" customHeight="false" outlineLevel="0" collapsed="false">
      <c r="B38" s="53" t="str">
        <f aca="false">IFERROR(INDEX(MVT_NO,MATCH(ROW()-24,MVT_RANG,0)),"")</f>
        <v/>
      </c>
      <c r="C38" s="62" t="str">
        <f aca="false">IFERROR(INDEX(MVT_DATE,MATCH(ROW()-24,MVT_RANG,0)),"")</f>
        <v/>
      </c>
      <c r="D38" s="53" t="str">
        <f aca="false">IFERROR(INDEX(MVT_OP,MATCH(ROW()-24,MVT_RANG,0)),"")</f>
        <v/>
      </c>
      <c r="E38" s="53" t="str">
        <f aca="false">IFERROR(INDEX(MVT_SENS,MATCH(ROW()-24,MVT_RANG,0)),"")</f>
        <v/>
      </c>
      <c r="F38" s="53" t="str">
        <f aca="false">IFERROR(INDEX(MVT_EMPL,MATCH(ROW()-24,MVT_RANG,0)),"")</f>
        <v/>
      </c>
      <c r="G38" s="53" t="str">
        <f aca="false">IFERROR(INDEX(MVT_CLASSE,MATCH(ROW()-24,MVT_RANG,0)),"")</f>
        <v/>
      </c>
      <c r="H38" s="63" t="str">
        <f aca="false">IFERROR(INDEX(MVT_BRUT,MATCH(ROW()-24,MVT_RANG,0)),"")</f>
        <v/>
      </c>
      <c r="I38" s="63" t="str">
        <f aca="false">IFERROR(INDEX(MVT_NET,MATCH(ROW()-24,MVT_RANG,0)),"")</f>
        <v/>
      </c>
      <c r="J38" s="53" t="str">
        <f aca="false">IFERROR(INDEX(MVT_STATUT,MATCH(ROW()-24,MVT_RANG,0)),"")</f>
        <v/>
      </c>
      <c r="K38" s="53" t="str">
        <f aca="false">IFERROR(INDEX(MVT_REF,MATCH(ROW()-24,MVT_RANG,0)),"")</f>
        <v/>
      </c>
    </row>
    <row r="39" customFormat="false" ht="15" hidden="false" customHeight="false" outlineLevel="0" collapsed="false">
      <c r="B39" s="53" t="str">
        <f aca="false">IFERROR(INDEX(MVT_NO,MATCH(ROW()-24,MVT_RANG,0)),"")</f>
        <v/>
      </c>
      <c r="C39" s="62" t="str">
        <f aca="false">IFERROR(INDEX(MVT_DATE,MATCH(ROW()-24,MVT_RANG,0)),"")</f>
        <v/>
      </c>
      <c r="D39" s="53" t="str">
        <f aca="false">IFERROR(INDEX(MVT_OP,MATCH(ROW()-24,MVT_RANG,0)),"")</f>
        <v/>
      </c>
      <c r="E39" s="53" t="str">
        <f aca="false">IFERROR(INDEX(MVT_SENS,MATCH(ROW()-24,MVT_RANG,0)),"")</f>
        <v/>
      </c>
      <c r="F39" s="53" t="str">
        <f aca="false">IFERROR(INDEX(MVT_EMPL,MATCH(ROW()-24,MVT_RANG,0)),"")</f>
        <v/>
      </c>
      <c r="G39" s="53" t="str">
        <f aca="false">IFERROR(INDEX(MVT_CLASSE,MATCH(ROW()-24,MVT_RANG,0)),"")</f>
        <v/>
      </c>
      <c r="H39" s="63" t="str">
        <f aca="false">IFERROR(INDEX(MVT_BRUT,MATCH(ROW()-24,MVT_RANG,0)),"")</f>
        <v/>
      </c>
      <c r="I39" s="63" t="str">
        <f aca="false">IFERROR(INDEX(MVT_NET,MATCH(ROW()-24,MVT_RANG,0)),"")</f>
        <v/>
      </c>
      <c r="J39" s="53" t="str">
        <f aca="false">IFERROR(INDEX(MVT_STATUT,MATCH(ROW()-24,MVT_RANG,0)),"")</f>
        <v/>
      </c>
      <c r="K39" s="53" t="str">
        <f aca="false">IFERROR(INDEX(MVT_REF,MATCH(ROW()-24,MVT_RANG,0)),"")</f>
        <v/>
      </c>
    </row>
    <row r="40" customFormat="false" ht="15" hidden="false" customHeight="false" outlineLevel="0" collapsed="false">
      <c r="B40" s="53" t="str">
        <f aca="false">IFERROR(INDEX(MVT_NO,MATCH(ROW()-24,MVT_RANG,0)),"")</f>
        <v/>
      </c>
      <c r="C40" s="62" t="str">
        <f aca="false">IFERROR(INDEX(MVT_DATE,MATCH(ROW()-24,MVT_RANG,0)),"")</f>
        <v/>
      </c>
      <c r="D40" s="53" t="str">
        <f aca="false">IFERROR(INDEX(MVT_OP,MATCH(ROW()-24,MVT_RANG,0)),"")</f>
        <v/>
      </c>
      <c r="E40" s="53" t="str">
        <f aca="false">IFERROR(INDEX(MVT_SENS,MATCH(ROW()-24,MVT_RANG,0)),"")</f>
        <v/>
      </c>
      <c r="F40" s="53" t="str">
        <f aca="false">IFERROR(INDEX(MVT_EMPL,MATCH(ROW()-24,MVT_RANG,0)),"")</f>
        <v/>
      </c>
      <c r="G40" s="53" t="str">
        <f aca="false">IFERROR(INDEX(MVT_CLASSE,MATCH(ROW()-24,MVT_RANG,0)),"")</f>
        <v/>
      </c>
      <c r="H40" s="63" t="str">
        <f aca="false">IFERROR(INDEX(MVT_BRUT,MATCH(ROW()-24,MVT_RANG,0)),"")</f>
        <v/>
      </c>
      <c r="I40" s="63" t="str">
        <f aca="false">IFERROR(INDEX(MVT_NET,MATCH(ROW()-24,MVT_RANG,0)),"")</f>
        <v/>
      </c>
      <c r="J40" s="53" t="str">
        <f aca="false">IFERROR(INDEX(MVT_STATUT,MATCH(ROW()-24,MVT_RANG,0)),"")</f>
        <v/>
      </c>
      <c r="K40" s="53" t="str">
        <f aca="false">IFERROR(INDEX(MVT_REF,MATCH(ROW()-24,MVT_RANG,0)),"")</f>
        <v/>
      </c>
    </row>
    <row r="41" customFormat="false" ht="15" hidden="false" customHeight="false" outlineLevel="0" collapsed="false">
      <c r="B41" s="53" t="str">
        <f aca="false">IFERROR(INDEX(MVT_NO,MATCH(ROW()-24,MVT_RANG,0)),"")</f>
        <v/>
      </c>
      <c r="C41" s="62" t="str">
        <f aca="false">IFERROR(INDEX(MVT_DATE,MATCH(ROW()-24,MVT_RANG,0)),"")</f>
        <v/>
      </c>
      <c r="D41" s="53" t="str">
        <f aca="false">IFERROR(INDEX(MVT_OP,MATCH(ROW()-24,MVT_RANG,0)),"")</f>
        <v/>
      </c>
      <c r="E41" s="53" t="str">
        <f aca="false">IFERROR(INDEX(MVT_SENS,MATCH(ROW()-24,MVT_RANG,0)),"")</f>
        <v/>
      </c>
      <c r="F41" s="53" t="str">
        <f aca="false">IFERROR(INDEX(MVT_EMPL,MATCH(ROW()-24,MVT_RANG,0)),"")</f>
        <v/>
      </c>
      <c r="G41" s="53" t="str">
        <f aca="false">IFERROR(INDEX(MVT_CLASSE,MATCH(ROW()-24,MVT_RANG,0)),"")</f>
        <v/>
      </c>
      <c r="H41" s="63" t="str">
        <f aca="false">IFERROR(INDEX(MVT_BRUT,MATCH(ROW()-24,MVT_RANG,0)),"")</f>
        <v/>
      </c>
      <c r="I41" s="63" t="str">
        <f aca="false">IFERROR(INDEX(MVT_NET,MATCH(ROW()-24,MVT_RANG,0)),"")</f>
        <v/>
      </c>
      <c r="J41" s="53" t="str">
        <f aca="false">IFERROR(INDEX(MVT_STATUT,MATCH(ROW()-24,MVT_RANG,0)),"")</f>
        <v/>
      </c>
      <c r="K41" s="53" t="str">
        <f aca="false">IFERROR(INDEX(MVT_REF,MATCH(ROW()-24,MVT_RANG,0)),"")</f>
        <v/>
      </c>
    </row>
    <row r="42" customFormat="false" ht="15" hidden="false" customHeight="false" outlineLevel="0" collapsed="false">
      <c r="B42" s="53" t="str">
        <f aca="false">IFERROR(INDEX(MVT_NO,MATCH(ROW()-24,MVT_RANG,0)),"")</f>
        <v/>
      </c>
      <c r="C42" s="62" t="str">
        <f aca="false">IFERROR(INDEX(MVT_DATE,MATCH(ROW()-24,MVT_RANG,0)),"")</f>
        <v/>
      </c>
      <c r="D42" s="53" t="str">
        <f aca="false">IFERROR(INDEX(MVT_OP,MATCH(ROW()-24,MVT_RANG,0)),"")</f>
        <v/>
      </c>
      <c r="E42" s="53" t="str">
        <f aca="false">IFERROR(INDEX(MVT_SENS,MATCH(ROW()-24,MVT_RANG,0)),"")</f>
        <v/>
      </c>
      <c r="F42" s="53" t="str">
        <f aca="false">IFERROR(INDEX(MVT_EMPL,MATCH(ROW()-24,MVT_RANG,0)),"")</f>
        <v/>
      </c>
      <c r="G42" s="53" t="str">
        <f aca="false">IFERROR(INDEX(MVT_CLASSE,MATCH(ROW()-24,MVT_RANG,0)),"")</f>
        <v/>
      </c>
      <c r="H42" s="63" t="str">
        <f aca="false">IFERROR(INDEX(MVT_BRUT,MATCH(ROW()-24,MVT_RANG,0)),"")</f>
        <v/>
      </c>
      <c r="I42" s="63" t="str">
        <f aca="false">IFERROR(INDEX(MVT_NET,MATCH(ROW()-24,MVT_RANG,0)),"")</f>
        <v/>
      </c>
      <c r="J42" s="53" t="str">
        <f aca="false">IFERROR(INDEX(MVT_STATUT,MATCH(ROW()-24,MVT_RANG,0)),"")</f>
        <v/>
      </c>
      <c r="K42" s="53" t="str">
        <f aca="false">IFERROR(INDEX(MVT_REF,MATCH(ROW()-24,MVT_RANG,0)),"")</f>
        <v/>
      </c>
    </row>
    <row r="43" customFormat="false" ht="15" hidden="false" customHeight="false" outlineLevel="0" collapsed="false">
      <c r="B43" s="53" t="str">
        <f aca="false">IFERROR(INDEX(MVT_NO,MATCH(ROW()-24,MVT_RANG,0)),"")</f>
        <v/>
      </c>
      <c r="C43" s="62" t="str">
        <f aca="false">IFERROR(INDEX(MVT_DATE,MATCH(ROW()-24,MVT_RANG,0)),"")</f>
        <v/>
      </c>
      <c r="D43" s="53" t="str">
        <f aca="false">IFERROR(INDEX(MVT_OP,MATCH(ROW()-24,MVT_RANG,0)),"")</f>
        <v/>
      </c>
      <c r="E43" s="53" t="str">
        <f aca="false">IFERROR(INDEX(MVT_SENS,MATCH(ROW()-24,MVT_RANG,0)),"")</f>
        <v/>
      </c>
      <c r="F43" s="53" t="str">
        <f aca="false">IFERROR(INDEX(MVT_EMPL,MATCH(ROW()-24,MVT_RANG,0)),"")</f>
        <v/>
      </c>
      <c r="G43" s="53" t="str">
        <f aca="false">IFERROR(INDEX(MVT_CLASSE,MATCH(ROW()-24,MVT_RANG,0)),"")</f>
        <v/>
      </c>
      <c r="H43" s="63" t="str">
        <f aca="false">IFERROR(INDEX(MVT_BRUT,MATCH(ROW()-24,MVT_RANG,0)),"")</f>
        <v/>
      </c>
      <c r="I43" s="63" t="str">
        <f aca="false">IFERROR(INDEX(MVT_NET,MATCH(ROW()-24,MVT_RANG,0)),"")</f>
        <v/>
      </c>
      <c r="J43" s="53" t="str">
        <f aca="false">IFERROR(INDEX(MVT_STATUT,MATCH(ROW()-24,MVT_RANG,0)),"")</f>
        <v/>
      </c>
      <c r="K43" s="53" t="str">
        <f aca="false">IFERROR(INDEX(MVT_REF,MATCH(ROW()-24,MVT_RANG,0)),"")</f>
        <v/>
      </c>
    </row>
    <row r="44" customFormat="false" ht="15" hidden="false" customHeight="false" outlineLevel="0" collapsed="false">
      <c r="B44" s="53" t="str">
        <f aca="false">IFERROR(INDEX(MVT_NO,MATCH(ROW()-24,MVT_RANG,0)),"")</f>
        <v/>
      </c>
      <c r="C44" s="62" t="str">
        <f aca="false">IFERROR(INDEX(MVT_DATE,MATCH(ROW()-24,MVT_RANG,0)),"")</f>
        <v/>
      </c>
      <c r="D44" s="53" t="str">
        <f aca="false">IFERROR(INDEX(MVT_OP,MATCH(ROW()-24,MVT_RANG,0)),"")</f>
        <v/>
      </c>
      <c r="E44" s="53" t="str">
        <f aca="false">IFERROR(INDEX(MVT_SENS,MATCH(ROW()-24,MVT_RANG,0)),"")</f>
        <v/>
      </c>
      <c r="F44" s="53" t="str">
        <f aca="false">IFERROR(INDEX(MVT_EMPL,MATCH(ROW()-24,MVT_RANG,0)),"")</f>
        <v/>
      </c>
      <c r="G44" s="53" t="str">
        <f aca="false">IFERROR(INDEX(MVT_CLASSE,MATCH(ROW()-24,MVT_RANG,0)),"")</f>
        <v/>
      </c>
      <c r="H44" s="63" t="str">
        <f aca="false">IFERROR(INDEX(MVT_BRUT,MATCH(ROW()-24,MVT_RANG,0)),"")</f>
        <v/>
      </c>
      <c r="I44" s="63" t="str">
        <f aca="false">IFERROR(INDEX(MVT_NET,MATCH(ROW()-24,MVT_RANG,0)),"")</f>
        <v/>
      </c>
      <c r="J44" s="53" t="str">
        <f aca="false">IFERROR(INDEX(MVT_STATUT,MATCH(ROW()-24,MVT_RANG,0)),"")</f>
        <v/>
      </c>
      <c r="K44" s="53" t="str">
        <f aca="false">IFERROR(INDEX(MVT_REF,MATCH(ROW()-24,MVT_RANG,0)),"")</f>
        <v/>
      </c>
    </row>
    <row r="45" customFormat="false" ht="15" hidden="false" customHeight="false" outlineLevel="0" collapsed="false">
      <c r="B45" s="53" t="str">
        <f aca="false">IFERROR(INDEX(MVT_NO,MATCH(ROW()-24,MVT_RANG,0)),"")</f>
        <v/>
      </c>
      <c r="C45" s="62" t="str">
        <f aca="false">IFERROR(INDEX(MVT_DATE,MATCH(ROW()-24,MVT_RANG,0)),"")</f>
        <v/>
      </c>
      <c r="D45" s="53" t="str">
        <f aca="false">IFERROR(INDEX(MVT_OP,MATCH(ROW()-24,MVT_RANG,0)),"")</f>
        <v/>
      </c>
      <c r="E45" s="53" t="str">
        <f aca="false">IFERROR(INDEX(MVT_SENS,MATCH(ROW()-24,MVT_RANG,0)),"")</f>
        <v/>
      </c>
      <c r="F45" s="53" t="str">
        <f aca="false">IFERROR(INDEX(MVT_EMPL,MATCH(ROW()-24,MVT_RANG,0)),"")</f>
        <v/>
      </c>
      <c r="G45" s="53" t="str">
        <f aca="false">IFERROR(INDEX(MVT_CLASSE,MATCH(ROW()-24,MVT_RANG,0)),"")</f>
        <v/>
      </c>
      <c r="H45" s="63" t="str">
        <f aca="false">IFERROR(INDEX(MVT_BRUT,MATCH(ROW()-24,MVT_RANG,0)),"")</f>
        <v/>
      </c>
      <c r="I45" s="63" t="str">
        <f aca="false">IFERROR(INDEX(MVT_NET,MATCH(ROW()-24,MVT_RANG,0)),"")</f>
        <v/>
      </c>
      <c r="J45" s="53" t="str">
        <f aca="false">IFERROR(INDEX(MVT_STATUT,MATCH(ROW()-24,MVT_RANG,0)),"")</f>
        <v/>
      </c>
      <c r="K45" s="53" t="str">
        <f aca="false">IFERROR(INDEX(MVT_REF,MATCH(ROW()-24,MVT_RANG,0)),"")</f>
        <v/>
      </c>
    </row>
    <row r="46" customFormat="false" ht="15" hidden="false" customHeight="false" outlineLevel="0" collapsed="false">
      <c r="B46" s="53" t="str">
        <f aca="false">IFERROR(INDEX(MVT_NO,MATCH(ROW()-24,MVT_RANG,0)),"")</f>
        <v/>
      </c>
      <c r="C46" s="62" t="str">
        <f aca="false">IFERROR(INDEX(MVT_DATE,MATCH(ROW()-24,MVT_RANG,0)),"")</f>
        <v/>
      </c>
      <c r="D46" s="53" t="str">
        <f aca="false">IFERROR(INDEX(MVT_OP,MATCH(ROW()-24,MVT_RANG,0)),"")</f>
        <v/>
      </c>
      <c r="E46" s="53" t="str">
        <f aca="false">IFERROR(INDEX(MVT_SENS,MATCH(ROW()-24,MVT_RANG,0)),"")</f>
        <v/>
      </c>
      <c r="F46" s="53" t="str">
        <f aca="false">IFERROR(INDEX(MVT_EMPL,MATCH(ROW()-24,MVT_RANG,0)),"")</f>
        <v/>
      </c>
      <c r="G46" s="53" t="str">
        <f aca="false">IFERROR(INDEX(MVT_CLASSE,MATCH(ROW()-24,MVT_RANG,0)),"")</f>
        <v/>
      </c>
      <c r="H46" s="63" t="str">
        <f aca="false">IFERROR(INDEX(MVT_BRUT,MATCH(ROW()-24,MVT_RANG,0)),"")</f>
        <v/>
      </c>
      <c r="I46" s="63" t="str">
        <f aca="false">IFERROR(INDEX(MVT_NET,MATCH(ROW()-24,MVT_RANG,0)),"")</f>
        <v/>
      </c>
      <c r="J46" s="53" t="str">
        <f aca="false">IFERROR(INDEX(MVT_STATUT,MATCH(ROW()-24,MVT_RANG,0)),"")</f>
        <v/>
      </c>
      <c r="K46" s="53" t="str">
        <f aca="false">IFERROR(INDEX(MVT_REF,MATCH(ROW()-24,MVT_RANG,0)),"")</f>
        <v/>
      </c>
    </row>
    <row r="47" customFormat="false" ht="15" hidden="false" customHeight="false" outlineLevel="0" collapsed="false">
      <c r="B47" s="53" t="str">
        <f aca="false">IFERROR(INDEX(MVT_NO,MATCH(ROW()-24,MVT_RANG,0)),"")</f>
        <v/>
      </c>
      <c r="C47" s="62" t="str">
        <f aca="false">IFERROR(INDEX(MVT_DATE,MATCH(ROW()-24,MVT_RANG,0)),"")</f>
        <v/>
      </c>
      <c r="D47" s="53" t="str">
        <f aca="false">IFERROR(INDEX(MVT_OP,MATCH(ROW()-24,MVT_RANG,0)),"")</f>
        <v/>
      </c>
      <c r="E47" s="53" t="str">
        <f aca="false">IFERROR(INDEX(MVT_SENS,MATCH(ROW()-24,MVT_RANG,0)),"")</f>
        <v/>
      </c>
      <c r="F47" s="53" t="str">
        <f aca="false">IFERROR(INDEX(MVT_EMPL,MATCH(ROW()-24,MVT_RANG,0)),"")</f>
        <v/>
      </c>
      <c r="G47" s="53" t="str">
        <f aca="false">IFERROR(INDEX(MVT_CLASSE,MATCH(ROW()-24,MVT_RANG,0)),"")</f>
        <v/>
      </c>
      <c r="H47" s="63" t="str">
        <f aca="false">IFERROR(INDEX(MVT_BRUT,MATCH(ROW()-24,MVT_RANG,0)),"")</f>
        <v/>
      </c>
      <c r="I47" s="63" t="str">
        <f aca="false">IFERROR(INDEX(MVT_NET,MATCH(ROW()-24,MVT_RANG,0)),"")</f>
        <v/>
      </c>
      <c r="J47" s="53" t="str">
        <f aca="false">IFERROR(INDEX(MVT_STATUT,MATCH(ROW()-24,MVT_RANG,0)),"")</f>
        <v/>
      </c>
      <c r="K47" s="53" t="str">
        <f aca="false">IFERROR(INDEX(MVT_REF,MATCH(ROW()-24,MVT_RANG,0)),"")</f>
        <v/>
      </c>
    </row>
    <row r="48" customFormat="false" ht="15" hidden="false" customHeight="false" outlineLevel="0" collapsed="false">
      <c r="B48" s="53" t="str">
        <f aca="false">IFERROR(INDEX(MVT_NO,MATCH(ROW()-24,MVT_RANG,0)),"")</f>
        <v/>
      </c>
      <c r="C48" s="62" t="str">
        <f aca="false">IFERROR(INDEX(MVT_DATE,MATCH(ROW()-24,MVT_RANG,0)),"")</f>
        <v/>
      </c>
      <c r="D48" s="53" t="str">
        <f aca="false">IFERROR(INDEX(MVT_OP,MATCH(ROW()-24,MVT_RANG,0)),"")</f>
        <v/>
      </c>
      <c r="E48" s="53" t="str">
        <f aca="false">IFERROR(INDEX(MVT_SENS,MATCH(ROW()-24,MVT_RANG,0)),"")</f>
        <v/>
      </c>
      <c r="F48" s="53" t="str">
        <f aca="false">IFERROR(INDEX(MVT_EMPL,MATCH(ROW()-24,MVT_RANG,0)),"")</f>
        <v/>
      </c>
      <c r="G48" s="53" t="str">
        <f aca="false">IFERROR(INDEX(MVT_CLASSE,MATCH(ROW()-24,MVT_RANG,0)),"")</f>
        <v/>
      </c>
      <c r="H48" s="63" t="str">
        <f aca="false">IFERROR(INDEX(MVT_BRUT,MATCH(ROW()-24,MVT_RANG,0)),"")</f>
        <v/>
      </c>
      <c r="I48" s="63" t="str">
        <f aca="false">IFERROR(INDEX(MVT_NET,MATCH(ROW()-24,MVT_RANG,0)),"")</f>
        <v/>
      </c>
      <c r="J48" s="53" t="str">
        <f aca="false">IFERROR(INDEX(MVT_STATUT,MATCH(ROW()-24,MVT_RANG,0)),"")</f>
        <v/>
      </c>
      <c r="K48" s="53" t="str">
        <f aca="false">IFERROR(INDEX(MVT_REF,MATCH(ROW()-24,MVT_RANG,0)),"")</f>
        <v/>
      </c>
    </row>
    <row r="49" customFormat="false" ht="15" hidden="false" customHeight="false" outlineLevel="0" collapsed="false">
      <c r="B49" s="53" t="str">
        <f aca="false">IFERROR(INDEX(MVT_NO,MATCH(ROW()-24,MVT_RANG,0)),"")</f>
        <v/>
      </c>
      <c r="C49" s="62" t="str">
        <f aca="false">IFERROR(INDEX(MVT_DATE,MATCH(ROW()-24,MVT_RANG,0)),"")</f>
        <v/>
      </c>
      <c r="D49" s="53" t="str">
        <f aca="false">IFERROR(INDEX(MVT_OP,MATCH(ROW()-24,MVT_RANG,0)),"")</f>
        <v/>
      </c>
      <c r="E49" s="53" t="str">
        <f aca="false">IFERROR(INDEX(MVT_SENS,MATCH(ROW()-24,MVT_RANG,0)),"")</f>
        <v/>
      </c>
      <c r="F49" s="53" t="str">
        <f aca="false">IFERROR(INDEX(MVT_EMPL,MATCH(ROW()-24,MVT_RANG,0)),"")</f>
        <v/>
      </c>
      <c r="G49" s="53" t="str">
        <f aca="false">IFERROR(INDEX(MVT_CLASSE,MATCH(ROW()-24,MVT_RANG,0)),"")</f>
        <v/>
      </c>
      <c r="H49" s="63" t="str">
        <f aca="false">IFERROR(INDEX(MVT_BRUT,MATCH(ROW()-24,MVT_RANG,0)),"")</f>
        <v/>
      </c>
      <c r="I49" s="63" t="str">
        <f aca="false">IFERROR(INDEX(MVT_NET,MATCH(ROW()-24,MVT_RANG,0)),"")</f>
        <v/>
      </c>
      <c r="J49" s="53" t="str">
        <f aca="false">IFERROR(INDEX(MVT_STATUT,MATCH(ROW()-24,MVT_RANG,0)),"")</f>
        <v/>
      </c>
      <c r="K49" s="53" t="str">
        <f aca="false">IFERROR(INDEX(MVT_REF,MATCH(ROW()-24,MVT_RANG,0)),"")</f>
        <v/>
      </c>
    </row>
    <row r="51" customFormat="false" ht="19.5" hidden="false" customHeight="true" outlineLevel="0" collapsed="false">
      <c r="A51" s="3" t="s">
        <v>257</v>
      </c>
      <c r="B51" s="3"/>
      <c r="C51" s="3"/>
      <c r="D51" s="3"/>
      <c r="E51" s="3"/>
      <c r="F51" s="3"/>
      <c r="G51" s="3"/>
      <c r="H51" s="3"/>
      <c r="I51" s="3"/>
      <c r="J51" s="3"/>
      <c r="K51" s="3"/>
    </row>
    <row r="52" customFormat="false" ht="25.5" hidden="false" customHeight="true" outlineLevel="0" collapsed="false">
      <c r="B52" s="60" t="s">
        <v>150</v>
      </c>
      <c r="C52" s="60" t="s">
        <v>151</v>
      </c>
      <c r="D52" s="60" t="s">
        <v>152</v>
      </c>
      <c r="E52" s="60" t="s">
        <v>153</v>
      </c>
      <c r="F52" s="60" t="s">
        <v>120</v>
      </c>
      <c r="G52" s="60" t="s">
        <v>258</v>
      </c>
      <c r="H52" s="60" t="s">
        <v>259</v>
      </c>
      <c r="I52" s="60" t="s">
        <v>260</v>
      </c>
      <c r="J52" s="60" t="s">
        <v>163</v>
      </c>
      <c r="K52" s="60" t="s">
        <v>130</v>
      </c>
    </row>
    <row r="53" customFormat="false" ht="15" hidden="false" customHeight="false" outlineLevel="0" collapsed="false">
      <c r="B53" s="53" t="str">
        <f aca="false">IFERROR(INDEX(ST_ID,MATCH(ROW()-52,ST_RANG,0)),"")</f>
        <v>ST-001</v>
      </c>
      <c r="C53" s="62" t="n">
        <f aca="false">IFERROR(INDEX(ST_DATE,MATCH(ROW()-52,ST_RANG,0)),"")</f>
        <v>46246</v>
      </c>
      <c r="D53" s="53" t="str">
        <f aca="false">IFERROR(INDEX(ST_STRAIT,MATCH(ROW()-52,ST_RANG,0)),"")</f>
        <v>STE FILETAGE ATLANTIC</v>
      </c>
      <c r="E53" s="53" t="str">
        <f aca="false">IFERROR(INDEX(ST_SOURCE,MATCH(ROW()-52,ST_RANG,0)),"")</f>
        <v>STOCK EXISTANT</v>
      </c>
      <c r="F53" s="53" t="str">
        <f aca="false">IFERROR(INDEX(ST_EMPL,MATCH(ROW()-52,ST_RANG,0)),"")</f>
        <v>OCEAMIC 2</v>
      </c>
      <c r="G53" s="63" t="n">
        <f aca="false">IFERROR(INDEX(ST_QTE,MATCH(ROW()-52,ST_RANG,0)),"")</f>
        <v>500</v>
      </c>
      <c r="H53" s="63" t="n">
        <f aca="false">IFERROR(INDEX(ST_TOTSORTIE,MATCH(ROW()-52,ST_RANG,0)),"")</f>
        <v>450</v>
      </c>
      <c r="I53" s="63" t="n">
        <f aca="false">IFERROR(INDEX(ST_ECART,MATCH(ROW()-52,ST_RANG,0)),"")</f>
        <v>50</v>
      </c>
      <c r="J53" s="61" t="n">
        <f aca="false">IFERROR(INDEX(ST_NBRES,MATCH(ROW()-52,ST_RANG,0)),"")</f>
        <v>2</v>
      </c>
      <c r="K53" s="53" t="str">
        <f aca="false">IFERROR(INDEX(ST_STATUT,MATCH(ROW()-52,ST_RANG,0)),"")</f>
        <v>A JUSTIFIER</v>
      </c>
    </row>
    <row r="54" customFormat="false" ht="15" hidden="false" customHeight="false" outlineLevel="0" collapsed="false">
      <c r="B54" s="53" t="str">
        <f aca="false">IFERROR(INDEX(ST_ID,MATCH(ROW()-52,ST_RANG,0)),"")</f>
        <v/>
      </c>
      <c r="C54" s="62" t="str">
        <f aca="false">IFERROR(INDEX(ST_DATE,MATCH(ROW()-52,ST_RANG,0)),"")</f>
        <v/>
      </c>
      <c r="D54" s="53" t="str">
        <f aca="false">IFERROR(INDEX(ST_STRAIT,MATCH(ROW()-52,ST_RANG,0)),"")</f>
        <v/>
      </c>
      <c r="E54" s="53" t="str">
        <f aca="false">IFERROR(INDEX(ST_SOURCE,MATCH(ROW()-52,ST_RANG,0)),"")</f>
        <v/>
      </c>
      <c r="F54" s="53" t="str">
        <f aca="false">IFERROR(INDEX(ST_EMPL,MATCH(ROW()-52,ST_RANG,0)),"")</f>
        <v/>
      </c>
      <c r="G54" s="63" t="str">
        <f aca="false">IFERROR(INDEX(ST_QTE,MATCH(ROW()-52,ST_RANG,0)),"")</f>
        <v/>
      </c>
      <c r="H54" s="63" t="str">
        <f aca="false">IFERROR(INDEX(ST_TOTSORTIE,MATCH(ROW()-52,ST_RANG,0)),"")</f>
        <v/>
      </c>
      <c r="I54" s="63" t="str">
        <f aca="false">IFERROR(INDEX(ST_ECART,MATCH(ROW()-52,ST_RANG,0)),"")</f>
        <v/>
      </c>
      <c r="J54" s="53" t="str">
        <f aca="false">IFERROR(INDEX(ST_NBRES,MATCH(ROW()-52,ST_RANG,0)),"")</f>
        <v/>
      </c>
      <c r="K54" s="53" t="str">
        <f aca="false">IFERROR(INDEX(ST_STATUT,MATCH(ROW()-52,ST_RANG,0)),"")</f>
        <v/>
      </c>
    </row>
    <row r="55" customFormat="false" ht="15" hidden="false" customHeight="false" outlineLevel="0" collapsed="false">
      <c r="B55" s="53" t="str">
        <f aca="false">IFERROR(INDEX(ST_ID,MATCH(ROW()-52,ST_RANG,0)),"")</f>
        <v/>
      </c>
      <c r="C55" s="62" t="str">
        <f aca="false">IFERROR(INDEX(ST_DATE,MATCH(ROW()-52,ST_RANG,0)),"")</f>
        <v/>
      </c>
      <c r="D55" s="53" t="str">
        <f aca="false">IFERROR(INDEX(ST_STRAIT,MATCH(ROW()-52,ST_RANG,0)),"")</f>
        <v/>
      </c>
      <c r="E55" s="53" t="str">
        <f aca="false">IFERROR(INDEX(ST_SOURCE,MATCH(ROW()-52,ST_RANG,0)),"")</f>
        <v/>
      </c>
      <c r="F55" s="53" t="str">
        <f aca="false">IFERROR(INDEX(ST_EMPL,MATCH(ROW()-52,ST_RANG,0)),"")</f>
        <v/>
      </c>
      <c r="G55" s="63" t="str">
        <f aca="false">IFERROR(INDEX(ST_QTE,MATCH(ROW()-52,ST_RANG,0)),"")</f>
        <v/>
      </c>
      <c r="H55" s="63" t="str">
        <f aca="false">IFERROR(INDEX(ST_TOTSORTIE,MATCH(ROW()-52,ST_RANG,0)),"")</f>
        <v/>
      </c>
      <c r="I55" s="63" t="str">
        <f aca="false">IFERROR(INDEX(ST_ECART,MATCH(ROW()-52,ST_RANG,0)),"")</f>
        <v/>
      </c>
      <c r="J55" s="53" t="str">
        <f aca="false">IFERROR(INDEX(ST_NBRES,MATCH(ROW()-52,ST_RANG,0)),"")</f>
        <v/>
      </c>
      <c r="K55" s="53" t="str">
        <f aca="false">IFERROR(INDEX(ST_STATUT,MATCH(ROW()-52,ST_RANG,0)),"")</f>
        <v/>
      </c>
    </row>
    <row r="56" customFormat="false" ht="15" hidden="false" customHeight="false" outlineLevel="0" collapsed="false">
      <c r="B56" s="53" t="str">
        <f aca="false">IFERROR(INDEX(ST_ID,MATCH(ROW()-52,ST_RANG,0)),"")</f>
        <v/>
      </c>
      <c r="C56" s="62" t="str">
        <f aca="false">IFERROR(INDEX(ST_DATE,MATCH(ROW()-52,ST_RANG,0)),"")</f>
        <v/>
      </c>
      <c r="D56" s="53" t="str">
        <f aca="false">IFERROR(INDEX(ST_STRAIT,MATCH(ROW()-52,ST_RANG,0)),"")</f>
        <v/>
      </c>
      <c r="E56" s="53" t="str">
        <f aca="false">IFERROR(INDEX(ST_SOURCE,MATCH(ROW()-52,ST_RANG,0)),"")</f>
        <v/>
      </c>
      <c r="F56" s="53" t="str">
        <f aca="false">IFERROR(INDEX(ST_EMPL,MATCH(ROW()-52,ST_RANG,0)),"")</f>
        <v/>
      </c>
      <c r="G56" s="63" t="str">
        <f aca="false">IFERROR(INDEX(ST_QTE,MATCH(ROW()-52,ST_RANG,0)),"")</f>
        <v/>
      </c>
      <c r="H56" s="63" t="str">
        <f aca="false">IFERROR(INDEX(ST_TOTSORTIE,MATCH(ROW()-52,ST_RANG,0)),"")</f>
        <v/>
      </c>
      <c r="I56" s="63" t="str">
        <f aca="false">IFERROR(INDEX(ST_ECART,MATCH(ROW()-52,ST_RANG,0)),"")</f>
        <v/>
      </c>
      <c r="J56" s="53" t="str">
        <f aca="false">IFERROR(INDEX(ST_NBRES,MATCH(ROW()-52,ST_RANG,0)),"")</f>
        <v/>
      </c>
      <c r="K56" s="53" t="str">
        <f aca="false">IFERROR(INDEX(ST_STATUT,MATCH(ROW()-52,ST_RANG,0)),"")</f>
        <v/>
      </c>
    </row>
    <row r="57" customFormat="false" ht="15" hidden="false" customHeight="false" outlineLevel="0" collapsed="false">
      <c r="B57" s="53" t="str">
        <f aca="false">IFERROR(INDEX(ST_ID,MATCH(ROW()-52,ST_RANG,0)),"")</f>
        <v/>
      </c>
      <c r="C57" s="62" t="str">
        <f aca="false">IFERROR(INDEX(ST_DATE,MATCH(ROW()-52,ST_RANG,0)),"")</f>
        <v/>
      </c>
      <c r="D57" s="53" t="str">
        <f aca="false">IFERROR(INDEX(ST_STRAIT,MATCH(ROW()-52,ST_RANG,0)),"")</f>
        <v/>
      </c>
      <c r="E57" s="53" t="str">
        <f aca="false">IFERROR(INDEX(ST_SOURCE,MATCH(ROW()-52,ST_RANG,0)),"")</f>
        <v/>
      </c>
      <c r="F57" s="53" t="str">
        <f aca="false">IFERROR(INDEX(ST_EMPL,MATCH(ROW()-52,ST_RANG,0)),"")</f>
        <v/>
      </c>
      <c r="G57" s="63" t="str">
        <f aca="false">IFERROR(INDEX(ST_QTE,MATCH(ROW()-52,ST_RANG,0)),"")</f>
        <v/>
      </c>
      <c r="H57" s="63" t="str">
        <f aca="false">IFERROR(INDEX(ST_TOTSORTIE,MATCH(ROW()-52,ST_RANG,0)),"")</f>
        <v/>
      </c>
      <c r="I57" s="63" t="str">
        <f aca="false">IFERROR(INDEX(ST_ECART,MATCH(ROW()-52,ST_RANG,0)),"")</f>
        <v/>
      </c>
      <c r="J57" s="53" t="str">
        <f aca="false">IFERROR(INDEX(ST_NBRES,MATCH(ROW()-52,ST_RANG,0)),"")</f>
        <v/>
      </c>
      <c r="K57" s="53" t="str">
        <f aca="false">IFERROR(INDEX(ST_STATUT,MATCH(ROW()-52,ST_RANG,0)),"")</f>
        <v/>
      </c>
    </row>
    <row r="58" customFormat="false" ht="15" hidden="false" customHeight="false" outlineLevel="0" collapsed="false">
      <c r="B58" s="53" t="str">
        <f aca="false">IFERROR(INDEX(ST_ID,MATCH(ROW()-52,ST_RANG,0)),"")</f>
        <v/>
      </c>
      <c r="C58" s="62" t="str">
        <f aca="false">IFERROR(INDEX(ST_DATE,MATCH(ROW()-52,ST_RANG,0)),"")</f>
        <v/>
      </c>
      <c r="D58" s="53" t="str">
        <f aca="false">IFERROR(INDEX(ST_STRAIT,MATCH(ROW()-52,ST_RANG,0)),"")</f>
        <v/>
      </c>
      <c r="E58" s="53" t="str">
        <f aca="false">IFERROR(INDEX(ST_SOURCE,MATCH(ROW()-52,ST_RANG,0)),"")</f>
        <v/>
      </c>
      <c r="F58" s="53" t="str">
        <f aca="false">IFERROR(INDEX(ST_EMPL,MATCH(ROW()-52,ST_RANG,0)),"")</f>
        <v/>
      </c>
      <c r="G58" s="63" t="str">
        <f aca="false">IFERROR(INDEX(ST_QTE,MATCH(ROW()-52,ST_RANG,0)),"")</f>
        <v/>
      </c>
      <c r="H58" s="63" t="str">
        <f aca="false">IFERROR(INDEX(ST_TOTSORTIE,MATCH(ROW()-52,ST_RANG,0)),"")</f>
        <v/>
      </c>
      <c r="I58" s="63" t="str">
        <f aca="false">IFERROR(INDEX(ST_ECART,MATCH(ROW()-52,ST_RANG,0)),"")</f>
        <v/>
      </c>
      <c r="J58" s="53" t="str">
        <f aca="false">IFERROR(INDEX(ST_NBRES,MATCH(ROW()-52,ST_RANG,0)),"")</f>
        <v/>
      </c>
      <c r="K58" s="53" t="str">
        <f aca="false">IFERROR(INDEX(ST_STATUT,MATCH(ROW()-52,ST_RANG,0)),"")</f>
        <v/>
      </c>
    </row>
    <row r="59" customFormat="false" ht="15" hidden="false" customHeight="false" outlineLevel="0" collapsed="false">
      <c r="B59" s="53" t="str">
        <f aca="false">IFERROR(INDEX(ST_ID,MATCH(ROW()-52,ST_RANG,0)),"")</f>
        <v/>
      </c>
      <c r="C59" s="62" t="str">
        <f aca="false">IFERROR(INDEX(ST_DATE,MATCH(ROW()-52,ST_RANG,0)),"")</f>
        <v/>
      </c>
      <c r="D59" s="53" t="str">
        <f aca="false">IFERROR(INDEX(ST_STRAIT,MATCH(ROW()-52,ST_RANG,0)),"")</f>
        <v/>
      </c>
      <c r="E59" s="53" t="str">
        <f aca="false">IFERROR(INDEX(ST_SOURCE,MATCH(ROW()-52,ST_RANG,0)),"")</f>
        <v/>
      </c>
      <c r="F59" s="53" t="str">
        <f aca="false">IFERROR(INDEX(ST_EMPL,MATCH(ROW()-52,ST_RANG,0)),"")</f>
        <v/>
      </c>
      <c r="G59" s="63" t="str">
        <f aca="false">IFERROR(INDEX(ST_QTE,MATCH(ROW()-52,ST_RANG,0)),"")</f>
        <v/>
      </c>
      <c r="H59" s="63" t="str">
        <f aca="false">IFERROR(INDEX(ST_TOTSORTIE,MATCH(ROW()-52,ST_RANG,0)),"")</f>
        <v/>
      </c>
      <c r="I59" s="63" t="str">
        <f aca="false">IFERROR(INDEX(ST_ECART,MATCH(ROW()-52,ST_RANG,0)),"")</f>
        <v/>
      </c>
      <c r="J59" s="53" t="str">
        <f aca="false">IFERROR(INDEX(ST_NBRES,MATCH(ROW()-52,ST_RANG,0)),"")</f>
        <v/>
      </c>
      <c r="K59" s="53" t="str">
        <f aca="false">IFERROR(INDEX(ST_STATUT,MATCH(ROW()-52,ST_RANG,0)),"")</f>
        <v/>
      </c>
    </row>
    <row r="60" customFormat="false" ht="15" hidden="false" customHeight="false" outlineLevel="0" collapsed="false">
      <c r="B60" s="53" t="str">
        <f aca="false">IFERROR(INDEX(ST_ID,MATCH(ROW()-52,ST_RANG,0)),"")</f>
        <v/>
      </c>
      <c r="C60" s="62" t="str">
        <f aca="false">IFERROR(INDEX(ST_DATE,MATCH(ROW()-52,ST_RANG,0)),"")</f>
        <v/>
      </c>
      <c r="D60" s="53" t="str">
        <f aca="false">IFERROR(INDEX(ST_STRAIT,MATCH(ROW()-52,ST_RANG,0)),"")</f>
        <v/>
      </c>
      <c r="E60" s="53" t="str">
        <f aca="false">IFERROR(INDEX(ST_SOURCE,MATCH(ROW()-52,ST_RANG,0)),"")</f>
        <v/>
      </c>
      <c r="F60" s="53" t="str">
        <f aca="false">IFERROR(INDEX(ST_EMPL,MATCH(ROW()-52,ST_RANG,0)),"")</f>
        <v/>
      </c>
      <c r="G60" s="63" t="str">
        <f aca="false">IFERROR(INDEX(ST_QTE,MATCH(ROW()-52,ST_RANG,0)),"")</f>
        <v/>
      </c>
      <c r="H60" s="63" t="str">
        <f aca="false">IFERROR(INDEX(ST_TOTSORTIE,MATCH(ROW()-52,ST_RANG,0)),"")</f>
        <v/>
      </c>
      <c r="I60" s="63" t="str">
        <f aca="false">IFERROR(INDEX(ST_ECART,MATCH(ROW()-52,ST_RANG,0)),"")</f>
        <v/>
      </c>
      <c r="J60" s="53" t="str">
        <f aca="false">IFERROR(INDEX(ST_NBRES,MATCH(ROW()-52,ST_RANG,0)),"")</f>
        <v/>
      </c>
      <c r="K60" s="53" t="str">
        <f aca="false">IFERROR(INDEX(ST_STATUT,MATCH(ROW()-52,ST_RANG,0)),"")</f>
        <v/>
      </c>
    </row>
    <row r="61" customFormat="false" ht="15" hidden="false" customHeight="false" outlineLevel="0" collapsed="false">
      <c r="B61" s="53" t="str">
        <f aca="false">IFERROR(INDEX(ST_ID,MATCH(ROW()-52,ST_RANG,0)),"")</f>
        <v/>
      </c>
      <c r="C61" s="62" t="str">
        <f aca="false">IFERROR(INDEX(ST_DATE,MATCH(ROW()-52,ST_RANG,0)),"")</f>
        <v/>
      </c>
      <c r="D61" s="53" t="str">
        <f aca="false">IFERROR(INDEX(ST_STRAIT,MATCH(ROW()-52,ST_RANG,0)),"")</f>
        <v/>
      </c>
      <c r="E61" s="53" t="str">
        <f aca="false">IFERROR(INDEX(ST_SOURCE,MATCH(ROW()-52,ST_RANG,0)),"")</f>
        <v/>
      </c>
      <c r="F61" s="53" t="str">
        <f aca="false">IFERROR(INDEX(ST_EMPL,MATCH(ROW()-52,ST_RANG,0)),"")</f>
        <v/>
      </c>
      <c r="G61" s="63" t="str">
        <f aca="false">IFERROR(INDEX(ST_QTE,MATCH(ROW()-52,ST_RANG,0)),"")</f>
        <v/>
      </c>
      <c r="H61" s="63" t="str">
        <f aca="false">IFERROR(INDEX(ST_TOTSORTIE,MATCH(ROW()-52,ST_RANG,0)),"")</f>
        <v/>
      </c>
      <c r="I61" s="63" t="str">
        <f aca="false">IFERROR(INDEX(ST_ECART,MATCH(ROW()-52,ST_RANG,0)),"")</f>
        <v/>
      </c>
      <c r="J61" s="53" t="str">
        <f aca="false">IFERROR(INDEX(ST_NBRES,MATCH(ROW()-52,ST_RANG,0)),"")</f>
        <v/>
      </c>
      <c r="K61" s="53" t="str">
        <f aca="false">IFERROR(INDEX(ST_STATUT,MATCH(ROW()-52,ST_RANG,0)),"")</f>
        <v/>
      </c>
    </row>
    <row r="62" customFormat="false" ht="15" hidden="false" customHeight="false" outlineLevel="0" collapsed="false">
      <c r="B62" s="53" t="str">
        <f aca="false">IFERROR(INDEX(ST_ID,MATCH(ROW()-52,ST_RANG,0)),"")</f>
        <v/>
      </c>
      <c r="C62" s="62" t="str">
        <f aca="false">IFERROR(INDEX(ST_DATE,MATCH(ROW()-52,ST_RANG,0)),"")</f>
        <v/>
      </c>
      <c r="D62" s="53" t="str">
        <f aca="false">IFERROR(INDEX(ST_STRAIT,MATCH(ROW()-52,ST_RANG,0)),"")</f>
        <v/>
      </c>
      <c r="E62" s="53" t="str">
        <f aca="false">IFERROR(INDEX(ST_SOURCE,MATCH(ROW()-52,ST_RANG,0)),"")</f>
        <v/>
      </c>
      <c r="F62" s="53" t="str">
        <f aca="false">IFERROR(INDEX(ST_EMPL,MATCH(ROW()-52,ST_RANG,0)),"")</f>
        <v/>
      </c>
      <c r="G62" s="63" t="str">
        <f aca="false">IFERROR(INDEX(ST_QTE,MATCH(ROW()-52,ST_RANG,0)),"")</f>
        <v/>
      </c>
      <c r="H62" s="63" t="str">
        <f aca="false">IFERROR(INDEX(ST_TOTSORTIE,MATCH(ROW()-52,ST_RANG,0)),"")</f>
        <v/>
      </c>
      <c r="I62" s="63" t="str">
        <f aca="false">IFERROR(INDEX(ST_ECART,MATCH(ROW()-52,ST_RANG,0)),"")</f>
        <v/>
      </c>
      <c r="J62" s="53" t="str">
        <f aca="false">IFERROR(INDEX(ST_NBRES,MATCH(ROW()-52,ST_RANG,0)),"")</f>
        <v/>
      </c>
      <c r="K62" s="53" t="str">
        <f aca="false">IFERROR(INDEX(ST_STATUT,MATCH(ROW()-52,ST_RANG,0)),"")</f>
        <v/>
      </c>
    </row>
    <row r="63" customFormat="false" ht="15" hidden="false" customHeight="false" outlineLevel="0" collapsed="false">
      <c r="B63" s="53" t="str">
        <f aca="false">IFERROR(INDEX(ST_ID,MATCH(ROW()-52,ST_RANG,0)),"")</f>
        <v/>
      </c>
      <c r="C63" s="62" t="str">
        <f aca="false">IFERROR(INDEX(ST_DATE,MATCH(ROW()-52,ST_RANG,0)),"")</f>
        <v/>
      </c>
      <c r="D63" s="53" t="str">
        <f aca="false">IFERROR(INDEX(ST_STRAIT,MATCH(ROW()-52,ST_RANG,0)),"")</f>
        <v/>
      </c>
      <c r="E63" s="53" t="str">
        <f aca="false">IFERROR(INDEX(ST_SOURCE,MATCH(ROW()-52,ST_RANG,0)),"")</f>
        <v/>
      </c>
      <c r="F63" s="53" t="str">
        <f aca="false">IFERROR(INDEX(ST_EMPL,MATCH(ROW()-52,ST_RANG,0)),"")</f>
        <v/>
      </c>
      <c r="G63" s="63" t="str">
        <f aca="false">IFERROR(INDEX(ST_QTE,MATCH(ROW()-52,ST_RANG,0)),"")</f>
        <v/>
      </c>
      <c r="H63" s="63" t="str">
        <f aca="false">IFERROR(INDEX(ST_TOTSORTIE,MATCH(ROW()-52,ST_RANG,0)),"")</f>
        <v/>
      </c>
      <c r="I63" s="63" t="str">
        <f aca="false">IFERROR(INDEX(ST_ECART,MATCH(ROW()-52,ST_RANG,0)),"")</f>
        <v/>
      </c>
      <c r="J63" s="53" t="str">
        <f aca="false">IFERROR(INDEX(ST_NBRES,MATCH(ROW()-52,ST_RANG,0)),"")</f>
        <v/>
      </c>
      <c r="K63" s="53" t="str">
        <f aca="false">IFERROR(INDEX(ST_STATUT,MATCH(ROW()-52,ST_RANG,0)),"")</f>
        <v/>
      </c>
    </row>
    <row r="64" customFormat="false" ht="15" hidden="false" customHeight="false" outlineLevel="0" collapsed="false">
      <c r="B64" s="53" t="str">
        <f aca="false">IFERROR(INDEX(ST_ID,MATCH(ROW()-52,ST_RANG,0)),"")</f>
        <v/>
      </c>
      <c r="C64" s="62" t="str">
        <f aca="false">IFERROR(INDEX(ST_DATE,MATCH(ROW()-52,ST_RANG,0)),"")</f>
        <v/>
      </c>
      <c r="D64" s="53" t="str">
        <f aca="false">IFERROR(INDEX(ST_STRAIT,MATCH(ROW()-52,ST_RANG,0)),"")</f>
        <v/>
      </c>
      <c r="E64" s="53" t="str">
        <f aca="false">IFERROR(INDEX(ST_SOURCE,MATCH(ROW()-52,ST_RANG,0)),"")</f>
        <v/>
      </c>
      <c r="F64" s="53" t="str">
        <f aca="false">IFERROR(INDEX(ST_EMPL,MATCH(ROW()-52,ST_RANG,0)),"")</f>
        <v/>
      </c>
      <c r="G64" s="63" t="str">
        <f aca="false">IFERROR(INDEX(ST_QTE,MATCH(ROW()-52,ST_RANG,0)),"")</f>
        <v/>
      </c>
      <c r="H64" s="63" t="str">
        <f aca="false">IFERROR(INDEX(ST_TOTSORTIE,MATCH(ROW()-52,ST_RANG,0)),"")</f>
        <v/>
      </c>
      <c r="I64" s="63" t="str">
        <f aca="false">IFERROR(INDEX(ST_ECART,MATCH(ROW()-52,ST_RANG,0)),"")</f>
        <v/>
      </c>
      <c r="J64" s="53" t="str">
        <f aca="false">IFERROR(INDEX(ST_NBRES,MATCH(ROW()-52,ST_RANG,0)),"")</f>
        <v/>
      </c>
      <c r="K64" s="53" t="str">
        <f aca="false">IFERROR(INDEX(ST_STATUT,MATCH(ROW()-52,ST_RANG,0)),"")</f>
        <v/>
      </c>
    </row>
    <row r="66" customFormat="false" ht="19.5" hidden="false" customHeight="true" outlineLevel="0" collapsed="false">
      <c r="A66" s="3" t="s">
        <v>261</v>
      </c>
      <c r="B66" s="3"/>
      <c r="C66" s="3"/>
      <c r="D66" s="3"/>
      <c r="E66" s="3"/>
      <c r="F66" s="3"/>
      <c r="G66" s="3"/>
      <c r="H66" s="3"/>
      <c r="I66" s="3"/>
      <c r="J66" s="3"/>
      <c r="K66" s="3"/>
    </row>
    <row r="67" customFormat="false" ht="25.5" hidden="false" customHeight="true" outlineLevel="0" collapsed="false">
      <c r="B67" s="60" t="s">
        <v>150</v>
      </c>
      <c r="C67" s="60" t="s">
        <v>118</v>
      </c>
      <c r="D67" s="60" t="s">
        <v>182</v>
      </c>
      <c r="E67" s="60" t="s">
        <v>183</v>
      </c>
      <c r="F67" s="60" t="s">
        <v>262</v>
      </c>
      <c r="G67" s="60" t="s">
        <v>207</v>
      </c>
      <c r="H67" s="60" t="s">
        <v>208</v>
      </c>
      <c r="I67" s="60" t="s">
        <v>263</v>
      </c>
      <c r="J67" s="60" t="s">
        <v>233</v>
      </c>
      <c r="K67" s="60" t="s">
        <v>130</v>
      </c>
    </row>
    <row r="68" customFormat="false" ht="15" hidden="false" customHeight="false" outlineLevel="0" collapsed="false">
      <c r="B68" s="53" t="str">
        <f aca="false">IFERROR(INDEX(RES_IDST,MATCH(ROW()-67,RES_RANG,0)),"")</f>
        <v>ST-001</v>
      </c>
      <c r="C68" s="62" t="n">
        <f aca="false">IFERROR(INDEX(RES_DATE,MATCH(ROW()-67,RES_RANG,0)),"")</f>
        <v>46248</v>
      </c>
      <c r="D68" s="53" t="str">
        <f aca="false">IFERROR(INDEX(RES_ETAT,MATCH(ROW()-67,RES_RANG,0)),"")</f>
        <v>HG</v>
      </c>
      <c r="E68" s="53" t="str">
        <f aca="false">IFERROR(INDEX(RES_LOTEFF,MATCH(ROW()-67,RES_RANG,0)),"")</f>
        <v>255-HG</v>
      </c>
      <c r="F68" s="63" t="n">
        <f aca="false">IFERROR(INDEX(RES_QTE,MATCH(ROW()-67,RES_RANG,0)),"")</f>
        <v>300</v>
      </c>
      <c r="G68" s="53" t="str">
        <f aca="false">IFERROR(INDEX(RES_QUAL,MATCH(ROW()-67,RES_RANG,0)),"")</f>
        <v>A</v>
      </c>
      <c r="H68" s="53" t="str">
        <f aca="false">IFERROR(INDEX(RES_MOULE,MATCH(ROW()-67,RES_RANG,0)),"")</f>
        <v>03</v>
      </c>
      <c r="I68" s="53" t="str">
        <f aca="false">IFERROR(INDEX(RES_DEST,MATCH(ROW()-67,RES_RANG,0)),"")</f>
        <v>OCEAMIC 2</v>
      </c>
      <c r="J68" s="53" t="str">
        <f aca="false">IF($I68="","",IFERROR(INDEX(EMPL_CLASSE,MATCH($I68,EMPL_KEY,0)),""))</f>
        <v>INTERNE</v>
      </c>
      <c r="K68" s="53" t="str">
        <f aca="false">IFERROR(INDEX(RES_STATUT,MATCH(ROW()-67,RES_RANG,0)),"")</f>
        <v>OK</v>
      </c>
    </row>
    <row r="69" customFormat="false" ht="15" hidden="false" customHeight="false" outlineLevel="0" collapsed="false">
      <c r="B69" s="53" t="str">
        <f aca="false">IFERROR(INDEX(RES_IDST,MATCH(ROW()-67,RES_RANG,0)),"")</f>
        <v>ST-001</v>
      </c>
      <c r="C69" s="62" t="n">
        <f aca="false">IFERROR(INDEX(RES_DATE,MATCH(ROW()-67,RES_RANG,0)),"")</f>
        <v>46248</v>
      </c>
      <c r="D69" s="53" t="str">
        <f aca="false">IFERROR(INDEX(RES_ETAT,MATCH(ROW()-67,RES_RANG,0)),"")</f>
        <v>HGT</v>
      </c>
      <c r="E69" s="53" t="str">
        <f aca="false">IFERROR(INDEX(RES_LOTEFF,MATCH(ROW()-67,RES_RANG,0)),"")</f>
        <v>255-HGT</v>
      </c>
      <c r="F69" s="63" t="n">
        <f aca="false">IFERROR(INDEX(RES_QTE,MATCH(ROW()-67,RES_RANG,0)),"")</f>
        <v>150</v>
      </c>
      <c r="G69" s="53" t="str">
        <f aca="false">IFERROR(INDEX(RES_QUAL,MATCH(ROW()-67,RES_RANG,0)),"")</f>
        <v>B</v>
      </c>
      <c r="H69" s="53" t="str">
        <f aca="false">IFERROR(INDEX(RES_MOULE,MATCH(ROW()-67,RES_RANG,0)),"")</f>
        <v>04</v>
      </c>
      <c r="I69" s="53" t="str">
        <f aca="false">IFERROR(INDEX(RES_DEST,MATCH(ROW()-67,RES_RANG,0)),"")</f>
        <v>COFRIGOP</v>
      </c>
      <c r="J69" s="53" t="str">
        <f aca="false">IF($I69="","",IFERROR(INDEX(EMPL_CLASSE,MATCH($I69,EMPL_KEY,0)),""))</f>
        <v>EXTERNE</v>
      </c>
      <c r="K69" s="53" t="str">
        <f aca="false">IFERROR(INDEX(RES_STATUT,MATCH(ROW()-67,RES_RANG,0)),"")</f>
        <v>OK</v>
      </c>
    </row>
    <row r="70" customFormat="false" ht="15" hidden="false" customHeight="false" outlineLevel="0" collapsed="false">
      <c r="B70" s="53" t="str">
        <f aca="false">IFERROR(INDEX(RES_IDST,MATCH(ROW()-67,RES_RANG,0)),"")</f>
        <v/>
      </c>
      <c r="C70" s="62" t="str">
        <f aca="false">IFERROR(INDEX(RES_DATE,MATCH(ROW()-67,RES_RANG,0)),"")</f>
        <v/>
      </c>
      <c r="D70" s="53" t="str">
        <f aca="false">IFERROR(INDEX(RES_ETAT,MATCH(ROW()-67,RES_RANG,0)),"")</f>
        <v/>
      </c>
      <c r="E70" s="53" t="str">
        <f aca="false">IFERROR(INDEX(RES_LOTEFF,MATCH(ROW()-67,RES_RANG,0)),"")</f>
        <v/>
      </c>
      <c r="F70" s="63" t="str">
        <f aca="false">IFERROR(INDEX(RES_QTE,MATCH(ROW()-67,RES_RANG,0)),"")</f>
        <v/>
      </c>
      <c r="G70" s="53" t="str">
        <f aca="false">IFERROR(INDEX(RES_QUAL,MATCH(ROW()-67,RES_RANG,0)),"")</f>
        <v/>
      </c>
      <c r="H70" s="53" t="str">
        <f aca="false">IFERROR(INDEX(RES_MOULE,MATCH(ROW()-67,RES_RANG,0)),"")</f>
        <v/>
      </c>
      <c r="I70" s="53" t="str">
        <f aca="false">IFERROR(INDEX(RES_DEST,MATCH(ROW()-67,RES_RANG,0)),"")</f>
        <v/>
      </c>
      <c r="J70" s="53" t="str">
        <f aca="false">IF($I70="","",IFERROR(INDEX(EMPL_CLASSE,MATCH($I70,EMPL_KEY,0)),""))</f>
        <v/>
      </c>
      <c r="K70" s="53" t="str">
        <f aca="false">IFERROR(INDEX(RES_STATUT,MATCH(ROW()-67,RES_RANG,0)),"")</f>
        <v/>
      </c>
    </row>
    <row r="71" customFormat="false" ht="15" hidden="false" customHeight="false" outlineLevel="0" collapsed="false">
      <c r="B71" s="53" t="str">
        <f aca="false">IFERROR(INDEX(RES_IDST,MATCH(ROW()-67,RES_RANG,0)),"")</f>
        <v/>
      </c>
      <c r="C71" s="62" t="str">
        <f aca="false">IFERROR(INDEX(RES_DATE,MATCH(ROW()-67,RES_RANG,0)),"")</f>
        <v/>
      </c>
      <c r="D71" s="53" t="str">
        <f aca="false">IFERROR(INDEX(RES_ETAT,MATCH(ROW()-67,RES_RANG,0)),"")</f>
        <v/>
      </c>
      <c r="E71" s="53" t="str">
        <f aca="false">IFERROR(INDEX(RES_LOTEFF,MATCH(ROW()-67,RES_RANG,0)),"")</f>
        <v/>
      </c>
      <c r="F71" s="63" t="str">
        <f aca="false">IFERROR(INDEX(RES_QTE,MATCH(ROW()-67,RES_RANG,0)),"")</f>
        <v/>
      </c>
      <c r="G71" s="53" t="str">
        <f aca="false">IFERROR(INDEX(RES_QUAL,MATCH(ROW()-67,RES_RANG,0)),"")</f>
        <v/>
      </c>
      <c r="H71" s="53" t="str">
        <f aca="false">IFERROR(INDEX(RES_MOULE,MATCH(ROW()-67,RES_RANG,0)),"")</f>
        <v/>
      </c>
      <c r="I71" s="53" t="str">
        <f aca="false">IFERROR(INDEX(RES_DEST,MATCH(ROW()-67,RES_RANG,0)),"")</f>
        <v/>
      </c>
      <c r="J71" s="53" t="str">
        <f aca="false">IF($I71="","",IFERROR(INDEX(EMPL_CLASSE,MATCH($I71,EMPL_KEY,0)),""))</f>
        <v/>
      </c>
      <c r="K71" s="53" t="str">
        <f aca="false">IFERROR(INDEX(RES_STATUT,MATCH(ROW()-67,RES_RANG,0)),"")</f>
        <v/>
      </c>
    </row>
    <row r="72" customFormat="false" ht="15" hidden="false" customHeight="false" outlineLevel="0" collapsed="false">
      <c r="B72" s="53" t="str">
        <f aca="false">IFERROR(INDEX(RES_IDST,MATCH(ROW()-67,RES_RANG,0)),"")</f>
        <v/>
      </c>
      <c r="C72" s="62" t="str">
        <f aca="false">IFERROR(INDEX(RES_DATE,MATCH(ROW()-67,RES_RANG,0)),"")</f>
        <v/>
      </c>
      <c r="D72" s="53" t="str">
        <f aca="false">IFERROR(INDEX(RES_ETAT,MATCH(ROW()-67,RES_RANG,0)),"")</f>
        <v/>
      </c>
      <c r="E72" s="53" t="str">
        <f aca="false">IFERROR(INDEX(RES_LOTEFF,MATCH(ROW()-67,RES_RANG,0)),"")</f>
        <v/>
      </c>
      <c r="F72" s="63" t="str">
        <f aca="false">IFERROR(INDEX(RES_QTE,MATCH(ROW()-67,RES_RANG,0)),"")</f>
        <v/>
      </c>
      <c r="G72" s="53" t="str">
        <f aca="false">IFERROR(INDEX(RES_QUAL,MATCH(ROW()-67,RES_RANG,0)),"")</f>
        <v/>
      </c>
      <c r="H72" s="53" t="str">
        <f aca="false">IFERROR(INDEX(RES_MOULE,MATCH(ROW()-67,RES_RANG,0)),"")</f>
        <v/>
      </c>
      <c r="I72" s="53" t="str">
        <f aca="false">IFERROR(INDEX(RES_DEST,MATCH(ROW()-67,RES_RANG,0)),"")</f>
        <v/>
      </c>
      <c r="J72" s="53" t="str">
        <f aca="false">IF($I72="","",IFERROR(INDEX(EMPL_CLASSE,MATCH($I72,EMPL_KEY,0)),""))</f>
        <v/>
      </c>
      <c r="K72" s="53" t="str">
        <f aca="false">IFERROR(INDEX(RES_STATUT,MATCH(ROW()-67,RES_RANG,0)),"")</f>
        <v/>
      </c>
    </row>
    <row r="73" customFormat="false" ht="15" hidden="false" customHeight="false" outlineLevel="0" collapsed="false">
      <c r="B73" s="53" t="str">
        <f aca="false">IFERROR(INDEX(RES_IDST,MATCH(ROW()-67,RES_RANG,0)),"")</f>
        <v/>
      </c>
      <c r="C73" s="62" t="str">
        <f aca="false">IFERROR(INDEX(RES_DATE,MATCH(ROW()-67,RES_RANG,0)),"")</f>
        <v/>
      </c>
      <c r="D73" s="53" t="str">
        <f aca="false">IFERROR(INDEX(RES_ETAT,MATCH(ROW()-67,RES_RANG,0)),"")</f>
        <v/>
      </c>
      <c r="E73" s="53" t="str">
        <f aca="false">IFERROR(INDEX(RES_LOTEFF,MATCH(ROW()-67,RES_RANG,0)),"")</f>
        <v/>
      </c>
      <c r="F73" s="63" t="str">
        <f aca="false">IFERROR(INDEX(RES_QTE,MATCH(ROW()-67,RES_RANG,0)),"")</f>
        <v/>
      </c>
      <c r="G73" s="53" t="str">
        <f aca="false">IFERROR(INDEX(RES_QUAL,MATCH(ROW()-67,RES_RANG,0)),"")</f>
        <v/>
      </c>
      <c r="H73" s="53" t="str">
        <f aca="false">IFERROR(INDEX(RES_MOULE,MATCH(ROW()-67,RES_RANG,0)),"")</f>
        <v/>
      </c>
      <c r="I73" s="53" t="str">
        <f aca="false">IFERROR(INDEX(RES_DEST,MATCH(ROW()-67,RES_RANG,0)),"")</f>
        <v/>
      </c>
      <c r="J73" s="53" t="str">
        <f aca="false">IF($I73="","",IFERROR(INDEX(EMPL_CLASSE,MATCH($I73,EMPL_KEY,0)),""))</f>
        <v/>
      </c>
      <c r="K73" s="53" t="str">
        <f aca="false">IFERROR(INDEX(RES_STATUT,MATCH(ROW()-67,RES_RANG,0)),"")</f>
        <v/>
      </c>
    </row>
    <row r="74" customFormat="false" ht="15" hidden="false" customHeight="false" outlineLevel="0" collapsed="false">
      <c r="B74" s="53" t="str">
        <f aca="false">IFERROR(INDEX(RES_IDST,MATCH(ROW()-67,RES_RANG,0)),"")</f>
        <v/>
      </c>
      <c r="C74" s="62" t="str">
        <f aca="false">IFERROR(INDEX(RES_DATE,MATCH(ROW()-67,RES_RANG,0)),"")</f>
        <v/>
      </c>
      <c r="D74" s="53" t="str">
        <f aca="false">IFERROR(INDEX(RES_ETAT,MATCH(ROW()-67,RES_RANG,0)),"")</f>
        <v/>
      </c>
      <c r="E74" s="53" t="str">
        <f aca="false">IFERROR(INDEX(RES_LOTEFF,MATCH(ROW()-67,RES_RANG,0)),"")</f>
        <v/>
      </c>
      <c r="F74" s="63" t="str">
        <f aca="false">IFERROR(INDEX(RES_QTE,MATCH(ROW()-67,RES_RANG,0)),"")</f>
        <v/>
      </c>
      <c r="G74" s="53" t="str">
        <f aca="false">IFERROR(INDEX(RES_QUAL,MATCH(ROW()-67,RES_RANG,0)),"")</f>
        <v/>
      </c>
      <c r="H74" s="53" t="str">
        <f aca="false">IFERROR(INDEX(RES_MOULE,MATCH(ROW()-67,RES_RANG,0)),"")</f>
        <v/>
      </c>
      <c r="I74" s="53" t="str">
        <f aca="false">IFERROR(INDEX(RES_DEST,MATCH(ROW()-67,RES_RANG,0)),"")</f>
        <v/>
      </c>
      <c r="J74" s="53" t="str">
        <f aca="false">IF($I74="","",IFERROR(INDEX(EMPL_CLASSE,MATCH($I74,EMPL_KEY,0)),""))</f>
        <v/>
      </c>
      <c r="K74" s="53" t="str">
        <f aca="false">IFERROR(INDEX(RES_STATUT,MATCH(ROW()-67,RES_RANG,0)),"")</f>
        <v/>
      </c>
    </row>
    <row r="75" customFormat="false" ht="15" hidden="false" customHeight="false" outlineLevel="0" collapsed="false">
      <c r="B75" s="53" t="str">
        <f aca="false">IFERROR(INDEX(RES_IDST,MATCH(ROW()-67,RES_RANG,0)),"")</f>
        <v/>
      </c>
      <c r="C75" s="62" t="str">
        <f aca="false">IFERROR(INDEX(RES_DATE,MATCH(ROW()-67,RES_RANG,0)),"")</f>
        <v/>
      </c>
      <c r="D75" s="53" t="str">
        <f aca="false">IFERROR(INDEX(RES_ETAT,MATCH(ROW()-67,RES_RANG,0)),"")</f>
        <v/>
      </c>
      <c r="E75" s="53" t="str">
        <f aca="false">IFERROR(INDEX(RES_LOTEFF,MATCH(ROW()-67,RES_RANG,0)),"")</f>
        <v/>
      </c>
      <c r="F75" s="63" t="str">
        <f aca="false">IFERROR(INDEX(RES_QTE,MATCH(ROW()-67,RES_RANG,0)),"")</f>
        <v/>
      </c>
      <c r="G75" s="53" t="str">
        <f aca="false">IFERROR(INDEX(RES_QUAL,MATCH(ROW()-67,RES_RANG,0)),"")</f>
        <v/>
      </c>
      <c r="H75" s="53" t="str">
        <f aca="false">IFERROR(INDEX(RES_MOULE,MATCH(ROW()-67,RES_RANG,0)),"")</f>
        <v/>
      </c>
      <c r="I75" s="53" t="str">
        <f aca="false">IFERROR(INDEX(RES_DEST,MATCH(ROW()-67,RES_RANG,0)),"")</f>
        <v/>
      </c>
      <c r="J75" s="53" t="str">
        <f aca="false">IF($I75="","",IFERROR(INDEX(EMPL_CLASSE,MATCH($I75,EMPL_KEY,0)),""))</f>
        <v/>
      </c>
      <c r="K75" s="53" t="str">
        <f aca="false">IFERROR(INDEX(RES_STATUT,MATCH(ROW()-67,RES_RANG,0)),"")</f>
        <v/>
      </c>
    </row>
    <row r="76" customFormat="false" ht="15" hidden="false" customHeight="false" outlineLevel="0" collapsed="false">
      <c r="B76" s="53" t="str">
        <f aca="false">IFERROR(INDEX(RES_IDST,MATCH(ROW()-67,RES_RANG,0)),"")</f>
        <v/>
      </c>
      <c r="C76" s="62" t="str">
        <f aca="false">IFERROR(INDEX(RES_DATE,MATCH(ROW()-67,RES_RANG,0)),"")</f>
        <v/>
      </c>
      <c r="D76" s="53" t="str">
        <f aca="false">IFERROR(INDEX(RES_ETAT,MATCH(ROW()-67,RES_RANG,0)),"")</f>
        <v/>
      </c>
      <c r="E76" s="53" t="str">
        <f aca="false">IFERROR(INDEX(RES_LOTEFF,MATCH(ROW()-67,RES_RANG,0)),"")</f>
        <v/>
      </c>
      <c r="F76" s="63" t="str">
        <f aca="false">IFERROR(INDEX(RES_QTE,MATCH(ROW()-67,RES_RANG,0)),"")</f>
        <v/>
      </c>
      <c r="G76" s="53" t="str">
        <f aca="false">IFERROR(INDEX(RES_QUAL,MATCH(ROW()-67,RES_RANG,0)),"")</f>
        <v/>
      </c>
      <c r="H76" s="53" t="str">
        <f aca="false">IFERROR(INDEX(RES_MOULE,MATCH(ROW()-67,RES_RANG,0)),"")</f>
        <v/>
      </c>
      <c r="I76" s="53" t="str">
        <f aca="false">IFERROR(INDEX(RES_DEST,MATCH(ROW()-67,RES_RANG,0)),"")</f>
        <v/>
      </c>
      <c r="J76" s="53" t="str">
        <f aca="false">IF($I76="","",IFERROR(INDEX(EMPL_CLASSE,MATCH($I76,EMPL_KEY,0)),""))</f>
        <v/>
      </c>
      <c r="K76" s="53" t="str">
        <f aca="false">IFERROR(INDEX(RES_STATUT,MATCH(ROW()-67,RES_RANG,0)),"")</f>
        <v/>
      </c>
    </row>
    <row r="77" customFormat="false" ht="15" hidden="false" customHeight="false" outlineLevel="0" collapsed="false">
      <c r="B77" s="53" t="str">
        <f aca="false">IFERROR(INDEX(RES_IDST,MATCH(ROW()-67,RES_RANG,0)),"")</f>
        <v/>
      </c>
      <c r="C77" s="62" t="str">
        <f aca="false">IFERROR(INDEX(RES_DATE,MATCH(ROW()-67,RES_RANG,0)),"")</f>
        <v/>
      </c>
      <c r="D77" s="53" t="str">
        <f aca="false">IFERROR(INDEX(RES_ETAT,MATCH(ROW()-67,RES_RANG,0)),"")</f>
        <v/>
      </c>
      <c r="E77" s="53" t="str">
        <f aca="false">IFERROR(INDEX(RES_LOTEFF,MATCH(ROW()-67,RES_RANG,0)),"")</f>
        <v/>
      </c>
      <c r="F77" s="63" t="str">
        <f aca="false">IFERROR(INDEX(RES_QTE,MATCH(ROW()-67,RES_RANG,0)),"")</f>
        <v/>
      </c>
      <c r="G77" s="53" t="str">
        <f aca="false">IFERROR(INDEX(RES_QUAL,MATCH(ROW()-67,RES_RANG,0)),"")</f>
        <v/>
      </c>
      <c r="H77" s="53" t="str">
        <f aca="false">IFERROR(INDEX(RES_MOULE,MATCH(ROW()-67,RES_RANG,0)),"")</f>
        <v/>
      </c>
      <c r="I77" s="53" t="str">
        <f aca="false">IFERROR(INDEX(RES_DEST,MATCH(ROW()-67,RES_RANG,0)),"")</f>
        <v/>
      </c>
      <c r="J77" s="53" t="str">
        <f aca="false">IF($I77="","",IFERROR(INDEX(EMPL_CLASSE,MATCH($I77,EMPL_KEY,0)),""))</f>
        <v/>
      </c>
      <c r="K77" s="53" t="str">
        <f aca="false">IFERROR(INDEX(RES_STATUT,MATCH(ROW()-67,RES_RANG,0)),"")</f>
        <v/>
      </c>
    </row>
    <row r="78" customFormat="false" ht="15" hidden="false" customHeight="false" outlineLevel="0" collapsed="false">
      <c r="B78" s="53" t="str">
        <f aca="false">IFERROR(INDEX(RES_IDST,MATCH(ROW()-67,RES_RANG,0)),"")</f>
        <v/>
      </c>
      <c r="C78" s="62" t="str">
        <f aca="false">IFERROR(INDEX(RES_DATE,MATCH(ROW()-67,RES_RANG,0)),"")</f>
        <v/>
      </c>
      <c r="D78" s="53" t="str">
        <f aca="false">IFERROR(INDEX(RES_ETAT,MATCH(ROW()-67,RES_RANG,0)),"")</f>
        <v/>
      </c>
      <c r="E78" s="53" t="str">
        <f aca="false">IFERROR(INDEX(RES_LOTEFF,MATCH(ROW()-67,RES_RANG,0)),"")</f>
        <v/>
      </c>
      <c r="F78" s="63" t="str">
        <f aca="false">IFERROR(INDEX(RES_QTE,MATCH(ROW()-67,RES_RANG,0)),"")</f>
        <v/>
      </c>
      <c r="G78" s="53" t="str">
        <f aca="false">IFERROR(INDEX(RES_QUAL,MATCH(ROW()-67,RES_RANG,0)),"")</f>
        <v/>
      </c>
      <c r="H78" s="53" t="str">
        <f aca="false">IFERROR(INDEX(RES_MOULE,MATCH(ROW()-67,RES_RANG,0)),"")</f>
        <v/>
      </c>
      <c r="I78" s="53" t="str">
        <f aca="false">IFERROR(INDEX(RES_DEST,MATCH(ROW()-67,RES_RANG,0)),"")</f>
        <v/>
      </c>
      <c r="J78" s="53" t="str">
        <f aca="false">IF($I78="","",IFERROR(INDEX(EMPL_CLASSE,MATCH($I78,EMPL_KEY,0)),""))</f>
        <v/>
      </c>
      <c r="K78" s="53" t="str">
        <f aca="false">IFERROR(INDEX(RES_STATUT,MATCH(ROW()-67,RES_RANG,0)),"")</f>
        <v/>
      </c>
    </row>
    <row r="79" customFormat="false" ht="15" hidden="false" customHeight="false" outlineLevel="0" collapsed="false">
      <c r="B79" s="53" t="str">
        <f aca="false">IFERROR(INDEX(RES_IDST,MATCH(ROW()-67,RES_RANG,0)),"")</f>
        <v/>
      </c>
      <c r="C79" s="62" t="str">
        <f aca="false">IFERROR(INDEX(RES_DATE,MATCH(ROW()-67,RES_RANG,0)),"")</f>
        <v/>
      </c>
      <c r="D79" s="53" t="str">
        <f aca="false">IFERROR(INDEX(RES_ETAT,MATCH(ROW()-67,RES_RANG,0)),"")</f>
        <v/>
      </c>
      <c r="E79" s="53" t="str">
        <f aca="false">IFERROR(INDEX(RES_LOTEFF,MATCH(ROW()-67,RES_RANG,0)),"")</f>
        <v/>
      </c>
      <c r="F79" s="63" t="str">
        <f aca="false">IFERROR(INDEX(RES_QTE,MATCH(ROW()-67,RES_RANG,0)),"")</f>
        <v/>
      </c>
      <c r="G79" s="53" t="str">
        <f aca="false">IFERROR(INDEX(RES_QUAL,MATCH(ROW()-67,RES_RANG,0)),"")</f>
        <v/>
      </c>
      <c r="H79" s="53" t="str">
        <f aca="false">IFERROR(INDEX(RES_MOULE,MATCH(ROW()-67,RES_RANG,0)),"")</f>
        <v/>
      </c>
      <c r="I79" s="53" t="str">
        <f aca="false">IFERROR(INDEX(RES_DEST,MATCH(ROW()-67,RES_RANG,0)),"")</f>
        <v/>
      </c>
      <c r="J79" s="53" t="str">
        <f aca="false">IF($I79="","",IFERROR(INDEX(EMPL_CLASSE,MATCH($I79,EMPL_KEY,0)),""))</f>
        <v/>
      </c>
      <c r="K79" s="53" t="str">
        <f aca="false">IFERROR(INDEX(RES_STATUT,MATCH(ROW()-67,RES_RANG,0)),"")</f>
        <v/>
      </c>
    </row>
    <row r="81" customFormat="false" ht="19.5" hidden="false" customHeight="true" outlineLevel="0" collapsed="false">
      <c r="A81" s="3" t="s">
        <v>264</v>
      </c>
      <c r="B81" s="3"/>
      <c r="C81" s="3"/>
      <c r="D81" s="3"/>
      <c r="E81" s="3"/>
      <c r="F81" s="3"/>
      <c r="G81" s="3"/>
      <c r="H81" s="3"/>
      <c r="I81" s="3"/>
      <c r="J81" s="3"/>
      <c r="K81" s="3"/>
    </row>
    <row r="82" customFormat="false" ht="25.5" hidden="false" customHeight="true" outlineLevel="0" collapsed="false">
      <c r="B82" s="60" t="s">
        <v>118</v>
      </c>
      <c r="C82" s="60" t="s">
        <v>203</v>
      </c>
      <c r="D82" s="60" t="s">
        <v>265</v>
      </c>
      <c r="E82" s="60" t="s">
        <v>186</v>
      </c>
      <c r="F82" s="60" t="s">
        <v>207</v>
      </c>
      <c r="G82" s="60" t="s">
        <v>208</v>
      </c>
      <c r="H82" s="60" t="s">
        <v>209</v>
      </c>
      <c r="I82" s="60" t="s">
        <v>210</v>
      </c>
      <c r="J82" s="60" t="s">
        <v>130</v>
      </c>
      <c r="K82" s="60" t="s">
        <v>213</v>
      </c>
    </row>
    <row r="83" customFormat="false" ht="15" hidden="false" customHeight="false" outlineLevel="0" collapsed="false">
      <c r="B83" s="62" t="n">
        <f aca="false">IFERROR(INDEX(QC_DATE,MATCH(ROW()-82,QC_RANG,0)),"")</f>
        <v>46247</v>
      </c>
      <c r="C83" s="53" t="str">
        <f aca="false">IFERROR(INDEX(QC_EMPL,MATCH(ROW()-82,QC_RANG,0)),"")</f>
        <v>OCEAMIC 2</v>
      </c>
      <c r="D83" s="64" t="n">
        <f aca="false">IFERROR(INDEX(QC_TEMP,MATCH(ROW()-82,QC_RANG,0)),"")</f>
        <v>-19</v>
      </c>
      <c r="E83" s="65" t="n">
        <f aca="false">IFERROR(INDEX(QC_HIST,MATCH(ROW()-82,QC_RANG,0)),"")</f>
        <v>45</v>
      </c>
      <c r="F83" s="53" t="str">
        <f aca="false">IFERROR(INDEX(QC_QUAL,MATCH(ROW()-82,QC_RANG,0)),"")</f>
        <v>A</v>
      </c>
      <c r="G83" s="53" t="str">
        <f aca="false">IFERROR(INDEX(QC_MOULE,MATCH(ROW()-82,QC_RANG,0)),"")</f>
        <v>03</v>
      </c>
      <c r="H83" s="53" t="str">
        <f aca="false">IFERROR(INDEX(QC_DEF,MATCH(ROW()-82,QC_RANG,0)),"")</f>
        <v>Aucun defaut</v>
      </c>
      <c r="I83" s="53" t="str">
        <f aca="false">IFERROR(INDEX(QC_DEC,MATCH(ROW()-82,QC_RANG,0)),"")</f>
        <v>ACCEPTE</v>
      </c>
      <c r="J83" s="53" t="str">
        <f aca="false">IFERROR(INDEX(QC_STATUT,MATCH(ROW()-82,QC_RANG,0)),"")</f>
        <v>OK</v>
      </c>
      <c r="K83" s="53" t="str">
        <f aca="false">IFERROR(INDEX(QC_ALERTE,MATCH(ROW()-82,QC_RANG,0)),"")</f>
        <v/>
      </c>
    </row>
    <row r="84" customFormat="false" ht="15" hidden="false" customHeight="false" outlineLevel="0" collapsed="false">
      <c r="B84" s="62" t="str">
        <f aca="false">IFERROR(INDEX(QC_DATE,MATCH(ROW()-82,QC_RANG,0)),"")</f>
        <v/>
      </c>
      <c r="C84" s="53" t="str">
        <f aca="false">IFERROR(INDEX(QC_EMPL,MATCH(ROW()-82,QC_RANG,0)),"")</f>
        <v/>
      </c>
      <c r="D84" s="53" t="str">
        <f aca="false">IFERROR(INDEX(QC_TEMP,MATCH(ROW()-82,QC_RANG,0)),"")</f>
        <v/>
      </c>
      <c r="E84" s="53" t="str">
        <f aca="false">IFERROR(INDEX(QC_HIST,MATCH(ROW()-82,QC_RANG,0)),"")</f>
        <v/>
      </c>
      <c r="F84" s="53" t="str">
        <f aca="false">IFERROR(INDEX(QC_QUAL,MATCH(ROW()-82,QC_RANG,0)),"")</f>
        <v/>
      </c>
      <c r="G84" s="53" t="str">
        <f aca="false">IFERROR(INDEX(QC_MOULE,MATCH(ROW()-82,QC_RANG,0)),"")</f>
        <v/>
      </c>
      <c r="H84" s="53" t="str">
        <f aca="false">IFERROR(INDEX(QC_DEF,MATCH(ROW()-82,QC_RANG,0)),"")</f>
        <v/>
      </c>
      <c r="I84" s="53" t="str">
        <f aca="false">IFERROR(INDEX(QC_DEC,MATCH(ROW()-82,QC_RANG,0)),"")</f>
        <v/>
      </c>
      <c r="J84" s="53" t="str">
        <f aca="false">IFERROR(INDEX(QC_STATUT,MATCH(ROW()-82,QC_RANG,0)),"")</f>
        <v/>
      </c>
      <c r="K84" s="53" t="str">
        <f aca="false">IFERROR(INDEX(QC_ALERTE,MATCH(ROW()-82,QC_RANG,0)),"")</f>
        <v/>
      </c>
    </row>
    <row r="85" customFormat="false" ht="15" hidden="false" customHeight="false" outlineLevel="0" collapsed="false">
      <c r="B85" s="62" t="str">
        <f aca="false">IFERROR(INDEX(QC_DATE,MATCH(ROW()-82,QC_RANG,0)),"")</f>
        <v/>
      </c>
      <c r="C85" s="53" t="str">
        <f aca="false">IFERROR(INDEX(QC_EMPL,MATCH(ROW()-82,QC_RANG,0)),"")</f>
        <v/>
      </c>
      <c r="D85" s="53" t="str">
        <f aca="false">IFERROR(INDEX(QC_TEMP,MATCH(ROW()-82,QC_RANG,0)),"")</f>
        <v/>
      </c>
      <c r="E85" s="53" t="str">
        <f aca="false">IFERROR(INDEX(QC_HIST,MATCH(ROW()-82,QC_RANG,0)),"")</f>
        <v/>
      </c>
      <c r="F85" s="53" t="str">
        <f aca="false">IFERROR(INDEX(QC_QUAL,MATCH(ROW()-82,QC_RANG,0)),"")</f>
        <v/>
      </c>
      <c r="G85" s="53" t="str">
        <f aca="false">IFERROR(INDEX(QC_MOULE,MATCH(ROW()-82,QC_RANG,0)),"")</f>
        <v/>
      </c>
      <c r="H85" s="53" t="str">
        <f aca="false">IFERROR(INDEX(QC_DEF,MATCH(ROW()-82,QC_RANG,0)),"")</f>
        <v/>
      </c>
      <c r="I85" s="53" t="str">
        <f aca="false">IFERROR(INDEX(QC_DEC,MATCH(ROW()-82,QC_RANG,0)),"")</f>
        <v/>
      </c>
      <c r="J85" s="53" t="str">
        <f aca="false">IFERROR(INDEX(QC_STATUT,MATCH(ROW()-82,QC_RANG,0)),"")</f>
        <v/>
      </c>
      <c r="K85" s="53" t="str">
        <f aca="false">IFERROR(INDEX(QC_ALERTE,MATCH(ROW()-82,QC_RANG,0)),"")</f>
        <v/>
      </c>
    </row>
    <row r="86" customFormat="false" ht="15" hidden="false" customHeight="false" outlineLevel="0" collapsed="false">
      <c r="B86" s="62" t="str">
        <f aca="false">IFERROR(INDEX(QC_DATE,MATCH(ROW()-82,QC_RANG,0)),"")</f>
        <v/>
      </c>
      <c r="C86" s="53" t="str">
        <f aca="false">IFERROR(INDEX(QC_EMPL,MATCH(ROW()-82,QC_RANG,0)),"")</f>
        <v/>
      </c>
      <c r="D86" s="53" t="str">
        <f aca="false">IFERROR(INDEX(QC_TEMP,MATCH(ROW()-82,QC_RANG,0)),"")</f>
        <v/>
      </c>
      <c r="E86" s="53" t="str">
        <f aca="false">IFERROR(INDEX(QC_HIST,MATCH(ROW()-82,QC_RANG,0)),"")</f>
        <v/>
      </c>
      <c r="F86" s="53" t="str">
        <f aca="false">IFERROR(INDEX(QC_QUAL,MATCH(ROW()-82,QC_RANG,0)),"")</f>
        <v/>
      </c>
      <c r="G86" s="53" t="str">
        <f aca="false">IFERROR(INDEX(QC_MOULE,MATCH(ROW()-82,QC_RANG,0)),"")</f>
        <v/>
      </c>
      <c r="H86" s="53" t="str">
        <f aca="false">IFERROR(INDEX(QC_DEF,MATCH(ROW()-82,QC_RANG,0)),"")</f>
        <v/>
      </c>
      <c r="I86" s="53" t="str">
        <f aca="false">IFERROR(INDEX(QC_DEC,MATCH(ROW()-82,QC_RANG,0)),"")</f>
        <v/>
      </c>
      <c r="J86" s="53" t="str">
        <f aca="false">IFERROR(INDEX(QC_STATUT,MATCH(ROW()-82,QC_RANG,0)),"")</f>
        <v/>
      </c>
      <c r="K86" s="53" t="str">
        <f aca="false">IFERROR(INDEX(QC_ALERTE,MATCH(ROW()-82,QC_RANG,0)),"")</f>
        <v/>
      </c>
    </row>
    <row r="87" customFormat="false" ht="15" hidden="false" customHeight="false" outlineLevel="0" collapsed="false">
      <c r="B87" s="62" t="str">
        <f aca="false">IFERROR(INDEX(QC_DATE,MATCH(ROW()-82,QC_RANG,0)),"")</f>
        <v/>
      </c>
      <c r="C87" s="53" t="str">
        <f aca="false">IFERROR(INDEX(QC_EMPL,MATCH(ROW()-82,QC_RANG,0)),"")</f>
        <v/>
      </c>
      <c r="D87" s="53" t="str">
        <f aca="false">IFERROR(INDEX(QC_TEMP,MATCH(ROW()-82,QC_RANG,0)),"")</f>
        <v/>
      </c>
      <c r="E87" s="53" t="str">
        <f aca="false">IFERROR(INDEX(QC_HIST,MATCH(ROW()-82,QC_RANG,0)),"")</f>
        <v/>
      </c>
      <c r="F87" s="53" t="str">
        <f aca="false">IFERROR(INDEX(QC_QUAL,MATCH(ROW()-82,QC_RANG,0)),"")</f>
        <v/>
      </c>
      <c r="G87" s="53" t="str">
        <f aca="false">IFERROR(INDEX(QC_MOULE,MATCH(ROW()-82,QC_RANG,0)),"")</f>
        <v/>
      </c>
      <c r="H87" s="53" t="str">
        <f aca="false">IFERROR(INDEX(QC_DEF,MATCH(ROW()-82,QC_RANG,0)),"")</f>
        <v/>
      </c>
      <c r="I87" s="53" t="str">
        <f aca="false">IFERROR(INDEX(QC_DEC,MATCH(ROW()-82,QC_RANG,0)),"")</f>
        <v/>
      </c>
      <c r="J87" s="53" t="str">
        <f aca="false">IFERROR(INDEX(QC_STATUT,MATCH(ROW()-82,QC_RANG,0)),"")</f>
        <v/>
      </c>
      <c r="K87" s="53" t="str">
        <f aca="false">IFERROR(INDEX(QC_ALERTE,MATCH(ROW()-82,QC_RANG,0)),"")</f>
        <v/>
      </c>
    </row>
    <row r="88" customFormat="false" ht="15" hidden="false" customHeight="false" outlineLevel="0" collapsed="false">
      <c r="B88" s="62" t="str">
        <f aca="false">IFERROR(INDEX(QC_DATE,MATCH(ROW()-82,QC_RANG,0)),"")</f>
        <v/>
      </c>
      <c r="C88" s="53" t="str">
        <f aca="false">IFERROR(INDEX(QC_EMPL,MATCH(ROW()-82,QC_RANG,0)),"")</f>
        <v/>
      </c>
      <c r="D88" s="53" t="str">
        <f aca="false">IFERROR(INDEX(QC_TEMP,MATCH(ROW()-82,QC_RANG,0)),"")</f>
        <v/>
      </c>
      <c r="E88" s="53" t="str">
        <f aca="false">IFERROR(INDEX(QC_HIST,MATCH(ROW()-82,QC_RANG,0)),"")</f>
        <v/>
      </c>
      <c r="F88" s="53" t="str">
        <f aca="false">IFERROR(INDEX(QC_QUAL,MATCH(ROW()-82,QC_RANG,0)),"")</f>
        <v/>
      </c>
      <c r="G88" s="53" t="str">
        <f aca="false">IFERROR(INDEX(QC_MOULE,MATCH(ROW()-82,QC_RANG,0)),"")</f>
        <v/>
      </c>
      <c r="H88" s="53" t="str">
        <f aca="false">IFERROR(INDEX(QC_DEF,MATCH(ROW()-82,QC_RANG,0)),"")</f>
        <v/>
      </c>
      <c r="I88" s="53" t="str">
        <f aca="false">IFERROR(INDEX(QC_DEC,MATCH(ROW()-82,QC_RANG,0)),"")</f>
        <v/>
      </c>
      <c r="J88" s="53" t="str">
        <f aca="false">IFERROR(INDEX(QC_STATUT,MATCH(ROW()-82,QC_RANG,0)),"")</f>
        <v/>
      </c>
      <c r="K88" s="53" t="str">
        <f aca="false">IFERROR(INDEX(QC_ALERTE,MATCH(ROW()-82,QC_RANG,0)),"")</f>
        <v/>
      </c>
    </row>
    <row r="89" customFormat="false" ht="15" hidden="false" customHeight="false" outlineLevel="0" collapsed="false">
      <c r="B89" s="62" t="str">
        <f aca="false">IFERROR(INDEX(QC_DATE,MATCH(ROW()-82,QC_RANG,0)),"")</f>
        <v/>
      </c>
      <c r="C89" s="53" t="str">
        <f aca="false">IFERROR(INDEX(QC_EMPL,MATCH(ROW()-82,QC_RANG,0)),"")</f>
        <v/>
      </c>
      <c r="D89" s="53" t="str">
        <f aca="false">IFERROR(INDEX(QC_TEMP,MATCH(ROW()-82,QC_RANG,0)),"")</f>
        <v/>
      </c>
      <c r="E89" s="53" t="str">
        <f aca="false">IFERROR(INDEX(QC_HIST,MATCH(ROW()-82,QC_RANG,0)),"")</f>
        <v/>
      </c>
      <c r="F89" s="53" t="str">
        <f aca="false">IFERROR(INDEX(QC_QUAL,MATCH(ROW()-82,QC_RANG,0)),"")</f>
        <v/>
      </c>
      <c r="G89" s="53" t="str">
        <f aca="false">IFERROR(INDEX(QC_MOULE,MATCH(ROW()-82,QC_RANG,0)),"")</f>
        <v/>
      </c>
      <c r="H89" s="53" t="str">
        <f aca="false">IFERROR(INDEX(QC_DEF,MATCH(ROW()-82,QC_RANG,0)),"")</f>
        <v/>
      </c>
      <c r="I89" s="53" t="str">
        <f aca="false">IFERROR(INDEX(QC_DEC,MATCH(ROW()-82,QC_RANG,0)),"")</f>
        <v/>
      </c>
      <c r="J89" s="53" t="str">
        <f aca="false">IFERROR(INDEX(QC_STATUT,MATCH(ROW()-82,QC_RANG,0)),"")</f>
        <v/>
      </c>
      <c r="K89" s="53" t="str">
        <f aca="false">IFERROR(INDEX(QC_ALERTE,MATCH(ROW()-82,QC_RANG,0)),"")</f>
        <v/>
      </c>
    </row>
    <row r="90" customFormat="false" ht="15" hidden="false" customHeight="false" outlineLevel="0" collapsed="false">
      <c r="B90" s="62" t="str">
        <f aca="false">IFERROR(INDEX(QC_DATE,MATCH(ROW()-82,QC_RANG,0)),"")</f>
        <v/>
      </c>
      <c r="C90" s="53" t="str">
        <f aca="false">IFERROR(INDEX(QC_EMPL,MATCH(ROW()-82,QC_RANG,0)),"")</f>
        <v/>
      </c>
      <c r="D90" s="53" t="str">
        <f aca="false">IFERROR(INDEX(QC_TEMP,MATCH(ROW()-82,QC_RANG,0)),"")</f>
        <v/>
      </c>
      <c r="E90" s="53" t="str">
        <f aca="false">IFERROR(INDEX(QC_HIST,MATCH(ROW()-82,QC_RANG,0)),"")</f>
        <v/>
      </c>
      <c r="F90" s="53" t="str">
        <f aca="false">IFERROR(INDEX(QC_QUAL,MATCH(ROW()-82,QC_RANG,0)),"")</f>
        <v/>
      </c>
      <c r="G90" s="53" t="str">
        <f aca="false">IFERROR(INDEX(QC_MOULE,MATCH(ROW()-82,QC_RANG,0)),"")</f>
        <v/>
      </c>
      <c r="H90" s="53" t="str">
        <f aca="false">IFERROR(INDEX(QC_DEF,MATCH(ROW()-82,QC_RANG,0)),"")</f>
        <v/>
      </c>
      <c r="I90" s="53" t="str">
        <f aca="false">IFERROR(INDEX(QC_DEC,MATCH(ROW()-82,QC_RANG,0)),"")</f>
        <v/>
      </c>
      <c r="J90" s="53" t="str">
        <f aca="false">IFERROR(INDEX(QC_STATUT,MATCH(ROW()-82,QC_RANG,0)),"")</f>
        <v/>
      </c>
      <c r="K90" s="53" t="str">
        <f aca="false">IFERROR(INDEX(QC_ALERTE,MATCH(ROW()-82,QC_RANG,0)),"")</f>
        <v/>
      </c>
    </row>
    <row r="91" customFormat="false" ht="15" hidden="false" customHeight="false" outlineLevel="0" collapsed="false">
      <c r="B91" s="62" t="str">
        <f aca="false">IFERROR(INDEX(QC_DATE,MATCH(ROW()-82,QC_RANG,0)),"")</f>
        <v/>
      </c>
      <c r="C91" s="53" t="str">
        <f aca="false">IFERROR(INDEX(QC_EMPL,MATCH(ROW()-82,QC_RANG,0)),"")</f>
        <v/>
      </c>
      <c r="D91" s="53" t="str">
        <f aca="false">IFERROR(INDEX(QC_TEMP,MATCH(ROW()-82,QC_RANG,0)),"")</f>
        <v/>
      </c>
      <c r="E91" s="53" t="str">
        <f aca="false">IFERROR(INDEX(QC_HIST,MATCH(ROW()-82,QC_RANG,0)),"")</f>
        <v/>
      </c>
      <c r="F91" s="53" t="str">
        <f aca="false">IFERROR(INDEX(QC_QUAL,MATCH(ROW()-82,QC_RANG,0)),"")</f>
        <v/>
      </c>
      <c r="G91" s="53" t="str">
        <f aca="false">IFERROR(INDEX(QC_MOULE,MATCH(ROW()-82,QC_RANG,0)),"")</f>
        <v/>
      </c>
      <c r="H91" s="53" t="str">
        <f aca="false">IFERROR(INDEX(QC_DEF,MATCH(ROW()-82,QC_RANG,0)),"")</f>
        <v/>
      </c>
      <c r="I91" s="53" t="str">
        <f aca="false">IFERROR(INDEX(QC_DEC,MATCH(ROW()-82,QC_RANG,0)),"")</f>
        <v/>
      </c>
      <c r="J91" s="53" t="str">
        <f aca="false">IFERROR(INDEX(QC_STATUT,MATCH(ROW()-82,QC_RANG,0)),"")</f>
        <v/>
      </c>
      <c r="K91" s="53" t="str">
        <f aca="false">IFERROR(INDEX(QC_ALERTE,MATCH(ROW()-82,QC_RANG,0)),"")</f>
        <v/>
      </c>
    </row>
    <row r="92" customFormat="false" ht="15" hidden="false" customHeight="false" outlineLevel="0" collapsed="false">
      <c r="B92" s="62" t="str">
        <f aca="false">IFERROR(INDEX(QC_DATE,MATCH(ROW()-82,QC_RANG,0)),"")</f>
        <v/>
      </c>
      <c r="C92" s="53" t="str">
        <f aca="false">IFERROR(INDEX(QC_EMPL,MATCH(ROW()-82,QC_RANG,0)),"")</f>
        <v/>
      </c>
      <c r="D92" s="53" t="str">
        <f aca="false">IFERROR(INDEX(QC_TEMP,MATCH(ROW()-82,QC_RANG,0)),"")</f>
        <v/>
      </c>
      <c r="E92" s="53" t="str">
        <f aca="false">IFERROR(INDEX(QC_HIST,MATCH(ROW()-82,QC_RANG,0)),"")</f>
        <v/>
      </c>
      <c r="F92" s="53" t="str">
        <f aca="false">IFERROR(INDEX(QC_QUAL,MATCH(ROW()-82,QC_RANG,0)),"")</f>
        <v/>
      </c>
      <c r="G92" s="53" t="str">
        <f aca="false">IFERROR(INDEX(QC_MOULE,MATCH(ROW()-82,QC_RANG,0)),"")</f>
        <v/>
      </c>
      <c r="H92" s="53" t="str">
        <f aca="false">IFERROR(INDEX(QC_DEF,MATCH(ROW()-82,QC_RANG,0)),"")</f>
        <v/>
      </c>
      <c r="I92" s="53" t="str">
        <f aca="false">IFERROR(INDEX(QC_DEC,MATCH(ROW()-82,QC_RANG,0)),"")</f>
        <v/>
      </c>
      <c r="J92" s="53" t="str">
        <f aca="false">IFERROR(INDEX(QC_STATUT,MATCH(ROW()-82,QC_RANG,0)),"")</f>
        <v/>
      </c>
      <c r="K92" s="53" t="str">
        <f aca="false">IFERROR(INDEX(QC_ALERTE,MATCH(ROW()-82,QC_RANG,0)),"")</f>
        <v/>
      </c>
    </row>
    <row r="93" customFormat="false" ht="15" hidden="false" customHeight="false" outlineLevel="0" collapsed="false">
      <c r="B93" s="62" t="str">
        <f aca="false">IFERROR(INDEX(QC_DATE,MATCH(ROW()-82,QC_RANG,0)),"")</f>
        <v/>
      </c>
      <c r="C93" s="53" t="str">
        <f aca="false">IFERROR(INDEX(QC_EMPL,MATCH(ROW()-82,QC_RANG,0)),"")</f>
        <v/>
      </c>
      <c r="D93" s="53" t="str">
        <f aca="false">IFERROR(INDEX(QC_TEMP,MATCH(ROW()-82,QC_RANG,0)),"")</f>
        <v/>
      </c>
      <c r="E93" s="53" t="str">
        <f aca="false">IFERROR(INDEX(QC_HIST,MATCH(ROW()-82,QC_RANG,0)),"")</f>
        <v/>
      </c>
      <c r="F93" s="53" t="str">
        <f aca="false">IFERROR(INDEX(QC_QUAL,MATCH(ROW()-82,QC_RANG,0)),"")</f>
        <v/>
      </c>
      <c r="G93" s="53" t="str">
        <f aca="false">IFERROR(INDEX(QC_MOULE,MATCH(ROW()-82,QC_RANG,0)),"")</f>
        <v/>
      </c>
      <c r="H93" s="53" t="str">
        <f aca="false">IFERROR(INDEX(QC_DEF,MATCH(ROW()-82,QC_RANG,0)),"")</f>
        <v/>
      </c>
      <c r="I93" s="53" t="str">
        <f aca="false">IFERROR(INDEX(QC_DEC,MATCH(ROW()-82,QC_RANG,0)),"")</f>
        <v/>
      </c>
      <c r="J93" s="53" t="str">
        <f aca="false">IFERROR(INDEX(QC_STATUT,MATCH(ROW()-82,QC_RANG,0)),"")</f>
        <v/>
      </c>
      <c r="K93" s="53" t="str">
        <f aca="false">IFERROR(INDEX(QC_ALERTE,MATCH(ROW()-82,QC_RANG,0)),"")</f>
        <v/>
      </c>
    </row>
    <row r="94" customFormat="false" ht="15" hidden="false" customHeight="false" outlineLevel="0" collapsed="false">
      <c r="B94" s="62" t="str">
        <f aca="false">IFERROR(INDEX(QC_DATE,MATCH(ROW()-82,QC_RANG,0)),"")</f>
        <v/>
      </c>
      <c r="C94" s="53" t="str">
        <f aca="false">IFERROR(INDEX(QC_EMPL,MATCH(ROW()-82,QC_RANG,0)),"")</f>
        <v/>
      </c>
      <c r="D94" s="53" t="str">
        <f aca="false">IFERROR(INDEX(QC_TEMP,MATCH(ROW()-82,QC_RANG,0)),"")</f>
        <v/>
      </c>
      <c r="E94" s="53" t="str">
        <f aca="false">IFERROR(INDEX(QC_HIST,MATCH(ROW()-82,QC_RANG,0)),"")</f>
        <v/>
      </c>
      <c r="F94" s="53" t="str">
        <f aca="false">IFERROR(INDEX(QC_QUAL,MATCH(ROW()-82,QC_RANG,0)),"")</f>
        <v/>
      </c>
      <c r="G94" s="53" t="str">
        <f aca="false">IFERROR(INDEX(QC_MOULE,MATCH(ROW()-82,QC_RANG,0)),"")</f>
        <v/>
      </c>
      <c r="H94" s="53" t="str">
        <f aca="false">IFERROR(INDEX(QC_DEF,MATCH(ROW()-82,QC_RANG,0)),"")</f>
        <v/>
      </c>
      <c r="I94" s="53" t="str">
        <f aca="false">IFERROR(INDEX(QC_DEC,MATCH(ROW()-82,QC_RANG,0)),"")</f>
        <v/>
      </c>
      <c r="J94" s="53" t="str">
        <f aca="false">IFERROR(INDEX(QC_STATUT,MATCH(ROW()-82,QC_RANG,0)),"")</f>
        <v/>
      </c>
      <c r="K94" s="53" t="str">
        <f aca="false">IFERROR(INDEX(QC_ALERTE,MATCH(ROW()-82,QC_RANG,0)),"")</f>
        <v/>
      </c>
    </row>
    <row r="96" customFormat="false" ht="19.5" hidden="false" customHeight="true" outlineLevel="0" collapsed="false">
      <c r="A96" s="3" t="s">
        <v>266</v>
      </c>
      <c r="B96" s="3"/>
      <c r="C96" s="3"/>
      <c r="D96" s="3"/>
      <c r="E96" s="3"/>
      <c r="F96" s="3"/>
      <c r="G96" s="3"/>
      <c r="H96" s="3"/>
      <c r="I96" s="3"/>
      <c r="J96" s="3"/>
      <c r="K96" s="3"/>
    </row>
    <row r="97" customFormat="false" ht="25.5" hidden="false" customHeight="true" outlineLevel="0" collapsed="false">
      <c r="B97" s="60" t="s">
        <v>191</v>
      </c>
      <c r="C97" s="60" t="s">
        <v>124</v>
      </c>
      <c r="D97" s="60" t="s">
        <v>53</v>
      </c>
      <c r="E97" s="60" t="s">
        <v>65</v>
      </c>
      <c r="F97" s="60" t="s">
        <v>267</v>
      </c>
    </row>
    <row r="98" customFormat="false" ht="15" hidden="false" customHeight="false" outlineLevel="0" collapsed="false">
      <c r="B98" s="53" t="str">
        <f aca="false">IFERROR(INDEX(RES_LOTLIE,MATCH(ROW()-97,RES_RANGLIEN,0)),"")</f>
        <v>255-HG</v>
      </c>
      <c r="C98" s="53" t="str">
        <f aca="false">IF($B98="","",IFERROR(INDEX(LOT_PRODE,MATCH($B98,LOT_KEY,0)),""))</f>
        <v>SARDINE</v>
      </c>
      <c r="D98" s="53" t="str">
        <f aca="false">IF($B98="","",IF(IFERROR(INDEX(LOT_ETAT,MATCH($B98,LOT_KEY,0)),"")="","",INDEX(LOT_ETAT,MATCH($B98,LOT_KEY,0))))</f>
        <v>HG</v>
      </c>
      <c r="E98" s="66" t="n">
        <f aca="false">IF($B98="","",SUMIFS(MVT_NET,MVT_LOT,$B98))</f>
        <v>300</v>
      </c>
      <c r="F98" s="53" t="str">
        <f aca="false">IF($B98="","",IF($B98=$C$16,"LOT SOURCE / PARENT","ISSU DE SOUS-TRAITANCE"))</f>
        <v>ISSU DE SOUS-TRAITANCE</v>
      </c>
    </row>
    <row r="99" customFormat="false" ht="15" hidden="false" customHeight="false" outlineLevel="0" collapsed="false">
      <c r="B99" s="53" t="str">
        <f aca="false">IFERROR(INDEX(RES_LOTLIE,MATCH(ROW()-97,RES_RANGLIEN,0)),"")</f>
        <v>255-HGT</v>
      </c>
      <c r="C99" s="53" t="str">
        <f aca="false">IF($B99="","",IFERROR(INDEX(LOT_PRODE,MATCH($B99,LOT_KEY,0)),""))</f>
        <v>SARDINE</v>
      </c>
      <c r="D99" s="53" t="str">
        <f aca="false">IF($B99="","",IF(IFERROR(INDEX(LOT_ETAT,MATCH($B99,LOT_KEY,0)),"")="","",INDEX(LOT_ETAT,MATCH($B99,LOT_KEY,0))))</f>
        <v>HGT</v>
      </c>
      <c r="E99" s="66" t="n">
        <f aca="false">IF($B99="","",SUMIFS(MVT_NET,MVT_LOT,$B99))</f>
        <v>150</v>
      </c>
      <c r="F99" s="53" t="str">
        <f aca="false">IF($B99="","",IF($B99=$C$16,"LOT SOURCE / PARENT","ISSU DE SOUS-TRAITANCE"))</f>
        <v>ISSU DE SOUS-TRAITANCE</v>
      </c>
    </row>
    <row r="100" customFormat="false" ht="15" hidden="false" customHeight="false" outlineLevel="0" collapsed="false">
      <c r="B100" s="53" t="str">
        <f aca="false">IFERROR(INDEX(RES_LOTLIE,MATCH(ROW()-97,RES_RANGLIEN,0)),"")</f>
        <v/>
      </c>
      <c r="C100" s="53" t="str">
        <f aca="false">IF($B100="","",IFERROR(INDEX(LOT_PRODE,MATCH($B100,LOT_KEY,0)),""))</f>
        <v/>
      </c>
      <c r="D100" s="53" t="str">
        <f aca="false">IF($B100="","",IF(IFERROR(INDEX(LOT_ETAT,MATCH($B100,LOT_KEY,0)),"")="","",INDEX(LOT_ETAT,MATCH($B100,LOT_KEY,0))))</f>
        <v/>
      </c>
      <c r="E100" s="66" t="str">
        <f aca="false">IF($B100="","",SUMIFS(MVT_NET,MVT_LOT,$B100))</f>
        <v/>
      </c>
      <c r="F100" s="53" t="str">
        <f aca="false">IF($B100="","",IF($B100=$C$16,"LOT SOURCE / PARENT","ISSU DE SOUS-TRAITANCE"))</f>
        <v/>
      </c>
    </row>
    <row r="101" customFormat="false" ht="15" hidden="false" customHeight="false" outlineLevel="0" collapsed="false">
      <c r="B101" s="53" t="str">
        <f aca="false">IFERROR(INDEX(RES_LOTLIE,MATCH(ROW()-97,RES_RANGLIEN,0)),"")</f>
        <v/>
      </c>
      <c r="C101" s="53" t="str">
        <f aca="false">IF($B101="","",IFERROR(INDEX(LOT_PRODE,MATCH($B101,LOT_KEY,0)),""))</f>
        <v/>
      </c>
      <c r="D101" s="53" t="str">
        <f aca="false">IF($B101="","",IF(IFERROR(INDEX(LOT_ETAT,MATCH($B101,LOT_KEY,0)),"")="","",INDEX(LOT_ETAT,MATCH($B101,LOT_KEY,0))))</f>
        <v/>
      </c>
      <c r="E101" s="66" t="str">
        <f aca="false">IF($B101="","",SUMIFS(MVT_NET,MVT_LOT,$B101))</f>
        <v/>
      </c>
      <c r="F101" s="53" t="str">
        <f aca="false">IF($B101="","",IF($B101=$C$16,"LOT SOURCE / PARENT","ISSU DE SOUS-TRAITANCE"))</f>
        <v/>
      </c>
    </row>
    <row r="102" customFormat="false" ht="15" hidden="false" customHeight="false" outlineLevel="0" collapsed="false">
      <c r="B102" s="53" t="str">
        <f aca="false">IFERROR(INDEX(RES_LOTLIE,MATCH(ROW()-97,RES_RANGLIEN,0)),"")</f>
        <v/>
      </c>
      <c r="C102" s="53" t="str">
        <f aca="false">IF($B102="","",IFERROR(INDEX(LOT_PRODE,MATCH($B102,LOT_KEY,0)),""))</f>
        <v/>
      </c>
      <c r="D102" s="53" t="str">
        <f aca="false">IF($B102="","",IF(IFERROR(INDEX(LOT_ETAT,MATCH($B102,LOT_KEY,0)),"")="","",INDEX(LOT_ETAT,MATCH($B102,LOT_KEY,0))))</f>
        <v/>
      </c>
      <c r="E102" s="66" t="str">
        <f aca="false">IF($B102="","",SUMIFS(MVT_NET,MVT_LOT,$B102))</f>
        <v/>
      </c>
      <c r="F102" s="53" t="str">
        <f aca="false">IF($B102="","",IF($B102=$C$16,"LOT SOURCE / PARENT","ISSU DE SOUS-TRAITANCE"))</f>
        <v/>
      </c>
    </row>
    <row r="103" customFormat="false" ht="15" hidden="false" customHeight="false" outlineLevel="0" collapsed="false">
      <c r="B103" s="53" t="str">
        <f aca="false">IFERROR(INDEX(RES_LOTLIE,MATCH(ROW()-97,RES_RANGLIEN,0)),"")</f>
        <v/>
      </c>
      <c r="C103" s="53" t="str">
        <f aca="false">IF($B103="","",IFERROR(INDEX(LOT_PRODE,MATCH($B103,LOT_KEY,0)),""))</f>
        <v/>
      </c>
      <c r="D103" s="53" t="str">
        <f aca="false">IF($B103="","",IF(IFERROR(INDEX(LOT_ETAT,MATCH($B103,LOT_KEY,0)),"")="","",INDEX(LOT_ETAT,MATCH($B103,LOT_KEY,0))))</f>
        <v/>
      </c>
      <c r="E103" s="66" t="str">
        <f aca="false">IF($B103="","",SUMIFS(MVT_NET,MVT_LOT,$B103))</f>
        <v/>
      </c>
      <c r="F103" s="53" t="str">
        <f aca="false">IF($B103="","",IF($B103=$C$16,"LOT SOURCE / PARENT","ISSU DE SOUS-TRAITANCE"))</f>
        <v/>
      </c>
    </row>
    <row r="104" customFormat="false" ht="15" hidden="false" customHeight="false" outlineLevel="0" collapsed="false">
      <c r="B104" s="53" t="str">
        <f aca="false">IFERROR(INDEX(RES_LOTLIE,MATCH(ROW()-97,RES_RANGLIEN,0)),"")</f>
        <v/>
      </c>
      <c r="C104" s="53" t="str">
        <f aca="false">IF($B104="","",IFERROR(INDEX(LOT_PRODE,MATCH($B104,LOT_KEY,0)),""))</f>
        <v/>
      </c>
      <c r="D104" s="53" t="str">
        <f aca="false">IF($B104="","",IF(IFERROR(INDEX(LOT_ETAT,MATCH($B104,LOT_KEY,0)),"")="","",INDEX(LOT_ETAT,MATCH($B104,LOT_KEY,0))))</f>
        <v/>
      </c>
      <c r="E104" s="66" t="str">
        <f aca="false">IF($B104="","",SUMIFS(MVT_NET,MVT_LOT,$B104))</f>
        <v/>
      </c>
      <c r="F104" s="53" t="str">
        <f aca="false">IF($B104="","",IF($B104=$C$16,"LOT SOURCE / PARENT","ISSU DE SOUS-TRAITANCE"))</f>
        <v/>
      </c>
    </row>
    <row r="105" customFormat="false" ht="15" hidden="false" customHeight="false" outlineLevel="0" collapsed="false">
      <c r="B105" s="53" t="str">
        <f aca="false">IFERROR(INDEX(RES_LOTLIE,MATCH(ROW()-97,RES_RANGLIEN,0)),"")</f>
        <v/>
      </c>
      <c r="C105" s="53" t="str">
        <f aca="false">IF($B105="","",IFERROR(INDEX(LOT_PRODE,MATCH($B105,LOT_KEY,0)),""))</f>
        <v/>
      </c>
      <c r="D105" s="53" t="str">
        <f aca="false">IF($B105="","",IF(IFERROR(INDEX(LOT_ETAT,MATCH($B105,LOT_KEY,0)),"")="","",INDEX(LOT_ETAT,MATCH($B105,LOT_KEY,0))))</f>
        <v/>
      </c>
      <c r="E105" s="66" t="str">
        <f aca="false">IF($B105="","",SUMIFS(MVT_NET,MVT_LOT,$B105))</f>
        <v/>
      </c>
      <c r="F105" s="53" t="str">
        <f aca="false">IF($B105="","",IF($B105=$C$16,"LOT SOURCE / PARENT","ISSU DE SOUS-TRAITANCE"))</f>
        <v/>
      </c>
    </row>
  </sheetData>
  <mergeCells count="24">
    <mergeCell ref="A1:K1"/>
    <mergeCell ref="A2:K2"/>
    <mergeCell ref="C4:E4"/>
    <mergeCell ref="A6:E6"/>
    <mergeCell ref="G6:I6"/>
    <mergeCell ref="C7:E7"/>
    <mergeCell ref="C8:E8"/>
    <mergeCell ref="C9:E9"/>
    <mergeCell ref="C10:E10"/>
    <mergeCell ref="C11:E11"/>
    <mergeCell ref="C12:E12"/>
    <mergeCell ref="C13:E13"/>
    <mergeCell ref="C14:E14"/>
    <mergeCell ref="C15:E15"/>
    <mergeCell ref="C16:E16"/>
    <mergeCell ref="C17:E17"/>
    <mergeCell ref="C18:E18"/>
    <mergeCell ref="G20:H20"/>
    <mergeCell ref="G21:H21"/>
    <mergeCell ref="A23:K23"/>
    <mergeCell ref="A51:K51"/>
    <mergeCell ref="A66:K66"/>
    <mergeCell ref="A81:K81"/>
    <mergeCell ref="A96:K96"/>
  </mergeCells>
  <conditionalFormatting sqref="C18">
    <cfRule type="cellIs" priority="2" operator="equal" aboveAverage="0" equalAverage="0" bottom="0" percent="0" rank="0" text="" dxfId="11">
      <formula>"OK"</formula>
    </cfRule>
    <cfRule type="cellIs" priority="3" operator="equal" aboveAverage="0" equalAverage="0" bottom="0" percent="0" rank="0" text="" dxfId="12">
      <formula>"EN COURS"</formula>
    </cfRule>
    <cfRule type="cellIs" priority="4" operator="equal" aboveAverage="0" equalAverage="0" bottom="0" percent="0" rank="0" text="" dxfId="13">
      <formula>"A JUSTIFIER"</formula>
    </cfRule>
    <cfRule type="cellIs" priority="5" operator="equal" aboveAverage="0" equalAverage="0" bottom="0" percent="0" rank="0" text="" dxfId="14">
      <formula>"DONNEES MANQUANTES"</formula>
    </cfRule>
    <cfRule type="cellIs" priority="6" operator="equal" aboveAverage="0" equalAverage="0" bottom="0" percent="0" rank="0" text="" dxfId="15">
      <formula>"STOCK INSUFFISANT"</formula>
    </cfRule>
    <cfRule type="cellIs" priority="7" operator="equal" aboveAverage="0" equalAverage="0" bottom="0" percent="0" rank="0" text="" dxfId="15">
      <formula>"EMPLACEMENT INCOHERENT"</formula>
    </cfRule>
    <cfRule type="cellIs" priority="8" operator="equal" aboveAverage="0" equalAverage="0" bottom="0" percent="0" rank="0" text="" dxfId="15">
      <formula>"BLOQUE"</formula>
    </cfRule>
    <cfRule type="cellIs" priority="9" operator="equal" aboveAverage="0" equalAverage="0" bottom="0" percent="0" rank="0" text="" dxfId="15">
      <formula>"INCOHERENCE"</formula>
    </cfRule>
    <cfRule type="cellIs" priority="10" operator="equal" aboveAverage="0" equalAverage="0" bottom="0" percent="0" rank="0" text="" dxfId="13">
      <formula>"LOT EN DOUBLE"</formula>
    </cfRule>
  </conditionalFormatting>
  <conditionalFormatting sqref="J25:J49">
    <cfRule type="cellIs" priority="11" operator="equal" aboveAverage="0" equalAverage="0" bottom="0" percent="0" rank="0" text="" dxfId="11">
      <formula>"OK"</formula>
    </cfRule>
    <cfRule type="cellIs" priority="12" operator="equal" aboveAverage="0" equalAverage="0" bottom="0" percent="0" rank="0" text="" dxfId="12">
      <formula>"EN COURS"</formula>
    </cfRule>
    <cfRule type="cellIs" priority="13" operator="equal" aboveAverage="0" equalAverage="0" bottom="0" percent="0" rank="0" text="" dxfId="13">
      <formula>"A JUSTIFIER"</formula>
    </cfRule>
    <cfRule type="cellIs" priority="14" operator="equal" aboveAverage="0" equalAverage="0" bottom="0" percent="0" rank="0" text="" dxfId="14">
      <formula>"DONNEES MANQUANTES"</formula>
    </cfRule>
    <cfRule type="cellIs" priority="15" operator="equal" aboveAverage="0" equalAverage="0" bottom="0" percent="0" rank="0" text="" dxfId="15">
      <formula>"STOCK INSUFFISANT"</formula>
    </cfRule>
    <cfRule type="cellIs" priority="16" operator="equal" aboveAverage="0" equalAverage="0" bottom="0" percent="0" rank="0" text="" dxfId="15">
      <formula>"EMPLACEMENT INCOHERENT"</formula>
    </cfRule>
    <cfRule type="cellIs" priority="17" operator="equal" aboveAverage="0" equalAverage="0" bottom="0" percent="0" rank="0" text="" dxfId="15">
      <formula>"BLOQUE"</formula>
    </cfRule>
    <cfRule type="cellIs" priority="18" operator="equal" aboveAverage="0" equalAverage="0" bottom="0" percent="0" rank="0" text="" dxfId="15">
      <formula>"INCOHERENCE"</formula>
    </cfRule>
    <cfRule type="cellIs" priority="19" operator="equal" aboveAverage="0" equalAverage="0" bottom="0" percent="0" rank="0" text="" dxfId="13">
      <formula>"LOT EN DOUBLE"</formula>
    </cfRule>
  </conditionalFormatting>
  <conditionalFormatting sqref="K53:K64">
    <cfRule type="cellIs" priority="20" operator="equal" aboveAverage="0" equalAverage="0" bottom="0" percent="0" rank="0" text="" dxfId="11">
      <formula>"OK"</formula>
    </cfRule>
    <cfRule type="cellIs" priority="21" operator="equal" aboveAverage="0" equalAverage="0" bottom="0" percent="0" rank="0" text="" dxfId="12">
      <formula>"EN COURS"</formula>
    </cfRule>
    <cfRule type="cellIs" priority="22" operator="equal" aboveAverage="0" equalAverage="0" bottom="0" percent="0" rank="0" text="" dxfId="13">
      <formula>"A JUSTIFIER"</formula>
    </cfRule>
    <cfRule type="cellIs" priority="23" operator="equal" aboveAverage="0" equalAverage="0" bottom="0" percent="0" rank="0" text="" dxfId="14">
      <formula>"DONNEES MANQUANTES"</formula>
    </cfRule>
    <cfRule type="cellIs" priority="24" operator="equal" aboveAverage="0" equalAverage="0" bottom="0" percent="0" rank="0" text="" dxfId="15">
      <formula>"STOCK INSUFFISANT"</formula>
    </cfRule>
    <cfRule type="cellIs" priority="25" operator="equal" aboveAverage="0" equalAverage="0" bottom="0" percent="0" rank="0" text="" dxfId="15">
      <formula>"EMPLACEMENT INCOHERENT"</formula>
    </cfRule>
    <cfRule type="cellIs" priority="26" operator="equal" aboveAverage="0" equalAverage="0" bottom="0" percent="0" rank="0" text="" dxfId="15">
      <formula>"BLOQUE"</formula>
    </cfRule>
    <cfRule type="cellIs" priority="27" operator="equal" aboveAverage="0" equalAverage="0" bottom="0" percent="0" rank="0" text="" dxfId="15">
      <formula>"INCOHERENCE"</formula>
    </cfRule>
    <cfRule type="cellIs" priority="28" operator="equal" aboveAverage="0" equalAverage="0" bottom="0" percent="0" rank="0" text="" dxfId="13">
      <formula>"LOT EN DOUBLE"</formula>
    </cfRule>
  </conditionalFormatting>
  <conditionalFormatting sqref="K68:K79">
    <cfRule type="cellIs" priority="29" operator="equal" aboveAverage="0" equalAverage="0" bottom="0" percent="0" rank="0" text="" dxfId="11">
      <formula>"OK"</formula>
    </cfRule>
    <cfRule type="cellIs" priority="30" operator="equal" aboveAverage="0" equalAverage="0" bottom="0" percent="0" rank="0" text="" dxfId="12">
      <formula>"EN COURS"</formula>
    </cfRule>
    <cfRule type="cellIs" priority="31" operator="equal" aboveAverage="0" equalAverage="0" bottom="0" percent="0" rank="0" text="" dxfId="13">
      <formula>"A JUSTIFIER"</formula>
    </cfRule>
    <cfRule type="cellIs" priority="32" operator="equal" aboveAverage="0" equalAverage="0" bottom="0" percent="0" rank="0" text="" dxfId="14">
      <formula>"DONNEES MANQUANTES"</formula>
    </cfRule>
    <cfRule type="cellIs" priority="33" operator="equal" aboveAverage="0" equalAverage="0" bottom="0" percent="0" rank="0" text="" dxfId="15">
      <formula>"STOCK INSUFFISANT"</formula>
    </cfRule>
    <cfRule type="cellIs" priority="34" operator="equal" aboveAverage="0" equalAverage="0" bottom="0" percent="0" rank="0" text="" dxfId="15">
      <formula>"EMPLACEMENT INCOHERENT"</formula>
    </cfRule>
    <cfRule type="cellIs" priority="35" operator="equal" aboveAverage="0" equalAverage="0" bottom="0" percent="0" rank="0" text="" dxfId="15">
      <formula>"BLOQUE"</formula>
    </cfRule>
    <cfRule type="cellIs" priority="36" operator="equal" aboveAverage="0" equalAverage="0" bottom="0" percent="0" rank="0" text="" dxfId="15">
      <formula>"INCOHERENCE"</formula>
    </cfRule>
    <cfRule type="cellIs" priority="37" operator="equal" aboveAverage="0" equalAverage="0" bottom="0" percent="0" rank="0" text="" dxfId="13">
      <formula>"LOT EN DOUBLE"</formula>
    </cfRule>
  </conditionalFormatting>
  <conditionalFormatting sqref="J83:J94">
    <cfRule type="cellIs" priority="38" operator="equal" aboveAverage="0" equalAverage="0" bottom="0" percent="0" rank="0" text="" dxfId="11">
      <formula>"OK"</formula>
    </cfRule>
    <cfRule type="cellIs" priority="39" operator="equal" aboveAverage="0" equalAverage="0" bottom="0" percent="0" rank="0" text="" dxfId="12">
      <formula>"EN COURS"</formula>
    </cfRule>
    <cfRule type="cellIs" priority="40" operator="equal" aboveAverage="0" equalAverage="0" bottom="0" percent="0" rank="0" text="" dxfId="13">
      <formula>"A JUSTIFIER"</formula>
    </cfRule>
    <cfRule type="cellIs" priority="41" operator="equal" aboveAverage="0" equalAverage="0" bottom="0" percent="0" rank="0" text="" dxfId="14">
      <formula>"DONNEES MANQUANTES"</formula>
    </cfRule>
    <cfRule type="cellIs" priority="42" operator="equal" aboveAverage="0" equalAverage="0" bottom="0" percent="0" rank="0" text="" dxfId="15">
      <formula>"STOCK INSUFFISANT"</formula>
    </cfRule>
    <cfRule type="cellIs" priority="43" operator="equal" aboveAverage="0" equalAverage="0" bottom="0" percent="0" rank="0" text="" dxfId="15">
      <formula>"EMPLACEMENT INCOHERENT"</formula>
    </cfRule>
    <cfRule type="cellIs" priority="44" operator="equal" aboveAverage="0" equalAverage="0" bottom="0" percent="0" rank="0" text="" dxfId="15">
      <formula>"BLOQUE"</formula>
    </cfRule>
    <cfRule type="cellIs" priority="45" operator="equal" aboveAverage="0" equalAverage="0" bottom="0" percent="0" rank="0" text="" dxfId="15">
      <formula>"INCOHERENCE"</formula>
    </cfRule>
    <cfRule type="cellIs" priority="46" operator="equal" aboveAverage="0" equalAverage="0" bottom="0" percent="0" rank="0" text="" dxfId="13">
      <formula>"LOT EN DOUBLE"</formula>
    </cfRule>
  </conditionalFormatting>
  <dataValidations count="1">
    <dataValidation allowBlank="true" errorStyle="stop" operator="between" showDropDown="false" showErrorMessage="false" showInputMessage="false" sqref="C4" type="list">
      <formula1>L_LOTS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7A8C"/>
    <pageSetUpPr fitToPage="false"/>
  </sheetPr>
  <dimension ref="A1:N10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16"/>
    <col collapsed="false" customWidth="true" hidden="false" outlineLevel="0" max="3" min="3" style="0" width="12"/>
    <col collapsed="false" customWidth="true" hidden="false" outlineLevel="0" max="4" min="4" style="0" width="11"/>
    <col collapsed="false" customWidth="true" hidden="false" outlineLevel="0" max="5" min="5" style="0" width="10"/>
    <col collapsed="false" customWidth="true" hidden="false" outlineLevel="0" max="6" min="6" style="0" width="24"/>
    <col collapsed="false" customWidth="true" hidden="false" outlineLevel="0" max="7" min="7" style="0" width="14"/>
    <col collapsed="false" customWidth="true" hidden="false" outlineLevel="0" max="8" min="8" style="0" width="16"/>
    <col collapsed="false" customWidth="true" hidden="false" outlineLevel="0" max="9" min="9" style="0" width="11"/>
    <col collapsed="false" customWidth="true" hidden="false" outlineLevel="0" max="10" min="10" style="0" width="14"/>
    <col collapsed="false" customWidth="true" hidden="false" outlineLevel="0" max="12" min="11" style="0" width="15"/>
    <col collapsed="false" customWidth="true" hidden="false" outlineLevel="0" max="13" min="13" style="0" width="21"/>
    <col collapsed="false" customWidth="true" hidden="false" outlineLevel="0" max="14" min="14" style="0" width="12"/>
  </cols>
  <sheetData>
    <row r="1" customFormat="false" ht="30" hidden="false" customHeight="true" outlineLevel="0" collapsed="false">
      <c r="A1" s="1" t="s">
        <v>268</v>
      </c>
      <c r="B1" s="1"/>
      <c r="C1" s="1"/>
      <c r="D1" s="1"/>
      <c r="E1" s="1"/>
      <c r="F1" s="1"/>
      <c r="G1" s="1"/>
      <c r="H1" s="1"/>
      <c r="I1" s="1"/>
      <c r="J1" s="1"/>
      <c r="K1" s="1"/>
      <c r="L1" s="1"/>
      <c r="M1" s="1"/>
      <c r="N1" s="1"/>
    </row>
    <row r="2" customFormat="false" ht="18" hidden="false" customHeight="true" outlineLevel="0" collapsed="false">
      <c r="A2" s="2" t="s">
        <v>269</v>
      </c>
      <c r="B2" s="2"/>
      <c r="C2" s="2"/>
      <c r="D2" s="2"/>
      <c r="E2" s="2"/>
      <c r="F2" s="2"/>
      <c r="G2" s="2"/>
      <c r="H2" s="2"/>
      <c r="I2" s="2"/>
      <c r="J2" s="2"/>
      <c r="K2" s="2"/>
      <c r="L2" s="2"/>
      <c r="M2" s="2"/>
      <c r="N2" s="2"/>
    </row>
    <row r="3" customFormat="false" ht="19.5" hidden="false" customHeight="true" outlineLevel="0" collapsed="false">
      <c r="A3" s="3" t="s">
        <v>270</v>
      </c>
      <c r="B3" s="3"/>
      <c r="C3" s="3"/>
      <c r="D3" s="3"/>
      <c r="E3" s="3"/>
      <c r="F3" s="3"/>
      <c r="G3" s="3"/>
      <c r="H3" s="3"/>
      <c r="I3" s="3"/>
      <c r="J3" s="3"/>
      <c r="K3" s="3"/>
      <c r="L3" s="3"/>
      <c r="M3" s="3"/>
      <c r="N3" s="3"/>
    </row>
    <row r="4" customFormat="false" ht="30" hidden="false" customHeight="true" outlineLevel="0" collapsed="false">
      <c r="A4" s="23" t="s">
        <v>251</v>
      </c>
      <c r="B4" s="23" t="s">
        <v>51</v>
      </c>
      <c r="C4" s="23" t="s">
        <v>256</v>
      </c>
      <c r="D4" s="23" t="s">
        <v>118</v>
      </c>
      <c r="E4" s="23" t="s">
        <v>253</v>
      </c>
      <c r="F4" s="23" t="s">
        <v>252</v>
      </c>
      <c r="G4" s="23" t="s">
        <v>48</v>
      </c>
      <c r="H4" s="23" t="s">
        <v>203</v>
      </c>
      <c r="I4" s="23" t="s">
        <v>233</v>
      </c>
      <c r="J4" s="23" t="s">
        <v>124</v>
      </c>
      <c r="K4" s="23" t="s">
        <v>271</v>
      </c>
      <c r="L4" s="23" t="s">
        <v>272</v>
      </c>
      <c r="M4" s="23" t="s">
        <v>273</v>
      </c>
      <c r="N4" s="23" t="s">
        <v>168</v>
      </c>
    </row>
    <row r="5" customFormat="false" ht="15" hidden="false" customHeight="false" outlineLevel="0" collapsed="false">
      <c r="A5" s="28" t="str">
        <f aca="false">IF($K5=0,"",ROW()-4)</f>
        <v/>
      </c>
      <c r="B5" s="26" t="str">
        <f aca="false">IF($K5=0,"","OPERATIONS")</f>
        <v/>
      </c>
      <c r="C5" s="26" t="str">
        <f aca="false">IF($K5=0,"",OPERATIONS!$A5)</f>
        <v/>
      </c>
      <c r="D5" s="31" t="str">
        <f aca="false">IF($K5=0,"",OPERATIONS!$B5)</f>
        <v/>
      </c>
      <c r="E5" s="26" t="str">
        <f aca="false">IF($K5=0,"","SORTIE")</f>
        <v/>
      </c>
      <c r="F5" s="26" t="str">
        <f aca="false">IF($K5=0,"",OPERATIONS!$C5)</f>
        <v/>
      </c>
      <c r="G5" s="26" t="str">
        <f aca="false">IF($K5=0,"",OPERATIONS!$D5)</f>
        <v/>
      </c>
      <c r="H5" s="26" t="str">
        <f aca="false">IF($K5=0,"",OPERATIONS!$E5)</f>
        <v/>
      </c>
      <c r="I5" s="26" t="str">
        <f aca="false">IF($H5="","",IFERROR(INDEX(EMPL_CLASSE,MATCH($H5,EMPL_KEY,0)),""))</f>
        <v/>
      </c>
      <c r="J5" s="26" t="str">
        <f aca="false">IF($K5=0,"",OPERATIONS!$J5)</f>
        <v/>
      </c>
      <c r="K5" s="67" t="n">
        <f aca="false">IF(OR(OPERATIONS!$N5=0,OPERATIONS!$C5="RECEPTION"),0,-OPERATIONS!$G5)</f>
        <v>0</v>
      </c>
      <c r="L5" s="67" t="n">
        <f aca="false">IF($K5=0,0,OPERATIONS!$Q5*$K5)</f>
        <v>0</v>
      </c>
      <c r="M5" s="26" t="str">
        <f aca="false">IF($K5=0,"",OPERATIONS!$P5)</f>
        <v/>
      </c>
      <c r="N5" s="26" t="str">
        <f aca="false">IF($G5="","",IF($G5=R_LOT,COUNTIF($G$5:$G5,R_LOT),""))</f>
        <v/>
      </c>
    </row>
    <row r="6" customFormat="false" ht="15" hidden="false" customHeight="false" outlineLevel="0" collapsed="false">
      <c r="A6" s="28" t="str">
        <f aca="false">IF($K6=0,"",ROW()-4)</f>
        <v/>
      </c>
      <c r="B6" s="26" t="str">
        <f aca="false">IF($K6=0,"","OPERATIONS")</f>
        <v/>
      </c>
      <c r="C6" s="26" t="str">
        <f aca="false">IF($K6=0,"",OPERATIONS!$A6)</f>
        <v/>
      </c>
      <c r="D6" s="31" t="str">
        <f aca="false">IF($K6=0,"",OPERATIONS!$B6)</f>
        <v/>
      </c>
      <c r="E6" s="26" t="str">
        <f aca="false">IF($K6=0,"","SORTIE")</f>
        <v/>
      </c>
      <c r="F6" s="26" t="str">
        <f aca="false">IF($K6=0,"",OPERATIONS!$C6)</f>
        <v/>
      </c>
      <c r="G6" s="26" t="str">
        <f aca="false">IF($K6=0,"",OPERATIONS!$D6)</f>
        <v/>
      </c>
      <c r="H6" s="26" t="str">
        <f aca="false">IF($K6=0,"",OPERATIONS!$E6)</f>
        <v/>
      </c>
      <c r="I6" s="26" t="str">
        <f aca="false">IF($H6="","",IFERROR(INDEX(EMPL_CLASSE,MATCH($H6,EMPL_KEY,0)),""))</f>
        <v/>
      </c>
      <c r="J6" s="26" t="str">
        <f aca="false">IF($K6=0,"",OPERATIONS!$J6)</f>
        <v/>
      </c>
      <c r="K6" s="67" t="n">
        <f aca="false">IF(OR(OPERATIONS!$N6=0,OPERATIONS!$C6="RECEPTION"),0,-OPERATIONS!$G6)</f>
        <v>0</v>
      </c>
      <c r="L6" s="67" t="n">
        <f aca="false">IF($K6=0,0,OPERATIONS!$Q6*$K6)</f>
        <v>0</v>
      </c>
      <c r="M6" s="26" t="str">
        <f aca="false">IF($K6=0,"",OPERATIONS!$P6)</f>
        <v/>
      </c>
      <c r="N6" s="26" t="str">
        <f aca="false">IF($G6="","",IF($G6=R_LOT,COUNTIF($G$5:$G6,R_LOT),""))</f>
        <v/>
      </c>
    </row>
    <row r="7" customFormat="false" ht="15" hidden="false" customHeight="false" outlineLevel="0" collapsed="false">
      <c r="A7" s="28" t="str">
        <f aca="false">IF($K7=0,"",ROW()-4)</f>
        <v/>
      </c>
      <c r="B7" s="26" t="str">
        <f aca="false">IF($K7=0,"","OPERATIONS")</f>
        <v/>
      </c>
      <c r="C7" s="26" t="str">
        <f aca="false">IF($K7=0,"",OPERATIONS!$A7)</f>
        <v/>
      </c>
      <c r="D7" s="31" t="str">
        <f aca="false">IF($K7=0,"",OPERATIONS!$B7)</f>
        <v/>
      </c>
      <c r="E7" s="26" t="str">
        <f aca="false">IF($K7=0,"","SORTIE")</f>
        <v/>
      </c>
      <c r="F7" s="26" t="str">
        <f aca="false">IF($K7=0,"",OPERATIONS!$C7)</f>
        <v/>
      </c>
      <c r="G7" s="26" t="str">
        <f aca="false">IF($K7=0,"",OPERATIONS!$D7)</f>
        <v/>
      </c>
      <c r="H7" s="26" t="str">
        <f aca="false">IF($K7=0,"",OPERATIONS!$E7)</f>
        <v/>
      </c>
      <c r="I7" s="26" t="str">
        <f aca="false">IF($H7="","",IFERROR(INDEX(EMPL_CLASSE,MATCH($H7,EMPL_KEY,0)),""))</f>
        <v/>
      </c>
      <c r="J7" s="26" t="str">
        <f aca="false">IF($K7=0,"",OPERATIONS!$J7)</f>
        <v/>
      </c>
      <c r="K7" s="67" t="n">
        <f aca="false">IF(OR(OPERATIONS!$N7=0,OPERATIONS!$C7="RECEPTION"),0,-OPERATIONS!$G7)</f>
        <v>0</v>
      </c>
      <c r="L7" s="67" t="n">
        <f aca="false">IF($K7=0,0,OPERATIONS!$Q7*$K7)</f>
        <v>0</v>
      </c>
      <c r="M7" s="26" t="str">
        <f aca="false">IF($K7=0,"",OPERATIONS!$P7)</f>
        <v/>
      </c>
      <c r="N7" s="26" t="str">
        <f aca="false">IF($G7="","",IF($G7=R_LOT,COUNTIF($G$5:$G7,R_LOT),""))</f>
        <v/>
      </c>
    </row>
    <row r="8" customFormat="false" ht="15" hidden="false" customHeight="false" outlineLevel="0" collapsed="false">
      <c r="A8" s="28" t="str">
        <f aca="false">IF($K8=0,"",ROW()-4)</f>
        <v/>
      </c>
      <c r="B8" s="26" t="str">
        <f aca="false">IF($K8=0,"","OPERATIONS")</f>
        <v/>
      </c>
      <c r="C8" s="26" t="str">
        <f aca="false">IF($K8=0,"",OPERATIONS!$A8)</f>
        <v/>
      </c>
      <c r="D8" s="31" t="str">
        <f aca="false">IF($K8=0,"",OPERATIONS!$B8)</f>
        <v/>
      </c>
      <c r="E8" s="26" t="str">
        <f aca="false">IF($K8=0,"","SORTIE")</f>
        <v/>
      </c>
      <c r="F8" s="26" t="str">
        <f aca="false">IF($K8=0,"",OPERATIONS!$C8)</f>
        <v/>
      </c>
      <c r="G8" s="26" t="str">
        <f aca="false">IF($K8=0,"",OPERATIONS!$D8)</f>
        <v/>
      </c>
      <c r="H8" s="26" t="str">
        <f aca="false">IF($K8=0,"",OPERATIONS!$E8)</f>
        <v/>
      </c>
      <c r="I8" s="26" t="str">
        <f aca="false">IF($H8="","",IFERROR(INDEX(EMPL_CLASSE,MATCH($H8,EMPL_KEY,0)),""))</f>
        <v/>
      </c>
      <c r="J8" s="26" t="str">
        <f aca="false">IF($K8=0,"",OPERATIONS!$J8)</f>
        <v/>
      </c>
      <c r="K8" s="67" t="n">
        <f aca="false">IF(OR(OPERATIONS!$N8=0,OPERATIONS!$C8="RECEPTION"),0,-OPERATIONS!$G8)</f>
        <v>0</v>
      </c>
      <c r="L8" s="67" t="n">
        <f aca="false">IF($K8=0,0,OPERATIONS!$Q8*$K8)</f>
        <v>0</v>
      </c>
      <c r="M8" s="26" t="str">
        <f aca="false">IF($K8=0,"",OPERATIONS!$P8)</f>
        <v/>
      </c>
      <c r="N8" s="26" t="str">
        <f aca="false">IF($G8="","",IF($G8=R_LOT,COUNTIF($G$5:$G8,R_LOT),""))</f>
        <v/>
      </c>
    </row>
    <row r="9" customFormat="false" ht="15" hidden="false" customHeight="false" outlineLevel="0" collapsed="false">
      <c r="A9" s="28" t="n">
        <f aca="false">IF($K9=0,"",ROW()-4)</f>
        <v>5</v>
      </c>
      <c r="B9" s="26" t="str">
        <f aca="false">IF($K9=0,"","OPERATIONS")</f>
        <v>OPERATIONS</v>
      </c>
      <c r="C9" s="26" t="str">
        <f aca="false">IF($K9=0,"",OPERATIONS!$A9)</f>
        <v>OP-005</v>
      </c>
      <c r="D9" s="31" t="n">
        <f aca="false">IF($K9=0,"",OPERATIONS!$B9)</f>
        <v>46242</v>
      </c>
      <c r="E9" s="26" t="str">
        <f aca="false">IF($K9=0,"","SORTIE")</f>
        <v>SORTIE</v>
      </c>
      <c r="F9" s="26" t="str">
        <f aca="false">IF($K9=0,"",OPERATIONS!$C9)</f>
        <v>CONSOMMATION</v>
      </c>
      <c r="G9" s="26" t="str">
        <f aca="false">IF($K9=0,"",OPERATIONS!$D9)</f>
        <v>257</v>
      </c>
      <c r="H9" s="26" t="str">
        <f aca="false">IF($K9=0,"",OPERATIONS!$E9)</f>
        <v>OCEAMIC 2</v>
      </c>
      <c r="I9" s="26" t="str">
        <f aca="false">IF($H9="","",IFERROR(INDEX(EMPL_CLASSE,MATCH($H9,EMPL_KEY,0)),""))</f>
        <v>INTERNE</v>
      </c>
      <c r="J9" s="26" t="str">
        <f aca="false">IF($K9=0,"",OPERATIONS!$J9)</f>
        <v>SARDINE</v>
      </c>
      <c r="K9" s="67" t="n">
        <f aca="false">IF(OR(OPERATIONS!$N9=0,OPERATIONS!$C9="RECEPTION"),0,-OPERATIONS!$G9)</f>
        <v>-300</v>
      </c>
      <c r="L9" s="67" t="n">
        <f aca="false">IF($K9=0,0,OPERATIONS!$Q9*$K9)</f>
        <v>-300</v>
      </c>
      <c r="M9" s="26" t="str">
        <f aca="false">IF($K9=0,"",OPERATIONS!$P9)</f>
        <v>OK</v>
      </c>
      <c r="N9" s="26" t="str">
        <f aca="false">IF($G9="","",IF($G9=R_LOT,COUNTIF($G$5:$G9,R_LOT),""))</f>
        <v/>
      </c>
    </row>
    <row r="10" customFormat="false" ht="15" hidden="false" customHeight="false" outlineLevel="0" collapsed="false">
      <c r="A10" s="28" t="n">
        <f aca="false">IF($K10=0,"",ROW()-4)</f>
        <v>6</v>
      </c>
      <c r="B10" s="26" t="str">
        <f aca="false">IF($K10=0,"","OPERATIONS")</f>
        <v>OPERATIONS</v>
      </c>
      <c r="C10" s="26" t="str">
        <f aca="false">IF($K10=0,"",OPERATIONS!$A10)</f>
        <v>OP-006</v>
      </c>
      <c r="D10" s="31" t="n">
        <f aca="false">IF($K10=0,"",OPERATIONS!$B10)</f>
        <v>46243</v>
      </c>
      <c r="E10" s="26" t="str">
        <f aca="false">IF($K10=0,"","SORTIE")</f>
        <v>SORTIE</v>
      </c>
      <c r="F10" s="26" t="str">
        <f aca="false">IF($K10=0,"",OPERATIONS!$C10)</f>
        <v>TRANSFERT</v>
      </c>
      <c r="G10" s="26" t="str">
        <f aca="false">IF($K10=0,"",OPERATIONS!$D10)</f>
        <v>256</v>
      </c>
      <c r="H10" s="26" t="str">
        <f aca="false">IF($K10=0,"",OPERATIONS!$E10)</f>
        <v>SARMA</v>
      </c>
      <c r="I10" s="26" t="str">
        <f aca="false">IF($H10="","",IFERROR(INDEX(EMPL_CLASSE,MATCH($H10,EMPL_KEY,0)),""))</f>
        <v>EXTERNE</v>
      </c>
      <c r="J10" s="26" t="str">
        <f aca="false">IF($K10=0,"",OPERATIONS!$J10)</f>
        <v>MAQUEREAU</v>
      </c>
      <c r="K10" s="67" t="n">
        <f aca="false">IF(OR(OPERATIONS!$N10=0,OPERATIONS!$C10="RECEPTION"),0,-OPERATIONS!$G10)</f>
        <v>-800</v>
      </c>
      <c r="L10" s="67" t="n">
        <f aca="false">IF($K10=0,0,OPERATIONS!$Q10*$K10)</f>
        <v>-800</v>
      </c>
      <c r="M10" s="26" t="str">
        <f aca="false">IF($K10=0,"",OPERATIONS!$P10)</f>
        <v>OK</v>
      </c>
      <c r="N10" s="26" t="str">
        <f aca="false">IF($G10="","",IF($G10=R_LOT,COUNTIF($G$5:$G10,R_LOT),""))</f>
        <v/>
      </c>
    </row>
    <row r="11" customFormat="false" ht="15" hidden="false" customHeight="false" outlineLevel="0" collapsed="false">
      <c r="A11" s="28" t="str">
        <f aca="false">IF($K11=0,"",ROW()-4)</f>
        <v/>
      </c>
      <c r="B11" s="26" t="str">
        <f aca="false">IF($K11=0,"","OPERATIONS")</f>
        <v/>
      </c>
      <c r="C11" s="26" t="str">
        <f aca="false">IF($K11=0,"",OPERATIONS!$A11)</f>
        <v/>
      </c>
      <c r="D11" s="31" t="str">
        <f aca="false">IF($K11=0,"",OPERATIONS!$B11)</f>
        <v/>
      </c>
      <c r="E11" s="26" t="str">
        <f aca="false">IF($K11=0,"","SORTIE")</f>
        <v/>
      </c>
      <c r="F11" s="26" t="str">
        <f aca="false">IF($K11=0,"",OPERATIONS!$C11)</f>
        <v/>
      </c>
      <c r="G11" s="26" t="str">
        <f aca="false">IF($K11=0,"",OPERATIONS!$D11)</f>
        <v/>
      </c>
      <c r="H11" s="26" t="str">
        <f aca="false">IF($K11=0,"",OPERATIONS!$E11)</f>
        <v/>
      </c>
      <c r="I11" s="26" t="str">
        <f aca="false">IF($H11="","",IFERROR(INDEX(EMPL_CLASSE,MATCH($H11,EMPL_KEY,0)),""))</f>
        <v/>
      </c>
      <c r="J11" s="26" t="str">
        <f aca="false">IF($K11=0,"",OPERATIONS!$J11)</f>
        <v/>
      </c>
      <c r="K11" s="67" t="n">
        <f aca="false">IF(OR(OPERATIONS!$N11=0,OPERATIONS!$C11="RECEPTION"),0,-OPERATIONS!$G11)</f>
        <v>0</v>
      </c>
      <c r="L11" s="67" t="n">
        <f aca="false">IF($K11=0,0,OPERATIONS!$Q11*$K11)</f>
        <v>0</v>
      </c>
      <c r="M11" s="26" t="str">
        <f aca="false">IF($K11=0,"",OPERATIONS!$P11)</f>
        <v/>
      </c>
      <c r="N11" s="26" t="str">
        <f aca="false">IF($G11="","",IF($G11=R_LOT,COUNTIF($G$5:$G11,R_LOT),""))</f>
        <v/>
      </c>
    </row>
    <row r="12" customFormat="false" ht="15" hidden="false" customHeight="false" outlineLevel="0" collapsed="false">
      <c r="A12" s="28" t="n">
        <f aca="false">IF($K12=0,"",ROW()-4)</f>
        <v>8</v>
      </c>
      <c r="B12" s="26" t="str">
        <f aca="false">IF($K12=0,"","OPERATIONS")</f>
        <v>OPERATIONS</v>
      </c>
      <c r="C12" s="26" t="str">
        <f aca="false">IF($K12=0,"",OPERATIONS!$A12)</f>
        <v>OP-008</v>
      </c>
      <c r="D12" s="31" t="n">
        <f aca="false">IF($K12=0,"",OPERATIONS!$B12)</f>
        <v>46245</v>
      </c>
      <c r="E12" s="26" t="str">
        <f aca="false">IF($K12=0,"","SORTIE")</f>
        <v>SORTIE</v>
      </c>
      <c r="F12" s="26" t="str">
        <f aca="false">IF($K12=0,"",OPERATIONS!$C12)</f>
        <v>CONSOMMATION</v>
      </c>
      <c r="G12" s="26" t="str">
        <f aca="false">IF($K12=0,"",OPERATIONS!$D12)</f>
        <v>258</v>
      </c>
      <c r="H12" s="26" t="str">
        <f aca="false">IF($K12=0,"",OPERATIONS!$E12)</f>
        <v>OCEAMIC 2</v>
      </c>
      <c r="I12" s="26" t="str">
        <f aca="false">IF($H12="","",IFERROR(INDEX(EMPL_CLASSE,MATCH($H12,EMPL_KEY,0)),""))</f>
        <v>INTERNE</v>
      </c>
      <c r="J12" s="26" t="str">
        <f aca="false">IF($K12=0,"",OPERATIONS!$J12)</f>
        <v>SARDINE</v>
      </c>
      <c r="K12" s="67" t="n">
        <f aca="false">IF(OR(OPERATIONS!$N12=0,OPERATIONS!$C12="RECEPTION"),0,-OPERATIONS!$G12)</f>
        <v>-500</v>
      </c>
      <c r="L12" s="67" t="n">
        <f aca="false">IF($K12=0,0,OPERATIONS!$Q12*$K12)</f>
        <v>-0</v>
      </c>
      <c r="M12" s="26" t="str">
        <f aca="false">IF($K12=0,"",OPERATIONS!$P12)</f>
        <v>STOCK INSUFFISANT</v>
      </c>
      <c r="N12" s="26" t="str">
        <f aca="false">IF($G12="","",IF($G12=R_LOT,COUNTIF($G$5:$G12,R_LOT),""))</f>
        <v/>
      </c>
    </row>
    <row r="13" customFormat="false" ht="15" hidden="false" customHeight="false" outlineLevel="0" collapsed="false">
      <c r="A13" s="28" t="str">
        <f aca="false">IF($K13=0,"",ROW()-4)</f>
        <v/>
      </c>
      <c r="B13" s="26" t="str">
        <f aca="false">IF($K13=0,"","OPERATIONS")</f>
        <v/>
      </c>
      <c r="C13" s="26" t="str">
        <f aca="false">IF($K13=0,"",OPERATIONS!$A13)</f>
        <v/>
      </c>
      <c r="D13" s="31" t="str">
        <f aca="false">IF($K13=0,"",OPERATIONS!$B13)</f>
        <v/>
      </c>
      <c r="E13" s="26" t="str">
        <f aca="false">IF($K13=0,"","SORTIE")</f>
        <v/>
      </c>
      <c r="F13" s="26" t="str">
        <f aca="false">IF($K13=0,"",OPERATIONS!$C13)</f>
        <v/>
      </c>
      <c r="G13" s="26" t="str">
        <f aca="false">IF($K13=0,"",OPERATIONS!$D13)</f>
        <v/>
      </c>
      <c r="H13" s="26" t="str">
        <f aca="false">IF($K13=0,"",OPERATIONS!$E13)</f>
        <v/>
      </c>
      <c r="I13" s="26" t="str">
        <f aca="false">IF($H13="","",IFERROR(INDEX(EMPL_CLASSE,MATCH($H13,EMPL_KEY,0)),""))</f>
        <v/>
      </c>
      <c r="J13" s="26" t="str">
        <f aca="false">IF($K13=0,"",OPERATIONS!$J13)</f>
        <v/>
      </c>
      <c r="K13" s="67" t="n">
        <f aca="false">IF(OR(OPERATIONS!$N13=0,OPERATIONS!$C13="RECEPTION"),0,-OPERATIONS!$G13)</f>
        <v>0</v>
      </c>
      <c r="L13" s="67" t="n">
        <f aca="false">IF($K13=0,0,OPERATIONS!$Q13*$K13)</f>
        <v>0</v>
      </c>
      <c r="M13" s="26" t="str">
        <f aca="false">IF($K13=0,"",OPERATIONS!$P13)</f>
        <v/>
      </c>
      <c r="N13" s="26" t="str">
        <f aca="false">IF($G13="","",IF($G13=R_LOT,COUNTIF($G$5:$G13,R_LOT),""))</f>
        <v/>
      </c>
    </row>
    <row r="14" customFormat="false" ht="15" hidden="false" customHeight="false" outlineLevel="0" collapsed="false">
      <c r="A14" s="28" t="str">
        <f aca="false">IF($K14=0,"",ROW()-4)</f>
        <v/>
      </c>
      <c r="B14" s="26" t="str">
        <f aca="false">IF($K14=0,"","OPERATIONS")</f>
        <v/>
      </c>
      <c r="C14" s="26" t="str">
        <f aca="false">IF($K14=0,"",OPERATIONS!$A14)</f>
        <v/>
      </c>
      <c r="D14" s="31" t="str">
        <f aca="false">IF($K14=0,"",OPERATIONS!$B14)</f>
        <v/>
      </c>
      <c r="E14" s="26" t="str">
        <f aca="false">IF($K14=0,"","SORTIE")</f>
        <v/>
      </c>
      <c r="F14" s="26" t="str">
        <f aca="false">IF($K14=0,"",OPERATIONS!$C14)</f>
        <v/>
      </c>
      <c r="G14" s="26" t="str">
        <f aca="false">IF($K14=0,"",OPERATIONS!$D14)</f>
        <v/>
      </c>
      <c r="H14" s="26" t="str">
        <f aca="false">IF($K14=0,"",OPERATIONS!$E14)</f>
        <v/>
      </c>
      <c r="I14" s="26" t="str">
        <f aca="false">IF($H14="","",IFERROR(INDEX(EMPL_CLASSE,MATCH($H14,EMPL_KEY,0)),""))</f>
        <v/>
      </c>
      <c r="J14" s="26" t="str">
        <f aca="false">IF($K14=0,"",OPERATIONS!$J14)</f>
        <v/>
      </c>
      <c r="K14" s="67" t="n">
        <f aca="false">IF(OR(OPERATIONS!$N14=0,OPERATIONS!$C14="RECEPTION"),0,-OPERATIONS!$G14)</f>
        <v>0</v>
      </c>
      <c r="L14" s="67" t="n">
        <f aca="false">IF($K14=0,0,OPERATIONS!$Q14*$K14)</f>
        <v>0</v>
      </c>
      <c r="M14" s="26" t="str">
        <f aca="false">IF($K14=0,"",OPERATIONS!$P14)</f>
        <v/>
      </c>
      <c r="N14" s="26" t="str">
        <f aca="false">IF($G14="","",IF($G14=R_LOT,COUNTIF($G$5:$G14,R_LOT),""))</f>
        <v/>
      </c>
    </row>
    <row r="15" customFormat="false" ht="15" hidden="false" customHeight="false" outlineLevel="0" collapsed="false">
      <c r="A15" s="28" t="str">
        <f aca="false">IF($K15=0,"",ROW()-4)</f>
        <v/>
      </c>
      <c r="B15" s="26" t="str">
        <f aca="false">IF($K15=0,"","OPERATIONS")</f>
        <v/>
      </c>
      <c r="C15" s="26" t="str">
        <f aca="false">IF($K15=0,"",OPERATIONS!$A15)</f>
        <v/>
      </c>
      <c r="D15" s="31" t="str">
        <f aca="false">IF($K15=0,"",OPERATIONS!$B15)</f>
        <v/>
      </c>
      <c r="E15" s="26" t="str">
        <f aca="false">IF($K15=0,"","SORTIE")</f>
        <v/>
      </c>
      <c r="F15" s="26" t="str">
        <f aca="false">IF($K15=0,"",OPERATIONS!$C15)</f>
        <v/>
      </c>
      <c r="G15" s="26" t="str">
        <f aca="false">IF($K15=0,"",OPERATIONS!$D15)</f>
        <v/>
      </c>
      <c r="H15" s="26" t="str">
        <f aca="false">IF($K15=0,"",OPERATIONS!$E15)</f>
        <v/>
      </c>
      <c r="I15" s="26" t="str">
        <f aca="false">IF($H15="","",IFERROR(INDEX(EMPL_CLASSE,MATCH($H15,EMPL_KEY,0)),""))</f>
        <v/>
      </c>
      <c r="J15" s="26" t="str">
        <f aca="false">IF($K15=0,"",OPERATIONS!$J15)</f>
        <v/>
      </c>
      <c r="K15" s="67" t="n">
        <f aca="false">IF(OR(OPERATIONS!$N15=0,OPERATIONS!$C15="RECEPTION"),0,-OPERATIONS!$G15)</f>
        <v>0</v>
      </c>
      <c r="L15" s="67" t="n">
        <f aca="false">IF($K15=0,0,OPERATIONS!$Q15*$K15)</f>
        <v>0</v>
      </c>
      <c r="M15" s="26" t="str">
        <f aca="false">IF($K15=0,"",OPERATIONS!$P15)</f>
        <v/>
      </c>
      <c r="N15" s="26" t="str">
        <f aca="false">IF($G15="","",IF($G15=R_LOT,COUNTIF($G$5:$G15,R_LOT),""))</f>
        <v/>
      </c>
    </row>
    <row r="16" customFormat="false" ht="15" hidden="false" customHeight="false" outlineLevel="0" collapsed="false">
      <c r="A16" s="28" t="str">
        <f aca="false">IF($K16=0,"",ROW()-4)</f>
        <v/>
      </c>
      <c r="B16" s="26" t="str">
        <f aca="false">IF($K16=0,"","OPERATIONS")</f>
        <v/>
      </c>
      <c r="C16" s="26" t="str">
        <f aca="false">IF($K16=0,"",OPERATIONS!$A16)</f>
        <v/>
      </c>
      <c r="D16" s="31" t="str">
        <f aca="false">IF($K16=0,"",OPERATIONS!$B16)</f>
        <v/>
      </c>
      <c r="E16" s="26" t="str">
        <f aca="false">IF($K16=0,"","SORTIE")</f>
        <v/>
      </c>
      <c r="F16" s="26" t="str">
        <f aca="false">IF($K16=0,"",OPERATIONS!$C16)</f>
        <v/>
      </c>
      <c r="G16" s="26" t="str">
        <f aca="false">IF($K16=0,"",OPERATIONS!$D16)</f>
        <v/>
      </c>
      <c r="H16" s="26" t="str">
        <f aca="false">IF($K16=0,"",OPERATIONS!$E16)</f>
        <v/>
      </c>
      <c r="I16" s="26" t="str">
        <f aca="false">IF($H16="","",IFERROR(INDEX(EMPL_CLASSE,MATCH($H16,EMPL_KEY,0)),""))</f>
        <v/>
      </c>
      <c r="J16" s="26" t="str">
        <f aca="false">IF($K16=0,"",OPERATIONS!$J16)</f>
        <v/>
      </c>
      <c r="K16" s="67" t="n">
        <f aca="false">IF(OR(OPERATIONS!$N16=0,OPERATIONS!$C16="RECEPTION"),0,-OPERATIONS!$G16)</f>
        <v>0</v>
      </c>
      <c r="L16" s="67" t="n">
        <f aca="false">IF($K16=0,0,OPERATIONS!$Q16*$K16)</f>
        <v>0</v>
      </c>
      <c r="M16" s="26" t="str">
        <f aca="false">IF($K16=0,"",OPERATIONS!$P16)</f>
        <v/>
      </c>
      <c r="N16" s="26" t="str">
        <f aca="false">IF($G16="","",IF($G16=R_LOT,COUNTIF($G$5:$G16,R_LOT),""))</f>
        <v/>
      </c>
    </row>
    <row r="17" customFormat="false" ht="15" hidden="false" customHeight="false" outlineLevel="0" collapsed="false">
      <c r="A17" s="28" t="str">
        <f aca="false">IF($K17=0,"",ROW()-4)</f>
        <v/>
      </c>
      <c r="B17" s="26" t="str">
        <f aca="false">IF($K17=0,"","OPERATIONS")</f>
        <v/>
      </c>
      <c r="C17" s="26" t="str">
        <f aca="false">IF($K17=0,"",OPERATIONS!$A17)</f>
        <v/>
      </c>
      <c r="D17" s="31" t="str">
        <f aca="false">IF($K17=0,"",OPERATIONS!$B17)</f>
        <v/>
      </c>
      <c r="E17" s="26" t="str">
        <f aca="false">IF($K17=0,"","SORTIE")</f>
        <v/>
      </c>
      <c r="F17" s="26" t="str">
        <f aca="false">IF($K17=0,"",OPERATIONS!$C17)</f>
        <v/>
      </c>
      <c r="G17" s="26" t="str">
        <f aca="false">IF($K17=0,"",OPERATIONS!$D17)</f>
        <v/>
      </c>
      <c r="H17" s="26" t="str">
        <f aca="false">IF($K17=0,"",OPERATIONS!$E17)</f>
        <v/>
      </c>
      <c r="I17" s="26" t="str">
        <f aca="false">IF($H17="","",IFERROR(INDEX(EMPL_CLASSE,MATCH($H17,EMPL_KEY,0)),""))</f>
        <v/>
      </c>
      <c r="J17" s="26" t="str">
        <f aca="false">IF($K17=0,"",OPERATIONS!$J17)</f>
        <v/>
      </c>
      <c r="K17" s="67" t="n">
        <f aca="false">IF(OR(OPERATIONS!$N17=0,OPERATIONS!$C17="RECEPTION"),0,-OPERATIONS!$G17)</f>
        <v>0</v>
      </c>
      <c r="L17" s="67" t="n">
        <f aca="false">IF($K17=0,0,OPERATIONS!$Q17*$K17)</f>
        <v>0</v>
      </c>
      <c r="M17" s="26" t="str">
        <f aca="false">IF($K17=0,"",OPERATIONS!$P17)</f>
        <v/>
      </c>
      <c r="N17" s="26" t="str">
        <f aca="false">IF($G17="","",IF($G17=R_LOT,COUNTIF($G$5:$G17,R_LOT),""))</f>
        <v/>
      </c>
    </row>
    <row r="18" customFormat="false" ht="15" hidden="false" customHeight="false" outlineLevel="0" collapsed="false">
      <c r="A18" s="28" t="str">
        <f aca="false">IF($K18=0,"",ROW()-4)</f>
        <v/>
      </c>
      <c r="B18" s="26" t="str">
        <f aca="false">IF($K18=0,"","OPERATIONS")</f>
        <v/>
      </c>
      <c r="C18" s="26" t="str">
        <f aca="false">IF($K18=0,"",OPERATIONS!$A18)</f>
        <v/>
      </c>
      <c r="D18" s="31" t="str">
        <f aca="false">IF($K18=0,"",OPERATIONS!$B18)</f>
        <v/>
      </c>
      <c r="E18" s="26" t="str">
        <f aca="false">IF($K18=0,"","SORTIE")</f>
        <v/>
      </c>
      <c r="F18" s="26" t="str">
        <f aca="false">IF($K18=0,"",OPERATIONS!$C18)</f>
        <v/>
      </c>
      <c r="G18" s="26" t="str">
        <f aca="false">IF($K18=0,"",OPERATIONS!$D18)</f>
        <v/>
      </c>
      <c r="H18" s="26" t="str">
        <f aca="false">IF($K18=0,"",OPERATIONS!$E18)</f>
        <v/>
      </c>
      <c r="I18" s="26" t="str">
        <f aca="false">IF($H18="","",IFERROR(INDEX(EMPL_CLASSE,MATCH($H18,EMPL_KEY,0)),""))</f>
        <v/>
      </c>
      <c r="J18" s="26" t="str">
        <f aca="false">IF($K18=0,"",OPERATIONS!$J18)</f>
        <v/>
      </c>
      <c r="K18" s="67" t="n">
        <f aca="false">IF(OR(OPERATIONS!$N18=0,OPERATIONS!$C18="RECEPTION"),0,-OPERATIONS!$G18)</f>
        <v>0</v>
      </c>
      <c r="L18" s="67" t="n">
        <f aca="false">IF($K18=0,0,OPERATIONS!$Q18*$K18)</f>
        <v>0</v>
      </c>
      <c r="M18" s="26" t="str">
        <f aca="false">IF($K18=0,"",OPERATIONS!$P18)</f>
        <v/>
      </c>
      <c r="N18" s="26" t="str">
        <f aca="false">IF($G18="","",IF($G18=R_LOT,COUNTIF($G$5:$G18,R_LOT),""))</f>
        <v/>
      </c>
    </row>
    <row r="19" customFormat="false" ht="15" hidden="false" customHeight="false" outlineLevel="0" collapsed="false">
      <c r="A19" s="28" t="str">
        <f aca="false">IF($K19=0,"",ROW()-4)</f>
        <v/>
      </c>
      <c r="B19" s="26" t="str">
        <f aca="false">IF($K19=0,"","OPERATIONS")</f>
        <v/>
      </c>
      <c r="C19" s="26" t="str">
        <f aca="false">IF($K19=0,"",OPERATIONS!$A19)</f>
        <v/>
      </c>
      <c r="D19" s="31" t="str">
        <f aca="false">IF($K19=0,"",OPERATIONS!$B19)</f>
        <v/>
      </c>
      <c r="E19" s="26" t="str">
        <f aca="false">IF($K19=0,"","SORTIE")</f>
        <v/>
      </c>
      <c r="F19" s="26" t="str">
        <f aca="false">IF($K19=0,"",OPERATIONS!$C19)</f>
        <v/>
      </c>
      <c r="G19" s="26" t="str">
        <f aca="false">IF($K19=0,"",OPERATIONS!$D19)</f>
        <v/>
      </c>
      <c r="H19" s="26" t="str">
        <f aca="false">IF($K19=0,"",OPERATIONS!$E19)</f>
        <v/>
      </c>
      <c r="I19" s="26" t="str">
        <f aca="false">IF($H19="","",IFERROR(INDEX(EMPL_CLASSE,MATCH($H19,EMPL_KEY,0)),""))</f>
        <v/>
      </c>
      <c r="J19" s="26" t="str">
        <f aca="false">IF($K19=0,"",OPERATIONS!$J19)</f>
        <v/>
      </c>
      <c r="K19" s="67" t="n">
        <f aca="false">IF(OR(OPERATIONS!$N19=0,OPERATIONS!$C19="RECEPTION"),0,-OPERATIONS!$G19)</f>
        <v>0</v>
      </c>
      <c r="L19" s="67" t="n">
        <f aca="false">IF($K19=0,0,OPERATIONS!$Q19*$K19)</f>
        <v>0</v>
      </c>
      <c r="M19" s="26" t="str">
        <f aca="false">IF($K19=0,"",OPERATIONS!$P19)</f>
        <v/>
      </c>
      <c r="N19" s="26" t="str">
        <f aca="false">IF($G19="","",IF($G19=R_LOT,COUNTIF($G$5:$G19,R_LOT),""))</f>
        <v/>
      </c>
    </row>
    <row r="20" customFormat="false" ht="15" hidden="false" customHeight="false" outlineLevel="0" collapsed="false">
      <c r="A20" s="28" t="str">
        <f aca="false">IF($K20=0,"",ROW()-4)</f>
        <v/>
      </c>
      <c r="B20" s="26" t="str">
        <f aca="false">IF($K20=0,"","OPERATIONS")</f>
        <v/>
      </c>
      <c r="C20" s="26" t="str">
        <f aca="false">IF($K20=0,"",OPERATIONS!$A20)</f>
        <v/>
      </c>
      <c r="D20" s="31" t="str">
        <f aca="false">IF($K20=0,"",OPERATIONS!$B20)</f>
        <v/>
      </c>
      <c r="E20" s="26" t="str">
        <f aca="false">IF($K20=0,"","SORTIE")</f>
        <v/>
      </c>
      <c r="F20" s="26" t="str">
        <f aca="false">IF($K20=0,"",OPERATIONS!$C20)</f>
        <v/>
      </c>
      <c r="G20" s="26" t="str">
        <f aca="false">IF($K20=0,"",OPERATIONS!$D20)</f>
        <v/>
      </c>
      <c r="H20" s="26" t="str">
        <f aca="false">IF($K20=0,"",OPERATIONS!$E20)</f>
        <v/>
      </c>
      <c r="I20" s="26" t="str">
        <f aca="false">IF($H20="","",IFERROR(INDEX(EMPL_CLASSE,MATCH($H20,EMPL_KEY,0)),""))</f>
        <v/>
      </c>
      <c r="J20" s="26" t="str">
        <f aca="false">IF($K20=0,"",OPERATIONS!$J20)</f>
        <v/>
      </c>
      <c r="K20" s="67" t="n">
        <f aca="false">IF(OR(OPERATIONS!$N20=0,OPERATIONS!$C20="RECEPTION"),0,-OPERATIONS!$G20)</f>
        <v>0</v>
      </c>
      <c r="L20" s="67" t="n">
        <f aca="false">IF($K20=0,0,OPERATIONS!$Q20*$K20)</f>
        <v>0</v>
      </c>
      <c r="M20" s="26" t="str">
        <f aca="false">IF($K20=0,"",OPERATIONS!$P20)</f>
        <v/>
      </c>
      <c r="N20" s="26" t="str">
        <f aca="false">IF($G20="","",IF($G20=R_LOT,COUNTIF($G$5:$G20,R_LOT),""))</f>
        <v/>
      </c>
    </row>
    <row r="21" customFormat="false" ht="15" hidden="false" customHeight="false" outlineLevel="0" collapsed="false">
      <c r="A21" s="28" t="str">
        <f aca="false">IF($K21=0,"",ROW()-4)</f>
        <v/>
      </c>
      <c r="B21" s="26" t="str">
        <f aca="false">IF($K21=0,"","OPERATIONS")</f>
        <v/>
      </c>
      <c r="C21" s="26" t="str">
        <f aca="false">IF($K21=0,"",OPERATIONS!$A21)</f>
        <v/>
      </c>
      <c r="D21" s="31" t="str">
        <f aca="false">IF($K21=0,"",OPERATIONS!$B21)</f>
        <v/>
      </c>
      <c r="E21" s="26" t="str">
        <f aca="false">IF($K21=0,"","SORTIE")</f>
        <v/>
      </c>
      <c r="F21" s="26" t="str">
        <f aca="false">IF($K21=0,"",OPERATIONS!$C21)</f>
        <v/>
      </c>
      <c r="G21" s="26" t="str">
        <f aca="false">IF($K21=0,"",OPERATIONS!$D21)</f>
        <v/>
      </c>
      <c r="H21" s="26" t="str">
        <f aca="false">IF($K21=0,"",OPERATIONS!$E21)</f>
        <v/>
      </c>
      <c r="I21" s="26" t="str">
        <f aca="false">IF($H21="","",IFERROR(INDEX(EMPL_CLASSE,MATCH($H21,EMPL_KEY,0)),""))</f>
        <v/>
      </c>
      <c r="J21" s="26" t="str">
        <f aca="false">IF($K21=0,"",OPERATIONS!$J21)</f>
        <v/>
      </c>
      <c r="K21" s="67" t="n">
        <f aca="false">IF(OR(OPERATIONS!$N21=0,OPERATIONS!$C21="RECEPTION"),0,-OPERATIONS!$G21)</f>
        <v>0</v>
      </c>
      <c r="L21" s="67" t="n">
        <f aca="false">IF($K21=0,0,OPERATIONS!$Q21*$K21)</f>
        <v>0</v>
      </c>
      <c r="M21" s="26" t="str">
        <f aca="false">IF($K21=0,"",OPERATIONS!$P21)</f>
        <v/>
      </c>
      <c r="N21" s="26" t="str">
        <f aca="false">IF($G21="","",IF($G21=R_LOT,COUNTIF($G$5:$G21,R_LOT),""))</f>
        <v/>
      </c>
    </row>
    <row r="22" customFormat="false" ht="15" hidden="false" customHeight="false" outlineLevel="0" collapsed="false">
      <c r="A22" s="28" t="str">
        <f aca="false">IF($K22=0,"",ROW()-4)</f>
        <v/>
      </c>
      <c r="B22" s="26" t="str">
        <f aca="false">IF($K22=0,"","OPERATIONS")</f>
        <v/>
      </c>
      <c r="C22" s="26" t="str">
        <f aca="false">IF($K22=0,"",OPERATIONS!$A22)</f>
        <v/>
      </c>
      <c r="D22" s="31" t="str">
        <f aca="false">IF($K22=0,"",OPERATIONS!$B22)</f>
        <v/>
      </c>
      <c r="E22" s="26" t="str">
        <f aca="false">IF($K22=0,"","SORTIE")</f>
        <v/>
      </c>
      <c r="F22" s="26" t="str">
        <f aca="false">IF($K22=0,"",OPERATIONS!$C22)</f>
        <v/>
      </c>
      <c r="G22" s="26" t="str">
        <f aca="false">IF($K22=0,"",OPERATIONS!$D22)</f>
        <v/>
      </c>
      <c r="H22" s="26" t="str">
        <f aca="false">IF($K22=0,"",OPERATIONS!$E22)</f>
        <v/>
      </c>
      <c r="I22" s="26" t="str">
        <f aca="false">IF($H22="","",IFERROR(INDEX(EMPL_CLASSE,MATCH($H22,EMPL_KEY,0)),""))</f>
        <v/>
      </c>
      <c r="J22" s="26" t="str">
        <f aca="false">IF($K22=0,"",OPERATIONS!$J22)</f>
        <v/>
      </c>
      <c r="K22" s="67" t="n">
        <f aca="false">IF(OR(OPERATIONS!$N22=0,OPERATIONS!$C22="RECEPTION"),0,-OPERATIONS!$G22)</f>
        <v>0</v>
      </c>
      <c r="L22" s="67" t="n">
        <f aca="false">IF($K22=0,0,OPERATIONS!$Q22*$K22)</f>
        <v>0</v>
      </c>
      <c r="M22" s="26" t="str">
        <f aca="false">IF($K22=0,"",OPERATIONS!$P22)</f>
        <v/>
      </c>
      <c r="N22" s="26" t="str">
        <f aca="false">IF($G22="","",IF($G22=R_LOT,COUNTIF($G$5:$G22,R_LOT),""))</f>
        <v/>
      </c>
    </row>
    <row r="23" customFormat="false" ht="15" hidden="false" customHeight="false" outlineLevel="0" collapsed="false">
      <c r="A23" s="28" t="str">
        <f aca="false">IF($K23=0,"",ROW()-4)</f>
        <v/>
      </c>
      <c r="B23" s="26" t="str">
        <f aca="false">IF($K23=0,"","OPERATIONS")</f>
        <v/>
      </c>
      <c r="C23" s="26" t="str">
        <f aca="false">IF($K23=0,"",OPERATIONS!$A23)</f>
        <v/>
      </c>
      <c r="D23" s="31" t="str">
        <f aca="false">IF($K23=0,"",OPERATIONS!$B23)</f>
        <v/>
      </c>
      <c r="E23" s="26" t="str">
        <f aca="false">IF($K23=0,"","SORTIE")</f>
        <v/>
      </c>
      <c r="F23" s="26" t="str">
        <f aca="false">IF($K23=0,"",OPERATIONS!$C23)</f>
        <v/>
      </c>
      <c r="G23" s="26" t="str">
        <f aca="false">IF($K23=0,"",OPERATIONS!$D23)</f>
        <v/>
      </c>
      <c r="H23" s="26" t="str">
        <f aca="false">IF($K23=0,"",OPERATIONS!$E23)</f>
        <v/>
      </c>
      <c r="I23" s="26" t="str">
        <f aca="false">IF($H23="","",IFERROR(INDEX(EMPL_CLASSE,MATCH($H23,EMPL_KEY,0)),""))</f>
        <v/>
      </c>
      <c r="J23" s="26" t="str">
        <f aca="false">IF($K23=0,"",OPERATIONS!$J23)</f>
        <v/>
      </c>
      <c r="K23" s="67" t="n">
        <f aca="false">IF(OR(OPERATIONS!$N23=0,OPERATIONS!$C23="RECEPTION"),0,-OPERATIONS!$G23)</f>
        <v>0</v>
      </c>
      <c r="L23" s="67" t="n">
        <f aca="false">IF($K23=0,0,OPERATIONS!$Q23*$K23)</f>
        <v>0</v>
      </c>
      <c r="M23" s="26" t="str">
        <f aca="false">IF($K23=0,"",OPERATIONS!$P23)</f>
        <v/>
      </c>
      <c r="N23" s="26" t="str">
        <f aca="false">IF($G23="","",IF($G23=R_LOT,COUNTIF($G$5:$G23,R_LOT),""))</f>
        <v/>
      </c>
    </row>
    <row r="24" customFormat="false" ht="15" hidden="false" customHeight="false" outlineLevel="0" collapsed="false">
      <c r="A24" s="28" t="str">
        <f aca="false">IF($K24=0,"",ROW()-4)</f>
        <v/>
      </c>
      <c r="B24" s="26" t="str">
        <f aca="false">IF($K24=0,"","OPERATIONS")</f>
        <v/>
      </c>
      <c r="C24" s="26" t="str">
        <f aca="false">IF($K24=0,"",OPERATIONS!$A24)</f>
        <v/>
      </c>
      <c r="D24" s="31" t="str">
        <f aca="false">IF($K24=0,"",OPERATIONS!$B24)</f>
        <v/>
      </c>
      <c r="E24" s="26" t="str">
        <f aca="false">IF($K24=0,"","SORTIE")</f>
        <v/>
      </c>
      <c r="F24" s="26" t="str">
        <f aca="false">IF($K24=0,"",OPERATIONS!$C24)</f>
        <v/>
      </c>
      <c r="G24" s="26" t="str">
        <f aca="false">IF($K24=0,"",OPERATIONS!$D24)</f>
        <v/>
      </c>
      <c r="H24" s="26" t="str">
        <f aca="false">IF($K24=0,"",OPERATIONS!$E24)</f>
        <v/>
      </c>
      <c r="I24" s="26" t="str">
        <f aca="false">IF($H24="","",IFERROR(INDEX(EMPL_CLASSE,MATCH($H24,EMPL_KEY,0)),""))</f>
        <v/>
      </c>
      <c r="J24" s="26" t="str">
        <f aca="false">IF($K24=0,"",OPERATIONS!$J24)</f>
        <v/>
      </c>
      <c r="K24" s="67" t="n">
        <f aca="false">IF(OR(OPERATIONS!$N24=0,OPERATIONS!$C24="RECEPTION"),0,-OPERATIONS!$G24)</f>
        <v>0</v>
      </c>
      <c r="L24" s="67" t="n">
        <f aca="false">IF($K24=0,0,OPERATIONS!$Q24*$K24)</f>
        <v>0</v>
      </c>
      <c r="M24" s="26" t="str">
        <f aca="false">IF($K24=0,"",OPERATIONS!$P24)</f>
        <v/>
      </c>
      <c r="N24" s="26" t="str">
        <f aca="false">IF($G24="","",IF($G24=R_LOT,COUNTIF($G$5:$G24,R_LOT),""))</f>
        <v/>
      </c>
    </row>
    <row r="25" customFormat="false" ht="15" hidden="false" customHeight="false" outlineLevel="0" collapsed="false">
      <c r="A25" s="28" t="str">
        <f aca="false">IF($K25=0,"",ROW()-4)</f>
        <v/>
      </c>
      <c r="B25" s="26" t="str">
        <f aca="false">IF($K25=0,"","OPERATIONS")</f>
        <v/>
      </c>
      <c r="C25" s="26" t="str">
        <f aca="false">IF($K25=0,"",OPERATIONS!$A25)</f>
        <v/>
      </c>
      <c r="D25" s="31" t="str">
        <f aca="false">IF($K25=0,"",OPERATIONS!$B25)</f>
        <v/>
      </c>
      <c r="E25" s="26" t="str">
        <f aca="false">IF($K25=0,"","SORTIE")</f>
        <v/>
      </c>
      <c r="F25" s="26" t="str">
        <f aca="false">IF($K25=0,"",OPERATIONS!$C25)</f>
        <v/>
      </c>
      <c r="G25" s="26" t="str">
        <f aca="false">IF($K25=0,"",OPERATIONS!$D25)</f>
        <v/>
      </c>
      <c r="H25" s="26" t="str">
        <f aca="false">IF($K25=0,"",OPERATIONS!$E25)</f>
        <v/>
      </c>
      <c r="I25" s="26" t="str">
        <f aca="false">IF($H25="","",IFERROR(INDEX(EMPL_CLASSE,MATCH($H25,EMPL_KEY,0)),""))</f>
        <v/>
      </c>
      <c r="J25" s="26" t="str">
        <f aca="false">IF($K25=0,"",OPERATIONS!$J25)</f>
        <v/>
      </c>
      <c r="K25" s="67" t="n">
        <f aca="false">IF(OR(OPERATIONS!$N25=0,OPERATIONS!$C25="RECEPTION"),0,-OPERATIONS!$G25)</f>
        <v>0</v>
      </c>
      <c r="L25" s="67" t="n">
        <f aca="false">IF($K25=0,0,OPERATIONS!$Q25*$K25)</f>
        <v>0</v>
      </c>
      <c r="M25" s="26" t="str">
        <f aca="false">IF($K25=0,"",OPERATIONS!$P25)</f>
        <v/>
      </c>
      <c r="N25" s="26" t="str">
        <f aca="false">IF($G25="","",IF($G25=R_LOT,COUNTIF($G$5:$G25,R_LOT),""))</f>
        <v/>
      </c>
    </row>
    <row r="26" customFormat="false" ht="15" hidden="false" customHeight="false" outlineLevel="0" collapsed="false">
      <c r="A26" s="28" t="str">
        <f aca="false">IF($K26=0,"",ROW()-4)</f>
        <v/>
      </c>
      <c r="B26" s="26" t="str">
        <f aca="false">IF($K26=0,"","OPERATIONS")</f>
        <v/>
      </c>
      <c r="C26" s="26" t="str">
        <f aca="false">IF($K26=0,"",OPERATIONS!$A26)</f>
        <v/>
      </c>
      <c r="D26" s="31" t="str">
        <f aca="false">IF($K26=0,"",OPERATIONS!$B26)</f>
        <v/>
      </c>
      <c r="E26" s="26" t="str">
        <f aca="false">IF($K26=0,"","SORTIE")</f>
        <v/>
      </c>
      <c r="F26" s="26" t="str">
        <f aca="false">IF($K26=0,"",OPERATIONS!$C26)</f>
        <v/>
      </c>
      <c r="G26" s="26" t="str">
        <f aca="false">IF($K26=0,"",OPERATIONS!$D26)</f>
        <v/>
      </c>
      <c r="H26" s="26" t="str">
        <f aca="false">IF($K26=0,"",OPERATIONS!$E26)</f>
        <v/>
      </c>
      <c r="I26" s="26" t="str">
        <f aca="false">IF($H26="","",IFERROR(INDEX(EMPL_CLASSE,MATCH($H26,EMPL_KEY,0)),""))</f>
        <v/>
      </c>
      <c r="J26" s="26" t="str">
        <f aca="false">IF($K26=0,"",OPERATIONS!$J26)</f>
        <v/>
      </c>
      <c r="K26" s="67" t="n">
        <f aca="false">IF(OR(OPERATIONS!$N26=0,OPERATIONS!$C26="RECEPTION"),0,-OPERATIONS!$G26)</f>
        <v>0</v>
      </c>
      <c r="L26" s="67" t="n">
        <f aca="false">IF($K26=0,0,OPERATIONS!$Q26*$K26)</f>
        <v>0</v>
      </c>
      <c r="M26" s="26" t="str">
        <f aca="false">IF($K26=0,"",OPERATIONS!$P26)</f>
        <v/>
      </c>
      <c r="N26" s="26" t="str">
        <f aca="false">IF($G26="","",IF($G26=R_LOT,COUNTIF($G$5:$G26,R_LOT),""))</f>
        <v/>
      </c>
    </row>
    <row r="27" customFormat="false" ht="15" hidden="false" customHeight="false" outlineLevel="0" collapsed="false">
      <c r="A27" s="28" t="str">
        <f aca="false">IF($K27=0,"",ROW()-4)</f>
        <v/>
      </c>
      <c r="B27" s="26" t="str">
        <f aca="false">IF($K27=0,"","OPERATIONS")</f>
        <v/>
      </c>
      <c r="C27" s="26" t="str">
        <f aca="false">IF($K27=0,"",OPERATIONS!$A27)</f>
        <v/>
      </c>
      <c r="D27" s="31" t="str">
        <f aca="false">IF($K27=0,"",OPERATIONS!$B27)</f>
        <v/>
      </c>
      <c r="E27" s="26" t="str">
        <f aca="false">IF($K27=0,"","SORTIE")</f>
        <v/>
      </c>
      <c r="F27" s="26" t="str">
        <f aca="false">IF($K27=0,"",OPERATIONS!$C27)</f>
        <v/>
      </c>
      <c r="G27" s="26" t="str">
        <f aca="false">IF($K27=0,"",OPERATIONS!$D27)</f>
        <v/>
      </c>
      <c r="H27" s="26" t="str">
        <f aca="false">IF($K27=0,"",OPERATIONS!$E27)</f>
        <v/>
      </c>
      <c r="I27" s="26" t="str">
        <f aca="false">IF($H27="","",IFERROR(INDEX(EMPL_CLASSE,MATCH($H27,EMPL_KEY,0)),""))</f>
        <v/>
      </c>
      <c r="J27" s="26" t="str">
        <f aca="false">IF($K27=0,"",OPERATIONS!$J27)</f>
        <v/>
      </c>
      <c r="K27" s="67" t="n">
        <f aca="false">IF(OR(OPERATIONS!$N27=0,OPERATIONS!$C27="RECEPTION"),0,-OPERATIONS!$G27)</f>
        <v>0</v>
      </c>
      <c r="L27" s="67" t="n">
        <f aca="false">IF($K27=0,0,OPERATIONS!$Q27*$K27)</f>
        <v>0</v>
      </c>
      <c r="M27" s="26" t="str">
        <f aca="false">IF($K27=0,"",OPERATIONS!$P27)</f>
        <v/>
      </c>
      <c r="N27" s="26" t="str">
        <f aca="false">IF($G27="","",IF($G27=R_LOT,COUNTIF($G$5:$G27,R_LOT),""))</f>
        <v/>
      </c>
    </row>
    <row r="28" customFormat="false" ht="15" hidden="false" customHeight="false" outlineLevel="0" collapsed="false">
      <c r="A28" s="28" t="str">
        <f aca="false">IF($K28=0,"",ROW()-4)</f>
        <v/>
      </c>
      <c r="B28" s="26" t="str">
        <f aca="false">IF($K28=0,"","OPERATIONS")</f>
        <v/>
      </c>
      <c r="C28" s="26" t="str">
        <f aca="false">IF($K28=0,"",OPERATIONS!$A28)</f>
        <v/>
      </c>
      <c r="D28" s="31" t="str">
        <f aca="false">IF($K28=0,"",OPERATIONS!$B28)</f>
        <v/>
      </c>
      <c r="E28" s="26" t="str">
        <f aca="false">IF($K28=0,"","SORTIE")</f>
        <v/>
      </c>
      <c r="F28" s="26" t="str">
        <f aca="false">IF($K28=0,"",OPERATIONS!$C28)</f>
        <v/>
      </c>
      <c r="G28" s="26" t="str">
        <f aca="false">IF($K28=0,"",OPERATIONS!$D28)</f>
        <v/>
      </c>
      <c r="H28" s="26" t="str">
        <f aca="false">IF($K28=0,"",OPERATIONS!$E28)</f>
        <v/>
      </c>
      <c r="I28" s="26" t="str">
        <f aca="false">IF($H28="","",IFERROR(INDEX(EMPL_CLASSE,MATCH($H28,EMPL_KEY,0)),""))</f>
        <v/>
      </c>
      <c r="J28" s="26" t="str">
        <f aca="false">IF($K28=0,"",OPERATIONS!$J28)</f>
        <v/>
      </c>
      <c r="K28" s="67" t="n">
        <f aca="false">IF(OR(OPERATIONS!$N28=0,OPERATIONS!$C28="RECEPTION"),0,-OPERATIONS!$G28)</f>
        <v>0</v>
      </c>
      <c r="L28" s="67" t="n">
        <f aca="false">IF($K28=0,0,OPERATIONS!$Q28*$K28)</f>
        <v>0</v>
      </c>
      <c r="M28" s="26" t="str">
        <f aca="false">IF($K28=0,"",OPERATIONS!$P28)</f>
        <v/>
      </c>
      <c r="N28" s="26" t="str">
        <f aca="false">IF($G28="","",IF($G28=R_LOT,COUNTIF($G$5:$G28,R_LOT),""))</f>
        <v/>
      </c>
    </row>
    <row r="29" customFormat="false" ht="15" hidden="false" customHeight="false" outlineLevel="0" collapsed="false">
      <c r="A29" s="28" t="str">
        <f aca="false">IF($K29=0,"",ROW()-4)</f>
        <v/>
      </c>
      <c r="B29" s="26" t="str">
        <f aca="false">IF($K29=0,"","OPERATIONS")</f>
        <v/>
      </c>
      <c r="C29" s="26" t="str">
        <f aca="false">IF($K29=0,"",OPERATIONS!$A29)</f>
        <v/>
      </c>
      <c r="D29" s="31" t="str">
        <f aca="false">IF($K29=0,"",OPERATIONS!$B29)</f>
        <v/>
      </c>
      <c r="E29" s="26" t="str">
        <f aca="false">IF($K29=0,"","SORTIE")</f>
        <v/>
      </c>
      <c r="F29" s="26" t="str">
        <f aca="false">IF($K29=0,"",OPERATIONS!$C29)</f>
        <v/>
      </c>
      <c r="G29" s="26" t="str">
        <f aca="false">IF($K29=0,"",OPERATIONS!$D29)</f>
        <v/>
      </c>
      <c r="H29" s="26" t="str">
        <f aca="false">IF($K29=0,"",OPERATIONS!$E29)</f>
        <v/>
      </c>
      <c r="I29" s="26" t="str">
        <f aca="false">IF($H29="","",IFERROR(INDEX(EMPL_CLASSE,MATCH($H29,EMPL_KEY,0)),""))</f>
        <v/>
      </c>
      <c r="J29" s="26" t="str">
        <f aca="false">IF($K29=0,"",OPERATIONS!$J29)</f>
        <v/>
      </c>
      <c r="K29" s="67" t="n">
        <f aca="false">IF(OR(OPERATIONS!$N29=0,OPERATIONS!$C29="RECEPTION"),0,-OPERATIONS!$G29)</f>
        <v>0</v>
      </c>
      <c r="L29" s="67" t="n">
        <f aca="false">IF($K29=0,0,OPERATIONS!$Q29*$K29)</f>
        <v>0</v>
      </c>
      <c r="M29" s="26" t="str">
        <f aca="false">IF($K29=0,"",OPERATIONS!$P29)</f>
        <v/>
      </c>
      <c r="N29" s="26" t="str">
        <f aca="false">IF($G29="","",IF($G29=R_LOT,COUNTIF($G$5:$G29,R_LOT),""))</f>
        <v/>
      </c>
    </row>
    <row r="30" customFormat="false" ht="15" hidden="false" customHeight="false" outlineLevel="0" collapsed="false">
      <c r="A30" s="28" t="str">
        <f aca="false">IF($K30=0,"",ROW()-4)</f>
        <v/>
      </c>
      <c r="B30" s="26" t="str">
        <f aca="false">IF($K30=0,"","OPERATIONS")</f>
        <v/>
      </c>
      <c r="C30" s="26" t="str">
        <f aca="false">IF($K30=0,"",OPERATIONS!$A30)</f>
        <v/>
      </c>
      <c r="D30" s="31" t="str">
        <f aca="false">IF($K30=0,"",OPERATIONS!$B30)</f>
        <v/>
      </c>
      <c r="E30" s="26" t="str">
        <f aca="false">IF($K30=0,"","SORTIE")</f>
        <v/>
      </c>
      <c r="F30" s="26" t="str">
        <f aca="false">IF($K30=0,"",OPERATIONS!$C30)</f>
        <v/>
      </c>
      <c r="G30" s="26" t="str">
        <f aca="false">IF($K30=0,"",OPERATIONS!$D30)</f>
        <v/>
      </c>
      <c r="H30" s="26" t="str">
        <f aca="false">IF($K30=0,"",OPERATIONS!$E30)</f>
        <v/>
      </c>
      <c r="I30" s="26" t="str">
        <f aca="false">IF($H30="","",IFERROR(INDEX(EMPL_CLASSE,MATCH($H30,EMPL_KEY,0)),""))</f>
        <v/>
      </c>
      <c r="J30" s="26" t="str">
        <f aca="false">IF($K30=0,"",OPERATIONS!$J30)</f>
        <v/>
      </c>
      <c r="K30" s="67" t="n">
        <f aca="false">IF(OR(OPERATIONS!$N30=0,OPERATIONS!$C30="RECEPTION"),0,-OPERATIONS!$G30)</f>
        <v>0</v>
      </c>
      <c r="L30" s="67" t="n">
        <f aca="false">IF($K30=0,0,OPERATIONS!$Q30*$K30)</f>
        <v>0</v>
      </c>
      <c r="M30" s="26" t="str">
        <f aca="false">IF($K30=0,"",OPERATIONS!$P30)</f>
        <v/>
      </c>
      <c r="N30" s="26" t="str">
        <f aca="false">IF($G30="","",IF($G30=R_LOT,COUNTIF($G$5:$G30,R_LOT),""))</f>
        <v/>
      </c>
    </row>
    <row r="31" customFormat="false" ht="15" hidden="false" customHeight="false" outlineLevel="0" collapsed="false">
      <c r="A31" s="28" t="str">
        <f aca="false">IF($K31=0,"",ROW()-4)</f>
        <v/>
      </c>
      <c r="B31" s="26" t="str">
        <f aca="false">IF($K31=0,"","OPERATIONS")</f>
        <v/>
      </c>
      <c r="C31" s="26" t="str">
        <f aca="false">IF($K31=0,"",OPERATIONS!$A31)</f>
        <v/>
      </c>
      <c r="D31" s="31" t="str">
        <f aca="false">IF($K31=0,"",OPERATIONS!$B31)</f>
        <v/>
      </c>
      <c r="E31" s="26" t="str">
        <f aca="false">IF($K31=0,"","SORTIE")</f>
        <v/>
      </c>
      <c r="F31" s="26" t="str">
        <f aca="false">IF($K31=0,"",OPERATIONS!$C31)</f>
        <v/>
      </c>
      <c r="G31" s="26" t="str">
        <f aca="false">IF($K31=0,"",OPERATIONS!$D31)</f>
        <v/>
      </c>
      <c r="H31" s="26" t="str">
        <f aca="false">IF($K31=0,"",OPERATIONS!$E31)</f>
        <v/>
      </c>
      <c r="I31" s="26" t="str">
        <f aca="false">IF($H31="","",IFERROR(INDEX(EMPL_CLASSE,MATCH($H31,EMPL_KEY,0)),""))</f>
        <v/>
      </c>
      <c r="J31" s="26" t="str">
        <f aca="false">IF($K31=0,"",OPERATIONS!$J31)</f>
        <v/>
      </c>
      <c r="K31" s="67" t="n">
        <f aca="false">IF(OR(OPERATIONS!$N31=0,OPERATIONS!$C31="RECEPTION"),0,-OPERATIONS!$G31)</f>
        <v>0</v>
      </c>
      <c r="L31" s="67" t="n">
        <f aca="false">IF($K31=0,0,OPERATIONS!$Q31*$K31)</f>
        <v>0</v>
      </c>
      <c r="M31" s="26" t="str">
        <f aca="false">IF($K31=0,"",OPERATIONS!$P31)</f>
        <v/>
      </c>
      <c r="N31" s="26" t="str">
        <f aca="false">IF($G31="","",IF($G31=R_LOT,COUNTIF($G$5:$G31,R_LOT),""))</f>
        <v/>
      </c>
    </row>
    <row r="32" customFormat="false" ht="15" hidden="false" customHeight="false" outlineLevel="0" collapsed="false">
      <c r="A32" s="28" t="str">
        <f aca="false">IF($K32=0,"",ROW()-4)</f>
        <v/>
      </c>
      <c r="B32" s="26" t="str">
        <f aca="false">IF($K32=0,"","OPERATIONS")</f>
        <v/>
      </c>
      <c r="C32" s="26" t="str">
        <f aca="false">IF($K32=0,"",OPERATIONS!$A32)</f>
        <v/>
      </c>
      <c r="D32" s="31" t="str">
        <f aca="false">IF($K32=0,"",OPERATIONS!$B32)</f>
        <v/>
      </c>
      <c r="E32" s="26" t="str">
        <f aca="false">IF($K32=0,"","SORTIE")</f>
        <v/>
      </c>
      <c r="F32" s="26" t="str">
        <f aca="false">IF($K32=0,"",OPERATIONS!$C32)</f>
        <v/>
      </c>
      <c r="G32" s="26" t="str">
        <f aca="false">IF($K32=0,"",OPERATIONS!$D32)</f>
        <v/>
      </c>
      <c r="H32" s="26" t="str">
        <f aca="false">IF($K32=0,"",OPERATIONS!$E32)</f>
        <v/>
      </c>
      <c r="I32" s="26" t="str">
        <f aca="false">IF($H32="","",IFERROR(INDEX(EMPL_CLASSE,MATCH($H32,EMPL_KEY,0)),""))</f>
        <v/>
      </c>
      <c r="J32" s="26" t="str">
        <f aca="false">IF($K32=0,"",OPERATIONS!$J32)</f>
        <v/>
      </c>
      <c r="K32" s="67" t="n">
        <f aca="false">IF(OR(OPERATIONS!$N32=0,OPERATIONS!$C32="RECEPTION"),0,-OPERATIONS!$G32)</f>
        <v>0</v>
      </c>
      <c r="L32" s="67" t="n">
        <f aca="false">IF($K32=0,0,OPERATIONS!$Q32*$K32)</f>
        <v>0</v>
      </c>
      <c r="M32" s="26" t="str">
        <f aca="false">IF($K32=0,"",OPERATIONS!$P32)</f>
        <v/>
      </c>
      <c r="N32" s="26" t="str">
        <f aca="false">IF($G32="","",IF($G32=R_LOT,COUNTIF($G$5:$G32,R_LOT),""))</f>
        <v/>
      </c>
    </row>
    <row r="33" customFormat="false" ht="15" hidden="false" customHeight="false" outlineLevel="0" collapsed="false">
      <c r="A33" s="28" t="str">
        <f aca="false">IF($K33=0,"",ROW()-4)</f>
        <v/>
      </c>
      <c r="B33" s="26" t="str">
        <f aca="false">IF($K33=0,"","OPERATIONS")</f>
        <v/>
      </c>
      <c r="C33" s="26" t="str">
        <f aca="false">IF($K33=0,"",OPERATIONS!$A33)</f>
        <v/>
      </c>
      <c r="D33" s="31" t="str">
        <f aca="false">IF($K33=0,"",OPERATIONS!$B33)</f>
        <v/>
      </c>
      <c r="E33" s="26" t="str">
        <f aca="false">IF($K33=0,"","SORTIE")</f>
        <v/>
      </c>
      <c r="F33" s="26" t="str">
        <f aca="false">IF($K33=0,"",OPERATIONS!$C33)</f>
        <v/>
      </c>
      <c r="G33" s="26" t="str">
        <f aca="false">IF($K33=0,"",OPERATIONS!$D33)</f>
        <v/>
      </c>
      <c r="H33" s="26" t="str">
        <f aca="false">IF($K33=0,"",OPERATIONS!$E33)</f>
        <v/>
      </c>
      <c r="I33" s="26" t="str">
        <f aca="false">IF($H33="","",IFERROR(INDEX(EMPL_CLASSE,MATCH($H33,EMPL_KEY,0)),""))</f>
        <v/>
      </c>
      <c r="J33" s="26" t="str">
        <f aca="false">IF($K33=0,"",OPERATIONS!$J33)</f>
        <v/>
      </c>
      <c r="K33" s="67" t="n">
        <f aca="false">IF(OR(OPERATIONS!$N33=0,OPERATIONS!$C33="RECEPTION"),0,-OPERATIONS!$G33)</f>
        <v>0</v>
      </c>
      <c r="L33" s="67" t="n">
        <f aca="false">IF($K33=0,0,OPERATIONS!$Q33*$K33)</f>
        <v>0</v>
      </c>
      <c r="M33" s="26" t="str">
        <f aca="false">IF($K33=0,"",OPERATIONS!$P33)</f>
        <v/>
      </c>
      <c r="N33" s="26" t="str">
        <f aca="false">IF($G33="","",IF($G33=R_LOT,COUNTIF($G$5:$G33,R_LOT),""))</f>
        <v/>
      </c>
    </row>
    <row r="34" customFormat="false" ht="15" hidden="false" customHeight="false" outlineLevel="0" collapsed="false">
      <c r="A34" s="28" t="str">
        <f aca="false">IF($K34=0,"",ROW()-4)</f>
        <v/>
      </c>
      <c r="B34" s="26" t="str">
        <f aca="false">IF($K34=0,"","OPERATIONS")</f>
        <v/>
      </c>
      <c r="C34" s="26" t="str">
        <f aca="false">IF($K34=0,"",OPERATIONS!$A34)</f>
        <v/>
      </c>
      <c r="D34" s="31" t="str">
        <f aca="false">IF($K34=0,"",OPERATIONS!$B34)</f>
        <v/>
      </c>
      <c r="E34" s="26" t="str">
        <f aca="false">IF($K34=0,"","SORTIE")</f>
        <v/>
      </c>
      <c r="F34" s="26" t="str">
        <f aca="false">IF($K34=0,"",OPERATIONS!$C34)</f>
        <v/>
      </c>
      <c r="G34" s="26" t="str">
        <f aca="false">IF($K34=0,"",OPERATIONS!$D34)</f>
        <v/>
      </c>
      <c r="H34" s="26" t="str">
        <f aca="false">IF($K34=0,"",OPERATIONS!$E34)</f>
        <v/>
      </c>
      <c r="I34" s="26" t="str">
        <f aca="false">IF($H34="","",IFERROR(INDEX(EMPL_CLASSE,MATCH($H34,EMPL_KEY,0)),""))</f>
        <v/>
      </c>
      <c r="J34" s="26" t="str">
        <f aca="false">IF($K34=0,"",OPERATIONS!$J34)</f>
        <v/>
      </c>
      <c r="K34" s="67" t="n">
        <f aca="false">IF(OR(OPERATIONS!$N34=0,OPERATIONS!$C34="RECEPTION"),0,-OPERATIONS!$G34)</f>
        <v>0</v>
      </c>
      <c r="L34" s="67" t="n">
        <f aca="false">IF($K34=0,0,OPERATIONS!$Q34*$K34)</f>
        <v>0</v>
      </c>
      <c r="M34" s="26" t="str">
        <f aca="false">IF($K34=0,"",OPERATIONS!$P34)</f>
        <v/>
      </c>
      <c r="N34" s="26" t="str">
        <f aca="false">IF($G34="","",IF($G34=R_LOT,COUNTIF($G$5:$G34,R_LOT),""))</f>
        <v/>
      </c>
    </row>
    <row r="35" customFormat="false" ht="15" hidden="false" customHeight="false" outlineLevel="0" collapsed="false">
      <c r="A35" s="28" t="str">
        <f aca="false">IF($K35=0,"",ROW()-4)</f>
        <v/>
      </c>
      <c r="B35" s="26" t="str">
        <f aca="false">IF($K35=0,"","OPERATIONS")</f>
        <v/>
      </c>
      <c r="C35" s="26" t="str">
        <f aca="false">IF($K35=0,"",OPERATIONS!$A35)</f>
        <v/>
      </c>
      <c r="D35" s="31" t="str">
        <f aca="false">IF($K35=0,"",OPERATIONS!$B35)</f>
        <v/>
      </c>
      <c r="E35" s="26" t="str">
        <f aca="false">IF($K35=0,"","SORTIE")</f>
        <v/>
      </c>
      <c r="F35" s="26" t="str">
        <f aca="false">IF($K35=0,"",OPERATIONS!$C35)</f>
        <v/>
      </c>
      <c r="G35" s="26" t="str">
        <f aca="false">IF($K35=0,"",OPERATIONS!$D35)</f>
        <v/>
      </c>
      <c r="H35" s="26" t="str">
        <f aca="false">IF($K35=0,"",OPERATIONS!$E35)</f>
        <v/>
      </c>
      <c r="I35" s="26" t="str">
        <f aca="false">IF($H35="","",IFERROR(INDEX(EMPL_CLASSE,MATCH($H35,EMPL_KEY,0)),""))</f>
        <v/>
      </c>
      <c r="J35" s="26" t="str">
        <f aca="false">IF($K35=0,"",OPERATIONS!$J35)</f>
        <v/>
      </c>
      <c r="K35" s="67" t="n">
        <f aca="false">IF(OR(OPERATIONS!$N35=0,OPERATIONS!$C35="RECEPTION"),0,-OPERATIONS!$G35)</f>
        <v>0</v>
      </c>
      <c r="L35" s="67" t="n">
        <f aca="false">IF($K35=0,0,OPERATIONS!$Q35*$K35)</f>
        <v>0</v>
      </c>
      <c r="M35" s="26" t="str">
        <f aca="false">IF($K35=0,"",OPERATIONS!$P35)</f>
        <v/>
      </c>
      <c r="N35" s="26" t="str">
        <f aca="false">IF($G35="","",IF($G35=R_LOT,COUNTIF($G$5:$G35,R_LOT),""))</f>
        <v/>
      </c>
    </row>
    <row r="36" customFormat="false" ht="15" hidden="false" customHeight="false" outlineLevel="0" collapsed="false">
      <c r="A36" s="28" t="str">
        <f aca="false">IF($K36=0,"",ROW()-4)</f>
        <v/>
      </c>
      <c r="B36" s="26" t="str">
        <f aca="false">IF($K36=0,"","OPERATIONS")</f>
        <v/>
      </c>
      <c r="C36" s="26" t="str">
        <f aca="false">IF($K36=0,"",OPERATIONS!$A36)</f>
        <v/>
      </c>
      <c r="D36" s="31" t="str">
        <f aca="false">IF($K36=0,"",OPERATIONS!$B36)</f>
        <v/>
      </c>
      <c r="E36" s="26" t="str">
        <f aca="false">IF($K36=0,"","SORTIE")</f>
        <v/>
      </c>
      <c r="F36" s="26" t="str">
        <f aca="false">IF($K36=0,"",OPERATIONS!$C36)</f>
        <v/>
      </c>
      <c r="G36" s="26" t="str">
        <f aca="false">IF($K36=0,"",OPERATIONS!$D36)</f>
        <v/>
      </c>
      <c r="H36" s="26" t="str">
        <f aca="false">IF($K36=0,"",OPERATIONS!$E36)</f>
        <v/>
      </c>
      <c r="I36" s="26" t="str">
        <f aca="false">IF($H36="","",IFERROR(INDEX(EMPL_CLASSE,MATCH($H36,EMPL_KEY,0)),""))</f>
        <v/>
      </c>
      <c r="J36" s="26" t="str">
        <f aca="false">IF($K36=0,"",OPERATIONS!$J36)</f>
        <v/>
      </c>
      <c r="K36" s="67" t="n">
        <f aca="false">IF(OR(OPERATIONS!$N36=0,OPERATIONS!$C36="RECEPTION"),0,-OPERATIONS!$G36)</f>
        <v>0</v>
      </c>
      <c r="L36" s="67" t="n">
        <f aca="false">IF($K36=0,0,OPERATIONS!$Q36*$K36)</f>
        <v>0</v>
      </c>
      <c r="M36" s="26" t="str">
        <f aca="false">IF($K36=0,"",OPERATIONS!$P36)</f>
        <v/>
      </c>
      <c r="N36" s="26" t="str">
        <f aca="false">IF($G36="","",IF($G36=R_LOT,COUNTIF($G$5:$G36,R_LOT),""))</f>
        <v/>
      </c>
    </row>
    <row r="37" customFormat="false" ht="15" hidden="false" customHeight="false" outlineLevel="0" collapsed="false">
      <c r="A37" s="28" t="str">
        <f aca="false">IF($K37=0,"",ROW()-4)</f>
        <v/>
      </c>
      <c r="B37" s="26" t="str">
        <f aca="false">IF($K37=0,"","OPERATIONS")</f>
        <v/>
      </c>
      <c r="C37" s="26" t="str">
        <f aca="false">IF($K37=0,"",OPERATIONS!$A37)</f>
        <v/>
      </c>
      <c r="D37" s="31" t="str">
        <f aca="false">IF($K37=0,"",OPERATIONS!$B37)</f>
        <v/>
      </c>
      <c r="E37" s="26" t="str">
        <f aca="false">IF($K37=0,"","SORTIE")</f>
        <v/>
      </c>
      <c r="F37" s="26" t="str">
        <f aca="false">IF($K37=0,"",OPERATIONS!$C37)</f>
        <v/>
      </c>
      <c r="G37" s="26" t="str">
        <f aca="false">IF($K37=0,"",OPERATIONS!$D37)</f>
        <v/>
      </c>
      <c r="H37" s="26" t="str">
        <f aca="false">IF($K37=0,"",OPERATIONS!$E37)</f>
        <v/>
      </c>
      <c r="I37" s="26" t="str">
        <f aca="false">IF($H37="","",IFERROR(INDEX(EMPL_CLASSE,MATCH($H37,EMPL_KEY,0)),""))</f>
        <v/>
      </c>
      <c r="J37" s="26" t="str">
        <f aca="false">IF($K37=0,"",OPERATIONS!$J37)</f>
        <v/>
      </c>
      <c r="K37" s="67" t="n">
        <f aca="false">IF(OR(OPERATIONS!$N37=0,OPERATIONS!$C37="RECEPTION"),0,-OPERATIONS!$G37)</f>
        <v>0</v>
      </c>
      <c r="L37" s="67" t="n">
        <f aca="false">IF($K37=0,0,OPERATIONS!$Q37*$K37)</f>
        <v>0</v>
      </c>
      <c r="M37" s="26" t="str">
        <f aca="false">IF($K37=0,"",OPERATIONS!$P37)</f>
        <v/>
      </c>
      <c r="N37" s="26" t="str">
        <f aca="false">IF($G37="","",IF($G37=R_LOT,COUNTIF($G$5:$G37,R_LOT),""))</f>
        <v/>
      </c>
    </row>
    <row r="38" customFormat="false" ht="15" hidden="false" customHeight="false" outlineLevel="0" collapsed="false">
      <c r="A38" s="28" t="str">
        <f aca="false">IF($K38=0,"",ROW()-4)</f>
        <v/>
      </c>
      <c r="B38" s="26" t="str">
        <f aca="false">IF($K38=0,"","OPERATIONS")</f>
        <v/>
      </c>
      <c r="C38" s="26" t="str">
        <f aca="false">IF($K38=0,"",OPERATIONS!$A38)</f>
        <v/>
      </c>
      <c r="D38" s="31" t="str">
        <f aca="false">IF($K38=0,"",OPERATIONS!$B38)</f>
        <v/>
      </c>
      <c r="E38" s="26" t="str">
        <f aca="false">IF($K38=0,"","SORTIE")</f>
        <v/>
      </c>
      <c r="F38" s="26" t="str">
        <f aca="false">IF($K38=0,"",OPERATIONS!$C38)</f>
        <v/>
      </c>
      <c r="G38" s="26" t="str">
        <f aca="false">IF($K38=0,"",OPERATIONS!$D38)</f>
        <v/>
      </c>
      <c r="H38" s="26" t="str">
        <f aca="false">IF($K38=0,"",OPERATIONS!$E38)</f>
        <v/>
      </c>
      <c r="I38" s="26" t="str">
        <f aca="false">IF($H38="","",IFERROR(INDEX(EMPL_CLASSE,MATCH($H38,EMPL_KEY,0)),""))</f>
        <v/>
      </c>
      <c r="J38" s="26" t="str">
        <f aca="false">IF($K38=0,"",OPERATIONS!$J38)</f>
        <v/>
      </c>
      <c r="K38" s="67" t="n">
        <f aca="false">IF(OR(OPERATIONS!$N38=0,OPERATIONS!$C38="RECEPTION"),0,-OPERATIONS!$G38)</f>
        <v>0</v>
      </c>
      <c r="L38" s="67" t="n">
        <f aca="false">IF($K38=0,0,OPERATIONS!$Q38*$K38)</f>
        <v>0</v>
      </c>
      <c r="M38" s="26" t="str">
        <f aca="false">IF($K38=0,"",OPERATIONS!$P38)</f>
        <v/>
      </c>
      <c r="N38" s="26" t="str">
        <f aca="false">IF($G38="","",IF($G38=R_LOT,COUNTIF($G$5:$G38,R_LOT),""))</f>
        <v/>
      </c>
    </row>
    <row r="39" customFormat="false" ht="15" hidden="false" customHeight="false" outlineLevel="0" collapsed="false">
      <c r="A39" s="28" t="str">
        <f aca="false">IF($K39=0,"",ROW()-4)</f>
        <v/>
      </c>
      <c r="B39" s="26" t="str">
        <f aca="false">IF($K39=0,"","OPERATIONS")</f>
        <v/>
      </c>
      <c r="C39" s="26" t="str">
        <f aca="false">IF($K39=0,"",OPERATIONS!$A39)</f>
        <v/>
      </c>
      <c r="D39" s="31" t="str">
        <f aca="false">IF($K39=0,"",OPERATIONS!$B39)</f>
        <v/>
      </c>
      <c r="E39" s="26" t="str">
        <f aca="false">IF($K39=0,"","SORTIE")</f>
        <v/>
      </c>
      <c r="F39" s="26" t="str">
        <f aca="false">IF($K39=0,"",OPERATIONS!$C39)</f>
        <v/>
      </c>
      <c r="G39" s="26" t="str">
        <f aca="false">IF($K39=0,"",OPERATIONS!$D39)</f>
        <v/>
      </c>
      <c r="H39" s="26" t="str">
        <f aca="false">IF($K39=0,"",OPERATIONS!$E39)</f>
        <v/>
      </c>
      <c r="I39" s="26" t="str">
        <f aca="false">IF($H39="","",IFERROR(INDEX(EMPL_CLASSE,MATCH($H39,EMPL_KEY,0)),""))</f>
        <v/>
      </c>
      <c r="J39" s="26" t="str">
        <f aca="false">IF($K39=0,"",OPERATIONS!$J39)</f>
        <v/>
      </c>
      <c r="K39" s="67" t="n">
        <f aca="false">IF(OR(OPERATIONS!$N39=0,OPERATIONS!$C39="RECEPTION"),0,-OPERATIONS!$G39)</f>
        <v>0</v>
      </c>
      <c r="L39" s="67" t="n">
        <f aca="false">IF($K39=0,0,OPERATIONS!$Q39*$K39)</f>
        <v>0</v>
      </c>
      <c r="M39" s="26" t="str">
        <f aca="false">IF($K39=0,"",OPERATIONS!$P39)</f>
        <v/>
      </c>
      <c r="N39" s="26" t="str">
        <f aca="false">IF($G39="","",IF($G39=R_LOT,COUNTIF($G$5:$G39,R_LOT),""))</f>
        <v/>
      </c>
    </row>
    <row r="40" customFormat="false" ht="15" hidden="false" customHeight="false" outlineLevel="0" collapsed="false">
      <c r="A40" s="28" t="str">
        <f aca="false">IF($K40=0,"",ROW()-4)</f>
        <v/>
      </c>
      <c r="B40" s="26" t="str">
        <f aca="false">IF($K40=0,"","OPERATIONS")</f>
        <v/>
      </c>
      <c r="C40" s="26" t="str">
        <f aca="false">IF($K40=0,"",OPERATIONS!$A40)</f>
        <v/>
      </c>
      <c r="D40" s="31" t="str">
        <f aca="false">IF($K40=0,"",OPERATIONS!$B40)</f>
        <v/>
      </c>
      <c r="E40" s="26" t="str">
        <f aca="false">IF($K40=0,"","SORTIE")</f>
        <v/>
      </c>
      <c r="F40" s="26" t="str">
        <f aca="false">IF($K40=0,"",OPERATIONS!$C40)</f>
        <v/>
      </c>
      <c r="G40" s="26" t="str">
        <f aca="false">IF($K40=0,"",OPERATIONS!$D40)</f>
        <v/>
      </c>
      <c r="H40" s="26" t="str">
        <f aca="false">IF($K40=0,"",OPERATIONS!$E40)</f>
        <v/>
      </c>
      <c r="I40" s="26" t="str">
        <f aca="false">IF($H40="","",IFERROR(INDEX(EMPL_CLASSE,MATCH($H40,EMPL_KEY,0)),""))</f>
        <v/>
      </c>
      <c r="J40" s="26" t="str">
        <f aca="false">IF($K40=0,"",OPERATIONS!$J40)</f>
        <v/>
      </c>
      <c r="K40" s="67" t="n">
        <f aca="false">IF(OR(OPERATIONS!$N40=0,OPERATIONS!$C40="RECEPTION"),0,-OPERATIONS!$G40)</f>
        <v>0</v>
      </c>
      <c r="L40" s="67" t="n">
        <f aca="false">IF($K40=0,0,OPERATIONS!$Q40*$K40)</f>
        <v>0</v>
      </c>
      <c r="M40" s="26" t="str">
        <f aca="false">IF($K40=0,"",OPERATIONS!$P40)</f>
        <v/>
      </c>
      <c r="N40" s="26" t="str">
        <f aca="false">IF($G40="","",IF($G40=R_LOT,COUNTIF($G$5:$G40,R_LOT),""))</f>
        <v/>
      </c>
    </row>
    <row r="41" customFormat="false" ht="15" hidden="false" customHeight="false" outlineLevel="0" collapsed="false">
      <c r="A41" s="28" t="str">
        <f aca="false">IF($K41=0,"",ROW()-4)</f>
        <v/>
      </c>
      <c r="B41" s="26" t="str">
        <f aca="false">IF($K41=0,"","OPERATIONS")</f>
        <v/>
      </c>
      <c r="C41" s="26" t="str">
        <f aca="false">IF($K41=0,"",OPERATIONS!$A41)</f>
        <v/>
      </c>
      <c r="D41" s="31" t="str">
        <f aca="false">IF($K41=0,"",OPERATIONS!$B41)</f>
        <v/>
      </c>
      <c r="E41" s="26" t="str">
        <f aca="false">IF($K41=0,"","SORTIE")</f>
        <v/>
      </c>
      <c r="F41" s="26" t="str">
        <f aca="false">IF($K41=0,"",OPERATIONS!$C41)</f>
        <v/>
      </c>
      <c r="G41" s="26" t="str">
        <f aca="false">IF($K41=0,"",OPERATIONS!$D41)</f>
        <v/>
      </c>
      <c r="H41" s="26" t="str">
        <f aca="false">IF($K41=0,"",OPERATIONS!$E41)</f>
        <v/>
      </c>
      <c r="I41" s="26" t="str">
        <f aca="false">IF($H41="","",IFERROR(INDEX(EMPL_CLASSE,MATCH($H41,EMPL_KEY,0)),""))</f>
        <v/>
      </c>
      <c r="J41" s="26" t="str">
        <f aca="false">IF($K41=0,"",OPERATIONS!$J41)</f>
        <v/>
      </c>
      <c r="K41" s="67" t="n">
        <f aca="false">IF(OR(OPERATIONS!$N41=0,OPERATIONS!$C41="RECEPTION"),0,-OPERATIONS!$G41)</f>
        <v>0</v>
      </c>
      <c r="L41" s="67" t="n">
        <f aca="false">IF($K41=0,0,OPERATIONS!$Q41*$K41)</f>
        <v>0</v>
      </c>
      <c r="M41" s="26" t="str">
        <f aca="false">IF($K41=0,"",OPERATIONS!$P41)</f>
        <v/>
      </c>
      <c r="N41" s="26" t="str">
        <f aca="false">IF($G41="","",IF($G41=R_LOT,COUNTIF($G$5:$G41,R_LOT),""))</f>
        <v/>
      </c>
    </row>
    <row r="42" customFormat="false" ht="15" hidden="false" customHeight="false" outlineLevel="0" collapsed="false">
      <c r="A42" s="28" t="str">
        <f aca="false">IF($K42=0,"",ROW()-4)</f>
        <v/>
      </c>
      <c r="B42" s="26" t="str">
        <f aca="false">IF($K42=0,"","OPERATIONS")</f>
        <v/>
      </c>
      <c r="C42" s="26" t="str">
        <f aca="false">IF($K42=0,"",OPERATIONS!$A42)</f>
        <v/>
      </c>
      <c r="D42" s="31" t="str">
        <f aca="false">IF($K42=0,"",OPERATIONS!$B42)</f>
        <v/>
      </c>
      <c r="E42" s="26" t="str">
        <f aca="false">IF($K42=0,"","SORTIE")</f>
        <v/>
      </c>
      <c r="F42" s="26" t="str">
        <f aca="false">IF($K42=0,"",OPERATIONS!$C42)</f>
        <v/>
      </c>
      <c r="G42" s="26" t="str">
        <f aca="false">IF($K42=0,"",OPERATIONS!$D42)</f>
        <v/>
      </c>
      <c r="H42" s="26" t="str">
        <f aca="false">IF($K42=0,"",OPERATIONS!$E42)</f>
        <v/>
      </c>
      <c r="I42" s="26" t="str">
        <f aca="false">IF($H42="","",IFERROR(INDEX(EMPL_CLASSE,MATCH($H42,EMPL_KEY,0)),""))</f>
        <v/>
      </c>
      <c r="J42" s="26" t="str">
        <f aca="false">IF($K42=0,"",OPERATIONS!$J42)</f>
        <v/>
      </c>
      <c r="K42" s="67" t="n">
        <f aca="false">IF(OR(OPERATIONS!$N42=0,OPERATIONS!$C42="RECEPTION"),0,-OPERATIONS!$G42)</f>
        <v>0</v>
      </c>
      <c r="L42" s="67" t="n">
        <f aca="false">IF($K42=0,0,OPERATIONS!$Q42*$K42)</f>
        <v>0</v>
      </c>
      <c r="M42" s="26" t="str">
        <f aca="false">IF($K42=0,"",OPERATIONS!$P42)</f>
        <v/>
      </c>
      <c r="N42" s="26" t="str">
        <f aca="false">IF($G42="","",IF($G42=R_LOT,COUNTIF($G$5:$G42,R_LOT),""))</f>
        <v/>
      </c>
    </row>
    <row r="43" customFormat="false" ht="15" hidden="false" customHeight="false" outlineLevel="0" collapsed="false">
      <c r="A43" s="28" t="str">
        <f aca="false">IF($K43=0,"",ROW()-4)</f>
        <v/>
      </c>
      <c r="B43" s="26" t="str">
        <f aca="false">IF($K43=0,"","OPERATIONS")</f>
        <v/>
      </c>
      <c r="C43" s="26" t="str">
        <f aca="false">IF($K43=0,"",OPERATIONS!$A43)</f>
        <v/>
      </c>
      <c r="D43" s="31" t="str">
        <f aca="false">IF($K43=0,"",OPERATIONS!$B43)</f>
        <v/>
      </c>
      <c r="E43" s="26" t="str">
        <f aca="false">IF($K43=0,"","SORTIE")</f>
        <v/>
      </c>
      <c r="F43" s="26" t="str">
        <f aca="false">IF($K43=0,"",OPERATIONS!$C43)</f>
        <v/>
      </c>
      <c r="G43" s="26" t="str">
        <f aca="false">IF($K43=0,"",OPERATIONS!$D43)</f>
        <v/>
      </c>
      <c r="H43" s="26" t="str">
        <f aca="false">IF($K43=0,"",OPERATIONS!$E43)</f>
        <v/>
      </c>
      <c r="I43" s="26" t="str">
        <f aca="false">IF($H43="","",IFERROR(INDEX(EMPL_CLASSE,MATCH($H43,EMPL_KEY,0)),""))</f>
        <v/>
      </c>
      <c r="J43" s="26" t="str">
        <f aca="false">IF($K43=0,"",OPERATIONS!$J43)</f>
        <v/>
      </c>
      <c r="K43" s="67" t="n">
        <f aca="false">IF(OR(OPERATIONS!$N43=0,OPERATIONS!$C43="RECEPTION"),0,-OPERATIONS!$G43)</f>
        <v>0</v>
      </c>
      <c r="L43" s="67" t="n">
        <f aca="false">IF($K43=0,0,OPERATIONS!$Q43*$K43)</f>
        <v>0</v>
      </c>
      <c r="M43" s="26" t="str">
        <f aca="false">IF($K43=0,"",OPERATIONS!$P43)</f>
        <v/>
      </c>
      <c r="N43" s="26" t="str">
        <f aca="false">IF($G43="","",IF($G43=R_LOT,COUNTIF($G$5:$G43,R_LOT),""))</f>
        <v/>
      </c>
    </row>
    <row r="44" customFormat="false" ht="15" hidden="false" customHeight="false" outlineLevel="0" collapsed="false">
      <c r="A44" s="28" t="str">
        <f aca="false">IF($K44=0,"",ROW()-4)</f>
        <v/>
      </c>
      <c r="B44" s="26" t="str">
        <f aca="false">IF($K44=0,"","OPERATIONS")</f>
        <v/>
      </c>
      <c r="C44" s="26" t="str">
        <f aca="false">IF($K44=0,"",OPERATIONS!$A44)</f>
        <v/>
      </c>
      <c r="D44" s="31" t="str">
        <f aca="false">IF($K44=0,"",OPERATIONS!$B44)</f>
        <v/>
      </c>
      <c r="E44" s="26" t="str">
        <f aca="false">IF($K44=0,"","SORTIE")</f>
        <v/>
      </c>
      <c r="F44" s="26" t="str">
        <f aca="false">IF($K44=0,"",OPERATIONS!$C44)</f>
        <v/>
      </c>
      <c r="G44" s="26" t="str">
        <f aca="false">IF($K44=0,"",OPERATIONS!$D44)</f>
        <v/>
      </c>
      <c r="H44" s="26" t="str">
        <f aca="false">IF($K44=0,"",OPERATIONS!$E44)</f>
        <v/>
      </c>
      <c r="I44" s="26" t="str">
        <f aca="false">IF($H44="","",IFERROR(INDEX(EMPL_CLASSE,MATCH($H44,EMPL_KEY,0)),""))</f>
        <v/>
      </c>
      <c r="J44" s="26" t="str">
        <f aca="false">IF($K44=0,"",OPERATIONS!$J44)</f>
        <v/>
      </c>
      <c r="K44" s="67" t="n">
        <f aca="false">IF(OR(OPERATIONS!$N44=0,OPERATIONS!$C44="RECEPTION"),0,-OPERATIONS!$G44)</f>
        <v>0</v>
      </c>
      <c r="L44" s="67" t="n">
        <f aca="false">IF($K44=0,0,OPERATIONS!$Q44*$K44)</f>
        <v>0</v>
      </c>
      <c r="M44" s="26" t="str">
        <f aca="false">IF($K44=0,"",OPERATIONS!$P44)</f>
        <v/>
      </c>
      <c r="N44" s="26" t="str">
        <f aca="false">IF($G44="","",IF($G44=R_LOT,COUNTIF($G$5:$G44,R_LOT),""))</f>
        <v/>
      </c>
    </row>
    <row r="45" customFormat="false" ht="15" hidden="false" customHeight="false" outlineLevel="0" collapsed="false">
      <c r="A45" s="28" t="str">
        <f aca="false">IF($K45=0,"",ROW()-4)</f>
        <v/>
      </c>
      <c r="B45" s="26" t="str">
        <f aca="false">IF($K45=0,"","OPERATIONS")</f>
        <v/>
      </c>
      <c r="C45" s="26" t="str">
        <f aca="false">IF($K45=0,"",OPERATIONS!$A45)</f>
        <v/>
      </c>
      <c r="D45" s="31" t="str">
        <f aca="false">IF($K45=0,"",OPERATIONS!$B45)</f>
        <v/>
      </c>
      <c r="E45" s="26" t="str">
        <f aca="false">IF($K45=0,"","SORTIE")</f>
        <v/>
      </c>
      <c r="F45" s="26" t="str">
        <f aca="false">IF($K45=0,"",OPERATIONS!$C45)</f>
        <v/>
      </c>
      <c r="G45" s="26" t="str">
        <f aca="false">IF($K45=0,"",OPERATIONS!$D45)</f>
        <v/>
      </c>
      <c r="H45" s="26" t="str">
        <f aca="false">IF($K45=0,"",OPERATIONS!$E45)</f>
        <v/>
      </c>
      <c r="I45" s="26" t="str">
        <f aca="false">IF($H45="","",IFERROR(INDEX(EMPL_CLASSE,MATCH($H45,EMPL_KEY,0)),""))</f>
        <v/>
      </c>
      <c r="J45" s="26" t="str">
        <f aca="false">IF($K45=0,"",OPERATIONS!$J45)</f>
        <v/>
      </c>
      <c r="K45" s="67" t="n">
        <f aca="false">IF(OR(OPERATIONS!$N45=0,OPERATIONS!$C45="RECEPTION"),0,-OPERATIONS!$G45)</f>
        <v>0</v>
      </c>
      <c r="L45" s="67" t="n">
        <f aca="false">IF($K45=0,0,OPERATIONS!$Q45*$K45)</f>
        <v>0</v>
      </c>
      <c r="M45" s="26" t="str">
        <f aca="false">IF($K45=0,"",OPERATIONS!$P45)</f>
        <v/>
      </c>
      <c r="N45" s="26" t="str">
        <f aca="false">IF($G45="","",IF($G45=R_LOT,COUNTIF($G$5:$G45,R_LOT),""))</f>
        <v/>
      </c>
    </row>
    <row r="46" customFormat="false" ht="15" hidden="false" customHeight="false" outlineLevel="0" collapsed="false">
      <c r="A46" s="28" t="str">
        <f aca="false">IF($K46=0,"",ROW()-4)</f>
        <v/>
      </c>
      <c r="B46" s="26" t="str">
        <f aca="false">IF($K46=0,"","OPERATIONS")</f>
        <v/>
      </c>
      <c r="C46" s="26" t="str">
        <f aca="false">IF($K46=0,"",OPERATIONS!$A46)</f>
        <v/>
      </c>
      <c r="D46" s="31" t="str">
        <f aca="false">IF($K46=0,"",OPERATIONS!$B46)</f>
        <v/>
      </c>
      <c r="E46" s="26" t="str">
        <f aca="false">IF($K46=0,"","SORTIE")</f>
        <v/>
      </c>
      <c r="F46" s="26" t="str">
        <f aca="false">IF($K46=0,"",OPERATIONS!$C46)</f>
        <v/>
      </c>
      <c r="G46" s="26" t="str">
        <f aca="false">IF($K46=0,"",OPERATIONS!$D46)</f>
        <v/>
      </c>
      <c r="H46" s="26" t="str">
        <f aca="false">IF($K46=0,"",OPERATIONS!$E46)</f>
        <v/>
      </c>
      <c r="I46" s="26" t="str">
        <f aca="false">IF($H46="","",IFERROR(INDEX(EMPL_CLASSE,MATCH($H46,EMPL_KEY,0)),""))</f>
        <v/>
      </c>
      <c r="J46" s="26" t="str">
        <f aca="false">IF($K46=0,"",OPERATIONS!$J46)</f>
        <v/>
      </c>
      <c r="K46" s="67" t="n">
        <f aca="false">IF(OR(OPERATIONS!$N46=0,OPERATIONS!$C46="RECEPTION"),0,-OPERATIONS!$G46)</f>
        <v>0</v>
      </c>
      <c r="L46" s="67" t="n">
        <f aca="false">IF($K46=0,0,OPERATIONS!$Q46*$K46)</f>
        <v>0</v>
      </c>
      <c r="M46" s="26" t="str">
        <f aca="false">IF($K46=0,"",OPERATIONS!$P46)</f>
        <v/>
      </c>
      <c r="N46" s="26" t="str">
        <f aca="false">IF($G46="","",IF($G46=R_LOT,COUNTIF($G$5:$G46,R_LOT),""))</f>
        <v/>
      </c>
    </row>
    <row r="47" customFormat="false" ht="15" hidden="false" customHeight="false" outlineLevel="0" collapsed="false">
      <c r="A47" s="28" t="str">
        <f aca="false">IF($K47=0,"",ROW()-4)</f>
        <v/>
      </c>
      <c r="B47" s="26" t="str">
        <f aca="false">IF($K47=0,"","OPERATIONS")</f>
        <v/>
      </c>
      <c r="C47" s="26" t="str">
        <f aca="false">IF($K47=0,"",OPERATIONS!$A47)</f>
        <v/>
      </c>
      <c r="D47" s="31" t="str">
        <f aca="false">IF($K47=0,"",OPERATIONS!$B47)</f>
        <v/>
      </c>
      <c r="E47" s="26" t="str">
        <f aca="false">IF($K47=0,"","SORTIE")</f>
        <v/>
      </c>
      <c r="F47" s="26" t="str">
        <f aca="false">IF($K47=0,"",OPERATIONS!$C47)</f>
        <v/>
      </c>
      <c r="G47" s="26" t="str">
        <f aca="false">IF($K47=0,"",OPERATIONS!$D47)</f>
        <v/>
      </c>
      <c r="H47" s="26" t="str">
        <f aca="false">IF($K47=0,"",OPERATIONS!$E47)</f>
        <v/>
      </c>
      <c r="I47" s="26" t="str">
        <f aca="false">IF($H47="","",IFERROR(INDEX(EMPL_CLASSE,MATCH($H47,EMPL_KEY,0)),""))</f>
        <v/>
      </c>
      <c r="J47" s="26" t="str">
        <f aca="false">IF($K47=0,"",OPERATIONS!$J47)</f>
        <v/>
      </c>
      <c r="K47" s="67" t="n">
        <f aca="false">IF(OR(OPERATIONS!$N47=0,OPERATIONS!$C47="RECEPTION"),0,-OPERATIONS!$G47)</f>
        <v>0</v>
      </c>
      <c r="L47" s="67" t="n">
        <f aca="false">IF($K47=0,0,OPERATIONS!$Q47*$K47)</f>
        <v>0</v>
      </c>
      <c r="M47" s="26" t="str">
        <f aca="false">IF($K47=0,"",OPERATIONS!$P47)</f>
        <v/>
      </c>
      <c r="N47" s="26" t="str">
        <f aca="false">IF($G47="","",IF($G47=R_LOT,COUNTIF($G$5:$G47,R_LOT),""))</f>
        <v/>
      </c>
    </row>
    <row r="48" customFormat="false" ht="15" hidden="false" customHeight="false" outlineLevel="0" collapsed="false">
      <c r="A48" s="28" t="str">
        <f aca="false">IF($K48=0,"",ROW()-4)</f>
        <v/>
      </c>
      <c r="B48" s="26" t="str">
        <f aca="false">IF($K48=0,"","OPERATIONS")</f>
        <v/>
      </c>
      <c r="C48" s="26" t="str">
        <f aca="false">IF($K48=0,"",OPERATIONS!$A48)</f>
        <v/>
      </c>
      <c r="D48" s="31" t="str">
        <f aca="false">IF($K48=0,"",OPERATIONS!$B48)</f>
        <v/>
      </c>
      <c r="E48" s="26" t="str">
        <f aca="false">IF($K48=0,"","SORTIE")</f>
        <v/>
      </c>
      <c r="F48" s="26" t="str">
        <f aca="false">IF($K48=0,"",OPERATIONS!$C48)</f>
        <v/>
      </c>
      <c r="G48" s="26" t="str">
        <f aca="false">IF($K48=0,"",OPERATIONS!$D48)</f>
        <v/>
      </c>
      <c r="H48" s="26" t="str">
        <f aca="false">IF($K48=0,"",OPERATIONS!$E48)</f>
        <v/>
      </c>
      <c r="I48" s="26" t="str">
        <f aca="false">IF($H48="","",IFERROR(INDEX(EMPL_CLASSE,MATCH($H48,EMPL_KEY,0)),""))</f>
        <v/>
      </c>
      <c r="J48" s="26" t="str">
        <f aca="false">IF($K48=0,"",OPERATIONS!$J48)</f>
        <v/>
      </c>
      <c r="K48" s="67" t="n">
        <f aca="false">IF(OR(OPERATIONS!$N48=0,OPERATIONS!$C48="RECEPTION"),0,-OPERATIONS!$G48)</f>
        <v>0</v>
      </c>
      <c r="L48" s="67" t="n">
        <f aca="false">IF($K48=0,0,OPERATIONS!$Q48*$K48)</f>
        <v>0</v>
      </c>
      <c r="M48" s="26" t="str">
        <f aca="false">IF($K48=0,"",OPERATIONS!$P48)</f>
        <v/>
      </c>
      <c r="N48" s="26" t="str">
        <f aca="false">IF($G48="","",IF($G48=R_LOT,COUNTIF($G$5:$G48,R_LOT),""))</f>
        <v/>
      </c>
    </row>
    <row r="49" customFormat="false" ht="15" hidden="false" customHeight="false" outlineLevel="0" collapsed="false">
      <c r="A49" s="28" t="str">
        <f aca="false">IF($K49=0,"",ROW()-4)</f>
        <v/>
      </c>
      <c r="B49" s="26" t="str">
        <f aca="false">IF($K49=0,"","OPERATIONS")</f>
        <v/>
      </c>
      <c r="C49" s="26" t="str">
        <f aca="false">IF($K49=0,"",OPERATIONS!$A49)</f>
        <v/>
      </c>
      <c r="D49" s="31" t="str">
        <f aca="false">IF($K49=0,"",OPERATIONS!$B49)</f>
        <v/>
      </c>
      <c r="E49" s="26" t="str">
        <f aca="false">IF($K49=0,"","SORTIE")</f>
        <v/>
      </c>
      <c r="F49" s="26" t="str">
        <f aca="false">IF($K49=0,"",OPERATIONS!$C49)</f>
        <v/>
      </c>
      <c r="G49" s="26" t="str">
        <f aca="false">IF($K49=0,"",OPERATIONS!$D49)</f>
        <v/>
      </c>
      <c r="H49" s="26" t="str">
        <f aca="false">IF($K49=0,"",OPERATIONS!$E49)</f>
        <v/>
      </c>
      <c r="I49" s="26" t="str">
        <f aca="false">IF($H49="","",IFERROR(INDEX(EMPL_CLASSE,MATCH($H49,EMPL_KEY,0)),""))</f>
        <v/>
      </c>
      <c r="J49" s="26" t="str">
        <f aca="false">IF($K49=0,"",OPERATIONS!$J49)</f>
        <v/>
      </c>
      <c r="K49" s="67" t="n">
        <f aca="false">IF(OR(OPERATIONS!$N49=0,OPERATIONS!$C49="RECEPTION"),0,-OPERATIONS!$G49)</f>
        <v>0</v>
      </c>
      <c r="L49" s="67" t="n">
        <f aca="false">IF($K49=0,0,OPERATIONS!$Q49*$K49)</f>
        <v>0</v>
      </c>
      <c r="M49" s="26" t="str">
        <f aca="false">IF($K49=0,"",OPERATIONS!$P49)</f>
        <v/>
      </c>
      <c r="N49" s="26" t="str">
        <f aca="false">IF($G49="","",IF($G49=R_LOT,COUNTIF($G$5:$G49,R_LOT),""))</f>
        <v/>
      </c>
    </row>
    <row r="50" customFormat="false" ht="15" hidden="false" customHeight="false" outlineLevel="0" collapsed="false">
      <c r="A50" s="28" t="str">
        <f aca="false">IF($K50=0,"",ROW()-4)</f>
        <v/>
      </c>
      <c r="B50" s="26" t="str">
        <f aca="false">IF($K50=0,"","OPERATIONS")</f>
        <v/>
      </c>
      <c r="C50" s="26" t="str">
        <f aca="false">IF($K50=0,"",OPERATIONS!$A50)</f>
        <v/>
      </c>
      <c r="D50" s="31" t="str">
        <f aca="false">IF($K50=0,"",OPERATIONS!$B50)</f>
        <v/>
      </c>
      <c r="E50" s="26" t="str">
        <f aca="false">IF($K50=0,"","SORTIE")</f>
        <v/>
      </c>
      <c r="F50" s="26" t="str">
        <f aca="false">IF($K50=0,"",OPERATIONS!$C50)</f>
        <v/>
      </c>
      <c r="G50" s="26" t="str">
        <f aca="false">IF($K50=0,"",OPERATIONS!$D50)</f>
        <v/>
      </c>
      <c r="H50" s="26" t="str">
        <f aca="false">IF($K50=0,"",OPERATIONS!$E50)</f>
        <v/>
      </c>
      <c r="I50" s="26" t="str">
        <f aca="false">IF($H50="","",IFERROR(INDEX(EMPL_CLASSE,MATCH($H50,EMPL_KEY,0)),""))</f>
        <v/>
      </c>
      <c r="J50" s="26" t="str">
        <f aca="false">IF($K50=0,"",OPERATIONS!$J50)</f>
        <v/>
      </c>
      <c r="K50" s="67" t="n">
        <f aca="false">IF(OR(OPERATIONS!$N50=0,OPERATIONS!$C50="RECEPTION"),0,-OPERATIONS!$G50)</f>
        <v>0</v>
      </c>
      <c r="L50" s="67" t="n">
        <f aca="false">IF($K50=0,0,OPERATIONS!$Q50*$K50)</f>
        <v>0</v>
      </c>
      <c r="M50" s="26" t="str">
        <f aca="false">IF($K50=0,"",OPERATIONS!$P50)</f>
        <v/>
      </c>
      <c r="N50" s="26" t="str">
        <f aca="false">IF($G50="","",IF($G50=R_LOT,COUNTIF($G$5:$G50,R_LOT),""))</f>
        <v/>
      </c>
    </row>
    <row r="51" customFormat="false" ht="15" hidden="false" customHeight="false" outlineLevel="0" collapsed="false">
      <c r="A51" s="28" t="str">
        <f aca="false">IF($K51=0,"",ROW()-4)</f>
        <v/>
      </c>
      <c r="B51" s="26" t="str">
        <f aca="false">IF($K51=0,"","OPERATIONS")</f>
        <v/>
      </c>
      <c r="C51" s="26" t="str">
        <f aca="false">IF($K51=0,"",OPERATIONS!$A51)</f>
        <v/>
      </c>
      <c r="D51" s="31" t="str">
        <f aca="false">IF($K51=0,"",OPERATIONS!$B51)</f>
        <v/>
      </c>
      <c r="E51" s="26" t="str">
        <f aca="false">IF($K51=0,"","SORTIE")</f>
        <v/>
      </c>
      <c r="F51" s="26" t="str">
        <f aca="false">IF($K51=0,"",OPERATIONS!$C51)</f>
        <v/>
      </c>
      <c r="G51" s="26" t="str">
        <f aca="false">IF($K51=0,"",OPERATIONS!$D51)</f>
        <v/>
      </c>
      <c r="H51" s="26" t="str">
        <f aca="false">IF($K51=0,"",OPERATIONS!$E51)</f>
        <v/>
      </c>
      <c r="I51" s="26" t="str">
        <f aca="false">IF($H51="","",IFERROR(INDEX(EMPL_CLASSE,MATCH($H51,EMPL_KEY,0)),""))</f>
        <v/>
      </c>
      <c r="J51" s="26" t="str">
        <f aca="false">IF($K51=0,"",OPERATIONS!$J51)</f>
        <v/>
      </c>
      <c r="K51" s="67" t="n">
        <f aca="false">IF(OR(OPERATIONS!$N51=0,OPERATIONS!$C51="RECEPTION"),0,-OPERATIONS!$G51)</f>
        <v>0</v>
      </c>
      <c r="L51" s="67" t="n">
        <f aca="false">IF($K51=0,0,OPERATIONS!$Q51*$K51)</f>
        <v>0</v>
      </c>
      <c r="M51" s="26" t="str">
        <f aca="false">IF($K51=0,"",OPERATIONS!$P51)</f>
        <v/>
      </c>
      <c r="N51" s="26" t="str">
        <f aca="false">IF($G51="","",IF($G51=R_LOT,COUNTIF($G$5:$G51,R_LOT),""))</f>
        <v/>
      </c>
    </row>
    <row r="52" customFormat="false" ht="15" hidden="false" customHeight="false" outlineLevel="0" collapsed="false">
      <c r="A52" s="28" t="str">
        <f aca="false">IF($K52=0,"",ROW()-4)</f>
        <v/>
      </c>
      <c r="B52" s="26" t="str">
        <f aca="false">IF($K52=0,"","OPERATIONS")</f>
        <v/>
      </c>
      <c r="C52" s="26" t="str">
        <f aca="false">IF($K52=0,"",OPERATIONS!$A52)</f>
        <v/>
      </c>
      <c r="D52" s="31" t="str">
        <f aca="false">IF($K52=0,"",OPERATIONS!$B52)</f>
        <v/>
      </c>
      <c r="E52" s="26" t="str">
        <f aca="false">IF($K52=0,"","SORTIE")</f>
        <v/>
      </c>
      <c r="F52" s="26" t="str">
        <f aca="false">IF($K52=0,"",OPERATIONS!$C52)</f>
        <v/>
      </c>
      <c r="G52" s="26" t="str">
        <f aca="false">IF($K52=0,"",OPERATIONS!$D52)</f>
        <v/>
      </c>
      <c r="H52" s="26" t="str">
        <f aca="false">IF($K52=0,"",OPERATIONS!$E52)</f>
        <v/>
      </c>
      <c r="I52" s="26" t="str">
        <f aca="false">IF($H52="","",IFERROR(INDEX(EMPL_CLASSE,MATCH($H52,EMPL_KEY,0)),""))</f>
        <v/>
      </c>
      <c r="J52" s="26" t="str">
        <f aca="false">IF($K52=0,"",OPERATIONS!$J52)</f>
        <v/>
      </c>
      <c r="K52" s="67" t="n">
        <f aca="false">IF(OR(OPERATIONS!$N52=0,OPERATIONS!$C52="RECEPTION"),0,-OPERATIONS!$G52)</f>
        <v>0</v>
      </c>
      <c r="L52" s="67" t="n">
        <f aca="false">IF($K52=0,0,OPERATIONS!$Q52*$K52)</f>
        <v>0</v>
      </c>
      <c r="M52" s="26" t="str">
        <f aca="false">IF($K52=0,"",OPERATIONS!$P52)</f>
        <v/>
      </c>
      <c r="N52" s="26" t="str">
        <f aca="false">IF($G52="","",IF($G52=R_LOT,COUNTIF($G$5:$G52,R_LOT),""))</f>
        <v/>
      </c>
    </row>
    <row r="53" customFormat="false" ht="15" hidden="false" customHeight="false" outlineLevel="0" collapsed="false">
      <c r="A53" s="28" t="str">
        <f aca="false">IF($K53=0,"",ROW()-4)</f>
        <v/>
      </c>
      <c r="B53" s="26" t="str">
        <f aca="false">IF($K53=0,"","OPERATIONS")</f>
        <v/>
      </c>
      <c r="C53" s="26" t="str">
        <f aca="false">IF($K53=0,"",OPERATIONS!$A53)</f>
        <v/>
      </c>
      <c r="D53" s="31" t="str">
        <f aca="false">IF($K53=0,"",OPERATIONS!$B53)</f>
        <v/>
      </c>
      <c r="E53" s="26" t="str">
        <f aca="false">IF($K53=0,"","SORTIE")</f>
        <v/>
      </c>
      <c r="F53" s="26" t="str">
        <f aca="false">IF($K53=0,"",OPERATIONS!$C53)</f>
        <v/>
      </c>
      <c r="G53" s="26" t="str">
        <f aca="false">IF($K53=0,"",OPERATIONS!$D53)</f>
        <v/>
      </c>
      <c r="H53" s="26" t="str">
        <f aca="false">IF($K53=0,"",OPERATIONS!$E53)</f>
        <v/>
      </c>
      <c r="I53" s="26" t="str">
        <f aca="false">IF($H53="","",IFERROR(INDEX(EMPL_CLASSE,MATCH($H53,EMPL_KEY,0)),""))</f>
        <v/>
      </c>
      <c r="J53" s="26" t="str">
        <f aca="false">IF($K53=0,"",OPERATIONS!$J53)</f>
        <v/>
      </c>
      <c r="K53" s="67" t="n">
        <f aca="false">IF(OR(OPERATIONS!$N53=0,OPERATIONS!$C53="RECEPTION"),0,-OPERATIONS!$G53)</f>
        <v>0</v>
      </c>
      <c r="L53" s="67" t="n">
        <f aca="false">IF($K53=0,0,OPERATIONS!$Q53*$K53)</f>
        <v>0</v>
      </c>
      <c r="M53" s="26" t="str">
        <f aca="false">IF($K53=0,"",OPERATIONS!$P53)</f>
        <v/>
      </c>
      <c r="N53" s="26" t="str">
        <f aca="false">IF($G53="","",IF($G53=R_LOT,COUNTIF($G$5:$G53,R_LOT),""))</f>
        <v/>
      </c>
    </row>
    <row r="54" customFormat="false" ht="15" hidden="false" customHeight="false" outlineLevel="0" collapsed="false">
      <c r="A54" s="28" t="str">
        <f aca="false">IF($K54=0,"",ROW()-4)</f>
        <v/>
      </c>
      <c r="B54" s="26" t="str">
        <f aca="false">IF($K54=0,"","OPERATIONS")</f>
        <v/>
      </c>
      <c r="C54" s="26" t="str">
        <f aca="false">IF($K54=0,"",OPERATIONS!$A54)</f>
        <v/>
      </c>
      <c r="D54" s="31" t="str">
        <f aca="false">IF($K54=0,"",OPERATIONS!$B54)</f>
        <v/>
      </c>
      <c r="E54" s="26" t="str">
        <f aca="false">IF($K54=0,"","SORTIE")</f>
        <v/>
      </c>
      <c r="F54" s="26" t="str">
        <f aca="false">IF($K54=0,"",OPERATIONS!$C54)</f>
        <v/>
      </c>
      <c r="G54" s="26" t="str">
        <f aca="false">IF($K54=0,"",OPERATIONS!$D54)</f>
        <v/>
      </c>
      <c r="H54" s="26" t="str">
        <f aca="false">IF($K54=0,"",OPERATIONS!$E54)</f>
        <v/>
      </c>
      <c r="I54" s="26" t="str">
        <f aca="false">IF($H54="","",IFERROR(INDEX(EMPL_CLASSE,MATCH($H54,EMPL_KEY,0)),""))</f>
        <v/>
      </c>
      <c r="J54" s="26" t="str">
        <f aca="false">IF($K54=0,"",OPERATIONS!$J54)</f>
        <v/>
      </c>
      <c r="K54" s="67" t="n">
        <f aca="false">IF(OR(OPERATIONS!$N54=0,OPERATIONS!$C54="RECEPTION"),0,-OPERATIONS!$G54)</f>
        <v>0</v>
      </c>
      <c r="L54" s="67" t="n">
        <f aca="false">IF($K54=0,0,OPERATIONS!$Q54*$K54)</f>
        <v>0</v>
      </c>
      <c r="M54" s="26" t="str">
        <f aca="false">IF($K54=0,"",OPERATIONS!$P54)</f>
        <v/>
      </c>
      <c r="N54" s="26" t="str">
        <f aca="false">IF($G54="","",IF($G54=R_LOT,COUNTIF($G$5:$G54,R_LOT),""))</f>
        <v/>
      </c>
    </row>
    <row r="55" customFormat="false" ht="15" hidden="false" customHeight="false" outlineLevel="0" collapsed="false">
      <c r="A55" s="28" t="str">
        <f aca="false">IF($K55=0,"",ROW()-4)</f>
        <v/>
      </c>
      <c r="B55" s="26" t="str">
        <f aca="false">IF($K55=0,"","OPERATIONS")</f>
        <v/>
      </c>
      <c r="C55" s="26" t="str">
        <f aca="false">IF($K55=0,"",OPERATIONS!$A55)</f>
        <v/>
      </c>
      <c r="D55" s="31" t="str">
        <f aca="false">IF($K55=0,"",OPERATIONS!$B55)</f>
        <v/>
      </c>
      <c r="E55" s="26" t="str">
        <f aca="false">IF($K55=0,"","SORTIE")</f>
        <v/>
      </c>
      <c r="F55" s="26" t="str">
        <f aca="false">IF($K55=0,"",OPERATIONS!$C55)</f>
        <v/>
      </c>
      <c r="G55" s="26" t="str">
        <f aca="false">IF($K55=0,"",OPERATIONS!$D55)</f>
        <v/>
      </c>
      <c r="H55" s="26" t="str">
        <f aca="false">IF($K55=0,"",OPERATIONS!$E55)</f>
        <v/>
      </c>
      <c r="I55" s="26" t="str">
        <f aca="false">IF($H55="","",IFERROR(INDEX(EMPL_CLASSE,MATCH($H55,EMPL_KEY,0)),""))</f>
        <v/>
      </c>
      <c r="J55" s="26" t="str">
        <f aca="false">IF($K55=0,"",OPERATIONS!$J55)</f>
        <v/>
      </c>
      <c r="K55" s="67" t="n">
        <f aca="false">IF(OR(OPERATIONS!$N55=0,OPERATIONS!$C55="RECEPTION"),0,-OPERATIONS!$G55)</f>
        <v>0</v>
      </c>
      <c r="L55" s="67" t="n">
        <f aca="false">IF($K55=0,0,OPERATIONS!$Q55*$K55)</f>
        <v>0</v>
      </c>
      <c r="M55" s="26" t="str">
        <f aca="false">IF($K55=0,"",OPERATIONS!$P55)</f>
        <v/>
      </c>
      <c r="N55" s="26" t="str">
        <f aca="false">IF($G55="","",IF($G55=R_LOT,COUNTIF($G$5:$G55,R_LOT),""))</f>
        <v/>
      </c>
    </row>
    <row r="56" customFormat="false" ht="15" hidden="false" customHeight="false" outlineLevel="0" collapsed="false">
      <c r="A56" s="28" t="str">
        <f aca="false">IF($K56=0,"",ROW()-4)</f>
        <v/>
      </c>
      <c r="B56" s="26" t="str">
        <f aca="false">IF($K56=0,"","OPERATIONS")</f>
        <v/>
      </c>
      <c r="C56" s="26" t="str">
        <f aca="false">IF($K56=0,"",OPERATIONS!$A56)</f>
        <v/>
      </c>
      <c r="D56" s="31" t="str">
        <f aca="false">IF($K56=0,"",OPERATIONS!$B56)</f>
        <v/>
      </c>
      <c r="E56" s="26" t="str">
        <f aca="false">IF($K56=0,"","SORTIE")</f>
        <v/>
      </c>
      <c r="F56" s="26" t="str">
        <f aca="false">IF($K56=0,"",OPERATIONS!$C56)</f>
        <v/>
      </c>
      <c r="G56" s="26" t="str">
        <f aca="false">IF($K56=0,"",OPERATIONS!$D56)</f>
        <v/>
      </c>
      <c r="H56" s="26" t="str">
        <f aca="false">IF($K56=0,"",OPERATIONS!$E56)</f>
        <v/>
      </c>
      <c r="I56" s="26" t="str">
        <f aca="false">IF($H56="","",IFERROR(INDEX(EMPL_CLASSE,MATCH($H56,EMPL_KEY,0)),""))</f>
        <v/>
      </c>
      <c r="J56" s="26" t="str">
        <f aca="false">IF($K56=0,"",OPERATIONS!$J56)</f>
        <v/>
      </c>
      <c r="K56" s="67" t="n">
        <f aca="false">IF(OR(OPERATIONS!$N56=0,OPERATIONS!$C56="RECEPTION"),0,-OPERATIONS!$G56)</f>
        <v>0</v>
      </c>
      <c r="L56" s="67" t="n">
        <f aca="false">IF($K56=0,0,OPERATIONS!$Q56*$K56)</f>
        <v>0</v>
      </c>
      <c r="M56" s="26" t="str">
        <f aca="false">IF($K56=0,"",OPERATIONS!$P56)</f>
        <v/>
      </c>
      <c r="N56" s="26" t="str">
        <f aca="false">IF($G56="","",IF($G56=R_LOT,COUNTIF($G$5:$G56,R_LOT),""))</f>
        <v/>
      </c>
    </row>
    <row r="57" customFormat="false" ht="15" hidden="false" customHeight="false" outlineLevel="0" collapsed="false">
      <c r="A57" s="28" t="str">
        <f aca="false">IF($K57=0,"",ROW()-4)</f>
        <v/>
      </c>
      <c r="B57" s="26" t="str">
        <f aca="false">IF($K57=0,"","OPERATIONS")</f>
        <v/>
      </c>
      <c r="C57" s="26" t="str">
        <f aca="false">IF($K57=0,"",OPERATIONS!$A57)</f>
        <v/>
      </c>
      <c r="D57" s="31" t="str">
        <f aca="false">IF($K57=0,"",OPERATIONS!$B57)</f>
        <v/>
      </c>
      <c r="E57" s="26" t="str">
        <f aca="false">IF($K57=0,"","SORTIE")</f>
        <v/>
      </c>
      <c r="F57" s="26" t="str">
        <f aca="false">IF($K57=0,"",OPERATIONS!$C57)</f>
        <v/>
      </c>
      <c r="G57" s="26" t="str">
        <f aca="false">IF($K57=0,"",OPERATIONS!$D57)</f>
        <v/>
      </c>
      <c r="H57" s="26" t="str">
        <f aca="false">IF($K57=0,"",OPERATIONS!$E57)</f>
        <v/>
      </c>
      <c r="I57" s="26" t="str">
        <f aca="false">IF($H57="","",IFERROR(INDEX(EMPL_CLASSE,MATCH($H57,EMPL_KEY,0)),""))</f>
        <v/>
      </c>
      <c r="J57" s="26" t="str">
        <f aca="false">IF($K57=0,"",OPERATIONS!$J57)</f>
        <v/>
      </c>
      <c r="K57" s="67" t="n">
        <f aca="false">IF(OR(OPERATIONS!$N57=0,OPERATIONS!$C57="RECEPTION"),0,-OPERATIONS!$G57)</f>
        <v>0</v>
      </c>
      <c r="L57" s="67" t="n">
        <f aca="false">IF($K57=0,0,OPERATIONS!$Q57*$K57)</f>
        <v>0</v>
      </c>
      <c r="M57" s="26" t="str">
        <f aca="false">IF($K57=0,"",OPERATIONS!$P57)</f>
        <v/>
      </c>
      <c r="N57" s="26" t="str">
        <f aca="false">IF($G57="","",IF($G57=R_LOT,COUNTIF($G$5:$G57,R_LOT),""))</f>
        <v/>
      </c>
    </row>
    <row r="58" customFormat="false" ht="15" hidden="false" customHeight="false" outlineLevel="0" collapsed="false">
      <c r="A58" s="28" t="str">
        <f aca="false">IF($K58=0,"",ROW()-4)</f>
        <v/>
      </c>
      <c r="B58" s="26" t="str">
        <f aca="false">IF($K58=0,"","OPERATIONS")</f>
        <v/>
      </c>
      <c r="C58" s="26" t="str">
        <f aca="false">IF($K58=0,"",OPERATIONS!$A58)</f>
        <v/>
      </c>
      <c r="D58" s="31" t="str">
        <f aca="false">IF($K58=0,"",OPERATIONS!$B58)</f>
        <v/>
      </c>
      <c r="E58" s="26" t="str">
        <f aca="false">IF($K58=0,"","SORTIE")</f>
        <v/>
      </c>
      <c r="F58" s="26" t="str">
        <f aca="false">IF($K58=0,"",OPERATIONS!$C58)</f>
        <v/>
      </c>
      <c r="G58" s="26" t="str">
        <f aca="false">IF($K58=0,"",OPERATIONS!$D58)</f>
        <v/>
      </c>
      <c r="H58" s="26" t="str">
        <f aca="false">IF($K58=0,"",OPERATIONS!$E58)</f>
        <v/>
      </c>
      <c r="I58" s="26" t="str">
        <f aca="false">IF($H58="","",IFERROR(INDEX(EMPL_CLASSE,MATCH($H58,EMPL_KEY,0)),""))</f>
        <v/>
      </c>
      <c r="J58" s="26" t="str">
        <f aca="false">IF($K58=0,"",OPERATIONS!$J58)</f>
        <v/>
      </c>
      <c r="K58" s="67" t="n">
        <f aca="false">IF(OR(OPERATIONS!$N58=0,OPERATIONS!$C58="RECEPTION"),0,-OPERATIONS!$G58)</f>
        <v>0</v>
      </c>
      <c r="L58" s="67" t="n">
        <f aca="false">IF($K58=0,0,OPERATIONS!$Q58*$K58)</f>
        <v>0</v>
      </c>
      <c r="M58" s="26" t="str">
        <f aca="false">IF($K58=0,"",OPERATIONS!$P58)</f>
        <v/>
      </c>
      <c r="N58" s="26" t="str">
        <f aca="false">IF($G58="","",IF($G58=R_LOT,COUNTIF($G$5:$G58,R_LOT),""))</f>
        <v/>
      </c>
    </row>
    <row r="59" customFormat="false" ht="15" hidden="false" customHeight="false" outlineLevel="0" collapsed="false">
      <c r="A59" s="28" t="str">
        <f aca="false">IF($K59=0,"",ROW()-4)</f>
        <v/>
      </c>
      <c r="B59" s="26" t="str">
        <f aca="false">IF($K59=0,"","OPERATIONS")</f>
        <v/>
      </c>
      <c r="C59" s="26" t="str">
        <f aca="false">IF($K59=0,"",OPERATIONS!$A59)</f>
        <v/>
      </c>
      <c r="D59" s="31" t="str">
        <f aca="false">IF($K59=0,"",OPERATIONS!$B59)</f>
        <v/>
      </c>
      <c r="E59" s="26" t="str">
        <f aca="false">IF($K59=0,"","SORTIE")</f>
        <v/>
      </c>
      <c r="F59" s="26" t="str">
        <f aca="false">IF($K59=0,"",OPERATIONS!$C59)</f>
        <v/>
      </c>
      <c r="G59" s="26" t="str">
        <f aca="false">IF($K59=0,"",OPERATIONS!$D59)</f>
        <v/>
      </c>
      <c r="H59" s="26" t="str">
        <f aca="false">IF($K59=0,"",OPERATIONS!$E59)</f>
        <v/>
      </c>
      <c r="I59" s="26" t="str">
        <f aca="false">IF($H59="","",IFERROR(INDEX(EMPL_CLASSE,MATCH($H59,EMPL_KEY,0)),""))</f>
        <v/>
      </c>
      <c r="J59" s="26" t="str">
        <f aca="false">IF($K59=0,"",OPERATIONS!$J59)</f>
        <v/>
      </c>
      <c r="K59" s="67" t="n">
        <f aca="false">IF(OR(OPERATIONS!$N59=0,OPERATIONS!$C59="RECEPTION"),0,-OPERATIONS!$G59)</f>
        <v>0</v>
      </c>
      <c r="L59" s="67" t="n">
        <f aca="false">IF($K59=0,0,OPERATIONS!$Q59*$K59)</f>
        <v>0</v>
      </c>
      <c r="M59" s="26" t="str">
        <f aca="false">IF($K59=0,"",OPERATIONS!$P59)</f>
        <v/>
      </c>
      <c r="N59" s="26" t="str">
        <f aca="false">IF($G59="","",IF($G59=R_LOT,COUNTIF($G$5:$G59,R_LOT),""))</f>
        <v/>
      </c>
    </row>
    <row r="60" customFormat="false" ht="15" hidden="false" customHeight="false" outlineLevel="0" collapsed="false">
      <c r="A60" s="28" t="str">
        <f aca="false">IF($K60=0,"",ROW()-4)</f>
        <v/>
      </c>
      <c r="B60" s="26" t="str">
        <f aca="false">IF($K60=0,"","OPERATIONS")</f>
        <v/>
      </c>
      <c r="C60" s="26" t="str">
        <f aca="false">IF($K60=0,"",OPERATIONS!$A60)</f>
        <v/>
      </c>
      <c r="D60" s="31" t="str">
        <f aca="false">IF($K60=0,"",OPERATIONS!$B60)</f>
        <v/>
      </c>
      <c r="E60" s="26" t="str">
        <f aca="false">IF($K60=0,"","SORTIE")</f>
        <v/>
      </c>
      <c r="F60" s="26" t="str">
        <f aca="false">IF($K60=0,"",OPERATIONS!$C60)</f>
        <v/>
      </c>
      <c r="G60" s="26" t="str">
        <f aca="false">IF($K60=0,"",OPERATIONS!$D60)</f>
        <v/>
      </c>
      <c r="H60" s="26" t="str">
        <f aca="false">IF($K60=0,"",OPERATIONS!$E60)</f>
        <v/>
      </c>
      <c r="I60" s="26" t="str">
        <f aca="false">IF($H60="","",IFERROR(INDEX(EMPL_CLASSE,MATCH($H60,EMPL_KEY,0)),""))</f>
        <v/>
      </c>
      <c r="J60" s="26" t="str">
        <f aca="false">IF($K60=0,"",OPERATIONS!$J60)</f>
        <v/>
      </c>
      <c r="K60" s="67" t="n">
        <f aca="false">IF(OR(OPERATIONS!$N60=0,OPERATIONS!$C60="RECEPTION"),0,-OPERATIONS!$G60)</f>
        <v>0</v>
      </c>
      <c r="L60" s="67" t="n">
        <f aca="false">IF($K60=0,0,OPERATIONS!$Q60*$K60)</f>
        <v>0</v>
      </c>
      <c r="M60" s="26" t="str">
        <f aca="false">IF($K60=0,"",OPERATIONS!$P60)</f>
        <v/>
      </c>
      <c r="N60" s="26" t="str">
        <f aca="false">IF($G60="","",IF($G60=R_LOT,COUNTIF($G$5:$G60,R_LOT),""))</f>
        <v/>
      </c>
    </row>
    <row r="61" customFormat="false" ht="15" hidden="false" customHeight="false" outlineLevel="0" collapsed="false">
      <c r="A61" s="28" t="str">
        <f aca="false">IF($K61=0,"",ROW()-4)</f>
        <v/>
      </c>
      <c r="B61" s="26" t="str">
        <f aca="false">IF($K61=0,"","OPERATIONS")</f>
        <v/>
      </c>
      <c r="C61" s="26" t="str">
        <f aca="false">IF($K61=0,"",OPERATIONS!$A61)</f>
        <v/>
      </c>
      <c r="D61" s="31" t="str">
        <f aca="false">IF($K61=0,"",OPERATIONS!$B61)</f>
        <v/>
      </c>
      <c r="E61" s="26" t="str">
        <f aca="false">IF($K61=0,"","SORTIE")</f>
        <v/>
      </c>
      <c r="F61" s="26" t="str">
        <f aca="false">IF($K61=0,"",OPERATIONS!$C61)</f>
        <v/>
      </c>
      <c r="G61" s="26" t="str">
        <f aca="false">IF($K61=0,"",OPERATIONS!$D61)</f>
        <v/>
      </c>
      <c r="H61" s="26" t="str">
        <f aca="false">IF($K61=0,"",OPERATIONS!$E61)</f>
        <v/>
      </c>
      <c r="I61" s="26" t="str">
        <f aca="false">IF($H61="","",IFERROR(INDEX(EMPL_CLASSE,MATCH($H61,EMPL_KEY,0)),""))</f>
        <v/>
      </c>
      <c r="J61" s="26" t="str">
        <f aca="false">IF($K61=0,"",OPERATIONS!$J61)</f>
        <v/>
      </c>
      <c r="K61" s="67" t="n">
        <f aca="false">IF(OR(OPERATIONS!$N61=0,OPERATIONS!$C61="RECEPTION"),0,-OPERATIONS!$G61)</f>
        <v>0</v>
      </c>
      <c r="L61" s="67" t="n">
        <f aca="false">IF($K61=0,0,OPERATIONS!$Q61*$K61)</f>
        <v>0</v>
      </c>
      <c r="M61" s="26" t="str">
        <f aca="false">IF($K61=0,"",OPERATIONS!$P61)</f>
        <v/>
      </c>
      <c r="N61" s="26" t="str">
        <f aca="false">IF($G61="","",IF($G61=R_LOT,COUNTIF($G$5:$G61,R_LOT),""))</f>
        <v/>
      </c>
    </row>
    <row r="62" customFormat="false" ht="15" hidden="false" customHeight="false" outlineLevel="0" collapsed="false">
      <c r="A62" s="28" t="str">
        <f aca="false">IF($K62=0,"",ROW()-4)</f>
        <v/>
      </c>
      <c r="B62" s="26" t="str">
        <f aca="false">IF($K62=0,"","OPERATIONS")</f>
        <v/>
      </c>
      <c r="C62" s="26" t="str">
        <f aca="false">IF($K62=0,"",OPERATIONS!$A62)</f>
        <v/>
      </c>
      <c r="D62" s="31" t="str">
        <f aca="false">IF($K62=0,"",OPERATIONS!$B62)</f>
        <v/>
      </c>
      <c r="E62" s="26" t="str">
        <f aca="false">IF($K62=0,"","SORTIE")</f>
        <v/>
      </c>
      <c r="F62" s="26" t="str">
        <f aca="false">IF($K62=0,"",OPERATIONS!$C62)</f>
        <v/>
      </c>
      <c r="G62" s="26" t="str">
        <f aca="false">IF($K62=0,"",OPERATIONS!$D62)</f>
        <v/>
      </c>
      <c r="H62" s="26" t="str">
        <f aca="false">IF($K62=0,"",OPERATIONS!$E62)</f>
        <v/>
      </c>
      <c r="I62" s="26" t="str">
        <f aca="false">IF($H62="","",IFERROR(INDEX(EMPL_CLASSE,MATCH($H62,EMPL_KEY,0)),""))</f>
        <v/>
      </c>
      <c r="J62" s="26" t="str">
        <f aca="false">IF($K62=0,"",OPERATIONS!$J62)</f>
        <v/>
      </c>
      <c r="K62" s="67" t="n">
        <f aca="false">IF(OR(OPERATIONS!$N62=0,OPERATIONS!$C62="RECEPTION"),0,-OPERATIONS!$G62)</f>
        <v>0</v>
      </c>
      <c r="L62" s="67" t="n">
        <f aca="false">IF($K62=0,0,OPERATIONS!$Q62*$K62)</f>
        <v>0</v>
      </c>
      <c r="M62" s="26" t="str">
        <f aca="false">IF($K62=0,"",OPERATIONS!$P62)</f>
        <v/>
      </c>
      <c r="N62" s="26" t="str">
        <f aca="false">IF($G62="","",IF($G62=R_LOT,COUNTIF($G$5:$G62,R_LOT),""))</f>
        <v/>
      </c>
    </row>
    <row r="63" customFormat="false" ht="15" hidden="false" customHeight="false" outlineLevel="0" collapsed="false">
      <c r="A63" s="28" t="str">
        <f aca="false">IF($K63=0,"",ROW()-4)</f>
        <v/>
      </c>
      <c r="B63" s="26" t="str">
        <f aca="false">IF($K63=0,"","OPERATIONS")</f>
        <v/>
      </c>
      <c r="C63" s="26" t="str">
        <f aca="false">IF($K63=0,"",OPERATIONS!$A63)</f>
        <v/>
      </c>
      <c r="D63" s="31" t="str">
        <f aca="false">IF($K63=0,"",OPERATIONS!$B63)</f>
        <v/>
      </c>
      <c r="E63" s="26" t="str">
        <f aca="false">IF($K63=0,"","SORTIE")</f>
        <v/>
      </c>
      <c r="F63" s="26" t="str">
        <f aca="false">IF($K63=0,"",OPERATIONS!$C63)</f>
        <v/>
      </c>
      <c r="G63" s="26" t="str">
        <f aca="false">IF($K63=0,"",OPERATIONS!$D63)</f>
        <v/>
      </c>
      <c r="H63" s="26" t="str">
        <f aca="false">IF($K63=0,"",OPERATIONS!$E63)</f>
        <v/>
      </c>
      <c r="I63" s="26" t="str">
        <f aca="false">IF($H63="","",IFERROR(INDEX(EMPL_CLASSE,MATCH($H63,EMPL_KEY,0)),""))</f>
        <v/>
      </c>
      <c r="J63" s="26" t="str">
        <f aca="false">IF($K63=0,"",OPERATIONS!$J63)</f>
        <v/>
      </c>
      <c r="K63" s="67" t="n">
        <f aca="false">IF(OR(OPERATIONS!$N63=0,OPERATIONS!$C63="RECEPTION"),0,-OPERATIONS!$G63)</f>
        <v>0</v>
      </c>
      <c r="L63" s="67" t="n">
        <f aca="false">IF($K63=0,0,OPERATIONS!$Q63*$K63)</f>
        <v>0</v>
      </c>
      <c r="M63" s="26" t="str">
        <f aca="false">IF($K63=0,"",OPERATIONS!$P63)</f>
        <v/>
      </c>
      <c r="N63" s="26" t="str">
        <f aca="false">IF($G63="","",IF($G63=R_LOT,COUNTIF($G$5:$G63,R_LOT),""))</f>
        <v/>
      </c>
    </row>
    <row r="64" customFormat="false" ht="15" hidden="false" customHeight="false" outlineLevel="0" collapsed="false">
      <c r="A64" s="28" t="str">
        <f aca="false">IF($K64=0,"",ROW()-4)</f>
        <v/>
      </c>
      <c r="B64" s="26" t="str">
        <f aca="false">IF($K64=0,"","OPERATIONS")</f>
        <v/>
      </c>
      <c r="C64" s="26" t="str">
        <f aca="false">IF($K64=0,"",OPERATIONS!$A64)</f>
        <v/>
      </c>
      <c r="D64" s="31" t="str">
        <f aca="false">IF($K64=0,"",OPERATIONS!$B64)</f>
        <v/>
      </c>
      <c r="E64" s="26" t="str">
        <f aca="false">IF($K64=0,"","SORTIE")</f>
        <v/>
      </c>
      <c r="F64" s="26" t="str">
        <f aca="false">IF($K64=0,"",OPERATIONS!$C64)</f>
        <v/>
      </c>
      <c r="G64" s="26" t="str">
        <f aca="false">IF($K64=0,"",OPERATIONS!$D64)</f>
        <v/>
      </c>
      <c r="H64" s="26" t="str">
        <f aca="false">IF($K64=0,"",OPERATIONS!$E64)</f>
        <v/>
      </c>
      <c r="I64" s="26" t="str">
        <f aca="false">IF($H64="","",IFERROR(INDEX(EMPL_CLASSE,MATCH($H64,EMPL_KEY,0)),""))</f>
        <v/>
      </c>
      <c r="J64" s="26" t="str">
        <f aca="false">IF($K64=0,"",OPERATIONS!$J64)</f>
        <v/>
      </c>
      <c r="K64" s="67" t="n">
        <f aca="false">IF(OR(OPERATIONS!$N64=0,OPERATIONS!$C64="RECEPTION"),0,-OPERATIONS!$G64)</f>
        <v>0</v>
      </c>
      <c r="L64" s="67" t="n">
        <f aca="false">IF($K64=0,0,OPERATIONS!$Q64*$K64)</f>
        <v>0</v>
      </c>
      <c r="M64" s="26" t="str">
        <f aca="false">IF($K64=0,"",OPERATIONS!$P64)</f>
        <v/>
      </c>
      <c r="N64" s="26" t="str">
        <f aca="false">IF($G64="","",IF($G64=R_LOT,COUNTIF($G$5:$G64,R_LOT),""))</f>
        <v/>
      </c>
    </row>
    <row r="65" customFormat="false" ht="15" hidden="false" customHeight="false" outlineLevel="0" collapsed="false">
      <c r="A65" s="28" t="str">
        <f aca="false">IF($K65=0,"",ROW()-4)</f>
        <v/>
      </c>
      <c r="B65" s="26" t="str">
        <f aca="false">IF($K65=0,"","OPERATIONS")</f>
        <v/>
      </c>
      <c r="C65" s="26" t="str">
        <f aca="false">IF($K65=0,"",OPERATIONS!$A65)</f>
        <v/>
      </c>
      <c r="D65" s="31" t="str">
        <f aca="false">IF($K65=0,"",OPERATIONS!$B65)</f>
        <v/>
      </c>
      <c r="E65" s="26" t="str">
        <f aca="false">IF($K65=0,"","SORTIE")</f>
        <v/>
      </c>
      <c r="F65" s="26" t="str">
        <f aca="false">IF($K65=0,"",OPERATIONS!$C65)</f>
        <v/>
      </c>
      <c r="G65" s="26" t="str">
        <f aca="false">IF($K65=0,"",OPERATIONS!$D65)</f>
        <v/>
      </c>
      <c r="H65" s="26" t="str">
        <f aca="false">IF($K65=0,"",OPERATIONS!$E65)</f>
        <v/>
      </c>
      <c r="I65" s="26" t="str">
        <f aca="false">IF($H65="","",IFERROR(INDEX(EMPL_CLASSE,MATCH($H65,EMPL_KEY,0)),""))</f>
        <v/>
      </c>
      <c r="J65" s="26" t="str">
        <f aca="false">IF($K65=0,"",OPERATIONS!$J65)</f>
        <v/>
      </c>
      <c r="K65" s="67" t="n">
        <f aca="false">IF(OR(OPERATIONS!$N65=0,OPERATIONS!$C65="RECEPTION"),0,-OPERATIONS!$G65)</f>
        <v>0</v>
      </c>
      <c r="L65" s="67" t="n">
        <f aca="false">IF($K65=0,0,OPERATIONS!$Q65*$K65)</f>
        <v>0</v>
      </c>
      <c r="M65" s="26" t="str">
        <f aca="false">IF($K65=0,"",OPERATIONS!$P65)</f>
        <v/>
      </c>
      <c r="N65" s="26" t="str">
        <f aca="false">IF($G65="","",IF($G65=R_LOT,COUNTIF($G$5:$G65,R_LOT),""))</f>
        <v/>
      </c>
    </row>
    <row r="66" customFormat="false" ht="15" hidden="false" customHeight="false" outlineLevel="0" collapsed="false">
      <c r="A66" s="28" t="str">
        <f aca="false">IF($K66=0,"",ROW()-4)</f>
        <v/>
      </c>
      <c r="B66" s="26" t="str">
        <f aca="false">IF($K66=0,"","OPERATIONS")</f>
        <v/>
      </c>
      <c r="C66" s="26" t="str">
        <f aca="false">IF($K66=0,"",OPERATIONS!$A66)</f>
        <v/>
      </c>
      <c r="D66" s="31" t="str">
        <f aca="false">IF($K66=0,"",OPERATIONS!$B66)</f>
        <v/>
      </c>
      <c r="E66" s="26" t="str">
        <f aca="false">IF($K66=0,"","SORTIE")</f>
        <v/>
      </c>
      <c r="F66" s="26" t="str">
        <f aca="false">IF($K66=0,"",OPERATIONS!$C66)</f>
        <v/>
      </c>
      <c r="G66" s="26" t="str">
        <f aca="false">IF($K66=0,"",OPERATIONS!$D66)</f>
        <v/>
      </c>
      <c r="H66" s="26" t="str">
        <f aca="false">IF($K66=0,"",OPERATIONS!$E66)</f>
        <v/>
      </c>
      <c r="I66" s="26" t="str">
        <f aca="false">IF($H66="","",IFERROR(INDEX(EMPL_CLASSE,MATCH($H66,EMPL_KEY,0)),""))</f>
        <v/>
      </c>
      <c r="J66" s="26" t="str">
        <f aca="false">IF($K66=0,"",OPERATIONS!$J66)</f>
        <v/>
      </c>
      <c r="K66" s="67" t="n">
        <f aca="false">IF(OR(OPERATIONS!$N66=0,OPERATIONS!$C66="RECEPTION"),0,-OPERATIONS!$G66)</f>
        <v>0</v>
      </c>
      <c r="L66" s="67" t="n">
        <f aca="false">IF($K66=0,0,OPERATIONS!$Q66*$K66)</f>
        <v>0</v>
      </c>
      <c r="M66" s="26" t="str">
        <f aca="false">IF($K66=0,"",OPERATIONS!$P66)</f>
        <v/>
      </c>
      <c r="N66" s="26" t="str">
        <f aca="false">IF($G66="","",IF($G66=R_LOT,COUNTIF($G$5:$G66,R_LOT),""))</f>
        <v/>
      </c>
    </row>
    <row r="67" customFormat="false" ht="15" hidden="false" customHeight="false" outlineLevel="0" collapsed="false">
      <c r="A67" s="28" t="str">
        <f aca="false">IF($K67=0,"",ROW()-4)</f>
        <v/>
      </c>
      <c r="B67" s="26" t="str">
        <f aca="false">IF($K67=0,"","OPERATIONS")</f>
        <v/>
      </c>
      <c r="C67" s="26" t="str">
        <f aca="false">IF($K67=0,"",OPERATIONS!$A67)</f>
        <v/>
      </c>
      <c r="D67" s="31" t="str">
        <f aca="false">IF($K67=0,"",OPERATIONS!$B67)</f>
        <v/>
      </c>
      <c r="E67" s="26" t="str">
        <f aca="false">IF($K67=0,"","SORTIE")</f>
        <v/>
      </c>
      <c r="F67" s="26" t="str">
        <f aca="false">IF($K67=0,"",OPERATIONS!$C67)</f>
        <v/>
      </c>
      <c r="G67" s="26" t="str">
        <f aca="false">IF($K67=0,"",OPERATIONS!$D67)</f>
        <v/>
      </c>
      <c r="H67" s="26" t="str">
        <f aca="false">IF($K67=0,"",OPERATIONS!$E67)</f>
        <v/>
      </c>
      <c r="I67" s="26" t="str">
        <f aca="false">IF($H67="","",IFERROR(INDEX(EMPL_CLASSE,MATCH($H67,EMPL_KEY,0)),""))</f>
        <v/>
      </c>
      <c r="J67" s="26" t="str">
        <f aca="false">IF($K67=0,"",OPERATIONS!$J67)</f>
        <v/>
      </c>
      <c r="K67" s="67" t="n">
        <f aca="false">IF(OR(OPERATIONS!$N67=0,OPERATIONS!$C67="RECEPTION"),0,-OPERATIONS!$G67)</f>
        <v>0</v>
      </c>
      <c r="L67" s="67" t="n">
        <f aca="false">IF($K67=0,0,OPERATIONS!$Q67*$K67)</f>
        <v>0</v>
      </c>
      <c r="M67" s="26" t="str">
        <f aca="false">IF($K67=0,"",OPERATIONS!$P67)</f>
        <v/>
      </c>
      <c r="N67" s="26" t="str">
        <f aca="false">IF($G67="","",IF($G67=R_LOT,COUNTIF($G$5:$G67,R_LOT),""))</f>
        <v/>
      </c>
    </row>
    <row r="68" customFormat="false" ht="15" hidden="false" customHeight="false" outlineLevel="0" collapsed="false">
      <c r="A68" s="28" t="str">
        <f aca="false">IF($K68=0,"",ROW()-4)</f>
        <v/>
      </c>
      <c r="B68" s="26" t="str">
        <f aca="false">IF($K68=0,"","OPERATIONS")</f>
        <v/>
      </c>
      <c r="C68" s="26" t="str">
        <f aca="false">IF($K68=0,"",OPERATIONS!$A68)</f>
        <v/>
      </c>
      <c r="D68" s="31" t="str">
        <f aca="false">IF($K68=0,"",OPERATIONS!$B68)</f>
        <v/>
      </c>
      <c r="E68" s="26" t="str">
        <f aca="false">IF($K68=0,"","SORTIE")</f>
        <v/>
      </c>
      <c r="F68" s="26" t="str">
        <f aca="false">IF($K68=0,"",OPERATIONS!$C68)</f>
        <v/>
      </c>
      <c r="G68" s="26" t="str">
        <f aca="false">IF($K68=0,"",OPERATIONS!$D68)</f>
        <v/>
      </c>
      <c r="H68" s="26" t="str">
        <f aca="false">IF($K68=0,"",OPERATIONS!$E68)</f>
        <v/>
      </c>
      <c r="I68" s="26" t="str">
        <f aca="false">IF($H68="","",IFERROR(INDEX(EMPL_CLASSE,MATCH($H68,EMPL_KEY,0)),""))</f>
        <v/>
      </c>
      <c r="J68" s="26" t="str">
        <f aca="false">IF($K68=0,"",OPERATIONS!$J68)</f>
        <v/>
      </c>
      <c r="K68" s="67" t="n">
        <f aca="false">IF(OR(OPERATIONS!$N68=0,OPERATIONS!$C68="RECEPTION"),0,-OPERATIONS!$G68)</f>
        <v>0</v>
      </c>
      <c r="L68" s="67" t="n">
        <f aca="false">IF($K68=0,0,OPERATIONS!$Q68*$K68)</f>
        <v>0</v>
      </c>
      <c r="M68" s="26" t="str">
        <f aca="false">IF($K68=0,"",OPERATIONS!$P68)</f>
        <v/>
      </c>
      <c r="N68" s="26" t="str">
        <f aca="false">IF($G68="","",IF($G68=R_LOT,COUNTIF($G$5:$G68,R_LOT),""))</f>
        <v/>
      </c>
    </row>
    <row r="69" customFormat="false" ht="15" hidden="false" customHeight="false" outlineLevel="0" collapsed="false">
      <c r="A69" s="28" t="str">
        <f aca="false">IF($K69=0,"",ROW()-4)</f>
        <v/>
      </c>
      <c r="B69" s="26" t="str">
        <f aca="false">IF($K69=0,"","OPERATIONS")</f>
        <v/>
      </c>
      <c r="C69" s="26" t="str">
        <f aca="false">IF($K69=0,"",OPERATIONS!$A69)</f>
        <v/>
      </c>
      <c r="D69" s="31" t="str">
        <f aca="false">IF($K69=0,"",OPERATIONS!$B69)</f>
        <v/>
      </c>
      <c r="E69" s="26" t="str">
        <f aca="false">IF($K69=0,"","SORTIE")</f>
        <v/>
      </c>
      <c r="F69" s="26" t="str">
        <f aca="false">IF($K69=0,"",OPERATIONS!$C69)</f>
        <v/>
      </c>
      <c r="G69" s="26" t="str">
        <f aca="false">IF($K69=0,"",OPERATIONS!$D69)</f>
        <v/>
      </c>
      <c r="H69" s="26" t="str">
        <f aca="false">IF($K69=0,"",OPERATIONS!$E69)</f>
        <v/>
      </c>
      <c r="I69" s="26" t="str">
        <f aca="false">IF($H69="","",IFERROR(INDEX(EMPL_CLASSE,MATCH($H69,EMPL_KEY,0)),""))</f>
        <v/>
      </c>
      <c r="J69" s="26" t="str">
        <f aca="false">IF($K69=0,"",OPERATIONS!$J69)</f>
        <v/>
      </c>
      <c r="K69" s="67" t="n">
        <f aca="false">IF(OR(OPERATIONS!$N69=0,OPERATIONS!$C69="RECEPTION"),0,-OPERATIONS!$G69)</f>
        <v>0</v>
      </c>
      <c r="L69" s="67" t="n">
        <f aca="false">IF($K69=0,0,OPERATIONS!$Q69*$K69)</f>
        <v>0</v>
      </c>
      <c r="M69" s="26" t="str">
        <f aca="false">IF($K69=0,"",OPERATIONS!$P69)</f>
        <v/>
      </c>
      <c r="N69" s="26" t="str">
        <f aca="false">IF($G69="","",IF($G69=R_LOT,COUNTIF($G$5:$G69,R_LOT),""))</f>
        <v/>
      </c>
    </row>
    <row r="70" customFormat="false" ht="15" hidden="false" customHeight="false" outlineLevel="0" collapsed="false">
      <c r="A70" s="28" t="str">
        <f aca="false">IF($K70=0,"",ROW()-4)</f>
        <v/>
      </c>
      <c r="B70" s="26" t="str">
        <f aca="false">IF($K70=0,"","OPERATIONS")</f>
        <v/>
      </c>
      <c r="C70" s="26" t="str">
        <f aca="false">IF($K70=0,"",OPERATIONS!$A70)</f>
        <v/>
      </c>
      <c r="D70" s="31" t="str">
        <f aca="false">IF($K70=0,"",OPERATIONS!$B70)</f>
        <v/>
      </c>
      <c r="E70" s="26" t="str">
        <f aca="false">IF($K70=0,"","SORTIE")</f>
        <v/>
      </c>
      <c r="F70" s="26" t="str">
        <f aca="false">IF($K70=0,"",OPERATIONS!$C70)</f>
        <v/>
      </c>
      <c r="G70" s="26" t="str">
        <f aca="false">IF($K70=0,"",OPERATIONS!$D70)</f>
        <v/>
      </c>
      <c r="H70" s="26" t="str">
        <f aca="false">IF($K70=0,"",OPERATIONS!$E70)</f>
        <v/>
      </c>
      <c r="I70" s="26" t="str">
        <f aca="false">IF($H70="","",IFERROR(INDEX(EMPL_CLASSE,MATCH($H70,EMPL_KEY,0)),""))</f>
        <v/>
      </c>
      <c r="J70" s="26" t="str">
        <f aca="false">IF($K70=0,"",OPERATIONS!$J70)</f>
        <v/>
      </c>
      <c r="K70" s="67" t="n">
        <f aca="false">IF(OR(OPERATIONS!$N70=0,OPERATIONS!$C70="RECEPTION"),0,-OPERATIONS!$G70)</f>
        <v>0</v>
      </c>
      <c r="L70" s="67" t="n">
        <f aca="false">IF($K70=0,0,OPERATIONS!$Q70*$K70)</f>
        <v>0</v>
      </c>
      <c r="M70" s="26" t="str">
        <f aca="false">IF($K70=0,"",OPERATIONS!$P70)</f>
        <v/>
      </c>
      <c r="N70" s="26" t="str">
        <f aca="false">IF($G70="","",IF($G70=R_LOT,COUNTIF($G$5:$G70,R_LOT),""))</f>
        <v/>
      </c>
    </row>
    <row r="71" customFormat="false" ht="15" hidden="false" customHeight="false" outlineLevel="0" collapsed="false">
      <c r="A71" s="28" t="str">
        <f aca="false">IF($K71=0,"",ROW()-4)</f>
        <v/>
      </c>
      <c r="B71" s="26" t="str">
        <f aca="false">IF($K71=0,"","OPERATIONS")</f>
        <v/>
      </c>
      <c r="C71" s="26" t="str">
        <f aca="false">IF($K71=0,"",OPERATIONS!$A71)</f>
        <v/>
      </c>
      <c r="D71" s="31" t="str">
        <f aca="false">IF($K71=0,"",OPERATIONS!$B71)</f>
        <v/>
      </c>
      <c r="E71" s="26" t="str">
        <f aca="false">IF($K71=0,"","SORTIE")</f>
        <v/>
      </c>
      <c r="F71" s="26" t="str">
        <f aca="false">IF($K71=0,"",OPERATIONS!$C71)</f>
        <v/>
      </c>
      <c r="G71" s="26" t="str">
        <f aca="false">IF($K71=0,"",OPERATIONS!$D71)</f>
        <v/>
      </c>
      <c r="H71" s="26" t="str">
        <f aca="false">IF($K71=0,"",OPERATIONS!$E71)</f>
        <v/>
      </c>
      <c r="I71" s="26" t="str">
        <f aca="false">IF($H71="","",IFERROR(INDEX(EMPL_CLASSE,MATCH($H71,EMPL_KEY,0)),""))</f>
        <v/>
      </c>
      <c r="J71" s="26" t="str">
        <f aca="false">IF($K71=0,"",OPERATIONS!$J71)</f>
        <v/>
      </c>
      <c r="K71" s="67" t="n">
        <f aca="false">IF(OR(OPERATIONS!$N71=0,OPERATIONS!$C71="RECEPTION"),0,-OPERATIONS!$G71)</f>
        <v>0</v>
      </c>
      <c r="L71" s="67" t="n">
        <f aca="false">IF($K71=0,0,OPERATIONS!$Q71*$K71)</f>
        <v>0</v>
      </c>
      <c r="M71" s="26" t="str">
        <f aca="false">IF($K71=0,"",OPERATIONS!$P71)</f>
        <v/>
      </c>
      <c r="N71" s="26" t="str">
        <f aca="false">IF($G71="","",IF($G71=R_LOT,COUNTIF($G$5:$G71,R_LOT),""))</f>
        <v/>
      </c>
    </row>
    <row r="72" customFormat="false" ht="15" hidden="false" customHeight="false" outlineLevel="0" collapsed="false">
      <c r="A72" s="28" t="str">
        <f aca="false">IF($K72=0,"",ROW()-4)</f>
        <v/>
      </c>
      <c r="B72" s="26" t="str">
        <f aca="false">IF($K72=0,"","OPERATIONS")</f>
        <v/>
      </c>
      <c r="C72" s="26" t="str">
        <f aca="false">IF($K72=0,"",OPERATIONS!$A72)</f>
        <v/>
      </c>
      <c r="D72" s="31" t="str">
        <f aca="false">IF($K72=0,"",OPERATIONS!$B72)</f>
        <v/>
      </c>
      <c r="E72" s="26" t="str">
        <f aca="false">IF($K72=0,"","SORTIE")</f>
        <v/>
      </c>
      <c r="F72" s="26" t="str">
        <f aca="false">IF($K72=0,"",OPERATIONS!$C72)</f>
        <v/>
      </c>
      <c r="G72" s="26" t="str">
        <f aca="false">IF($K72=0,"",OPERATIONS!$D72)</f>
        <v/>
      </c>
      <c r="H72" s="26" t="str">
        <f aca="false">IF($K72=0,"",OPERATIONS!$E72)</f>
        <v/>
      </c>
      <c r="I72" s="26" t="str">
        <f aca="false">IF($H72="","",IFERROR(INDEX(EMPL_CLASSE,MATCH($H72,EMPL_KEY,0)),""))</f>
        <v/>
      </c>
      <c r="J72" s="26" t="str">
        <f aca="false">IF($K72=0,"",OPERATIONS!$J72)</f>
        <v/>
      </c>
      <c r="K72" s="67" t="n">
        <f aca="false">IF(OR(OPERATIONS!$N72=0,OPERATIONS!$C72="RECEPTION"),0,-OPERATIONS!$G72)</f>
        <v>0</v>
      </c>
      <c r="L72" s="67" t="n">
        <f aca="false">IF($K72=0,0,OPERATIONS!$Q72*$K72)</f>
        <v>0</v>
      </c>
      <c r="M72" s="26" t="str">
        <f aca="false">IF($K72=0,"",OPERATIONS!$P72)</f>
        <v/>
      </c>
      <c r="N72" s="26" t="str">
        <f aca="false">IF($G72="","",IF($G72=R_LOT,COUNTIF($G$5:$G72,R_LOT),""))</f>
        <v/>
      </c>
    </row>
    <row r="73" customFormat="false" ht="15" hidden="false" customHeight="false" outlineLevel="0" collapsed="false">
      <c r="A73" s="28" t="str">
        <f aca="false">IF($K73=0,"",ROW()-4)</f>
        <v/>
      </c>
      <c r="B73" s="26" t="str">
        <f aca="false">IF($K73=0,"","OPERATIONS")</f>
        <v/>
      </c>
      <c r="C73" s="26" t="str">
        <f aca="false">IF($K73=0,"",OPERATIONS!$A73)</f>
        <v/>
      </c>
      <c r="D73" s="31" t="str">
        <f aca="false">IF($K73=0,"",OPERATIONS!$B73)</f>
        <v/>
      </c>
      <c r="E73" s="26" t="str">
        <f aca="false">IF($K73=0,"","SORTIE")</f>
        <v/>
      </c>
      <c r="F73" s="26" t="str">
        <f aca="false">IF($K73=0,"",OPERATIONS!$C73)</f>
        <v/>
      </c>
      <c r="G73" s="26" t="str">
        <f aca="false">IF($K73=0,"",OPERATIONS!$D73)</f>
        <v/>
      </c>
      <c r="H73" s="26" t="str">
        <f aca="false">IF($K73=0,"",OPERATIONS!$E73)</f>
        <v/>
      </c>
      <c r="I73" s="26" t="str">
        <f aca="false">IF($H73="","",IFERROR(INDEX(EMPL_CLASSE,MATCH($H73,EMPL_KEY,0)),""))</f>
        <v/>
      </c>
      <c r="J73" s="26" t="str">
        <f aca="false">IF($K73=0,"",OPERATIONS!$J73)</f>
        <v/>
      </c>
      <c r="K73" s="67" t="n">
        <f aca="false">IF(OR(OPERATIONS!$N73=0,OPERATIONS!$C73="RECEPTION"),0,-OPERATIONS!$G73)</f>
        <v>0</v>
      </c>
      <c r="L73" s="67" t="n">
        <f aca="false">IF($K73=0,0,OPERATIONS!$Q73*$K73)</f>
        <v>0</v>
      </c>
      <c r="M73" s="26" t="str">
        <f aca="false">IF($K73=0,"",OPERATIONS!$P73)</f>
        <v/>
      </c>
      <c r="N73" s="26" t="str">
        <f aca="false">IF($G73="","",IF($G73=R_LOT,COUNTIF($G$5:$G73,R_LOT),""))</f>
        <v/>
      </c>
    </row>
    <row r="74" customFormat="false" ht="15" hidden="false" customHeight="false" outlineLevel="0" collapsed="false">
      <c r="A74" s="28" t="str">
        <f aca="false">IF($K74=0,"",ROW()-4)</f>
        <v/>
      </c>
      <c r="B74" s="26" t="str">
        <f aca="false">IF($K74=0,"","OPERATIONS")</f>
        <v/>
      </c>
      <c r="C74" s="26" t="str">
        <f aca="false">IF($K74=0,"",OPERATIONS!$A74)</f>
        <v/>
      </c>
      <c r="D74" s="31" t="str">
        <f aca="false">IF($K74=0,"",OPERATIONS!$B74)</f>
        <v/>
      </c>
      <c r="E74" s="26" t="str">
        <f aca="false">IF($K74=0,"","SORTIE")</f>
        <v/>
      </c>
      <c r="F74" s="26" t="str">
        <f aca="false">IF($K74=0,"",OPERATIONS!$C74)</f>
        <v/>
      </c>
      <c r="G74" s="26" t="str">
        <f aca="false">IF($K74=0,"",OPERATIONS!$D74)</f>
        <v/>
      </c>
      <c r="H74" s="26" t="str">
        <f aca="false">IF($K74=0,"",OPERATIONS!$E74)</f>
        <v/>
      </c>
      <c r="I74" s="26" t="str">
        <f aca="false">IF($H74="","",IFERROR(INDEX(EMPL_CLASSE,MATCH($H74,EMPL_KEY,0)),""))</f>
        <v/>
      </c>
      <c r="J74" s="26" t="str">
        <f aca="false">IF($K74=0,"",OPERATIONS!$J74)</f>
        <v/>
      </c>
      <c r="K74" s="67" t="n">
        <f aca="false">IF(OR(OPERATIONS!$N74=0,OPERATIONS!$C74="RECEPTION"),0,-OPERATIONS!$G74)</f>
        <v>0</v>
      </c>
      <c r="L74" s="67" t="n">
        <f aca="false">IF($K74=0,0,OPERATIONS!$Q74*$K74)</f>
        <v>0</v>
      </c>
      <c r="M74" s="26" t="str">
        <f aca="false">IF($K74=0,"",OPERATIONS!$P74)</f>
        <v/>
      </c>
      <c r="N74" s="26" t="str">
        <f aca="false">IF($G74="","",IF($G74=R_LOT,COUNTIF($G$5:$G74,R_LOT),""))</f>
        <v/>
      </c>
    </row>
    <row r="75" customFormat="false" ht="15" hidden="false" customHeight="false" outlineLevel="0" collapsed="false">
      <c r="A75" s="28" t="str">
        <f aca="false">IF($K75=0,"",ROW()-4)</f>
        <v/>
      </c>
      <c r="B75" s="26" t="str">
        <f aca="false">IF($K75=0,"","OPERATIONS")</f>
        <v/>
      </c>
      <c r="C75" s="26" t="str">
        <f aca="false">IF($K75=0,"",OPERATIONS!$A75)</f>
        <v/>
      </c>
      <c r="D75" s="31" t="str">
        <f aca="false">IF($K75=0,"",OPERATIONS!$B75)</f>
        <v/>
      </c>
      <c r="E75" s="26" t="str">
        <f aca="false">IF($K75=0,"","SORTIE")</f>
        <v/>
      </c>
      <c r="F75" s="26" t="str">
        <f aca="false">IF($K75=0,"",OPERATIONS!$C75)</f>
        <v/>
      </c>
      <c r="G75" s="26" t="str">
        <f aca="false">IF($K75=0,"",OPERATIONS!$D75)</f>
        <v/>
      </c>
      <c r="H75" s="26" t="str">
        <f aca="false">IF($K75=0,"",OPERATIONS!$E75)</f>
        <v/>
      </c>
      <c r="I75" s="26" t="str">
        <f aca="false">IF($H75="","",IFERROR(INDEX(EMPL_CLASSE,MATCH($H75,EMPL_KEY,0)),""))</f>
        <v/>
      </c>
      <c r="J75" s="26" t="str">
        <f aca="false">IF($K75=0,"",OPERATIONS!$J75)</f>
        <v/>
      </c>
      <c r="K75" s="67" t="n">
        <f aca="false">IF(OR(OPERATIONS!$N75=0,OPERATIONS!$C75="RECEPTION"),0,-OPERATIONS!$G75)</f>
        <v>0</v>
      </c>
      <c r="L75" s="67" t="n">
        <f aca="false">IF($K75=0,0,OPERATIONS!$Q75*$K75)</f>
        <v>0</v>
      </c>
      <c r="M75" s="26" t="str">
        <f aca="false">IF($K75=0,"",OPERATIONS!$P75)</f>
        <v/>
      </c>
      <c r="N75" s="26" t="str">
        <f aca="false">IF($G75="","",IF($G75=R_LOT,COUNTIF($G$5:$G75,R_LOT),""))</f>
        <v/>
      </c>
    </row>
    <row r="76" customFormat="false" ht="15" hidden="false" customHeight="false" outlineLevel="0" collapsed="false">
      <c r="A76" s="28" t="str">
        <f aca="false">IF($K76=0,"",ROW()-4)</f>
        <v/>
      </c>
      <c r="B76" s="26" t="str">
        <f aca="false">IF($K76=0,"","OPERATIONS")</f>
        <v/>
      </c>
      <c r="C76" s="26" t="str">
        <f aca="false">IF($K76=0,"",OPERATIONS!$A76)</f>
        <v/>
      </c>
      <c r="D76" s="31" t="str">
        <f aca="false">IF($K76=0,"",OPERATIONS!$B76)</f>
        <v/>
      </c>
      <c r="E76" s="26" t="str">
        <f aca="false">IF($K76=0,"","SORTIE")</f>
        <v/>
      </c>
      <c r="F76" s="26" t="str">
        <f aca="false">IF($K76=0,"",OPERATIONS!$C76)</f>
        <v/>
      </c>
      <c r="G76" s="26" t="str">
        <f aca="false">IF($K76=0,"",OPERATIONS!$D76)</f>
        <v/>
      </c>
      <c r="H76" s="26" t="str">
        <f aca="false">IF($K76=0,"",OPERATIONS!$E76)</f>
        <v/>
      </c>
      <c r="I76" s="26" t="str">
        <f aca="false">IF($H76="","",IFERROR(INDEX(EMPL_CLASSE,MATCH($H76,EMPL_KEY,0)),""))</f>
        <v/>
      </c>
      <c r="J76" s="26" t="str">
        <f aca="false">IF($K76=0,"",OPERATIONS!$J76)</f>
        <v/>
      </c>
      <c r="K76" s="67" t="n">
        <f aca="false">IF(OR(OPERATIONS!$N76=0,OPERATIONS!$C76="RECEPTION"),0,-OPERATIONS!$G76)</f>
        <v>0</v>
      </c>
      <c r="L76" s="67" t="n">
        <f aca="false">IF($K76=0,0,OPERATIONS!$Q76*$K76)</f>
        <v>0</v>
      </c>
      <c r="M76" s="26" t="str">
        <f aca="false">IF($K76=0,"",OPERATIONS!$P76)</f>
        <v/>
      </c>
      <c r="N76" s="26" t="str">
        <f aca="false">IF($G76="","",IF($G76=R_LOT,COUNTIF($G$5:$G76,R_LOT),""))</f>
        <v/>
      </c>
    </row>
    <row r="77" customFormat="false" ht="15" hidden="false" customHeight="false" outlineLevel="0" collapsed="false">
      <c r="A77" s="28" t="str">
        <f aca="false">IF($K77=0,"",ROW()-4)</f>
        <v/>
      </c>
      <c r="B77" s="26" t="str">
        <f aca="false">IF($K77=0,"","OPERATIONS")</f>
        <v/>
      </c>
      <c r="C77" s="26" t="str">
        <f aca="false">IF($K77=0,"",OPERATIONS!$A77)</f>
        <v/>
      </c>
      <c r="D77" s="31" t="str">
        <f aca="false">IF($K77=0,"",OPERATIONS!$B77)</f>
        <v/>
      </c>
      <c r="E77" s="26" t="str">
        <f aca="false">IF($K77=0,"","SORTIE")</f>
        <v/>
      </c>
      <c r="F77" s="26" t="str">
        <f aca="false">IF($K77=0,"",OPERATIONS!$C77)</f>
        <v/>
      </c>
      <c r="G77" s="26" t="str">
        <f aca="false">IF($K77=0,"",OPERATIONS!$D77)</f>
        <v/>
      </c>
      <c r="H77" s="26" t="str">
        <f aca="false">IF($K77=0,"",OPERATIONS!$E77)</f>
        <v/>
      </c>
      <c r="I77" s="26" t="str">
        <f aca="false">IF($H77="","",IFERROR(INDEX(EMPL_CLASSE,MATCH($H77,EMPL_KEY,0)),""))</f>
        <v/>
      </c>
      <c r="J77" s="26" t="str">
        <f aca="false">IF($K77=0,"",OPERATIONS!$J77)</f>
        <v/>
      </c>
      <c r="K77" s="67" t="n">
        <f aca="false">IF(OR(OPERATIONS!$N77=0,OPERATIONS!$C77="RECEPTION"),0,-OPERATIONS!$G77)</f>
        <v>0</v>
      </c>
      <c r="L77" s="67" t="n">
        <f aca="false">IF($K77=0,0,OPERATIONS!$Q77*$K77)</f>
        <v>0</v>
      </c>
      <c r="M77" s="26" t="str">
        <f aca="false">IF($K77=0,"",OPERATIONS!$P77)</f>
        <v/>
      </c>
      <c r="N77" s="26" t="str">
        <f aca="false">IF($G77="","",IF($G77=R_LOT,COUNTIF($G$5:$G77,R_LOT),""))</f>
        <v/>
      </c>
    </row>
    <row r="78" customFormat="false" ht="15" hidden="false" customHeight="false" outlineLevel="0" collapsed="false">
      <c r="A78" s="28" t="str">
        <f aca="false">IF($K78=0,"",ROW()-4)</f>
        <v/>
      </c>
      <c r="B78" s="26" t="str">
        <f aca="false">IF($K78=0,"","OPERATIONS")</f>
        <v/>
      </c>
      <c r="C78" s="26" t="str">
        <f aca="false">IF($K78=0,"",OPERATIONS!$A78)</f>
        <v/>
      </c>
      <c r="D78" s="31" t="str">
        <f aca="false">IF($K78=0,"",OPERATIONS!$B78)</f>
        <v/>
      </c>
      <c r="E78" s="26" t="str">
        <f aca="false">IF($K78=0,"","SORTIE")</f>
        <v/>
      </c>
      <c r="F78" s="26" t="str">
        <f aca="false">IF($K78=0,"",OPERATIONS!$C78)</f>
        <v/>
      </c>
      <c r="G78" s="26" t="str">
        <f aca="false">IF($K78=0,"",OPERATIONS!$D78)</f>
        <v/>
      </c>
      <c r="H78" s="26" t="str">
        <f aca="false">IF($K78=0,"",OPERATIONS!$E78)</f>
        <v/>
      </c>
      <c r="I78" s="26" t="str">
        <f aca="false">IF($H78="","",IFERROR(INDEX(EMPL_CLASSE,MATCH($H78,EMPL_KEY,0)),""))</f>
        <v/>
      </c>
      <c r="J78" s="26" t="str">
        <f aca="false">IF($K78=0,"",OPERATIONS!$J78)</f>
        <v/>
      </c>
      <c r="K78" s="67" t="n">
        <f aca="false">IF(OR(OPERATIONS!$N78=0,OPERATIONS!$C78="RECEPTION"),0,-OPERATIONS!$G78)</f>
        <v>0</v>
      </c>
      <c r="L78" s="67" t="n">
        <f aca="false">IF($K78=0,0,OPERATIONS!$Q78*$K78)</f>
        <v>0</v>
      </c>
      <c r="M78" s="26" t="str">
        <f aca="false">IF($K78=0,"",OPERATIONS!$P78)</f>
        <v/>
      </c>
      <c r="N78" s="26" t="str">
        <f aca="false">IF($G78="","",IF($G78=R_LOT,COUNTIF($G$5:$G78,R_LOT),""))</f>
        <v/>
      </c>
    </row>
    <row r="79" customFormat="false" ht="15" hidden="false" customHeight="false" outlineLevel="0" collapsed="false">
      <c r="A79" s="28" t="str">
        <f aca="false">IF($K79=0,"",ROW()-4)</f>
        <v/>
      </c>
      <c r="B79" s="26" t="str">
        <f aca="false">IF($K79=0,"","OPERATIONS")</f>
        <v/>
      </c>
      <c r="C79" s="26" t="str">
        <f aca="false">IF($K79=0,"",OPERATIONS!$A79)</f>
        <v/>
      </c>
      <c r="D79" s="31" t="str">
        <f aca="false">IF($K79=0,"",OPERATIONS!$B79)</f>
        <v/>
      </c>
      <c r="E79" s="26" t="str">
        <f aca="false">IF($K79=0,"","SORTIE")</f>
        <v/>
      </c>
      <c r="F79" s="26" t="str">
        <f aca="false">IF($K79=0,"",OPERATIONS!$C79)</f>
        <v/>
      </c>
      <c r="G79" s="26" t="str">
        <f aca="false">IF($K79=0,"",OPERATIONS!$D79)</f>
        <v/>
      </c>
      <c r="H79" s="26" t="str">
        <f aca="false">IF($K79=0,"",OPERATIONS!$E79)</f>
        <v/>
      </c>
      <c r="I79" s="26" t="str">
        <f aca="false">IF($H79="","",IFERROR(INDEX(EMPL_CLASSE,MATCH($H79,EMPL_KEY,0)),""))</f>
        <v/>
      </c>
      <c r="J79" s="26" t="str">
        <f aca="false">IF($K79=0,"",OPERATIONS!$J79)</f>
        <v/>
      </c>
      <c r="K79" s="67" t="n">
        <f aca="false">IF(OR(OPERATIONS!$N79=0,OPERATIONS!$C79="RECEPTION"),0,-OPERATIONS!$G79)</f>
        <v>0</v>
      </c>
      <c r="L79" s="67" t="n">
        <f aca="false">IF($K79=0,0,OPERATIONS!$Q79*$K79)</f>
        <v>0</v>
      </c>
      <c r="M79" s="26" t="str">
        <f aca="false">IF($K79=0,"",OPERATIONS!$P79)</f>
        <v/>
      </c>
      <c r="N79" s="26" t="str">
        <f aca="false">IF($G79="","",IF($G79=R_LOT,COUNTIF($G$5:$G79,R_LOT),""))</f>
        <v/>
      </c>
    </row>
    <row r="80" customFormat="false" ht="15" hidden="false" customHeight="false" outlineLevel="0" collapsed="false">
      <c r="A80" s="28" t="str">
        <f aca="false">IF($K80=0,"",ROW()-4)</f>
        <v/>
      </c>
      <c r="B80" s="26" t="str">
        <f aca="false">IF($K80=0,"","OPERATIONS")</f>
        <v/>
      </c>
      <c r="C80" s="26" t="str">
        <f aca="false">IF($K80=0,"",OPERATIONS!$A80)</f>
        <v/>
      </c>
      <c r="D80" s="31" t="str">
        <f aca="false">IF($K80=0,"",OPERATIONS!$B80)</f>
        <v/>
      </c>
      <c r="E80" s="26" t="str">
        <f aca="false">IF($K80=0,"","SORTIE")</f>
        <v/>
      </c>
      <c r="F80" s="26" t="str">
        <f aca="false">IF($K80=0,"",OPERATIONS!$C80)</f>
        <v/>
      </c>
      <c r="G80" s="26" t="str">
        <f aca="false">IF($K80=0,"",OPERATIONS!$D80)</f>
        <v/>
      </c>
      <c r="H80" s="26" t="str">
        <f aca="false">IF($K80=0,"",OPERATIONS!$E80)</f>
        <v/>
      </c>
      <c r="I80" s="26" t="str">
        <f aca="false">IF($H80="","",IFERROR(INDEX(EMPL_CLASSE,MATCH($H80,EMPL_KEY,0)),""))</f>
        <v/>
      </c>
      <c r="J80" s="26" t="str">
        <f aca="false">IF($K80=0,"",OPERATIONS!$J80)</f>
        <v/>
      </c>
      <c r="K80" s="67" t="n">
        <f aca="false">IF(OR(OPERATIONS!$N80=0,OPERATIONS!$C80="RECEPTION"),0,-OPERATIONS!$G80)</f>
        <v>0</v>
      </c>
      <c r="L80" s="67" t="n">
        <f aca="false">IF($K80=0,0,OPERATIONS!$Q80*$K80)</f>
        <v>0</v>
      </c>
      <c r="M80" s="26" t="str">
        <f aca="false">IF($K80=0,"",OPERATIONS!$P80)</f>
        <v/>
      </c>
      <c r="N80" s="26" t="str">
        <f aca="false">IF($G80="","",IF($G80=R_LOT,COUNTIF($G$5:$G80,R_LOT),""))</f>
        <v/>
      </c>
    </row>
    <row r="81" customFormat="false" ht="15" hidden="false" customHeight="false" outlineLevel="0" collapsed="false">
      <c r="A81" s="28" t="str">
        <f aca="false">IF($K81=0,"",ROW()-4)</f>
        <v/>
      </c>
      <c r="B81" s="26" t="str">
        <f aca="false">IF($K81=0,"","OPERATIONS")</f>
        <v/>
      </c>
      <c r="C81" s="26" t="str">
        <f aca="false">IF($K81=0,"",OPERATIONS!$A81)</f>
        <v/>
      </c>
      <c r="D81" s="31" t="str">
        <f aca="false">IF($K81=0,"",OPERATIONS!$B81)</f>
        <v/>
      </c>
      <c r="E81" s="26" t="str">
        <f aca="false">IF($K81=0,"","SORTIE")</f>
        <v/>
      </c>
      <c r="F81" s="26" t="str">
        <f aca="false">IF($K81=0,"",OPERATIONS!$C81)</f>
        <v/>
      </c>
      <c r="G81" s="26" t="str">
        <f aca="false">IF($K81=0,"",OPERATIONS!$D81)</f>
        <v/>
      </c>
      <c r="H81" s="26" t="str">
        <f aca="false">IF($K81=0,"",OPERATIONS!$E81)</f>
        <v/>
      </c>
      <c r="I81" s="26" t="str">
        <f aca="false">IF($H81="","",IFERROR(INDEX(EMPL_CLASSE,MATCH($H81,EMPL_KEY,0)),""))</f>
        <v/>
      </c>
      <c r="J81" s="26" t="str">
        <f aca="false">IF($K81=0,"",OPERATIONS!$J81)</f>
        <v/>
      </c>
      <c r="K81" s="67" t="n">
        <f aca="false">IF(OR(OPERATIONS!$N81=0,OPERATIONS!$C81="RECEPTION"),0,-OPERATIONS!$G81)</f>
        <v>0</v>
      </c>
      <c r="L81" s="67" t="n">
        <f aca="false">IF($K81=0,0,OPERATIONS!$Q81*$K81)</f>
        <v>0</v>
      </c>
      <c r="M81" s="26" t="str">
        <f aca="false">IF($K81=0,"",OPERATIONS!$P81)</f>
        <v/>
      </c>
      <c r="N81" s="26" t="str">
        <f aca="false">IF($G81="","",IF($G81=R_LOT,COUNTIF($G$5:$G81,R_LOT),""))</f>
        <v/>
      </c>
    </row>
    <row r="82" customFormat="false" ht="15" hidden="false" customHeight="false" outlineLevel="0" collapsed="false">
      <c r="A82" s="28" t="str">
        <f aca="false">IF($K82=0,"",ROW()-4)</f>
        <v/>
      </c>
      <c r="B82" s="26" t="str">
        <f aca="false">IF($K82=0,"","OPERATIONS")</f>
        <v/>
      </c>
      <c r="C82" s="26" t="str">
        <f aca="false">IF($K82=0,"",OPERATIONS!$A82)</f>
        <v/>
      </c>
      <c r="D82" s="31" t="str">
        <f aca="false">IF($K82=0,"",OPERATIONS!$B82)</f>
        <v/>
      </c>
      <c r="E82" s="26" t="str">
        <f aca="false">IF($K82=0,"","SORTIE")</f>
        <v/>
      </c>
      <c r="F82" s="26" t="str">
        <f aca="false">IF($K82=0,"",OPERATIONS!$C82)</f>
        <v/>
      </c>
      <c r="G82" s="26" t="str">
        <f aca="false">IF($K82=0,"",OPERATIONS!$D82)</f>
        <v/>
      </c>
      <c r="H82" s="26" t="str">
        <f aca="false">IF($K82=0,"",OPERATIONS!$E82)</f>
        <v/>
      </c>
      <c r="I82" s="26" t="str">
        <f aca="false">IF($H82="","",IFERROR(INDEX(EMPL_CLASSE,MATCH($H82,EMPL_KEY,0)),""))</f>
        <v/>
      </c>
      <c r="J82" s="26" t="str">
        <f aca="false">IF($K82=0,"",OPERATIONS!$J82)</f>
        <v/>
      </c>
      <c r="K82" s="67" t="n">
        <f aca="false">IF(OR(OPERATIONS!$N82=0,OPERATIONS!$C82="RECEPTION"),0,-OPERATIONS!$G82)</f>
        <v>0</v>
      </c>
      <c r="L82" s="67" t="n">
        <f aca="false">IF($K82=0,0,OPERATIONS!$Q82*$K82)</f>
        <v>0</v>
      </c>
      <c r="M82" s="26" t="str">
        <f aca="false">IF($K82=0,"",OPERATIONS!$P82)</f>
        <v/>
      </c>
      <c r="N82" s="26" t="str">
        <f aca="false">IF($G82="","",IF($G82=R_LOT,COUNTIF($G$5:$G82,R_LOT),""))</f>
        <v/>
      </c>
    </row>
    <row r="83" customFormat="false" ht="15" hidden="false" customHeight="false" outlineLevel="0" collapsed="false">
      <c r="A83" s="28" t="str">
        <f aca="false">IF($K83=0,"",ROW()-4)</f>
        <v/>
      </c>
      <c r="B83" s="26" t="str">
        <f aca="false">IF($K83=0,"","OPERATIONS")</f>
        <v/>
      </c>
      <c r="C83" s="26" t="str">
        <f aca="false">IF($K83=0,"",OPERATIONS!$A83)</f>
        <v/>
      </c>
      <c r="D83" s="31" t="str">
        <f aca="false">IF($K83=0,"",OPERATIONS!$B83)</f>
        <v/>
      </c>
      <c r="E83" s="26" t="str">
        <f aca="false">IF($K83=0,"","SORTIE")</f>
        <v/>
      </c>
      <c r="F83" s="26" t="str">
        <f aca="false">IF($K83=0,"",OPERATIONS!$C83)</f>
        <v/>
      </c>
      <c r="G83" s="26" t="str">
        <f aca="false">IF($K83=0,"",OPERATIONS!$D83)</f>
        <v/>
      </c>
      <c r="H83" s="26" t="str">
        <f aca="false">IF($K83=0,"",OPERATIONS!$E83)</f>
        <v/>
      </c>
      <c r="I83" s="26" t="str">
        <f aca="false">IF($H83="","",IFERROR(INDEX(EMPL_CLASSE,MATCH($H83,EMPL_KEY,0)),""))</f>
        <v/>
      </c>
      <c r="J83" s="26" t="str">
        <f aca="false">IF($K83=0,"",OPERATIONS!$J83)</f>
        <v/>
      </c>
      <c r="K83" s="67" t="n">
        <f aca="false">IF(OR(OPERATIONS!$N83=0,OPERATIONS!$C83="RECEPTION"),0,-OPERATIONS!$G83)</f>
        <v>0</v>
      </c>
      <c r="L83" s="67" t="n">
        <f aca="false">IF($K83=0,0,OPERATIONS!$Q83*$K83)</f>
        <v>0</v>
      </c>
      <c r="M83" s="26" t="str">
        <f aca="false">IF($K83=0,"",OPERATIONS!$P83)</f>
        <v/>
      </c>
      <c r="N83" s="26" t="str">
        <f aca="false">IF($G83="","",IF($G83=R_LOT,COUNTIF($G$5:$G83,R_LOT),""))</f>
        <v/>
      </c>
    </row>
    <row r="84" customFormat="false" ht="15" hidden="false" customHeight="false" outlineLevel="0" collapsed="false">
      <c r="A84" s="28" t="str">
        <f aca="false">IF($K84=0,"",ROW()-4)</f>
        <v/>
      </c>
      <c r="B84" s="26" t="str">
        <f aca="false">IF($K84=0,"","OPERATIONS")</f>
        <v/>
      </c>
      <c r="C84" s="26" t="str">
        <f aca="false">IF($K84=0,"",OPERATIONS!$A84)</f>
        <v/>
      </c>
      <c r="D84" s="31" t="str">
        <f aca="false">IF($K84=0,"",OPERATIONS!$B84)</f>
        <v/>
      </c>
      <c r="E84" s="26" t="str">
        <f aca="false">IF($K84=0,"","SORTIE")</f>
        <v/>
      </c>
      <c r="F84" s="26" t="str">
        <f aca="false">IF($K84=0,"",OPERATIONS!$C84)</f>
        <v/>
      </c>
      <c r="G84" s="26" t="str">
        <f aca="false">IF($K84=0,"",OPERATIONS!$D84)</f>
        <v/>
      </c>
      <c r="H84" s="26" t="str">
        <f aca="false">IF($K84=0,"",OPERATIONS!$E84)</f>
        <v/>
      </c>
      <c r="I84" s="26" t="str">
        <f aca="false">IF($H84="","",IFERROR(INDEX(EMPL_CLASSE,MATCH($H84,EMPL_KEY,0)),""))</f>
        <v/>
      </c>
      <c r="J84" s="26" t="str">
        <f aca="false">IF($K84=0,"",OPERATIONS!$J84)</f>
        <v/>
      </c>
      <c r="K84" s="67" t="n">
        <f aca="false">IF(OR(OPERATIONS!$N84=0,OPERATIONS!$C84="RECEPTION"),0,-OPERATIONS!$G84)</f>
        <v>0</v>
      </c>
      <c r="L84" s="67" t="n">
        <f aca="false">IF($K84=0,0,OPERATIONS!$Q84*$K84)</f>
        <v>0</v>
      </c>
      <c r="M84" s="26" t="str">
        <f aca="false">IF($K84=0,"",OPERATIONS!$P84)</f>
        <v/>
      </c>
      <c r="N84" s="26" t="str">
        <f aca="false">IF($G84="","",IF($G84=R_LOT,COUNTIF($G$5:$G84,R_LOT),""))</f>
        <v/>
      </c>
    </row>
    <row r="85" customFormat="false" ht="15" hidden="false" customHeight="false" outlineLevel="0" collapsed="false">
      <c r="A85" s="28" t="str">
        <f aca="false">IF($K85=0,"",ROW()-4)</f>
        <v/>
      </c>
      <c r="B85" s="26" t="str">
        <f aca="false">IF($K85=0,"","OPERATIONS")</f>
        <v/>
      </c>
      <c r="C85" s="26" t="str">
        <f aca="false">IF($K85=0,"",OPERATIONS!$A85)</f>
        <v/>
      </c>
      <c r="D85" s="31" t="str">
        <f aca="false">IF($K85=0,"",OPERATIONS!$B85)</f>
        <v/>
      </c>
      <c r="E85" s="26" t="str">
        <f aca="false">IF($K85=0,"","SORTIE")</f>
        <v/>
      </c>
      <c r="F85" s="26" t="str">
        <f aca="false">IF($K85=0,"",OPERATIONS!$C85)</f>
        <v/>
      </c>
      <c r="G85" s="26" t="str">
        <f aca="false">IF($K85=0,"",OPERATIONS!$D85)</f>
        <v/>
      </c>
      <c r="H85" s="26" t="str">
        <f aca="false">IF($K85=0,"",OPERATIONS!$E85)</f>
        <v/>
      </c>
      <c r="I85" s="26" t="str">
        <f aca="false">IF($H85="","",IFERROR(INDEX(EMPL_CLASSE,MATCH($H85,EMPL_KEY,0)),""))</f>
        <v/>
      </c>
      <c r="J85" s="26" t="str">
        <f aca="false">IF($K85=0,"",OPERATIONS!$J85)</f>
        <v/>
      </c>
      <c r="K85" s="67" t="n">
        <f aca="false">IF(OR(OPERATIONS!$N85=0,OPERATIONS!$C85="RECEPTION"),0,-OPERATIONS!$G85)</f>
        <v>0</v>
      </c>
      <c r="L85" s="67" t="n">
        <f aca="false">IF($K85=0,0,OPERATIONS!$Q85*$K85)</f>
        <v>0</v>
      </c>
      <c r="M85" s="26" t="str">
        <f aca="false">IF($K85=0,"",OPERATIONS!$P85)</f>
        <v/>
      </c>
      <c r="N85" s="26" t="str">
        <f aca="false">IF($G85="","",IF($G85=R_LOT,COUNTIF($G$5:$G85,R_LOT),""))</f>
        <v/>
      </c>
    </row>
    <row r="86" customFormat="false" ht="15" hidden="false" customHeight="false" outlineLevel="0" collapsed="false">
      <c r="A86" s="28" t="str">
        <f aca="false">IF($K86=0,"",ROW()-4)</f>
        <v/>
      </c>
      <c r="B86" s="26" t="str">
        <f aca="false">IF($K86=0,"","OPERATIONS")</f>
        <v/>
      </c>
      <c r="C86" s="26" t="str">
        <f aca="false">IF($K86=0,"",OPERATIONS!$A86)</f>
        <v/>
      </c>
      <c r="D86" s="31" t="str">
        <f aca="false">IF($K86=0,"",OPERATIONS!$B86)</f>
        <v/>
      </c>
      <c r="E86" s="26" t="str">
        <f aca="false">IF($K86=0,"","SORTIE")</f>
        <v/>
      </c>
      <c r="F86" s="26" t="str">
        <f aca="false">IF($K86=0,"",OPERATIONS!$C86)</f>
        <v/>
      </c>
      <c r="G86" s="26" t="str">
        <f aca="false">IF($K86=0,"",OPERATIONS!$D86)</f>
        <v/>
      </c>
      <c r="H86" s="26" t="str">
        <f aca="false">IF($K86=0,"",OPERATIONS!$E86)</f>
        <v/>
      </c>
      <c r="I86" s="26" t="str">
        <f aca="false">IF($H86="","",IFERROR(INDEX(EMPL_CLASSE,MATCH($H86,EMPL_KEY,0)),""))</f>
        <v/>
      </c>
      <c r="J86" s="26" t="str">
        <f aca="false">IF($K86=0,"",OPERATIONS!$J86)</f>
        <v/>
      </c>
      <c r="K86" s="67" t="n">
        <f aca="false">IF(OR(OPERATIONS!$N86=0,OPERATIONS!$C86="RECEPTION"),0,-OPERATIONS!$G86)</f>
        <v>0</v>
      </c>
      <c r="L86" s="67" t="n">
        <f aca="false">IF($K86=0,0,OPERATIONS!$Q86*$K86)</f>
        <v>0</v>
      </c>
      <c r="M86" s="26" t="str">
        <f aca="false">IF($K86=0,"",OPERATIONS!$P86)</f>
        <v/>
      </c>
      <c r="N86" s="26" t="str">
        <f aca="false">IF($G86="","",IF($G86=R_LOT,COUNTIF($G$5:$G86,R_LOT),""))</f>
        <v/>
      </c>
    </row>
    <row r="87" customFormat="false" ht="15" hidden="false" customHeight="false" outlineLevel="0" collapsed="false">
      <c r="A87" s="28" t="str">
        <f aca="false">IF($K87=0,"",ROW()-4)</f>
        <v/>
      </c>
      <c r="B87" s="26" t="str">
        <f aca="false">IF($K87=0,"","OPERATIONS")</f>
        <v/>
      </c>
      <c r="C87" s="26" t="str">
        <f aca="false">IF($K87=0,"",OPERATIONS!$A87)</f>
        <v/>
      </c>
      <c r="D87" s="31" t="str">
        <f aca="false">IF($K87=0,"",OPERATIONS!$B87)</f>
        <v/>
      </c>
      <c r="E87" s="26" t="str">
        <f aca="false">IF($K87=0,"","SORTIE")</f>
        <v/>
      </c>
      <c r="F87" s="26" t="str">
        <f aca="false">IF($K87=0,"",OPERATIONS!$C87)</f>
        <v/>
      </c>
      <c r="G87" s="26" t="str">
        <f aca="false">IF($K87=0,"",OPERATIONS!$D87)</f>
        <v/>
      </c>
      <c r="H87" s="26" t="str">
        <f aca="false">IF($K87=0,"",OPERATIONS!$E87)</f>
        <v/>
      </c>
      <c r="I87" s="26" t="str">
        <f aca="false">IF($H87="","",IFERROR(INDEX(EMPL_CLASSE,MATCH($H87,EMPL_KEY,0)),""))</f>
        <v/>
      </c>
      <c r="J87" s="26" t="str">
        <f aca="false">IF($K87=0,"",OPERATIONS!$J87)</f>
        <v/>
      </c>
      <c r="K87" s="67" t="n">
        <f aca="false">IF(OR(OPERATIONS!$N87=0,OPERATIONS!$C87="RECEPTION"),0,-OPERATIONS!$G87)</f>
        <v>0</v>
      </c>
      <c r="L87" s="67" t="n">
        <f aca="false">IF($K87=0,0,OPERATIONS!$Q87*$K87)</f>
        <v>0</v>
      </c>
      <c r="M87" s="26" t="str">
        <f aca="false">IF($K87=0,"",OPERATIONS!$P87)</f>
        <v/>
      </c>
      <c r="N87" s="26" t="str">
        <f aca="false">IF($G87="","",IF($G87=R_LOT,COUNTIF($G$5:$G87,R_LOT),""))</f>
        <v/>
      </c>
    </row>
    <row r="88" customFormat="false" ht="15" hidden="false" customHeight="false" outlineLevel="0" collapsed="false">
      <c r="A88" s="28" t="str">
        <f aca="false">IF($K88=0,"",ROW()-4)</f>
        <v/>
      </c>
      <c r="B88" s="26" t="str">
        <f aca="false">IF($K88=0,"","OPERATIONS")</f>
        <v/>
      </c>
      <c r="C88" s="26" t="str">
        <f aca="false">IF($K88=0,"",OPERATIONS!$A88)</f>
        <v/>
      </c>
      <c r="D88" s="31" t="str">
        <f aca="false">IF($K88=0,"",OPERATIONS!$B88)</f>
        <v/>
      </c>
      <c r="E88" s="26" t="str">
        <f aca="false">IF($K88=0,"","SORTIE")</f>
        <v/>
      </c>
      <c r="F88" s="26" t="str">
        <f aca="false">IF($K88=0,"",OPERATIONS!$C88)</f>
        <v/>
      </c>
      <c r="G88" s="26" t="str">
        <f aca="false">IF($K88=0,"",OPERATIONS!$D88)</f>
        <v/>
      </c>
      <c r="H88" s="26" t="str">
        <f aca="false">IF($K88=0,"",OPERATIONS!$E88)</f>
        <v/>
      </c>
      <c r="I88" s="26" t="str">
        <f aca="false">IF($H88="","",IFERROR(INDEX(EMPL_CLASSE,MATCH($H88,EMPL_KEY,0)),""))</f>
        <v/>
      </c>
      <c r="J88" s="26" t="str">
        <f aca="false">IF($K88=0,"",OPERATIONS!$J88)</f>
        <v/>
      </c>
      <c r="K88" s="67" t="n">
        <f aca="false">IF(OR(OPERATIONS!$N88=0,OPERATIONS!$C88="RECEPTION"),0,-OPERATIONS!$G88)</f>
        <v>0</v>
      </c>
      <c r="L88" s="67" t="n">
        <f aca="false">IF($K88=0,0,OPERATIONS!$Q88*$K88)</f>
        <v>0</v>
      </c>
      <c r="M88" s="26" t="str">
        <f aca="false">IF($K88=0,"",OPERATIONS!$P88)</f>
        <v/>
      </c>
      <c r="N88" s="26" t="str">
        <f aca="false">IF($G88="","",IF($G88=R_LOT,COUNTIF($G$5:$G88,R_LOT),""))</f>
        <v/>
      </c>
    </row>
    <row r="89" customFormat="false" ht="15" hidden="false" customHeight="false" outlineLevel="0" collapsed="false">
      <c r="A89" s="28" t="str">
        <f aca="false">IF($K89=0,"",ROW()-4)</f>
        <v/>
      </c>
      <c r="B89" s="26" t="str">
        <f aca="false">IF($K89=0,"","OPERATIONS")</f>
        <v/>
      </c>
      <c r="C89" s="26" t="str">
        <f aca="false">IF($K89=0,"",OPERATIONS!$A89)</f>
        <v/>
      </c>
      <c r="D89" s="31" t="str">
        <f aca="false">IF($K89=0,"",OPERATIONS!$B89)</f>
        <v/>
      </c>
      <c r="E89" s="26" t="str">
        <f aca="false">IF($K89=0,"","SORTIE")</f>
        <v/>
      </c>
      <c r="F89" s="26" t="str">
        <f aca="false">IF($K89=0,"",OPERATIONS!$C89)</f>
        <v/>
      </c>
      <c r="G89" s="26" t="str">
        <f aca="false">IF($K89=0,"",OPERATIONS!$D89)</f>
        <v/>
      </c>
      <c r="H89" s="26" t="str">
        <f aca="false">IF($K89=0,"",OPERATIONS!$E89)</f>
        <v/>
      </c>
      <c r="I89" s="26" t="str">
        <f aca="false">IF($H89="","",IFERROR(INDEX(EMPL_CLASSE,MATCH($H89,EMPL_KEY,0)),""))</f>
        <v/>
      </c>
      <c r="J89" s="26" t="str">
        <f aca="false">IF($K89=0,"",OPERATIONS!$J89)</f>
        <v/>
      </c>
      <c r="K89" s="67" t="n">
        <f aca="false">IF(OR(OPERATIONS!$N89=0,OPERATIONS!$C89="RECEPTION"),0,-OPERATIONS!$G89)</f>
        <v>0</v>
      </c>
      <c r="L89" s="67" t="n">
        <f aca="false">IF($K89=0,0,OPERATIONS!$Q89*$K89)</f>
        <v>0</v>
      </c>
      <c r="M89" s="26" t="str">
        <f aca="false">IF($K89=0,"",OPERATIONS!$P89)</f>
        <v/>
      </c>
      <c r="N89" s="26" t="str">
        <f aca="false">IF($G89="","",IF($G89=R_LOT,COUNTIF($G$5:$G89,R_LOT),""))</f>
        <v/>
      </c>
    </row>
    <row r="90" customFormat="false" ht="15" hidden="false" customHeight="false" outlineLevel="0" collapsed="false">
      <c r="A90" s="28" t="str">
        <f aca="false">IF($K90=0,"",ROW()-4)</f>
        <v/>
      </c>
      <c r="B90" s="26" t="str">
        <f aca="false">IF($K90=0,"","OPERATIONS")</f>
        <v/>
      </c>
      <c r="C90" s="26" t="str">
        <f aca="false">IF($K90=0,"",OPERATIONS!$A90)</f>
        <v/>
      </c>
      <c r="D90" s="31" t="str">
        <f aca="false">IF($K90=0,"",OPERATIONS!$B90)</f>
        <v/>
      </c>
      <c r="E90" s="26" t="str">
        <f aca="false">IF($K90=0,"","SORTIE")</f>
        <v/>
      </c>
      <c r="F90" s="26" t="str">
        <f aca="false">IF($K90=0,"",OPERATIONS!$C90)</f>
        <v/>
      </c>
      <c r="G90" s="26" t="str">
        <f aca="false">IF($K90=0,"",OPERATIONS!$D90)</f>
        <v/>
      </c>
      <c r="H90" s="26" t="str">
        <f aca="false">IF($K90=0,"",OPERATIONS!$E90)</f>
        <v/>
      </c>
      <c r="I90" s="26" t="str">
        <f aca="false">IF($H90="","",IFERROR(INDEX(EMPL_CLASSE,MATCH($H90,EMPL_KEY,0)),""))</f>
        <v/>
      </c>
      <c r="J90" s="26" t="str">
        <f aca="false">IF($K90=0,"",OPERATIONS!$J90)</f>
        <v/>
      </c>
      <c r="K90" s="67" t="n">
        <f aca="false">IF(OR(OPERATIONS!$N90=0,OPERATIONS!$C90="RECEPTION"),0,-OPERATIONS!$G90)</f>
        <v>0</v>
      </c>
      <c r="L90" s="67" t="n">
        <f aca="false">IF($K90=0,0,OPERATIONS!$Q90*$K90)</f>
        <v>0</v>
      </c>
      <c r="M90" s="26" t="str">
        <f aca="false">IF($K90=0,"",OPERATIONS!$P90)</f>
        <v/>
      </c>
      <c r="N90" s="26" t="str">
        <f aca="false">IF($G90="","",IF($G90=R_LOT,COUNTIF($G$5:$G90,R_LOT),""))</f>
        <v/>
      </c>
    </row>
    <row r="91" customFormat="false" ht="15" hidden="false" customHeight="false" outlineLevel="0" collapsed="false">
      <c r="A91" s="28" t="str">
        <f aca="false">IF($K91=0,"",ROW()-4)</f>
        <v/>
      </c>
      <c r="B91" s="26" t="str">
        <f aca="false">IF($K91=0,"","OPERATIONS")</f>
        <v/>
      </c>
      <c r="C91" s="26" t="str">
        <f aca="false">IF($K91=0,"",OPERATIONS!$A91)</f>
        <v/>
      </c>
      <c r="D91" s="31" t="str">
        <f aca="false">IF($K91=0,"",OPERATIONS!$B91)</f>
        <v/>
      </c>
      <c r="E91" s="26" t="str">
        <f aca="false">IF($K91=0,"","SORTIE")</f>
        <v/>
      </c>
      <c r="F91" s="26" t="str">
        <f aca="false">IF($K91=0,"",OPERATIONS!$C91)</f>
        <v/>
      </c>
      <c r="G91" s="26" t="str">
        <f aca="false">IF($K91=0,"",OPERATIONS!$D91)</f>
        <v/>
      </c>
      <c r="H91" s="26" t="str">
        <f aca="false">IF($K91=0,"",OPERATIONS!$E91)</f>
        <v/>
      </c>
      <c r="I91" s="26" t="str">
        <f aca="false">IF($H91="","",IFERROR(INDEX(EMPL_CLASSE,MATCH($H91,EMPL_KEY,0)),""))</f>
        <v/>
      </c>
      <c r="J91" s="26" t="str">
        <f aca="false">IF($K91=0,"",OPERATIONS!$J91)</f>
        <v/>
      </c>
      <c r="K91" s="67" t="n">
        <f aca="false">IF(OR(OPERATIONS!$N91=0,OPERATIONS!$C91="RECEPTION"),0,-OPERATIONS!$G91)</f>
        <v>0</v>
      </c>
      <c r="L91" s="67" t="n">
        <f aca="false">IF($K91=0,0,OPERATIONS!$Q91*$K91)</f>
        <v>0</v>
      </c>
      <c r="M91" s="26" t="str">
        <f aca="false">IF($K91=0,"",OPERATIONS!$P91)</f>
        <v/>
      </c>
      <c r="N91" s="26" t="str">
        <f aca="false">IF($G91="","",IF($G91=R_LOT,COUNTIF($G$5:$G91,R_LOT),""))</f>
        <v/>
      </c>
    </row>
    <row r="92" customFormat="false" ht="15" hidden="false" customHeight="false" outlineLevel="0" collapsed="false">
      <c r="A92" s="28" t="str">
        <f aca="false">IF($K92=0,"",ROW()-4)</f>
        <v/>
      </c>
      <c r="B92" s="26" t="str">
        <f aca="false">IF($K92=0,"","OPERATIONS")</f>
        <v/>
      </c>
      <c r="C92" s="26" t="str">
        <f aca="false">IF($K92=0,"",OPERATIONS!$A92)</f>
        <v/>
      </c>
      <c r="D92" s="31" t="str">
        <f aca="false">IF($K92=0,"",OPERATIONS!$B92)</f>
        <v/>
      </c>
      <c r="E92" s="26" t="str">
        <f aca="false">IF($K92=0,"","SORTIE")</f>
        <v/>
      </c>
      <c r="F92" s="26" t="str">
        <f aca="false">IF($K92=0,"",OPERATIONS!$C92)</f>
        <v/>
      </c>
      <c r="G92" s="26" t="str">
        <f aca="false">IF($K92=0,"",OPERATIONS!$D92)</f>
        <v/>
      </c>
      <c r="H92" s="26" t="str">
        <f aca="false">IF($K92=0,"",OPERATIONS!$E92)</f>
        <v/>
      </c>
      <c r="I92" s="26" t="str">
        <f aca="false">IF($H92="","",IFERROR(INDEX(EMPL_CLASSE,MATCH($H92,EMPL_KEY,0)),""))</f>
        <v/>
      </c>
      <c r="J92" s="26" t="str">
        <f aca="false">IF($K92=0,"",OPERATIONS!$J92)</f>
        <v/>
      </c>
      <c r="K92" s="67" t="n">
        <f aca="false">IF(OR(OPERATIONS!$N92=0,OPERATIONS!$C92="RECEPTION"),0,-OPERATIONS!$G92)</f>
        <v>0</v>
      </c>
      <c r="L92" s="67" t="n">
        <f aca="false">IF($K92=0,0,OPERATIONS!$Q92*$K92)</f>
        <v>0</v>
      </c>
      <c r="M92" s="26" t="str">
        <f aca="false">IF($K92=0,"",OPERATIONS!$P92)</f>
        <v/>
      </c>
      <c r="N92" s="26" t="str">
        <f aca="false">IF($G92="","",IF($G92=R_LOT,COUNTIF($G$5:$G92,R_LOT),""))</f>
        <v/>
      </c>
    </row>
    <row r="93" customFormat="false" ht="15" hidden="false" customHeight="false" outlineLevel="0" collapsed="false">
      <c r="A93" s="28" t="str">
        <f aca="false">IF($K93=0,"",ROW()-4)</f>
        <v/>
      </c>
      <c r="B93" s="26" t="str">
        <f aca="false">IF($K93=0,"","OPERATIONS")</f>
        <v/>
      </c>
      <c r="C93" s="26" t="str">
        <f aca="false">IF($K93=0,"",OPERATIONS!$A93)</f>
        <v/>
      </c>
      <c r="D93" s="31" t="str">
        <f aca="false">IF($K93=0,"",OPERATIONS!$B93)</f>
        <v/>
      </c>
      <c r="E93" s="26" t="str">
        <f aca="false">IF($K93=0,"","SORTIE")</f>
        <v/>
      </c>
      <c r="F93" s="26" t="str">
        <f aca="false">IF($K93=0,"",OPERATIONS!$C93)</f>
        <v/>
      </c>
      <c r="G93" s="26" t="str">
        <f aca="false">IF($K93=0,"",OPERATIONS!$D93)</f>
        <v/>
      </c>
      <c r="H93" s="26" t="str">
        <f aca="false">IF($K93=0,"",OPERATIONS!$E93)</f>
        <v/>
      </c>
      <c r="I93" s="26" t="str">
        <f aca="false">IF($H93="","",IFERROR(INDEX(EMPL_CLASSE,MATCH($H93,EMPL_KEY,0)),""))</f>
        <v/>
      </c>
      <c r="J93" s="26" t="str">
        <f aca="false">IF($K93=0,"",OPERATIONS!$J93)</f>
        <v/>
      </c>
      <c r="K93" s="67" t="n">
        <f aca="false">IF(OR(OPERATIONS!$N93=0,OPERATIONS!$C93="RECEPTION"),0,-OPERATIONS!$G93)</f>
        <v>0</v>
      </c>
      <c r="L93" s="67" t="n">
        <f aca="false">IF($K93=0,0,OPERATIONS!$Q93*$K93)</f>
        <v>0</v>
      </c>
      <c r="M93" s="26" t="str">
        <f aca="false">IF($K93=0,"",OPERATIONS!$P93)</f>
        <v/>
      </c>
      <c r="N93" s="26" t="str">
        <f aca="false">IF($G93="","",IF($G93=R_LOT,COUNTIF($G$5:$G93,R_LOT),""))</f>
        <v/>
      </c>
    </row>
    <row r="94" customFormat="false" ht="15" hidden="false" customHeight="false" outlineLevel="0" collapsed="false">
      <c r="A94" s="28" t="str">
        <f aca="false">IF($K94=0,"",ROW()-4)</f>
        <v/>
      </c>
      <c r="B94" s="26" t="str">
        <f aca="false">IF($K94=0,"","OPERATIONS")</f>
        <v/>
      </c>
      <c r="C94" s="26" t="str">
        <f aca="false">IF($K94=0,"",OPERATIONS!$A94)</f>
        <v/>
      </c>
      <c r="D94" s="31" t="str">
        <f aca="false">IF($K94=0,"",OPERATIONS!$B94)</f>
        <v/>
      </c>
      <c r="E94" s="26" t="str">
        <f aca="false">IF($K94=0,"","SORTIE")</f>
        <v/>
      </c>
      <c r="F94" s="26" t="str">
        <f aca="false">IF($K94=0,"",OPERATIONS!$C94)</f>
        <v/>
      </c>
      <c r="G94" s="26" t="str">
        <f aca="false">IF($K94=0,"",OPERATIONS!$D94)</f>
        <v/>
      </c>
      <c r="H94" s="26" t="str">
        <f aca="false">IF($K94=0,"",OPERATIONS!$E94)</f>
        <v/>
      </c>
      <c r="I94" s="26" t="str">
        <f aca="false">IF($H94="","",IFERROR(INDEX(EMPL_CLASSE,MATCH($H94,EMPL_KEY,0)),""))</f>
        <v/>
      </c>
      <c r="J94" s="26" t="str">
        <f aca="false">IF($K94=0,"",OPERATIONS!$J94)</f>
        <v/>
      </c>
      <c r="K94" s="67" t="n">
        <f aca="false">IF(OR(OPERATIONS!$N94=0,OPERATIONS!$C94="RECEPTION"),0,-OPERATIONS!$G94)</f>
        <v>0</v>
      </c>
      <c r="L94" s="67" t="n">
        <f aca="false">IF($K94=0,0,OPERATIONS!$Q94*$K94)</f>
        <v>0</v>
      </c>
      <c r="M94" s="26" t="str">
        <f aca="false">IF($K94=0,"",OPERATIONS!$P94)</f>
        <v/>
      </c>
      <c r="N94" s="26" t="str">
        <f aca="false">IF($G94="","",IF($G94=R_LOT,COUNTIF($G$5:$G94,R_LOT),""))</f>
        <v/>
      </c>
    </row>
    <row r="95" customFormat="false" ht="15" hidden="false" customHeight="false" outlineLevel="0" collapsed="false">
      <c r="A95" s="28" t="str">
        <f aca="false">IF($K95=0,"",ROW()-4)</f>
        <v/>
      </c>
      <c r="B95" s="26" t="str">
        <f aca="false">IF($K95=0,"","OPERATIONS")</f>
        <v/>
      </c>
      <c r="C95" s="26" t="str">
        <f aca="false">IF($K95=0,"",OPERATIONS!$A95)</f>
        <v/>
      </c>
      <c r="D95" s="31" t="str">
        <f aca="false">IF($K95=0,"",OPERATIONS!$B95)</f>
        <v/>
      </c>
      <c r="E95" s="26" t="str">
        <f aca="false">IF($K95=0,"","SORTIE")</f>
        <v/>
      </c>
      <c r="F95" s="26" t="str">
        <f aca="false">IF($K95=0,"",OPERATIONS!$C95)</f>
        <v/>
      </c>
      <c r="G95" s="26" t="str">
        <f aca="false">IF($K95=0,"",OPERATIONS!$D95)</f>
        <v/>
      </c>
      <c r="H95" s="26" t="str">
        <f aca="false">IF($K95=0,"",OPERATIONS!$E95)</f>
        <v/>
      </c>
      <c r="I95" s="26" t="str">
        <f aca="false">IF($H95="","",IFERROR(INDEX(EMPL_CLASSE,MATCH($H95,EMPL_KEY,0)),""))</f>
        <v/>
      </c>
      <c r="J95" s="26" t="str">
        <f aca="false">IF($K95=0,"",OPERATIONS!$J95)</f>
        <v/>
      </c>
      <c r="K95" s="67" t="n">
        <f aca="false">IF(OR(OPERATIONS!$N95=0,OPERATIONS!$C95="RECEPTION"),0,-OPERATIONS!$G95)</f>
        <v>0</v>
      </c>
      <c r="L95" s="67" t="n">
        <f aca="false">IF($K95=0,0,OPERATIONS!$Q95*$K95)</f>
        <v>0</v>
      </c>
      <c r="M95" s="26" t="str">
        <f aca="false">IF($K95=0,"",OPERATIONS!$P95)</f>
        <v/>
      </c>
      <c r="N95" s="26" t="str">
        <f aca="false">IF($G95="","",IF($G95=R_LOT,COUNTIF($G$5:$G95,R_LOT),""))</f>
        <v/>
      </c>
    </row>
    <row r="96" customFormat="false" ht="15" hidden="false" customHeight="false" outlineLevel="0" collapsed="false">
      <c r="A96" s="28" t="str">
        <f aca="false">IF($K96=0,"",ROW()-4)</f>
        <v/>
      </c>
      <c r="B96" s="26" t="str">
        <f aca="false">IF($K96=0,"","OPERATIONS")</f>
        <v/>
      </c>
      <c r="C96" s="26" t="str">
        <f aca="false">IF($K96=0,"",OPERATIONS!$A96)</f>
        <v/>
      </c>
      <c r="D96" s="31" t="str">
        <f aca="false">IF($K96=0,"",OPERATIONS!$B96)</f>
        <v/>
      </c>
      <c r="E96" s="26" t="str">
        <f aca="false">IF($K96=0,"","SORTIE")</f>
        <v/>
      </c>
      <c r="F96" s="26" t="str">
        <f aca="false">IF($K96=0,"",OPERATIONS!$C96)</f>
        <v/>
      </c>
      <c r="G96" s="26" t="str">
        <f aca="false">IF($K96=0,"",OPERATIONS!$D96)</f>
        <v/>
      </c>
      <c r="H96" s="26" t="str">
        <f aca="false">IF($K96=0,"",OPERATIONS!$E96)</f>
        <v/>
      </c>
      <c r="I96" s="26" t="str">
        <f aca="false">IF($H96="","",IFERROR(INDEX(EMPL_CLASSE,MATCH($H96,EMPL_KEY,0)),""))</f>
        <v/>
      </c>
      <c r="J96" s="26" t="str">
        <f aca="false">IF($K96=0,"",OPERATIONS!$J96)</f>
        <v/>
      </c>
      <c r="K96" s="67" t="n">
        <f aca="false">IF(OR(OPERATIONS!$N96=0,OPERATIONS!$C96="RECEPTION"),0,-OPERATIONS!$G96)</f>
        <v>0</v>
      </c>
      <c r="L96" s="67" t="n">
        <f aca="false">IF($K96=0,0,OPERATIONS!$Q96*$K96)</f>
        <v>0</v>
      </c>
      <c r="M96" s="26" t="str">
        <f aca="false">IF($K96=0,"",OPERATIONS!$P96)</f>
        <v/>
      </c>
      <c r="N96" s="26" t="str">
        <f aca="false">IF($G96="","",IF($G96=R_LOT,COUNTIF($G$5:$G96,R_LOT),""))</f>
        <v/>
      </c>
    </row>
    <row r="97" customFormat="false" ht="15" hidden="false" customHeight="false" outlineLevel="0" collapsed="false">
      <c r="A97" s="28" t="str">
        <f aca="false">IF($K97=0,"",ROW()-4)</f>
        <v/>
      </c>
      <c r="B97" s="26" t="str">
        <f aca="false">IF($K97=0,"","OPERATIONS")</f>
        <v/>
      </c>
      <c r="C97" s="26" t="str">
        <f aca="false">IF($K97=0,"",OPERATIONS!$A97)</f>
        <v/>
      </c>
      <c r="D97" s="31" t="str">
        <f aca="false">IF($K97=0,"",OPERATIONS!$B97)</f>
        <v/>
      </c>
      <c r="E97" s="26" t="str">
        <f aca="false">IF($K97=0,"","SORTIE")</f>
        <v/>
      </c>
      <c r="F97" s="26" t="str">
        <f aca="false">IF($K97=0,"",OPERATIONS!$C97)</f>
        <v/>
      </c>
      <c r="G97" s="26" t="str">
        <f aca="false">IF($K97=0,"",OPERATIONS!$D97)</f>
        <v/>
      </c>
      <c r="H97" s="26" t="str">
        <f aca="false">IF($K97=0,"",OPERATIONS!$E97)</f>
        <v/>
      </c>
      <c r="I97" s="26" t="str">
        <f aca="false">IF($H97="","",IFERROR(INDEX(EMPL_CLASSE,MATCH($H97,EMPL_KEY,0)),""))</f>
        <v/>
      </c>
      <c r="J97" s="26" t="str">
        <f aca="false">IF($K97=0,"",OPERATIONS!$J97)</f>
        <v/>
      </c>
      <c r="K97" s="67" t="n">
        <f aca="false">IF(OR(OPERATIONS!$N97=0,OPERATIONS!$C97="RECEPTION"),0,-OPERATIONS!$G97)</f>
        <v>0</v>
      </c>
      <c r="L97" s="67" t="n">
        <f aca="false">IF($K97=0,0,OPERATIONS!$Q97*$K97)</f>
        <v>0</v>
      </c>
      <c r="M97" s="26" t="str">
        <f aca="false">IF($K97=0,"",OPERATIONS!$P97)</f>
        <v/>
      </c>
      <c r="N97" s="26" t="str">
        <f aca="false">IF($G97="","",IF($G97=R_LOT,COUNTIF($G$5:$G97,R_LOT),""))</f>
        <v/>
      </c>
    </row>
    <row r="98" customFormat="false" ht="15" hidden="false" customHeight="false" outlineLevel="0" collapsed="false">
      <c r="A98" s="28" t="str">
        <f aca="false">IF($K98=0,"",ROW()-4)</f>
        <v/>
      </c>
      <c r="B98" s="26" t="str">
        <f aca="false">IF($K98=0,"","OPERATIONS")</f>
        <v/>
      </c>
      <c r="C98" s="26" t="str">
        <f aca="false">IF($K98=0,"",OPERATIONS!$A98)</f>
        <v/>
      </c>
      <c r="D98" s="31" t="str">
        <f aca="false">IF($K98=0,"",OPERATIONS!$B98)</f>
        <v/>
      </c>
      <c r="E98" s="26" t="str">
        <f aca="false">IF($K98=0,"","SORTIE")</f>
        <v/>
      </c>
      <c r="F98" s="26" t="str">
        <f aca="false">IF($K98=0,"",OPERATIONS!$C98)</f>
        <v/>
      </c>
      <c r="G98" s="26" t="str">
        <f aca="false">IF($K98=0,"",OPERATIONS!$D98)</f>
        <v/>
      </c>
      <c r="H98" s="26" t="str">
        <f aca="false">IF($K98=0,"",OPERATIONS!$E98)</f>
        <v/>
      </c>
      <c r="I98" s="26" t="str">
        <f aca="false">IF($H98="","",IFERROR(INDEX(EMPL_CLASSE,MATCH($H98,EMPL_KEY,0)),""))</f>
        <v/>
      </c>
      <c r="J98" s="26" t="str">
        <f aca="false">IF($K98=0,"",OPERATIONS!$J98)</f>
        <v/>
      </c>
      <c r="K98" s="67" t="n">
        <f aca="false">IF(OR(OPERATIONS!$N98=0,OPERATIONS!$C98="RECEPTION"),0,-OPERATIONS!$G98)</f>
        <v>0</v>
      </c>
      <c r="L98" s="67" t="n">
        <f aca="false">IF($K98=0,0,OPERATIONS!$Q98*$K98)</f>
        <v>0</v>
      </c>
      <c r="M98" s="26" t="str">
        <f aca="false">IF($K98=0,"",OPERATIONS!$P98)</f>
        <v/>
      </c>
      <c r="N98" s="26" t="str">
        <f aca="false">IF($G98="","",IF($G98=R_LOT,COUNTIF($G$5:$G98,R_LOT),""))</f>
        <v/>
      </c>
    </row>
    <row r="99" customFormat="false" ht="15" hidden="false" customHeight="false" outlineLevel="0" collapsed="false">
      <c r="A99" s="28" t="str">
        <f aca="false">IF($K99=0,"",ROW()-4)</f>
        <v/>
      </c>
      <c r="B99" s="26" t="str">
        <f aca="false">IF($K99=0,"","OPERATIONS")</f>
        <v/>
      </c>
      <c r="C99" s="26" t="str">
        <f aca="false">IF($K99=0,"",OPERATIONS!$A99)</f>
        <v/>
      </c>
      <c r="D99" s="31" t="str">
        <f aca="false">IF($K99=0,"",OPERATIONS!$B99)</f>
        <v/>
      </c>
      <c r="E99" s="26" t="str">
        <f aca="false">IF($K99=0,"","SORTIE")</f>
        <v/>
      </c>
      <c r="F99" s="26" t="str">
        <f aca="false">IF($K99=0,"",OPERATIONS!$C99)</f>
        <v/>
      </c>
      <c r="G99" s="26" t="str">
        <f aca="false">IF($K99=0,"",OPERATIONS!$D99)</f>
        <v/>
      </c>
      <c r="H99" s="26" t="str">
        <f aca="false">IF($K99=0,"",OPERATIONS!$E99)</f>
        <v/>
      </c>
      <c r="I99" s="26" t="str">
        <f aca="false">IF($H99="","",IFERROR(INDEX(EMPL_CLASSE,MATCH($H99,EMPL_KEY,0)),""))</f>
        <v/>
      </c>
      <c r="J99" s="26" t="str">
        <f aca="false">IF($K99=0,"",OPERATIONS!$J99)</f>
        <v/>
      </c>
      <c r="K99" s="67" t="n">
        <f aca="false">IF(OR(OPERATIONS!$N99=0,OPERATIONS!$C99="RECEPTION"),0,-OPERATIONS!$G99)</f>
        <v>0</v>
      </c>
      <c r="L99" s="67" t="n">
        <f aca="false">IF($K99=0,0,OPERATIONS!$Q99*$K99)</f>
        <v>0</v>
      </c>
      <c r="M99" s="26" t="str">
        <f aca="false">IF($K99=0,"",OPERATIONS!$P99)</f>
        <v/>
      </c>
      <c r="N99" s="26" t="str">
        <f aca="false">IF($G99="","",IF($G99=R_LOT,COUNTIF($G$5:$G99,R_LOT),""))</f>
        <v/>
      </c>
    </row>
    <row r="100" customFormat="false" ht="15" hidden="false" customHeight="false" outlineLevel="0" collapsed="false">
      <c r="A100" s="28" t="str">
        <f aca="false">IF($K100=0,"",ROW()-4)</f>
        <v/>
      </c>
      <c r="B100" s="26" t="str">
        <f aca="false">IF($K100=0,"","OPERATIONS")</f>
        <v/>
      </c>
      <c r="C100" s="26" t="str">
        <f aca="false">IF($K100=0,"",OPERATIONS!$A100)</f>
        <v/>
      </c>
      <c r="D100" s="31" t="str">
        <f aca="false">IF($K100=0,"",OPERATIONS!$B100)</f>
        <v/>
      </c>
      <c r="E100" s="26" t="str">
        <f aca="false">IF($K100=0,"","SORTIE")</f>
        <v/>
      </c>
      <c r="F100" s="26" t="str">
        <f aca="false">IF($K100=0,"",OPERATIONS!$C100)</f>
        <v/>
      </c>
      <c r="G100" s="26" t="str">
        <f aca="false">IF($K100=0,"",OPERATIONS!$D100)</f>
        <v/>
      </c>
      <c r="H100" s="26" t="str">
        <f aca="false">IF($K100=0,"",OPERATIONS!$E100)</f>
        <v/>
      </c>
      <c r="I100" s="26" t="str">
        <f aca="false">IF($H100="","",IFERROR(INDEX(EMPL_CLASSE,MATCH($H100,EMPL_KEY,0)),""))</f>
        <v/>
      </c>
      <c r="J100" s="26" t="str">
        <f aca="false">IF($K100=0,"",OPERATIONS!$J100)</f>
        <v/>
      </c>
      <c r="K100" s="67" t="n">
        <f aca="false">IF(OR(OPERATIONS!$N100=0,OPERATIONS!$C100="RECEPTION"),0,-OPERATIONS!$G100)</f>
        <v>0</v>
      </c>
      <c r="L100" s="67" t="n">
        <f aca="false">IF($K100=0,0,OPERATIONS!$Q100*$K100)</f>
        <v>0</v>
      </c>
      <c r="M100" s="26" t="str">
        <f aca="false">IF($K100=0,"",OPERATIONS!$P100)</f>
        <v/>
      </c>
      <c r="N100" s="26" t="str">
        <f aca="false">IF($G100="","",IF($G100=R_LOT,COUNTIF($G$5:$G100,R_LOT),""))</f>
        <v/>
      </c>
    </row>
    <row r="101" customFormat="false" ht="15" hidden="false" customHeight="false" outlineLevel="0" collapsed="false">
      <c r="A101" s="28" t="str">
        <f aca="false">IF($K101=0,"",ROW()-4)</f>
        <v/>
      </c>
      <c r="B101" s="26" t="str">
        <f aca="false">IF($K101=0,"","OPERATIONS")</f>
        <v/>
      </c>
      <c r="C101" s="26" t="str">
        <f aca="false">IF($K101=0,"",OPERATIONS!$A101)</f>
        <v/>
      </c>
      <c r="D101" s="31" t="str">
        <f aca="false">IF($K101=0,"",OPERATIONS!$B101)</f>
        <v/>
      </c>
      <c r="E101" s="26" t="str">
        <f aca="false">IF($K101=0,"","SORTIE")</f>
        <v/>
      </c>
      <c r="F101" s="26" t="str">
        <f aca="false">IF($K101=0,"",OPERATIONS!$C101)</f>
        <v/>
      </c>
      <c r="G101" s="26" t="str">
        <f aca="false">IF($K101=0,"",OPERATIONS!$D101)</f>
        <v/>
      </c>
      <c r="H101" s="26" t="str">
        <f aca="false">IF($K101=0,"",OPERATIONS!$E101)</f>
        <v/>
      </c>
      <c r="I101" s="26" t="str">
        <f aca="false">IF($H101="","",IFERROR(INDEX(EMPL_CLASSE,MATCH($H101,EMPL_KEY,0)),""))</f>
        <v/>
      </c>
      <c r="J101" s="26" t="str">
        <f aca="false">IF($K101=0,"",OPERATIONS!$J101)</f>
        <v/>
      </c>
      <c r="K101" s="67" t="n">
        <f aca="false">IF(OR(OPERATIONS!$N101=0,OPERATIONS!$C101="RECEPTION"),0,-OPERATIONS!$G101)</f>
        <v>0</v>
      </c>
      <c r="L101" s="67" t="n">
        <f aca="false">IF($K101=0,0,OPERATIONS!$Q101*$K101)</f>
        <v>0</v>
      </c>
      <c r="M101" s="26" t="str">
        <f aca="false">IF($K101=0,"",OPERATIONS!$P101)</f>
        <v/>
      </c>
      <c r="N101" s="26" t="str">
        <f aca="false">IF($G101="","",IF($G101=R_LOT,COUNTIF($G$5:$G101,R_LOT),""))</f>
        <v/>
      </c>
    </row>
    <row r="102" customFormat="false" ht="15" hidden="false" customHeight="false" outlineLevel="0" collapsed="false">
      <c r="A102" s="28" t="str">
        <f aca="false">IF($K102=0,"",ROW()-4)</f>
        <v/>
      </c>
      <c r="B102" s="26" t="str">
        <f aca="false">IF($K102=0,"","OPERATIONS")</f>
        <v/>
      </c>
      <c r="C102" s="26" t="str">
        <f aca="false">IF($K102=0,"",OPERATIONS!$A102)</f>
        <v/>
      </c>
      <c r="D102" s="31" t="str">
        <f aca="false">IF($K102=0,"",OPERATIONS!$B102)</f>
        <v/>
      </c>
      <c r="E102" s="26" t="str">
        <f aca="false">IF($K102=0,"","SORTIE")</f>
        <v/>
      </c>
      <c r="F102" s="26" t="str">
        <f aca="false">IF($K102=0,"",OPERATIONS!$C102)</f>
        <v/>
      </c>
      <c r="G102" s="26" t="str">
        <f aca="false">IF($K102=0,"",OPERATIONS!$D102)</f>
        <v/>
      </c>
      <c r="H102" s="26" t="str">
        <f aca="false">IF($K102=0,"",OPERATIONS!$E102)</f>
        <v/>
      </c>
      <c r="I102" s="26" t="str">
        <f aca="false">IF($H102="","",IFERROR(INDEX(EMPL_CLASSE,MATCH($H102,EMPL_KEY,0)),""))</f>
        <v/>
      </c>
      <c r="J102" s="26" t="str">
        <f aca="false">IF($K102=0,"",OPERATIONS!$J102)</f>
        <v/>
      </c>
      <c r="K102" s="67" t="n">
        <f aca="false">IF(OR(OPERATIONS!$N102=0,OPERATIONS!$C102="RECEPTION"),0,-OPERATIONS!$G102)</f>
        <v>0</v>
      </c>
      <c r="L102" s="67" t="n">
        <f aca="false">IF($K102=0,0,OPERATIONS!$Q102*$K102)</f>
        <v>0</v>
      </c>
      <c r="M102" s="26" t="str">
        <f aca="false">IF($K102=0,"",OPERATIONS!$P102)</f>
        <v/>
      </c>
      <c r="N102" s="26" t="str">
        <f aca="false">IF($G102="","",IF($G102=R_LOT,COUNTIF($G$5:$G102,R_LOT),""))</f>
        <v/>
      </c>
    </row>
    <row r="103" customFormat="false" ht="15" hidden="false" customHeight="false" outlineLevel="0" collapsed="false">
      <c r="A103" s="28" t="str">
        <f aca="false">IF($K103=0,"",ROW()-4)</f>
        <v/>
      </c>
      <c r="B103" s="26" t="str">
        <f aca="false">IF($K103=0,"","OPERATIONS")</f>
        <v/>
      </c>
      <c r="C103" s="26" t="str">
        <f aca="false">IF($K103=0,"",OPERATIONS!$A103)</f>
        <v/>
      </c>
      <c r="D103" s="31" t="str">
        <f aca="false">IF($K103=0,"",OPERATIONS!$B103)</f>
        <v/>
      </c>
      <c r="E103" s="26" t="str">
        <f aca="false">IF($K103=0,"","SORTIE")</f>
        <v/>
      </c>
      <c r="F103" s="26" t="str">
        <f aca="false">IF($K103=0,"",OPERATIONS!$C103)</f>
        <v/>
      </c>
      <c r="G103" s="26" t="str">
        <f aca="false">IF($K103=0,"",OPERATIONS!$D103)</f>
        <v/>
      </c>
      <c r="H103" s="26" t="str">
        <f aca="false">IF($K103=0,"",OPERATIONS!$E103)</f>
        <v/>
      </c>
      <c r="I103" s="26" t="str">
        <f aca="false">IF($H103="","",IFERROR(INDEX(EMPL_CLASSE,MATCH($H103,EMPL_KEY,0)),""))</f>
        <v/>
      </c>
      <c r="J103" s="26" t="str">
        <f aca="false">IF($K103=0,"",OPERATIONS!$J103)</f>
        <v/>
      </c>
      <c r="K103" s="67" t="n">
        <f aca="false">IF(OR(OPERATIONS!$N103=0,OPERATIONS!$C103="RECEPTION"),0,-OPERATIONS!$G103)</f>
        <v>0</v>
      </c>
      <c r="L103" s="67" t="n">
        <f aca="false">IF($K103=0,0,OPERATIONS!$Q103*$K103)</f>
        <v>0</v>
      </c>
      <c r="M103" s="26" t="str">
        <f aca="false">IF($K103=0,"",OPERATIONS!$P103)</f>
        <v/>
      </c>
      <c r="N103" s="26" t="str">
        <f aca="false">IF($G103="","",IF($G103=R_LOT,COUNTIF($G$5:$G103,R_LOT),""))</f>
        <v/>
      </c>
    </row>
    <row r="104" customFormat="false" ht="15" hidden="false" customHeight="false" outlineLevel="0" collapsed="false">
      <c r="A104" s="28" t="str">
        <f aca="false">IF($K104=0,"",ROW()-4)</f>
        <v/>
      </c>
      <c r="B104" s="26" t="str">
        <f aca="false">IF($K104=0,"","OPERATIONS")</f>
        <v/>
      </c>
      <c r="C104" s="26" t="str">
        <f aca="false">IF($K104=0,"",OPERATIONS!$A104)</f>
        <v/>
      </c>
      <c r="D104" s="31" t="str">
        <f aca="false">IF($K104=0,"",OPERATIONS!$B104)</f>
        <v/>
      </c>
      <c r="E104" s="26" t="str">
        <f aca="false">IF($K104=0,"","SORTIE")</f>
        <v/>
      </c>
      <c r="F104" s="26" t="str">
        <f aca="false">IF($K104=0,"",OPERATIONS!$C104)</f>
        <v/>
      </c>
      <c r="G104" s="26" t="str">
        <f aca="false">IF($K104=0,"",OPERATIONS!$D104)</f>
        <v/>
      </c>
      <c r="H104" s="26" t="str">
        <f aca="false">IF($K104=0,"",OPERATIONS!$E104)</f>
        <v/>
      </c>
      <c r="I104" s="26" t="str">
        <f aca="false">IF($H104="","",IFERROR(INDEX(EMPL_CLASSE,MATCH($H104,EMPL_KEY,0)),""))</f>
        <v/>
      </c>
      <c r="J104" s="26" t="str">
        <f aca="false">IF($K104=0,"",OPERATIONS!$J104)</f>
        <v/>
      </c>
      <c r="K104" s="67" t="n">
        <f aca="false">IF(OR(OPERATIONS!$N104=0,OPERATIONS!$C104="RECEPTION"),0,-OPERATIONS!$G104)</f>
        <v>0</v>
      </c>
      <c r="L104" s="67" t="n">
        <f aca="false">IF($K104=0,0,OPERATIONS!$Q104*$K104)</f>
        <v>0</v>
      </c>
      <c r="M104" s="26" t="str">
        <f aca="false">IF($K104=0,"",OPERATIONS!$P104)</f>
        <v/>
      </c>
      <c r="N104" s="26" t="str">
        <f aca="false">IF($G104="","",IF($G104=R_LOT,COUNTIF($G$5:$G104,R_LOT),""))</f>
        <v/>
      </c>
    </row>
    <row r="105" customFormat="false" ht="15" hidden="false" customHeight="false" outlineLevel="0" collapsed="false">
      <c r="A105" s="28" t="str">
        <f aca="false">IF($K105=0,"",ROW()-4)</f>
        <v/>
      </c>
      <c r="B105" s="26" t="str">
        <f aca="false">IF($K105=0,"","OPERATIONS")</f>
        <v/>
      </c>
      <c r="C105" s="26" t="str">
        <f aca="false">IF($K105=0,"",OPERATIONS!$A105)</f>
        <v/>
      </c>
      <c r="D105" s="31" t="str">
        <f aca="false">IF($K105=0,"",OPERATIONS!$B105)</f>
        <v/>
      </c>
      <c r="E105" s="26" t="str">
        <f aca="false">IF($K105=0,"","SORTIE")</f>
        <v/>
      </c>
      <c r="F105" s="26" t="str">
        <f aca="false">IF($K105=0,"",OPERATIONS!$C105)</f>
        <v/>
      </c>
      <c r="G105" s="26" t="str">
        <f aca="false">IF($K105=0,"",OPERATIONS!$D105)</f>
        <v/>
      </c>
      <c r="H105" s="26" t="str">
        <f aca="false">IF($K105=0,"",OPERATIONS!$E105)</f>
        <v/>
      </c>
      <c r="I105" s="26" t="str">
        <f aca="false">IF($H105="","",IFERROR(INDEX(EMPL_CLASSE,MATCH($H105,EMPL_KEY,0)),""))</f>
        <v/>
      </c>
      <c r="J105" s="26" t="str">
        <f aca="false">IF($K105=0,"",OPERATIONS!$J105)</f>
        <v/>
      </c>
      <c r="K105" s="67" t="n">
        <f aca="false">IF(OR(OPERATIONS!$N105=0,OPERATIONS!$C105="RECEPTION"),0,-OPERATIONS!$G105)</f>
        <v>0</v>
      </c>
      <c r="L105" s="67" t="n">
        <f aca="false">IF($K105=0,0,OPERATIONS!$Q105*$K105)</f>
        <v>0</v>
      </c>
      <c r="M105" s="26" t="str">
        <f aca="false">IF($K105=0,"",OPERATIONS!$P105)</f>
        <v/>
      </c>
      <c r="N105" s="26" t="str">
        <f aca="false">IF($G105="","",IF($G105=R_LOT,COUNTIF($G$5:$G105,R_LOT),""))</f>
        <v/>
      </c>
    </row>
    <row r="106" customFormat="false" ht="15" hidden="false" customHeight="false" outlineLevel="0" collapsed="false">
      <c r="A106" s="28" t="str">
        <f aca="false">IF($K106=0,"",ROW()-4)</f>
        <v/>
      </c>
      <c r="B106" s="26" t="str">
        <f aca="false">IF($K106=0,"","OPERATIONS")</f>
        <v/>
      </c>
      <c r="C106" s="26" t="str">
        <f aca="false">IF($K106=0,"",OPERATIONS!$A106)</f>
        <v/>
      </c>
      <c r="D106" s="31" t="str">
        <f aca="false">IF($K106=0,"",OPERATIONS!$B106)</f>
        <v/>
      </c>
      <c r="E106" s="26" t="str">
        <f aca="false">IF($K106=0,"","SORTIE")</f>
        <v/>
      </c>
      <c r="F106" s="26" t="str">
        <f aca="false">IF($K106=0,"",OPERATIONS!$C106)</f>
        <v/>
      </c>
      <c r="G106" s="26" t="str">
        <f aca="false">IF($K106=0,"",OPERATIONS!$D106)</f>
        <v/>
      </c>
      <c r="H106" s="26" t="str">
        <f aca="false">IF($K106=0,"",OPERATIONS!$E106)</f>
        <v/>
      </c>
      <c r="I106" s="26" t="str">
        <f aca="false">IF($H106="","",IFERROR(INDEX(EMPL_CLASSE,MATCH($H106,EMPL_KEY,0)),""))</f>
        <v/>
      </c>
      <c r="J106" s="26" t="str">
        <f aca="false">IF($K106=0,"",OPERATIONS!$J106)</f>
        <v/>
      </c>
      <c r="K106" s="67" t="n">
        <f aca="false">IF(OR(OPERATIONS!$N106=0,OPERATIONS!$C106="RECEPTION"),0,-OPERATIONS!$G106)</f>
        <v>0</v>
      </c>
      <c r="L106" s="67" t="n">
        <f aca="false">IF($K106=0,0,OPERATIONS!$Q106*$K106)</f>
        <v>0</v>
      </c>
      <c r="M106" s="26" t="str">
        <f aca="false">IF($K106=0,"",OPERATIONS!$P106)</f>
        <v/>
      </c>
      <c r="N106" s="26" t="str">
        <f aca="false">IF($G106="","",IF($G106=R_LOT,COUNTIF($G$5:$G106,R_LOT),""))</f>
        <v/>
      </c>
    </row>
    <row r="107" customFormat="false" ht="15" hidden="false" customHeight="false" outlineLevel="0" collapsed="false">
      <c r="A107" s="28" t="str">
        <f aca="false">IF($K107=0,"",ROW()-4)</f>
        <v/>
      </c>
      <c r="B107" s="26" t="str">
        <f aca="false">IF($K107=0,"","OPERATIONS")</f>
        <v/>
      </c>
      <c r="C107" s="26" t="str">
        <f aca="false">IF($K107=0,"",OPERATIONS!$A107)</f>
        <v/>
      </c>
      <c r="D107" s="31" t="str">
        <f aca="false">IF($K107=0,"",OPERATIONS!$B107)</f>
        <v/>
      </c>
      <c r="E107" s="26" t="str">
        <f aca="false">IF($K107=0,"","SORTIE")</f>
        <v/>
      </c>
      <c r="F107" s="26" t="str">
        <f aca="false">IF($K107=0,"",OPERATIONS!$C107)</f>
        <v/>
      </c>
      <c r="G107" s="26" t="str">
        <f aca="false">IF($K107=0,"",OPERATIONS!$D107)</f>
        <v/>
      </c>
      <c r="H107" s="26" t="str">
        <f aca="false">IF($K107=0,"",OPERATIONS!$E107)</f>
        <v/>
      </c>
      <c r="I107" s="26" t="str">
        <f aca="false">IF($H107="","",IFERROR(INDEX(EMPL_CLASSE,MATCH($H107,EMPL_KEY,0)),""))</f>
        <v/>
      </c>
      <c r="J107" s="26" t="str">
        <f aca="false">IF($K107=0,"",OPERATIONS!$J107)</f>
        <v/>
      </c>
      <c r="K107" s="67" t="n">
        <f aca="false">IF(OR(OPERATIONS!$N107=0,OPERATIONS!$C107="RECEPTION"),0,-OPERATIONS!$G107)</f>
        <v>0</v>
      </c>
      <c r="L107" s="67" t="n">
        <f aca="false">IF($K107=0,0,OPERATIONS!$Q107*$K107)</f>
        <v>0</v>
      </c>
      <c r="M107" s="26" t="str">
        <f aca="false">IF($K107=0,"",OPERATIONS!$P107)</f>
        <v/>
      </c>
      <c r="N107" s="26" t="str">
        <f aca="false">IF($G107="","",IF($G107=R_LOT,COUNTIF($G$5:$G107,R_LOT),""))</f>
        <v/>
      </c>
    </row>
    <row r="108" customFormat="false" ht="15" hidden="false" customHeight="false" outlineLevel="0" collapsed="false">
      <c r="A108" s="28" t="str">
        <f aca="false">IF($K108=0,"",ROW()-4)</f>
        <v/>
      </c>
      <c r="B108" s="26" t="str">
        <f aca="false">IF($K108=0,"","OPERATIONS")</f>
        <v/>
      </c>
      <c r="C108" s="26" t="str">
        <f aca="false">IF($K108=0,"",OPERATIONS!$A108)</f>
        <v/>
      </c>
      <c r="D108" s="31" t="str">
        <f aca="false">IF($K108=0,"",OPERATIONS!$B108)</f>
        <v/>
      </c>
      <c r="E108" s="26" t="str">
        <f aca="false">IF($K108=0,"","SORTIE")</f>
        <v/>
      </c>
      <c r="F108" s="26" t="str">
        <f aca="false">IF($K108=0,"",OPERATIONS!$C108)</f>
        <v/>
      </c>
      <c r="G108" s="26" t="str">
        <f aca="false">IF($K108=0,"",OPERATIONS!$D108)</f>
        <v/>
      </c>
      <c r="H108" s="26" t="str">
        <f aca="false">IF($K108=0,"",OPERATIONS!$E108)</f>
        <v/>
      </c>
      <c r="I108" s="26" t="str">
        <f aca="false">IF($H108="","",IFERROR(INDEX(EMPL_CLASSE,MATCH($H108,EMPL_KEY,0)),""))</f>
        <v/>
      </c>
      <c r="J108" s="26" t="str">
        <f aca="false">IF($K108=0,"",OPERATIONS!$J108)</f>
        <v/>
      </c>
      <c r="K108" s="67" t="n">
        <f aca="false">IF(OR(OPERATIONS!$N108=0,OPERATIONS!$C108="RECEPTION"),0,-OPERATIONS!$G108)</f>
        <v>0</v>
      </c>
      <c r="L108" s="67" t="n">
        <f aca="false">IF($K108=0,0,OPERATIONS!$Q108*$K108)</f>
        <v>0</v>
      </c>
      <c r="M108" s="26" t="str">
        <f aca="false">IF($K108=0,"",OPERATIONS!$P108)</f>
        <v/>
      </c>
      <c r="N108" s="26" t="str">
        <f aca="false">IF($G108="","",IF($G108=R_LOT,COUNTIF($G$5:$G108,R_LOT),""))</f>
        <v/>
      </c>
    </row>
    <row r="109" customFormat="false" ht="15" hidden="false" customHeight="false" outlineLevel="0" collapsed="false">
      <c r="A109" s="28" t="str">
        <f aca="false">IF($K109=0,"",ROW()-4)</f>
        <v/>
      </c>
      <c r="B109" s="26" t="str">
        <f aca="false">IF($K109=0,"","OPERATIONS")</f>
        <v/>
      </c>
      <c r="C109" s="26" t="str">
        <f aca="false">IF($K109=0,"",OPERATIONS!$A109)</f>
        <v/>
      </c>
      <c r="D109" s="31" t="str">
        <f aca="false">IF($K109=0,"",OPERATIONS!$B109)</f>
        <v/>
      </c>
      <c r="E109" s="26" t="str">
        <f aca="false">IF($K109=0,"","SORTIE")</f>
        <v/>
      </c>
      <c r="F109" s="26" t="str">
        <f aca="false">IF($K109=0,"",OPERATIONS!$C109)</f>
        <v/>
      </c>
      <c r="G109" s="26" t="str">
        <f aca="false">IF($K109=0,"",OPERATIONS!$D109)</f>
        <v/>
      </c>
      <c r="H109" s="26" t="str">
        <f aca="false">IF($K109=0,"",OPERATIONS!$E109)</f>
        <v/>
      </c>
      <c r="I109" s="26" t="str">
        <f aca="false">IF($H109="","",IFERROR(INDEX(EMPL_CLASSE,MATCH($H109,EMPL_KEY,0)),""))</f>
        <v/>
      </c>
      <c r="J109" s="26" t="str">
        <f aca="false">IF($K109=0,"",OPERATIONS!$J109)</f>
        <v/>
      </c>
      <c r="K109" s="67" t="n">
        <f aca="false">IF(OR(OPERATIONS!$N109=0,OPERATIONS!$C109="RECEPTION"),0,-OPERATIONS!$G109)</f>
        <v>0</v>
      </c>
      <c r="L109" s="67" t="n">
        <f aca="false">IF($K109=0,0,OPERATIONS!$Q109*$K109)</f>
        <v>0</v>
      </c>
      <c r="M109" s="26" t="str">
        <f aca="false">IF($K109=0,"",OPERATIONS!$P109)</f>
        <v/>
      </c>
      <c r="N109" s="26" t="str">
        <f aca="false">IF($G109="","",IF($G109=R_LOT,COUNTIF($G$5:$G109,R_LOT),""))</f>
        <v/>
      </c>
    </row>
    <row r="110" customFormat="false" ht="15" hidden="false" customHeight="false" outlineLevel="0" collapsed="false">
      <c r="A110" s="28" t="str">
        <f aca="false">IF($K110=0,"",ROW()-4)</f>
        <v/>
      </c>
      <c r="B110" s="26" t="str">
        <f aca="false">IF($K110=0,"","OPERATIONS")</f>
        <v/>
      </c>
      <c r="C110" s="26" t="str">
        <f aca="false">IF($K110=0,"",OPERATIONS!$A110)</f>
        <v/>
      </c>
      <c r="D110" s="31" t="str">
        <f aca="false">IF($K110=0,"",OPERATIONS!$B110)</f>
        <v/>
      </c>
      <c r="E110" s="26" t="str">
        <f aca="false">IF($K110=0,"","SORTIE")</f>
        <v/>
      </c>
      <c r="F110" s="26" t="str">
        <f aca="false">IF($K110=0,"",OPERATIONS!$C110)</f>
        <v/>
      </c>
      <c r="G110" s="26" t="str">
        <f aca="false">IF($K110=0,"",OPERATIONS!$D110)</f>
        <v/>
      </c>
      <c r="H110" s="26" t="str">
        <f aca="false">IF($K110=0,"",OPERATIONS!$E110)</f>
        <v/>
      </c>
      <c r="I110" s="26" t="str">
        <f aca="false">IF($H110="","",IFERROR(INDEX(EMPL_CLASSE,MATCH($H110,EMPL_KEY,0)),""))</f>
        <v/>
      </c>
      <c r="J110" s="26" t="str">
        <f aca="false">IF($K110=0,"",OPERATIONS!$J110)</f>
        <v/>
      </c>
      <c r="K110" s="67" t="n">
        <f aca="false">IF(OR(OPERATIONS!$N110=0,OPERATIONS!$C110="RECEPTION"),0,-OPERATIONS!$G110)</f>
        <v>0</v>
      </c>
      <c r="L110" s="67" t="n">
        <f aca="false">IF($K110=0,0,OPERATIONS!$Q110*$K110)</f>
        <v>0</v>
      </c>
      <c r="M110" s="26" t="str">
        <f aca="false">IF($K110=0,"",OPERATIONS!$P110)</f>
        <v/>
      </c>
      <c r="N110" s="26" t="str">
        <f aca="false">IF($G110="","",IF($G110=R_LOT,COUNTIF($G$5:$G110,R_LOT),""))</f>
        <v/>
      </c>
    </row>
    <row r="111" customFormat="false" ht="15" hidden="false" customHeight="false" outlineLevel="0" collapsed="false">
      <c r="A111" s="28" t="str">
        <f aca="false">IF($K111=0,"",ROW()-4)</f>
        <v/>
      </c>
      <c r="B111" s="26" t="str">
        <f aca="false">IF($K111=0,"","OPERATIONS")</f>
        <v/>
      </c>
      <c r="C111" s="26" t="str">
        <f aca="false">IF($K111=0,"",OPERATIONS!$A111)</f>
        <v/>
      </c>
      <c r="D111" s="31" t="str">
        <f aca="false">IF($K111=0,"",OPERATIONS!$B111)</f>
        <v/>
      </c>
      <c r="E111" s="26" t="str">
        <f aca="false">IF($K111=0,"","SORTIE")</f>
        <v/>
      </c>
      <c r="F111" s="26" t="str">
        <f aca="false">IF($K111=0,"",OPERATIONS!$C111)</f>
        <v/>
      </c>
      <c r="G111" s="26" t="str">
        <f aca="false">IF($K111=0,"",OPERATIONS!$D111)</f>
        <v/>
      </c>
      <c r="H111" s="26" t="str">
        <f aca="false">IF($K111=0,"",OPERATIONS!$E111)</f>
        <v/>
      </c>
      <c r="I111" s="26" t="str">
        <f aca="false">IF($H111="","",IFERROR(INDEX(EMPL_CLASSE,MATCH($H111,EMPL_KEY,0)),""))</f>
        <v/>
      </c>
      <c r="J111" s="26" t="str">
        <f aca="false">IF($K111=0,"",OPERATIONS!$J111)</f>
        <v/>
      </c>
      <c r="K111" s="67" t="n">
        <f aca="false">IF(OR(OPERATIONS!$N111=0,OPERATIONS!$C111="RECEPTION"),0,-OPERATIONS!$G111)</f>
        <v>0</v>
      </c>
      <c r="L111" s="67" t="n">
        <f aca="false">IF($K111=0,0,OPERATIONS!$Q111*$K111)</f>
        <v>0</v>
      </c>
      <c r="M111" s="26" t="str">
        <f aca="false">IF($K111=0,"",OPERATIONS!$P111)</f>
        <v/>
      </c>
      <c r="N111" s="26" t="str">
        <f aca="false">IF($G111="","",IF($G111=R_LOT,COUNTIF($G$5:$G111,R_LOT),""))</f>
        <v/>
      </c>
    </row>
    <row r="112" customFormat="false" ht="15" hidden="false" customHeight="false" outlineLevel="0" collapsed="false">
      <c r="A112" s="28" t="str">
        <f aca="false">IF($K112=0,"",ROW()-4)</f>
        <v/>
      </c>
      <c r="B112" s="26" t="str">
        <f aca="false">IF($K112=0,"","OPERATIONS")</f>
        <v/>
      </c>
      <c r="C112" s="26" t="str">
        <f aca="false">IF($K112=0,"",OPERATIONS!$A112)</f>
        <v/>
      </c>
      <c r="D112" s="31" t="str">
        <f aca="false">IF($K112=0,"",OPERATIONS!$B112)</f>
        <v/>
      </c>
      <c r="E112" s="26" t="str">
        <f aca="false">IF($K112=0,"","SORTIE")</f>
        <v/>
      </c>
      <c r="F112" s="26" t="str">
        <f aca="false">IF($K112=0,"",OPERATIONS!$C112)</f>
        <v/>
      </c>
      <c r="G112" s="26" t="str">
        <f aca="false">IF($K112=0,"",OPERATIONS!$D112)</f>
        <v/>
      </c>
      <c r="H112" s="26" t="str">
        <f aca="false">IF($K112=0,"",OPERATIONS!$E112)</f>
        <v/>
      </c>
      <c r="I112" s="26" t="str">
        <f aca="false">IF($H112="","",IFERROR(INDEX(EMPL_CLASSE,MATCH($H112,EMPL_KEY,0)),""))</f>
        <v/>
      </c>
      <c r="J112" s="26" t="str">
        <f aca="false">IF($K112=0,"",OPERATIONS!$J112)</f>
        <v/>
      </c>
      <c r="K112" s="67" t="n">
        <f aca="false">IF(OR(OPERATIONS!$N112=0,OPERATIONS!$C112="RECEPTION"),0,-OPERATIONS!$G112)</f>
        <v>0</v>
      </c>
      <c r="L112" s="67" t="n">
        <f aca="false">IF($K112=0,0,OPERATIONS!$Q112*$K112)</f>
        <v>0</v>
      </c>
      <c r="M112" s="26" t="str">
        <f aca="false">IF($K112=0,"",OPERATIONS!$P112)</f>
        <v/>
      </c>
      <c r="N112" s="26" t="str">
        <f aca="false">IF($G112="","",IF($G112=R_LOT,COUNTIF($G$5:$G112,R_LOT),""))</f>
        <v/>
      </c>
    </row>
    <row r="113" customFormat="false" ht="15" hidden="false" customHeight="false" outlineLevel="0" collapsed="false">
      <c r="A113" s="28" t="str">
        <f aca="false">IF($K113=0,"",ROW()-4)</f>
        <v/>
      </c>
      <c r="B113" s="26" t="str">
        <f aca="false">IF($K113=0,"","OPERATIONS")</f>
        <v/>
      </c>
      <c r="C113" s="26" t="str">
        <f aca="false">IF($K113=0,"",OPERATIONS!$A113)</f>
        <v/>
      </c>
      <c r="D113" s="31" t="str">
        <f aca="false">IF($K113=0,"",OPERATIONS!$B113)</f>
        <v/>
      </c>
      <c r="E113" s="26" t="str">
        <f aca="false">IF($K113=0,"","SORTIE")</f>
        <v/>
      </c>
      <c r="F113" s="26" t="str">
        <f aca="false">IF($K113=0,"",OPERATIONS!$C113)</f>
        <v/>
      </c>
      <c r="G113" s="26" t="str">
        <f aca="false">IF($K113=0,"",OPERATIONS!$D113)</f>
        <v/>
      </c>
      <c r="H113" s="26" t="str">
        <f aca="false">IF($K113=0,"",OPERATIONS!$E113)</f>
        <v/>
      </c>
      <c r="I113" s="26" t="str">
        <f aca="false">IF($H113="","",IFERROR(INDEX(EMPL_CLASSE,MATCH($H113,EMPL_KEY,0)),""))</f>
        <v/>
      </c>
      <c r="J113" s="26" t="str">
        <f aca="false">IF($K113=0,"",OPERATIONS!$J113)</f>
        <v/>
      </c>
      <c r="K113" s="67" t="n">
        <f aca="false">IF(OR(OPERATIONS!$N113=0,OPERATIONS!$C113="RECEPTION"),0,-OPERATIONS!$G113)</f>
        <v>0</v>
      </c>
      <c r="L113" s="67" t="n">
        <f aca="false">IF($K113=0,0,OPERATIONS!$Q113*$K113)</f>
        <v>0</v>
      </c>
      <c r="M113" s="26" t="str">
        <f aca="false">IF($K113=0,"",OPERATIONS!$P113)</f>
        <v/>
      </c>
      <c r="N113" s="26" t="str">
        <f aca="false">IF($G113="","",IF($G113=R_LOT,COUNTIF($G$5:$G113,R_LOT),""))</f>
        <v/>
      </c>
    </row>
    <row r="114" customFormat="false" ht="15" hidden="false" customHeight="false" outlineLevel="0" collapsed="false">
      <c r="A114" s="28" t="str">
        <f aca="false">IF($K114=0,"",ROW()-4)</f>
        <v/>
      </c>
      <c r="B114" s="26" t="str">
        <f aca="false">IF($K114=0,"","OPERATIONS")</f>
        <v/>
      </c>
      <c r="C114" s="26" t="str">
        <f aca="false">IF($K114=0,"",OPERATIONS!$A114)</f>
        <v/>
      </c>
      <c r="D114" s="31" t="str">
        <f aca="false">IF($K114=0,"",OPERATIONS!$B114)</f>
        <v/>
      </c>
      <c r="E114" s="26" t="str">
        <f aca="false">IF($K114=0,"","SORTIE")</f>
        <v/>
      </c>
      <c r="F114" s="26" t="str">
        <f aca="false">IF($K114=0,"",OPERATIONS!$C114)</f>
        <v/>
      </c>
      <c r="G114" s="26" t="str">
        <f aca="false">IF($K114=0,"",OPERATIONS!$D114)</f>
        <v/>
      </c>
      <c r="H114" s="26" t="str">
        <f aca="false">IF($K114=0,"",OPERATIONS!$E114)</f>
        <v/>
      </c>
      <c r="I114" s="26" t="str">
        <f aca="false">IF($H114="","",IFERROR(INDEX(EMPL_CLASSE,MATCH($H114,EMPL_KEY,0)),""))</f>
        <v/>
      </c>
      <c r="J114" s="26" t="str">
        <f aca="false">IF($K114=0,"",OPERATIONS!$J114)</f>
        <v/>
      </c>
      <c r="K114" s="67" t="n">
        <f aca="false">IF(OR(OPERATIONS!$N114=0,OPERATIONS!$C114="RECEPTION"),0,-OPERATIONS!$G114)</f>
        <v>0</v>
      </c>
      <c r="L114" s="67" t="n">
        <f aca="false">IF($K114=0,0,OPERATIONS!$Q114*$K114)</f>
        <v>0</v>
      </c>
      <c r="M114" s="26" t="str">
        <f aca="false">IF($K114=0,"",OPERATIONS!$P114)</f>
        <v/>
      </c>
      <c r="N114" s="26" t="str">
        <f aca="false">IF($G114="","",IF($G114=R_LOT,COUNTIF($G$5:$G114,R_LOT),""))</f>
        <v/>
      </c>
    </row>
    <row r="115" customFormat="false" ht="15" hidden="false" customHeight="false" outlineLevel="0" collapsed="false">
      <c r="A115" s="28" t="str">
        <f aca="false">IF($K115=0,"",ROW()-4)</f>
        <v/>
      </c>
      <c r="B115" s="26" t="str">
        <f aca="false">IF($K115=0,"","OPERATIONS")</f>
        <v/>
      </c>
      <c r="C115" s="26" t="str">
        <f aca="false">IF($K115=0,"",OPERATIONS!$A115)</f>
        <v/>
      </c>
      <c r="D115" s="31" t="str">
        <f aca="false">IF($K115=0,"",OPERATIONS!$B115)</f>
        <v/>
      </c>
      <c r="E115" s="26" t="str">
        <f aca="false">IF($K115=0,"","SORTIE")</f>
        <v/>
      </c>
      <c r="F115" s="26" t="str">
        <f aca="false">IF($K115=0,"",OPERATIONS!$C115)</f>
        <v/>
      </c>
      <c r="G115" s="26" t="str">
        <f aca="false">IF($K115=0,"",OPERATIONS!$D115)</f>
        <v/>
      </c>
      <c r="H115" s="26" t="str">
        <f aca="false">IF($K115=0,"",OPERATIONS!$E115)</f>
        <v/>
      </c>
      <c r="I115" s="26" t="str">
        <f aca="false">IF($H115="","",IFERROR(INDEX(EMPL_CLASSE,MATCH($H115,EMPL_KEY,0)),""))</f>
        <v/>
      </c>
      <c r="J115" s="26" t="str">
        <f aca="false">IF($K115=0,"",OPERATIONS!$J115)</f>
        <v/>
      </c>
      <c r="K115" s="67" t="n">
        <f aca="false">IF(OR(OPERATIONS!$N115=0,OPERATIONS!$C115="RECEPTION"),0,-OPERATIONS!$G115)</f>
        <v>0</v>
      </c>
      <c r="L115" s="67" t="n">
        <f aca="false">IF($K115=0,0,OPERATIONS!$Q115*$K115)</f>
        <v>0</v>
      </c>
      <c r="M115" s="26" t="str">
        <f aca="false">IF($K115=0,"",OPERATIONS!$P115)</f>
        <v/>
      </c>
      <c r="N115" s="26" t="str">
        <f aca="false">IF($G115="","",IF($G115=R_LOT,COUNTIF($G$5:$G115,R_LOT),""))</f>
        <v/>
      </c>
    </row>
    <row r="116" customFormat="false" ht="15" hidden="false" customHeight="false" outlineLevel="0" collapsed="false">
      <c r="A116" s="28" t="str">
        <f aca="false">IF($K116=0,"",ROW()-4)</f>
        <v/>
      </c>
      <c r="B116" s="26" t="str">
        <f aca="false">IF($K116=0,"","OPERATIONS")</f>
        <v/>
      </c>
      <c r="C116" s="26" t="str">
        <f aca="false">IF($K116=0,"",OPERATIONS!$A116)</f>
        <v/>
      </c>
      <c r="D116" s="31" t="str">
        <f aca="false">IF($K116=0,"",OPERATIONS!$B116)</f>
        <v/>
      </c>
      <c r="E116" s="26" t="str">
        <f aca="false">IF($K116=0,"","SORTIE")</f>
        <v/>
      </c>
      <c r="F116" s="26" t="str">
        <f aca="false">IF($K116=0,"",OPERATIONS!$C116)</f>
        <v/>
      </c>
      <c r="G116" s="26" t="str">
        <f aca="false">IF($K116=0,"",OPERATIONS!$D116)</f>
        <v/>
      </c>
      <c r="H116" s="26" t="str">
        <f aca="false">IF($K116=0,"",OPERATIONS!$E116)</f>
        <v/>
      </c>
      <c r="I116" s="26" t="str">
        <f aca="false">IF($H116="","",IFERROR(INDEX(EMPL_CLASSE,MATCH($H116,EMPL_KEY,0)),""))</f>
        <v/>
      </c>
      <c r="J116" s="26" t="str">
        <f aca="false">IF($K116=0,"",OPERATIONS!$J116)</f>
        <v/>
      </c>
      <c r="K116" s="67" t="n">
        <f aca="false">IF(OR(OPERATIONS!$N116=0,OPERATIONS!$C116="RECEPTION"),0,-OPERATIONS!$G116)</f>
        <v>0</v>
      </c>
      <c r="L116" s="67" t="n">
        <f aca="false">IF($K116=0,0,OPERATIONS!$Q116*$K116)</f>
        <v>0</v>
      </c>
      <c r="M116" s="26" t="str">
        <f aca="false">IF($K116=0,"",OPERATIONS!$P116)</f>
        <v/>
      </c>
      <c r="N116" s="26" t="str">
        <f aca="false">IF($G116="","",IF($G116=R_LOT,COUNTIF($G$5:$G116,R_LOT),""))</f>
        <v/>
      </c>
    </row>
    <row r="117" customFormat="false" ht="15" hidden="false" customHeight="false" outlineLevel="0" collapsed="false">
      <c r="A117" s="28" t="str">
        <f aca="false">IF($K117=0,"",ROW()-4)</f>
        <v/>
      </c>
      <c r="B117" s="26" t="str">
        <f aca="false">IF($K117=0,"","OPERATIONS")</f>
        <v/>
      </c>
      <c r="C117" s="26" t="str">
        <f aca="false">IF($K117=0,"",OPERATIONS!$A117)</f>
        <v/>
      </c>
      <c r="D117" s="31" t="str">
        <f aca="false">IF($K117=0,"",OPERATIONS!$B117)</f>
        <v/>
      </c>
      <c r="E117" s="26" t="str">
        <f aca="false">IF($K117=0,"","SORTIE")</f>
        <v/>
      </c>
      <c r="F117" s="26" t="str">
        <f aca="false">IF($K117=0,"",OPERATIONS!$C117)</f>
        <v/>
      </c>
      <c r="G117" s="26" t="str">
        <f aca="false">IF($K117=0,"",OPERATIONS!$D117)</f>
        <v/>
      </c>
      <c r="H117" s="26" t="str">
        <f aca="false">IF($K117=0,"",OPERATIONS!$E117)</f>
        <v/>
      </c>
      <c r="I117" s="26" t="str">
        <f aca="false">IF($H117="","",IFERROR(INDEX(EMPL_CLASSE,MATCH($H117,EMPL_KEY,0)),""))</f>
        <v/>
      </c>
      <c r="J117" s="26" t="str">
        <f aca="false">IF($K117=0,"",OPERATIONS!$J117)</f>
        <v/>
      </c>
      <c r="K117" s="67" t="n">
        <f aca="false">IF(OR(OPERATIONS!$N117=0,OPERATIONS!$C117="RECEPTION"),0,-OPERATIONS!$G117)</f>
        <v>0</v>
      </c>
      <c r="L117" s="67" t="n">
        <f aca="false">IF($K117=0,0,OPERATIONS!$Q117*$K117)</f>
        <v>0</v>
      </c>
      <c r="M117" s="26" t="str">
        <f aca="false">IF($K117=0,"",OPERATIONS!$P117)</f>
        <v/>
      </c>
      <c r="N117" s="26" t="str">
        <f aca="false">IF($G117="","",IF($G117=R_LOT,COUNTIF($G$5:$G117,R_LOT),""))</f>
        <v/>
      </c>
    </row>
    <row r="118" customFormat="false" ht="15" hidden="false" customHeight="false" outlineLevel="0" collapsed="false">
      <c r="A118" s="28" t="str">
        <f aca="false">IF($K118=0,"",ROW()-4)</f>
        <v/>
      </c>
      <c r="B118" s="26" t="str">
        <f aca="false">IF($K118=0,"","OPERATIONS")</f>
        <v/>
      </c>
      <c r="C118" s="26" t="str">
        <f aca="false">IF($K118=0,"",OPERATIONS!$A118)</f>
        <v/>
      </c>
      <c r="D118" s="31" t="str">
        <f aca="false">IF($K118=0,"",OPERATIONS!$B118)</f>
        <v/>
      </c>
      <c r="E118" s="26" t="str">
        <f aca="false">IF($K118=0,"","SORTIE")</f>
        <v/>
      </c>
      <c r="F118" s="26" t="str">
        <f aca="false">IF($K118=0,"",OPERATIONS!$C118)</f>
        <v/>
      </c>
      <c r="G118" s="26" t="str">
        <f aca="false">IF($K118=0,"",OPERATIONS!$D118)</f>
        <v/>
      </c>
      <c r="H118" s="26" t="str">
        <f aca="false">IF($K118=0,"",OPERATIONS!$E118)</f>
        <v/>
      </c>
      <c r="I118" s="26" t="str">
        <f aca="false">IF($H118="","",IFERROR(INDEX(EMPL_CLASSE,MATCH($H118,EMPL_KEY,0)),""))</f>
        <v/>
      </c>
      <c r="J118" s="26" t="str">
        <f aca="false">IF($K118=0,"",OPERATIONS!$J118)</f>
        <v/>
      </c>
      <c r="K118" s="67" t="n">
        <f aca="false">IF(OR(OPERATIONS!$N118=0,OPERATIONS!$C118="RECEPTION"),0,-OPERATIONS!$G118)</f>
        <v>0</v>
      </c>
      <c r="L118" s="67" t="n">
        <f aca="false">IF($K118=0,0,OPERATIONS!$Q118*$K118)</f>
        <v>0</v>
      </c>
      <c r="M118" s="26" t="str">
        <f aca="false">IF($K118=0,"",OPERATIONS!$P118)</f>
        <v/>
      </c>
      <c r="N118" s="26" t="str">
        <f aca="false">IF($G118="","",IF($G118=R_LOT,COUNTIF($G$5:$G118,R_LOT),""))</f>
        <v/>
      </c>
    </row>
    <row r="119" customFormat="false" ht="15" hidden="false" customHeight="false" outlineLevel="0" collapsed="false">
      <c r="A119" s="28" t="str">
        <f aca="false">IF($K119=0,"",ROW()-4)</f>
        <v/>
      </c>
      <c r="B119" s="26" t="str">
        <f aca="false">IF($K119=0,"","OPERATIONS")</f>
        <v/>
      </c>
      <c r="C119" s="26" t="str">
        <f aca="false">IF($K119=0,"",OPERATIONS!$A119)</f>
        <v/>
      </c>
      <c r="D119" s="31" t="str">
        <f aca="false">IF($K119=0,"",OPERATIONS!$B119)</f>
        <v/>
      </c>
      <c r="E119" s="26" t="str">
        <f aca="false">IF($K119=0,"","SORTIE")</f>
        <v/>
      </c>
      <c r="F119" s="26" t="str">
        <f aca="false">IF($K119=0,"",OPERATIONS!$C119)</f>
        <v/>
      </c>
      <c r="G119" s="26" t="str">
        <f aca="false">IF($K119=0,"",OPERATIONS!$D119)</f>
        <v/>
      </c>
      <c r="H119" s="26" t="str">
        <f aca="false">IF($K119=0,"",OPERATIONS!$E119)</f>
        <v/>
      </c>
      <c r="I119" s="26" t="str">
        <f aca="false">IF($H119="","",IFERROR(INDEX(EMPL_CLASSE,MATCH($H119,EMPL_KEY,0)),""))</f>
        <v/>
      </c>
      <c r="J119" s="26" t="str">
        <f aca="false">IF($K119=0,"",OPERATIONS!$J119)</f>
        <v/>
      </c>
      <c r="K119" s="67" t="n">
        <f aca="false">IF(OR(OPERATIONS!$N119=0,OPERATIONS!$C119="RECEPTION"),0,-OPERATIONS!$G119)</f>
        <v>0</v>
      </c>
      <c r="L119" s="67" t="n">
        <f aca="false">IF($K119=0,0,OPERATIONS!$Q119*$K119)</f>
        <v>0</v>
      </c>
      <c r="M119" s="26" t="str">
        <f aca="false">IF($K119=0,"",OPERATIONS!$P119)</f>
        <v/>
      </c>
      <c r="N119" s="26" t="str">
        <f aca="false">IF($G119="","",IF($G119=R_LOT,COUNTIF($G$5:$G119,R_LOT),""))</f>
        <v/>
      </c>
    </row>
    <row r="120" customFormat="false" ht="15" hidden="false" customHeight="false" outlineLevel="0" collapsed="false">
      <c r="A120" s="28" t="str">
        <f aca="false">IF($K120=0,"",ROW()-4)</f>
        <v/>
      </c>
      <c r="B120" s="26" t="str">
        <f aca="false">IF($K120=0,"","OPERATIONS")</f>
        <v/>
      </c>
      <c r="C120" s="26" t="str">
        <f aca="false">IF($K120=0,"",OPERATIONS!$A120)</f>
        <v/>
      </c>
      <c r="D120" s="31" t="str">
        <f aca="false">IF($K120=0,"",OPERATIONS!$B120)</f>
        <v/>
      </c>
      <c r="E120" s="26" t="str">
        <f aca="false">IF($K120=0,"","SORTIE")</f>
        <v/>
      </c>
      <c r="F120" s="26" t="str">
        <f aca="false">IF($K120=0,"",OPERATIONS!$C120)</f>
        <v/>
      </c>
      <c r="G120" s="26" t="str">
        <f aca="false">IF($K120=0,"",OPERATIONS!$D120)</f>
        <v/>
      </c>
      <c r="H120" s="26" t="str">
        <f aca="false">IF($K120=0,"",OPERATIONS!$E120)</f>
        <v/>
      </c>
      <c r="I120" s="26" t="str">
        <f aca="false">IF($H120="","",IFERROR(INDEX(EMPL_CLASSE,MATCH($H120,EMPL_KEY,0)),""))</f>
        <v/>
      </c>
      <c r="J120" s="26" t="str">
        <f aca="false">IF($K120=0,"",OPERATIONS!$J120)</f>
        <v/>
      </c>
      <c r="K120" s="67" t="n">
        <f aca="false">IF(OR(OPERATIONS!$N120=0,OPERATIONS!$C120="RECEPTION"),0,-OPERATIONS!$G120)</f>
        <v>0</v>
      </c>
      <c r="L120" s="67" t="n">
        <f aca="false">IF($K120=0,0,OPERATIONS!$Q120*$K120)</f>
        <v>0</v>
      </c>
      <c r="M120" s="26" t="str">
        <f aca="false">IF($K120=0,"",OPERATIONS!$P120)</f>
        <v/>
      </c>
      <c r="N120" s="26" t="str">
        <f aca="false">IF($G120="","",IF($G120=R_LOT,COUNTIF($G$5:$G120,R_LOT),""))</f>
        <v/>
      </c>
    </row>
    <row r="121" customFormat="false" ht="15" hidden="false" customHeight="false" outlineLevel="0" collapsed="false">
      <c r="A121" s="28" t="str">
        <f aca="false">IF($K121=0,"",ROW()-4)</f>
        <v/>
      </c>
      <c r="B121" s="26" t="str">
        <f aca="false">IF($K121=0,"","OPERATIONS")</f>
        <v/>
      </c>
      <c r="C121" s="26" t="str">
        <f aca="false">IF($K121=0,"",OPERATIONS!$A121)</f>
        <v/>
      </c>
      <c r="D121" s="31" t="str">
        <f aca="false">IF($K121=0,"",OPERATIONS!$B121)</f>
        <v/>
      </c>
      <c r="E121" s="26" t="str">
        <f aca="false">IF($K121=0,"","SORTIE")</f>
        <v/>
      </c>
      <c r="F121" s="26" t="str">
        <f aca="false">IF($K121=0,"",OPERATIONS!$C121)</f>
        <v/>
      </c>
      <c r="G121" s="26" t="str">
        <f aca="false">IF($K121=0,"",OPERATIONS!$D121)</f>
        <v/>
      </c>
      <c r="H121" s="26" t="str">
        <f aca="false">IF($K121=0,"",OPERATIONS!$E121)</f>
        <v/>
      </c>
      <c r="I121" s="26" t="str">
        <f aca="false">IF($H121="","",IFERROR(INDEX(EMPL_CLASSE,MATCH($H121,EMPL_KEY,0)),""))</f>
        <v/>
      </c>
      <c r="J121" s="26" t="str">
        <f aca="false">IF($K121=0,"",OPERATIONS!$J121)</f>
        <v/>
      </c>
      <c r="K121" s="67" t="n">
        <f aca="false">IF(OR(OPERATIONS!$N121=0,OPERATIONS!$C121="RECEPTION"),0,-OPERATIONS!$G121)</f>
        <v>0</v>
      </c>
      <c r="L121" s="67" t="n">
        <f aca="false">IF($K121=0,0,OPERATIONS!$Q121*$K121)</f>
        <v>0</v>
      </c>
      <c r="M121" s="26" t="str">
        <f aca="false">IF($K121=0,"",OPERATIONS!$P121)</f>
        <v/>
      </c>
      <c r="N121" s="26" t="str">
        <f aca="false">IF($G121="","",IF($G121=R_LOT,COUNTIF($G$5:$G121,R_LOT),""))</f>
        <v/>
      </c>
    </row>
    <row r="122" customFormat="false" ht="15" hidden="false" customHeight="false" outlineLevel="0" collapsed="false">
      <c r="A122" s="28" t="str">
        <f aca="false">IF($K122=0,"",ROW()-4)</f>
        <v/>
      </c>
      <c r="B122" s="26" t="str">
        <f aca="false">IF($K122=0,"","OPERATIONS")</f>
        <v/>
      </c>
      <c r="C122" s="26" t="str">
        <f aca="false">IF($K122=0,"",OPERATIONS!$A122)</f>
        <v/>
      </c>
      <c r="D122" s="31" t="str">
        <f aca="false">IF($K122=0,"",OPERATIONS!$B122)</f>
        <v/>
      </c>
      <c r="E122" s="26" t="str">
        <f aca="false">IF($K122=0,"","SORTIE")</f>
        <v/>
      </c>
      <c r="F122" s="26" t="str">
        <f aca="false">IF($K122=0,"",OPERATIONS!$C122)</f>
        <v/>
      </c>
      <c r="G122" s="26" t="str">
        <f aca="false">IF($K122=0,"",OPERATIONS!$D122)</f>
        <v/>
      </c>
      <c r="H122" s="26" t="str">
        <f aca="false">IF($K122=0,"",OPERATIONS!$E122)</f>
        <v/>
      </c>
      <c r="I122" s="26" t="str">
        <f aca="false">IF($H122="","",IFERROR(INDEX(EMPL_CLASSE,MATCH($H122,EMPL_KEY,0)),""))</f>
        <v/>
      </c>
      <c r="J122" s="26" t="str">
        <f aca="false">IF($K122=0,"",OPERATIONS!$J122)</f>
        <v/>
      </c>
      <c r="K122" s="67" t="n">
        <f aca="false">IF(OR(OPERATIONS!$N122=0,OPERATIONS!$C122="RECEPTION"),0,-OPERATIONS!$G122)</f>
        <v>0</v>
      </c>
      <c r="L122" s="67" t="n">
        <f aca="false">IF($K122=0,0,OPERATIONS!$Q122*$K122)</f>
        <v>0</v>
      </c>
      <c r="M122" s="26" t="str">
        <f aca="false">IF($K122=0,"",OPERATIONS!$P122)</f>
        <v/>
      </c>
      <c r="N122" s="26" t="str">
        <f aca="false">IF($G122="","",IF($G122=R_LOT,COUNTIF($G$5:$G122,R_LOT),""))</f>
        <v/>
      </c>
    </row>
    <row r="123" customFormat="false" ht="15" hidden="false" customHeight="false" outlineLevel="0" collapsed="false">
      <c r="A123" s="28" t="str">
        <f aca="false">IF($K123=0,"",ROW()-4)</f>
        <v/>
      </c>
      <c r="B123" s="26" t="str">
        <f aca="false">IF($K123=0,"","OPERATIONS")</f>
        <v/>
      </c>
      <c r="C123" s="26" t="str">
        <f aca="false">IF($K123=0,"",OPERATIONS!$A123)</f>
        <v/>
      </c>
      <c r="D123" s="31" t="str">
        <f aca="false">IF($K123=0,"",OPERATIONS!$B123)</f>
        <v/>
      </c>
      <c r="E123" s="26" t="str">
        <f aca="false">IF($K123=0,"","SORTIE")</f>
        <v/>
      </c>
      <c r="F123" s="26" t="str">
        <f aca="false">IF($K123=0,"",OPERATIONS!$C123)</f>
        <v/>
      </c>
      <c r="G123" s="26" t="str">
        <f aca="false">IF($K123=0,"",OPERATIONS!$D123)</f>
        <v/>
      </c>
      <c r="H123" s="26" t="str">
        <f aca="false">IF($K123=0,"",OPERATIONS!$E123)</f>
        <v/>
      </c>
      <c r="I123" s="26" t="str">
        <f aca="false">IF($H123="","",IFERROR(INDEX(EMPL_CLASSE,MATCH($H123,EMPL_KEY,0)),""))</f>
        <v/>
      </c>
      <c r="J123" s="26" t="str">
        <f aca="false">IF($K123=0,"",OPERATIONS!$J123)</f>
        <v/>
      </c>
      <c r="K123" s="67" t="n">
        <f aca="false">IF(OR(OPERATIONS!$N123=0,OPERATIONS!$C123="RECEPTION"),0,-OPERATIONS!$G123)</f>
        <v>0</v>
      </c>
      <c r="L123" s="67" t="n">
        <f aca="false">IF($K123=0,0,OPERATIONS!$Q123*$K123)</f>
        <v>0</v>
      </c>
      <c r="M123" s="26" t="str">
        <f aca="false">IF($K123=0,"",OPERATIONS!$P123)</f>
        <v/>
      </c>
      <c r="N123" s="26" t="str">
        <f aca="false">IF($G123="","",IF($G123=R_LOT,COUNTIF($G$5:$G123,R_LOT),""))</f>
        <v/>
      </c>
    </row>
    <row r="124" customFormat="false" ht="15" hidden="false" customHeight="false" outlineLevel="0" collapsed="false">
      <c r="A124" s="28" t="str">
        <f aca="false">IF($K124=0,"",ROW()-4)</f>
        <v/>
      </c>
      <c r="B124" s="26" t="str">
        <f aca="false">IF($K124=0,"","OPERATIONS")</f>
        <v/>
      </c>
      <c r="C124" s="26" t="str">
        <f aca="false">IF($K124=0,"",OPERATIONS!$A124)</f>
        <v/>
      </c>
      <c r="D124" s="31" t="str">
        <f aca="false">IF($K124=0,"",OPERATIONS!$B124)</f>
        <v/>
      </c>
      <c r="E124" s="26" t="str">
        <f aca="false">IF($K124=0,"","SORTIE")</f>
        <v/>
      </c>
      <c r="F124" s="26" t="str">
        <f aca="false">IF($K124=0,"",OPERATIONS!$C124)</f>
        <v/>
      </c>
      <c r="G124" s="26" t="str">
        <f aca="false">IF($K124=0,"",OPERATIONS!$D124)</f>
        <v/>
      </c>
      <c r="H124" s="26" t="str">
        <f aca="false">IF($K124=0,"",OPERATIONS!$E124)</f>
        <v/>
      </c>
      <c r="I124" s="26" t="str">
        <f aca="false">IF($H124="","",IFERROR(INDEX(EMPL_CLASSE,MATCH($H124,EMPL_KEY,0)),""))</f>
        <v/>
      </c>
      <c r="J124" s="26" t="str">
        <f aca="false">IF($K124=0,"",OPERATIONS!$J124)</f>
        <v/>
      </c>
      <c r="K124" s="67" t="n">
        <f aca="false">IF(OR(OPERATIONS!$N124=0,OPERATIONS!$C124="RECEPTION"),0,-OPERATIONS!$G124)</f>
        <v>0</v>
      </c>
      <c r="L124" s="67" t="n">
        <f aca="false">IF($K124=0,0,OPERATIONS!$Q124*$K124)</f>
        <v>0</v>
      </c>
      <c r="M124" s="26" t="str">
        <f aca="false">IF($K124=0,"",OPERATIONS!$P124)</f>
        <v/>
      </c>
      <c r="N124" s="26" t="str">
        <f aca="false">IF($G124="","",IF($G124=R_LOT,COUNTIF($G$5:$G124,R_LOT),""))</f>
        <v/>
      </c>
    </row>
    <row r="125" customFormat="false" ht="15" hidden="false" customHeight="false" outlineLevel="0" collapsed="false">
      <c r="A125" s="28" t="str">
        <f aca="false">IF($K125=0,"",ROW()-4)</f>
        <v/>
      </c>
      <c r="B125" s="26" t="str">
        <f aca="false">IF($K125=0,"","OPERATIONS")</f>
        <v/>
      </c>
      <c r="C125" s="26" t="str">
        <f aca="false">IF($K125=0,"",OPERATIONS!$A125)</f>
        <v/>
      </c>
      <c r="D125" s="31" t="str">
        <f aca="false">IF($K125=0,"",OPERATIONS!$B125)</f>
        <v/>
      </c>
      <c r="E125" s="26" t="str">
        <f aca="false">IF($K125=0,"","SORTIE")</f>
        <v/>
      </c>
      <c r="F125" s="26" t="str">
        <f aca="false">IF($K125=0,"",OPERATIONS!$C125)</f>
        <v/>
      </c>
      <c r="G125" s="26" t="str">
        <f aca="false">IF($K125=0,"",OPERATIONS!$D125)</f>
        <v/>
      </c>
      <c r="H125" s="26" t="str">
        <f aca="false">IF($K125=0,"",OPERATIONS!$E125)</f>
        <v/>
      </c>
      <c r="I125" s="26" t="str">
        <f aca="false">IF($H125="","",IFERROR(INDEX(EMPL_CLASSE,MATCH($H125,EMPL_KEY,0)),""))</f>
        <v/>
      </c>
      <c r="J125" s="26" t="str">
        <f aca="false">IF($K125=0,"",OPERATIONS!$J125)</f>
        <v/>
      </c>
      <c r="K125" s="67" t="n">
        <f aca="false">IF(OR(OPERATIONS!$N125=0,OPERATIONS!$C125="RECEPTION"),0,-OPERATIONS!$G125)</f>
        <v>0</v>
      </c>
      <c r="L125" s="67" t="n">
        <f aca="false">IF($K125=0,0,OPERATIONS!$Q125*$K125)</f>
        <v>0</v>
      </c>
      <c r="M125" s="26" t="str">
        <f aca="false">IF($K125=0,"",OPERATIONS!$P125)</f>
        <v/>
      </c>
      <c r="N125" s="26" t="str">
        <f aca="false">IF($G125="","",IF($G125=R_LOT,COUNTIF($G$5:$G125,R_LOT),""))</f>
        <v/>
      </c>
    </row>
    <row r="126" customFormat="false" ht="15" hidden="false" customHeight="false" outlineLevel="0" collapsed="false">
      <c r="A126" s="28" t="str">
        <f aca="false">IF($K126=0,"",ROW()-4)</f>
        <v/>
      </c>
      <c r="B126" s="26" t="str">
        <f aca="false">IF($K126=0,"","OPERATIONS")</f>
        <v/>
      </c>
      <c r="C126" s="26" t="str">
        <f aca="false">IF($K126=0,"",OPERATIONS!$A126)</f>
        <v/>
      </c>
      <c r="D126" s="31" t="str">
        <f aca="false">IF($K126=0,"",OPERATIONS!$B126)</f>
        <v/>
      </c>
      <c r="E126" s="26" t="str">
        <f aca="false">IF($K126=0,"","SORTIE")</f>
        <v/>
      </c>
      <c r="F126" s="26" t="str">
        <f aca="false">IF($K126=0,"",OPERATIONS!$C126)</f>
        <v/>
      </c>
      <c r="G126" s="26" t="str">
        <f aca="false">IF($K126=0,"",OPERATIONS!$D126)</f>
        <v/>
      </c>
      <c r="H126" s="26" t="str">
        <f aca="false">IF($K126=0,"",OPERATIONS!$E126)</f>
        <v/>
      </c>
      <c r="I126" s="26" t="str">
        <f aca="false">IF($H126="","",IFERROR(INDEX(EMPL_CLASSE,MATCH($H126,EMPL_KEY,0)),""))</f>
        <v/>
      </c>
      <c r="J126" s="26" t="str">
        <f aca="false">IF($K126=0,"",OPERATIONS!$J126)</f>
        <v/>
      </c>
      <c r="K126" s="67" t="n">
        <f aca="false">IF(OR(OPERATIONS!$N126=0,OPERATIONS!$C126="RECEPTION"),0,-OPERATIONS!$G126)</f>
        <v>0</v>
      </c>
      <c r="L126" s="67" t="n">
        <f aca="false">IF($K126=0,0,OPERATIONS!$Q126*$K126)</f>
        <v>0</v>
      </c>
      <c r="M126" s="26" t="str">
        <f aca="false">IF($K126=0,"",OPERATIONS!$P126)</f>
        <v/>
      </c>
      <c r="N126" s="26" t="str">
        <f aca="false">IF($G126="","",IF($G126=R_LOT,COUNTIF($G$5:$G126,R_LOT),""))</f>
        <v/>
      </c>
    </row>
    <row r="127" customFormat="false" ht="15" hidden="false" customHeight="false" outlineLevel="0" collapsed="false">
      <c r="A127" s="28" t="str">
        <f aca="false">IF($K127=0,"",ROW()-4)</f>
        <v/>
      </c>
      <c r="B127" s="26" t="str">
        <f aca="false">IF($K127=0,"","OPERATIONS")</f>
        <v/>
      </c>
      <c r="C127" s="26" t="str">
        <f aca="false">IF($K127=0,"",OPERATIONS!$A127)</f>
        <v/>
      </c>
      <c r="D127" s="31" t="str">
        <f aca="false">IF($K127=0,"",OPERATIONS!$B127)</f>
        <v/>
      </c>
      <c r="E127" s="26" t="str">
        <f aca="false">IF($K127=0,"","SORTIE")</f>
        <v/>
      </c>
      <c r="F127" s="26" t="str">
        <f aca="false">IF($K127=0,"",OPERATIONS!$C127)</f>
        <v/>
      </c>
      <c r="G127" s="26" t="str">
        <f aca="false">IF($K127=0,"",OPERATIONS!$D127)</f>
        <v/>
      </c>
      <c r="H127" s="26" t="str">
        <f aca="false">IF($K127=0,"",OPERATIONS!$E127)</f>
        <v/>
      </c>
      <c r="I127" s="26" t="str">
        <f aca="false">IF($H127="","",IFERROR(INDEX(EMPL_CLASSE,MATCH($H127,EMPL_KEY,0)),""))</f>
        <v/>
      </c>
      <c r="J127" s="26" t="str">
        <f aca="false">IF($K127=0,"",OPERATIONS!$J127)</f>
        <v/>
      </c>
      <c r="K127" s="67" t="n">
        <f aca="false">IF(OR(OPERATIONS!$N127=0,OPERATIONS!$C127="RECEPTION"),0,-OPERATIONS!$G127)</f>
        <v>0</v>
      </c>
      <c r="L127" s="67" t="n">
        <f aca="false">IF($K127=0,0,OPERATIONS!$Q127*$K127)</f>
        <v>0</v>
      </c>
      <c r="M127" s="26" t="str">
        <f aca="false">IF($K127=0,"",OPERATIONS!$P127)</f>
        <v/>
      </c>
      <c r="N127" s="26" t="str">
        <f aca="false">IF($G127="","",IF($G127=R_LOT,COUNTIF($G$5:$G127,R_LOT),""))</f>
        <v/>
      </c>
    </row>
    <row r="128" customFormat="false" ht="15" hidden="false" customHeight="false" outlineLevel="0" collapsed="false">
      <c r="A128" s="28" t="str">
        <f aca="false">IF($K128=0,"",ROW()-4)</f>
        <v/>
      </c>
      <c r="B128" s="26" t="str">
        <f aca="false">IF($K128=0,"","OPERATIONS")</f>
        <v/>
      </c>
      <c r="C128" s="26" t="str">
        <f aca="false">IF($K128=0,"",OPERATIONS!$A128)</f>
        <v/>
      </c>
      <c r="D128" s="31" t="str">
        <f aca="false">IF($K128=0,"",OPERATIONS!$B128)</f>
        <v/>
      </c>
      <c r="E128" s="26" t="str">
        <f aca="false">IF($K128=0,"","SORTIE")</f>
        <v/>
      </c>
      <c r="F128" s="26" t="str">
        <f aca="false">IF($K128=0,"",OPERATIONS!$C128)</f>
        <v/>
      </c>
      <c r="G128" s="26" t="str">
        <f aca="false">IF($K128=0,"",OPERATIONS!$D128)</f>
        <v/>
      </c>
      <c r="H128" s="26" t="str">
        <f aca="false">IF($K128=0,"",OPERATIONS!$E128)</f>
        <v/>
      </c>
      <c r="I128" s="26" t="str">
        <f aca="false">IF($H128="","",IFERROR(INDEX(EMPL_CLASSE,MATCH($H128,EMPL_KEY,0)),""))</f>
        <v/>
      </c>
      <c r="J128" s="26" t="str">
        <f aca="false">IF($K128=0,"",OPERATIONS!$J128)</f>
        <v/>
      </c>
      <c r="K128" s="67" t="n">
        <f aca="false">IF(OR(OPERATIONS!$N128=0,OPERATIONS!$C128="RECEPTION"),0,-OPERATIONS!$G128)</f>
        <v>0</v>
      </c>
      <c r="L128" s="67" t="n">
        <f aca="false">IF($K128=0,0,OPERATIONS!$Q128*$K128)</f>
        <v>0</v>
      </c>
      <c r="M128" s="26" t="str">
        <f aca="false">IF($K128=0,"",OPERATIONS!$P128)</f>
        <v/>
      </c>
      <c r="N128" s="26" t="str">
        <f aca="false">IF($G128="","",IF($G128=R_LOT,COUNTIF($G$5:$G128,R_LOT),""))</f>
        <v/>
      </c>
    </row>
    <row r="129" customFormat="false" ht="15" hidden="false" customHeight="false" outlineLevel="0" collapsed="false">
      <c r="A129" s="28" t="str">
        <f aca="false">IF($K129=0,"",ROW()-4)</f>
        <v/>
      </c>
      <c r="B129" s="26" t="str">
        <f aca="false">IF($K129=0,"","OPERATIONS")</f>
        <v/>
      </c>
      <c r="C129" s="26" t="str">
        <f aca="false">IF($K129=0,"",OPERATIONS!$A129)</f>
        <v/>
      </c>
      <c r="D129" s="31" t="str">
        <f aca="false">IF($K129=0,"",OPERATIONS!$B129)</f>
        <v/>
      </c>
      <c r="E129" s="26" t="str">
        <f aca="false">IF($K129=0,"","SORTIE")</f>
        <v/>
      </c>
      <c r="F129" s="26" t="str">
        <f aca="false">IF($K129=0,"",OPERATIONS!$C129)</f>
        <v/>
      </c>
      <c r="G129" s="26" t="str">
        <f aca="false">IF($K129=0,"",OPERATIONS!$D129)</f>
        <v/>
      </c>
      <c r="H129" s="26" t="str">
        <f aca="false">IF($K129=0,"",OPERATIONS!$E129)</f>
        <v/>
      </c>
      <c r="I129" s="26" t="str">
        <f aca="false">IF($H129="","",IFERROR(INDEX(EMPL_CLASSE,MATCH($H129,EMPL_KEY,0)),""))</f>
        <v/>
      </c>
      <c r="J129" s="26" t="str">
        <f aca="false">IF($K129=0,"",OPERATIONS!$J129)</f>
        <v/>
      </c>
      <c r="K129" s="67" t="n">
        <f aca="false">IF(OR(OPERATIONS!$N129=0,OPERATIONS!$C129="RECEPTION"),0,-OPERATIONS!$G129)</f>
        <v>0</v>
      </c>
      <c r="L129" s="67" t="n">
        <f aca="false">IF($K129=0,0,OPERATIONS!$Q129*$K129)</f>
        <v>0</v>
      </c>
      <c r="M129" s="26" t="str">
        <f aca="false">IF($K129=0,"",OPERATIONS!$P129)</f>
        <v/>
      </c>
      <c r="N129" s="26" t="str">
        <f aca="false">IF($G129="","",IF($G129=R_LOT,COUNTIF($G$5:$G129,R_LOT),""))</f>
        <v/>
      </c>
    </row>
    <row r="130" customFormat="false" ht="15" hidden="false" customHeight="false" outlineLevel="0" collapsed="false">
      <c r="A130" s="28" t="str">
        <f aca="false">IF($K130=0,"",ROW()-4)</f>
        <v/>
      </c>
      <c r="B130" s="26" t="str">
        <f aca="false">IF($K130=0,"","OPERATIONS")</f>
        <v/>
      </c>
      <c r="C130" s="26" t="str">
        <f aca="false">IF($K130=0,"",OPERATIONS!$A130)</f>
        <v/>
      </c>
      <c r="D130" s="31" t="str">
        <f aca="false">IF($K130=0,"",OPERATIONS!$B130)</f>
        <v/>
      </c>
      <c r="E130" s="26" t="str">
        <f aca="false">IF($K130=0,"","SORTIE")</f>
        <v/>
      </c>
      <c r="F130" s="26" t="str">
        <f aca="false">IF($K130=0,"",OPERATIONS!$C130)</f>
        <v/>
      </c>
      <c r="G130" s="26" t="str">
        <f aca="false">IF($K130=0,"",OPERATIONS!$D130)</f>
        <v/>
      </c>
      <c r="H130" s="26" t="str">
        <f aca="false">IF($K130=0,"",OPERATIONS!$E130)</f>
        <v/>
      </c>
      <c r="I130" s="26" t="str">
        <f aca="false">IF($H130="","",IFERROR(INDEX(EMPL_CLASSE,MATCH($H130,EMPL_KEY,0)),""))</f>
        <v/>
      </c>
      <c r="J130" s="26" t="str">
        <f aca="false">IF($K130=0,"",OPERATIONS!$J130)</f>
        <v/>
      </c>
      <c r="K130" s="67" t="n">
        <f aca="false">IF(OR(OPERATIONS!$N130=0,OPERATIONS!$C130="RECEPTION"),0,-OPERATIONS!$G130)</f>
        <v>0</v>
      </c>
      <c r="L130" s="67" t="n">
        <f aca="false">IF($K130=0,0,OPERATIONS!$Q130*$K130)</f>
        <v>0</v>
      </c>
      <c r="M130" s="26" t="str">
        <f aca="false">IF($K130=0,"",OPERATIONS!$P130)</f>
        <v/>
      </c>
      <c r="N130" s="26" t="str">
        <f aca="false">IF($G130="","",IF($G130=R_LOT,COUNTIF($G$5:$G130,R_LOT),""))</f>
        <v/>
      </c>
    </row>
    <row r="131" customFormat="false" ht="15" hidden="false" customHeight="false" outlineLevel="0" collapsed="false">
      <c r="A131" s="28" t="str">
        <f aca="false">IF($K131=0,"",ROW()-4)</f>
        <v/>
      </c>
      <c r="B131" s="26" t="str">
        <f aca="false">IF($K131=0,"","OPERATIONS")</f>
        <v/>
      </c>
      <c r="C131" s="26" t="str">
        <f aca="false">IF($K131=0,"",OPERATIONS!$A131)</f>
        <v/>
      </c>
      <c r="D131" s="31" t="str">
        <f aca="false">IF($K131=0,"",OPERATIONS!$B131)</f>
        <v/>
      </c>
      <c r="E131" s="26" t="str">
        <f aca="false">IF($K131=0,"","SORTIE")</f>
        <v/>
      </c>
      <c r="F131" s="26" t="str">
        <f aca="false">IF($K131=0,"",OPERATIONS!$C131)</f>
        <v/>
      </c>
      <c r="G131" s="26" t="str">
        <f aca="false">IF($K131=0,"",OPERATIONS!$D131)</f>
        <v/>
      </c>
      <c r="H131" s="26" t="str">
        <f aca="false">IF($K131=0,"",OPERATIONS!$E131)</f>
        <v/>
      </c>
      <c r="I131" s="26" t="str">
        <f aca="false">IF($H131="","",IFERROR(INDEX(EMPL_CLASSE,MATCH($H131,EMPL_KEY,0)),""))</f>
        <v/>
      </c>
      <c r="J131" s="26" t="str">
        <f aca="false">IF($K131=0,"",OPERATIONS!$J131)</f>
        <v/>
      </c>
      <c r="K131" s="67" t="n">
        <f aca="false">IF(OR(OPERATIONS!$N131=0,OPERATIONS!$C131="RECEPTION"),0,-OPERATIONS!$G131)</f>
        <v>0</v>
      </c>
      <c r="L131" s="67" t="n">
        <f aca="false">IF($K131=0,0,OPERATIONS!$Q131*$K131)</f>
        <v>0</v>
      </c>
      <c r="M131" s="26" t="str">
        <f aca="false">IF($K131=0,"",OPERATIONS!$P131)</f>
        <v/>
      </c>
      <c r="N131" s="26" t="str">
        <f aca="false">IF($G131="","",IF($G131=R_LOT,COUNTIF($G$5:$G131,R_LOT),""))</f>
        <v/>
      </c>
    </row>
    <row r="132" customFormat="false" ht="15" hidden="false" customHeight="false" outlineLevel="0" collapsed="false">
      <c r="A132" s="28" t="str">
        <f aca="false">IF($K132=0,"",ROW()-4)</f>
        <v/>
      </c>
      <c r="B132" s="26" t="str">
        <f aca="false">IF($K132=0,"","OPERATIONS")</f>
        <v/>
      </c>
      <c r="C132" s="26" t="str">
        <f aca="false">IF($K132=0,"",OPERATIONS!$A132)</f>
        <v/>
      </c>
      <c r="D132" s="31" t="str">
        <f aca="false">IF($K132=0,"",OPERATIONS!$B132)</f>
        <v/>
      </c>
      <c r="E132" s="26" t="str">
        <f aca="false">IF($K132=0,"","SORTIE")</f>
        <v/>
      </c>
      <c r="F132" s="26" t="str">
        <f aca="false">IF($K132=0,"",OPERATIONS!$C132)</f>
        <v/>
      </c>
      <c r="G132" s="26" t="str">
        <f aca="false">IF($K132=0,"",OPERATIONS!$D132)</f>
        <v/>
      </c>
      <c r="H132" s="26" t="str">
        <f aca="false">IF($K132=0,"",OPERATIONS!$E132)</f>
        <v/>
      </c>
      <c r="I132" s="26" t="str">
        <f aca="false">IF($H132="","",IFERROR(INDEX(EMPL_CLASSE,MATCH($H132,EMPL_KEY,0)),""))</f>
        <v/>
      </c>
      <c r="J132" s="26" t="str">
        <f aca="false">IF($K132=0,"",OPERATIONS!$J132)</f>
        <v/>
      </c>
      <c r="K132" s="67" t="n">
        <f aca="false">IF(OR(OPERATIONS!$N132=0,OPERATIONS!$C132="RECEPTION"),0,-OPERATIONS!$G132)</f>
        <v>0</v>
      </c>
      <c r="L132" s="67" t="n">
        <f aca="false">IF($K132=0,0,OPERATIONS!$Q132*$K132)</f>
        <v>0</v>
      </c>
      <c r="M132" s="26" t="str">
        <f aca="false">IF($K132=0,"",OPERATIONS!$P132)</f>
        <v/>
      </c>
      <c r="N132" s="26" t="str">
        <f aca="false">IF($G132="","",IF($G132=R_LOT,COUNTIF($G$5:$G132,R_LOT),""))</f>
        <v/>
      </c>
    </row>
    <row r="133" customFormat="false" ht="15" hidden="false" customHeight="false" outlineLevel="0" collapsed="false">
      <c r="A133" s="28" t="str">
        <f aca="false">IF($K133=0,"",ROW()-4)</f>
        <v/>
      </c>
      <c r="B133" s="26" t="str">
        <f aca="false">IF($K133=0,"","OPERATIONS")</f>
        <v/>
      </c>
      <c r="C133" s="26" t="str">
        <f aca="false">IF($K133=0,"",OPERATIONS!$A133)</f>
        <v/>
      </c>
      <c r="D133" s="31" t="str">
        <f aca="false">IF($K133=0,"",OPERATIONS!$B133)</f>
        <v/>
      </c>
      <c r="E133" s="26" t="str">
        <f aca="false">IF($K133=0,"","SORTIE")</f>
        <v/>
      </c>
      <c r="F133" s="26" t="str">
        <f aca="false">IF($K133=0,"",OPERATIONS!$C133)</f>
        <v/>
      </c>
      <c r="G133" s="26" t="str">
        <f aca="false">IF($K133=0,"",OPERATIONS!$D133)</f>
        <v/>
      </c>
      <c r="H133" s="26" t="str">
        <f aca="false">IF($K133=0,"",OPERATIONS!$E133)</f>
        <v/>
      </c>
      <c r="I133" s="26" t="str">
        <f aca="false">IF($H133="","",IFERROR(INDEX(EMPL_CLASSE,MATCH($H133,EMPL_KEY,0)),""))</f>
        <v/>
      </c>
      <c r="J133" s="26" t="str">
        <f aca="false">IF($K133=0,"",OPERATIONS!$J133)</f>
        <v/>
      </c>
      <c r="K133" s="67" t="n">
        <f aca="false">IF(OR(OPERATIONS!$N133=0,OPERATIONS!$C133="RECEPTION"),0,-OPERATIONS!$G133)</f>
        <v>0</v>
      </c>
      <c r="L133" s="67" t="n">
        <f aca="false">IF($K133=0,0,OPERATIONS!$Q133*$K133)</f>
        <v>0</v>
      </c>
      <c r="M133" s="26" t="str">
        <f aca="false">IF($K133=0,"",OPERATIONS!$P133)</f>
        <v/>
      </c>
      <c r="N133" s="26" t="str">
        <f aca="false">IF($G133="","",IF($G133=R_LOT,COUNTIF($G$5:$G133,R_LOT),""))</f>
        <v/>
      </c>
    </row>
    <row r="134" customFormat="false" ht="15" hidden="false" customHeight="false" outlineLevel="0" collapsed="false">
      <c r="A134" s="28" t="str">
        <f aca="false">IF($K134=0,"",ROW()-4)</f>
        <v/>
      </c>
      <c r="B134" s="26" t="str">
        <f aca="false">IF($K134=0,"","OPERATIONS")</f>
        <v/>
      </c>
      <c r="C134" s="26" t="str">
        <f aca="false">IF($K134=0,"",OPERATIONS!$A134)</f>
        <v/>
      </c>
      <c r="D134" s="31" t="str">
        <f aca="false">IF($K134=0,"",OPERATIONS!$B134)</f>
        <v/>
      </c>
      <c r="E134" s="26" t="str">
        <f aca="false">IF($K134=0,"","SORTIE")</f>
        <v/>
      </c>
      <c r="F134" s="26" t="str">
        <f aca="false">IF($K134=0,"",OPERATIONS!$C134)</f>
        <v/>
      </c>
      <c r="G134" s="26" t="str">
        <f aca="false">IF($K134=0,"",OPERATIONS!$D134)</f>
        <v/>
      </c>
      <c r="H134" s="26" t="str">
        <f aca="false">IF($K134=0,"",OPERATIONS!$E134)</f>
        <v/>
      </c>
      <c r="I134" s="26" t="str">
        <f aca="false">IF($H134="","",IFERROR(INDEX(EMPL_CLASSE,MATCH($H134,EMPL_KEY,0)),""))</f>
        <v/>
      </c>
      <c r="J134" s="26" t="str">
        <f aca="false">IF($K134=0,"",OPERATIONS!$J134)</f>
        <v/>
      </c>
      <c r="K134" s="67" t="n">
        <f aca="false">IF(OR(OPERATIONS!$N134=0,OPERATIONS!$C134="RECEPTION"),0,-OPERATIONS!$G134)</f>
        <v>0</v>
      </c>
      <c r="L134" s="67" t="n">
        <f aca="false">IF($K134=0,0,OPERATIONS!$Q134*$K134)</f>
        <v>0</v>
      </c>
      <c r="M134" s="26" t="str">
        <f aca="false">IF($K134=0,"",OPERATIONS!$P134)</f>
        <v/>
      </c>
      <c r="N134" s="26" t="str">
        <f aca="false">IF($G134="","",IF($G134=R_LOT,COUNTIF($G$5:$G134,R_LOT),""))</f>
        <v/>
      </c>
    </row>
    <row r="135" customFormat="false" ht="15" hidden="false" customHeight="false" outlineLevel="0" collapsed="false">
      <c r="A135" s="28" t="str">
        <f aca="false">IF($K135=0,"",ROW()-4)</f>
        <v/>
      </c>
      <c r="B135" s="26" t="str">
        <f aca="false">IF($K135=0,"","OPERATIONS")</f>
        <v/>
      </c>
      <c r="C135" s="26" t="str">
        <f aca="false">IF($K135=0,"",OPERATIONS!$A135)</f>
        <v/>
      </c>
      <c r="D135" s="31" t="str">
        <f aca="false">IF($K135=0,"",OPERATIONS!$B135)</f>
        <v/>
      </c>
      <c r="E135" s="26" t="str">
        <f aca="false">IF($K135=0,"","SORTIE")</f>
        <v/>
      </c>
      <c r="F135" s="26" t="str">
        <f aca="false">IF($K135=0,"",OPERATIONS!$C135)</f>
        <v/>
      </c>
      <c r="G135" s="26" t="str">
        <f aca="false">IF($K135=0,"",OPERATIONS!$D135)</f>
        <v/>
      </c>
      <c r="H135" s="26" t="str">
        <f aca="false">IF($K135=0,"",OPERATIONS!$E135)</f>
        <v/>
      </c>
      <c r="I135" s="26" t="str">
        <f aca="false">IF($H135="","",IFERROR(INDEX(EMPL_CLASSE,MATCH($H135,EMPL_KEY,0)),""))</f>
        <v/>
      </c>
      <c r="J135" s="26" t="str">
        <f aca="false">IF($K135=0,"",OPERATIONS!$J135)</f>
        <v/>
      </c>
      <c r="K135" s="67" t="n">
        <f aca="false">IF(OR(OPERATIONS!$N135=0,OPERATIONS!$C135="RECEPTION"),0,-OPERATIONS!$G135)</f>
        <v>0</v>
      </c>
      <c r="L135" s="67" t="n">
        <f aca="false">IF($K135=0,0,OPERATIONS!$Q135*$K135)</f>
        <v>0</v>
      </c>
      <c r="M135" s="26" t="str">
        <f aca="false">IF($K135=0,"",OPERATIONS!$P135)</f>
        <v/>
      </c>
      <c r="N135" s="26" t="str">
        <f aca="false">IF($G135="","",IF($G135=R_LOT,COUNTIF($G$5:$G135,R_LOT),""))</f>
        <v/>
      </c>
    </row>
    <row r="136" customFormat="false" ht="15" hidden="false" customHeight="false" outlineLevel="0" collapsed="false">
      <c r="A136" s="28" t="str">
        <f aca="false">IF($K136=0,"",ROW()-4)</f>
        <v/>
      </c>
      <c r="B136" s="26" t="str">
        <f aca="false">IF($K136=0,"","OPERATIONS")</f>
        <v/>
      </c>
      <c r="C136" s="26" t="str">
        <f aca="false">IF($K136=0,"",OPERATIONS!$A136)</f>
        <v/>
      </c>
      <c r="D136" s="31" t="str">
        <f aca="false">IF($K136=0,"",OPERATIONS!$B136)</f>
        <v/>
      </c>
      <c r="E136" s="26" t="str">
        <f aca="false">IF($K136=0,"","SORTIE")</f>
        <v/>
      </c>
      <c r="F136" s="26" t="str">
        <f aca="false">IF($K136=0,"",OPERATIONS!$C136)</f>
        <v/>
      </c>
      <c r="G136" s="26" t="str">
        <f aca="false">IF($K136=0,"",OPERATIONS!$D136)</f>
        <v/>
      </c>
      <c r="H136" s="26" t="str">
        <f aca="false">IF($K136=0,"",OPERATIONS!$E136)</f>
        <v/>
      </c>
      <c r="I136" s="26" t="str">
        <f aca="false">IF($H136="","",IFERROR(INDEX(EMPL_CLASSE,MATCH($H136,EMPL_KEY,0)),""))</f>
        <v/>
      </c>
      <c r="J136" s="26" t="str">
        <f aca="false">IF($K136=0,"",OPERATIONS!$J136)</f>
        <v/>
      </c>
      <c r="K136" s="67" t="n">
        <f aca="false">IF(OR(OPERATIONS!$N136=0,OPERATIONS!$C136="RECEPTION"),0,-OPERATIONS!$G136)</f>
        <v>0</v>
      </c>
      <c r="L136" s="67" t="n">
        <f aca="false">IF($K136=0,0,OPERATIONS!$Q136*$K136)</f>
        <v>0</v>
      </c>
      <c r="M136" s="26" t="str">
        <f aca="false">IF($K136=0,"",OPERATIONS!$P136)</f>
        <v/>
      </c>
      <c r="N136" s="26" t="str">
        <f aca="false">IF($G136="","",IF($G136=R_LOT,COUNTIF($G$5:$G136,R_LOT),""))</f>
        <v/>
      </c>
    </row>
    <row r="137" customFormat="false" ht="15" hidden="false" customHeight="false" outlineLevel="0" collapsed="false">
      <c r="A137" s="28" t="str">
        <f aca="false">IF($K137=0,"",ROW()-4)</f>
        <v/>
      </c>
      <c r="B137" s="26" t="str">
        <f aca="false">IF($K137=0,"","OPERATIONS")</f>
        <v/>
      </c>
      <c r="C137" s="26" t="str">
        <f aca="false">IF($K137=0,"",OPERATIONS!$A137)</f>
        <v/>
      </c>
      <c r="D137" s="31" t="str">
        <f aca="false">IF($K137=0,"",OPERATIONS!$B137)</f>
        <v/>
      </c>
      <c r="E137" s="26" t="str">
        <f aca="false">IF($K137=0,"","SORTIE")</f>
        <v/>
      </c>
      <c r="F137" s="26" t="str">
        <f aca="false">IF($K137=0,"",OPERATIONS!$C137)</f>
        <v/>
      </c>
      <c r="G137" s="26" t="str">
        <f aca="false">IF($K137=0,"",OPERATIONS!$D137)</f>
        <v/>
      </c>
      <c r="H137" s="26" t="str">
        <f aca="false">IF($K137=0,"",OPERATIONS!$E137)</f>
        <v/>
      </c>
      <c r="I137" s="26" t="str">
        <f aca="false">IF($H137="","",IFERROR(INDEX(EMPL_CLASSE,MATCH($H137,EMPL_KEY,0)),""))</f>
        <v/>
      </c>
      <c r="J137" s="26" t="str">
        <f aca="false">IF($K137=0,"",OPERATIONS!$J137)</f>
        <v/>
      </c>
      <c r="K137" s="67" t="n">
        <f aca="false">IF(OR(OPERATIONS!$N137=0,OPERATIONS!$C137="RECEPTION"),0,-OPERATIONS!$G137)</f>
        <v>0</v>
      </c>
      <c r="L137" s="67" t="n">
        <f aca="false">IF($K137=0,0,OPERATIONS!$Q137*$K137)</f>
        <v>0</v>
      </c>
      <c r="M137" s="26" t="str">
        <f aca="false">IF($K137=0,"",OPERATIONS!$P137)</f>
        <v/>
      </c>
      <c r="N137" s="26" t="str">
        <f aca="false">IF($G137="","",IF($G137=R_LOT,COUNTIF($G$5:$G137,R_LOT),""))</f>
        <v/>
      </c>
    </row>
    <row r="138" customFormat="false" ht="15" hidden="false" customHeight="false" outlineLevel="0" collapsed="false">
      <c r="A138" s="28" t="str">
        <f aca="false">IF($K138=0,"",ROW()-4)</f>
        <v/>
      </c>
      <c r="B138" s="26" t="str">
        <f aca="false">IF($K138=0,"","OPERATIONS")</f>
        <v/>
      </c>
      <c r="C138" s="26" t="str">
        <f aca="false">IF($K138=0,"",OPERATIONS!$A138)</f>
        <v/>
      </c>
      <c r="D138" s="31" t="str">
        <f aca="false">IF($K138=0,"",OPERATIONS!$B138)</f>
        <v/>
      </c>
      <c r="E138" s="26" t="str">
        <f aca="false">IF($K138=0,"","SORTIE")</f>
        <v/>
      </c>
      <c r="F138" s="26" t="str">
        <f aca="false">IF($K138=0,"",OPERATIONS!$C138)</f>
        <v/>
      </c>
      <c r="G138" s="26" t="str">
        <f aca="false">IF($K138=0,"",OPERATIONS!$D138)</f>
        <v/>
      </c>
      <c r="H138" s="26" t="str">
        <f aca="false">IF($K138=0,"",OPERATIONS!$E138)</f>
        <v/>
      </c>
      <c r="I138" s="26" t="str">
        <f aca="false">IF($H138="","",IFERROR(INDEX(EMPL_CLASSE,MATCH($H138,EMPL_KEY,0)),""))</f>
        <v/>
      </c>
      <c r="J138" s="26" t="str">
        <f aca="false">IF($K138=0,"",OPERATIONS!$J138)</f>
        <v/>
      </c>
      <c r="K138" s="67" t="n">
        <f aca="false">IF(OR(OPERATIONS!$N138=0,OPERATIONS!$C138="RECEPTION"),0,-OPERATIONS!$G138)</f>
        <v>0</v>
      </c>
      <c r="L138" s="67" t="n">
        <f aca="false">IF($K138=0,0,OPERATIONS!$Q138*$K138)</f>
        <v>0</v>
      </c>
      <c r="M138" s="26" t="str">
        <f aca="false">IF($K138=0,"",OPERATIONS!$P138)</f>
        <v/>
      </c>
      <c r="N138" s="26" t="str">
        <f aca="false">IF($G138="","",IF($G138=R_LOT,COUNTIF($G$5:$G138,R_LOT),""))</f>
        <v/>
      </c>
    </row>
    <row r="139" customFormat="false" ht="15" hidden="false" customHeight="false" outlineLevel="0" collapsed="false">
      <c r="A139" s="28" t="str">
        <f aca="false">IF($K139=0,"",ROW()-4)</f>
        <v/>
      </c>
      <c r="B139" s="26" t="str">
        <f aca="false">IF($K139=0,"","OPERATIONS")</f>
        <v/>
      </c>
      <c r="C139" s="26" t="str">
        <f aca="false">IF($K139=0,"",OPERATIONS!$A139)</f>
        <v/>
      </c>
      <c r="D139" s="31" t="str">
        <f aca="false">IF($K139=0,"",OPERATIONS!$B139)</f>
        <v/>
      </c>
      <c r="E139" s="26" t="str">
        <f aca="false">IF($K139=0,"","SORTIE")</f>
        <v/>
      </c>
      <c r="F139" s="26" t="str">
        <f aca="false">IF($K139=0,"",OPERATIONS!$C139)</f>
        <v/>
      </c>
      <c r="G139" s="26" t="str">
        <f aca="false">IF($K139=0,"",OPERATIONS!$D139)</f>
        <v/>
      </c>
      <c r="H139" s="26" t="str">
        <f aca="false">IF($K139=0,"",OPERATIONS!$E139)</f>
        <v/>
      </c>
      <c r="I139" s="26" t="str">
        <f aca="false">IF($H139="","",IFERROR(INDEX(EMPL_CLASSE,MATCH($H139,EMPL_KEY,0)),""))</f>
        <v/>
      </c>
      <c r="J139" s="26" t="str">
        <f aca="false">IF($K139=0,"",OPERATIONS!$J139)</f>
        <v/>
      </c>
      <c r="K139" s="67" t="n">
        <f aca="false">IF(OR(OPERATIONS!$N139=0,OPERATIONS!$C139="RECEPTION"),0,-OPERATIONS!$G139)</f>
        <v>0</v>
      </c>
      <c r="L139" s="67" t="n">
        <f aca="false">IF($K139=0,0,OPERATIONS!$Q139*$K139)</f>
        <v>0</v>
      </c>
      <c r="M139" s="26" t="str">
        <f aca="false">IF($K139=0,"",OPERATIONS!$P139)</f>
        <v/>
      </c>
      <c r="N139" s="26" t="str">
        <f aca="false">IF($G139="","",IF($G139=R_LOT,COUNTIF($G$5:$G139,R_LOT),""))</f>
        <v/>
      </c>
    </row>
    <row r="140" customFormat="false" ht="15" hidden="false" customHeight="false" outlineLevel="0" collapsed="false">
      <c r="A140" s="28" t="str">
        <f aca="false">IF($K140=0,"",ROW()-4)</f>
        <v/>
      </c>
      <c r="B140" s="26" t="str">
        <f aca="false">IF($K140=0,"","OPERATIONS")</f>
        <v/>
      </c>
      <c r="C140" s="26" t="str">
        <f aca="false">IF($K140=0,"",OPERATIONS!$A140)</f>
        <v/>
      </c>
      <c r="D140" s="31" t="str">
        <f aca="false">IF($K140=0,"",OPERATIONS!$B140)</f>
        <v/>
      </c>
      <c r="E140" s="26" t="str">
        <f aca="false">IF($K140=0,"","SORTIE")</f>
        <v/>
      </c>
      <c r="F140" s="26" t="str">
        <f aca="false">IF($K140=0,"",OPERATIONS!$C140)</f>
        <v/>
      </c>
      <c r="G140" s="26" t="str">
        <f aca="false">IF($K140=0,"",OPERATIONS!$D140)</f>
        <v/>
      </c>
      <c r="H140" s="26" t="str">
        <f aca="false">IF($K140=0,"",OPERATIONS!$E140)</f>
        <v/>
      </c>
      <c r="I140" s="26" t="str">
        <f aca="false">IF($H140="","",IFERROR(INDEX(EMPL_CLASSE,MATCH($H140,EMPL_KEY,0)),""))</f>
        <v/>
      </c>
      <c r="J140" s="26" t="str">
        <f aca="false">IF($K140=0,"",OPERATIONS!$J140)</f>
        <v/>
      </c>
      <c r="K140" s="67" t="n">
        <f aca="false">IF(OR(OPERATIONS!$N140=0,OPERATIONS!$C140="RECEPTION"),0,-OPERATIONS!$G140)</f>
        <v>0</v>
      </c>
      <c r="L140" s="67" t="n">
        <f aca="false">IF($K140=0,0,OPERATIONS!$Q140*$K140)</f>
        <v>0</v>
      </c>
      <c r="M140" s="26" t="str">
        <f aca="false">IF($K140=0,"",OPERATIONS!$P140)</f>
        <v/>
      </c>
      <c r="N140" s="26" t="str">
        <f aca="false">IF($G140="","",IF($G140=R_LOT,COUNTIF($G$5:$G140,R_LOT),""))</f>
        <v/>
      </c>
    </row>
    <row r="141" customFormat="false" ht="15" hidden="false" customHeight="false" outlineLevel="0" collapsed="false">
      <c r="A141" s="28" t="str">
        <f aca="false">IF($K141=0,"",ROW()-4)</f>
        <v/>
      </c>
      <c r="B141" s="26" t="str">
        <f aca="false">IF($K141=0,"","OPERATIONS")</f>
        <v/>
      </c>
      <c r="C141" s="26" t="str">
        <f aca="false">IF($K141=0,"",OPERATIONS!$A141)</f>
        <v/>
      </c>
      <c r="D141" s="31" t="str">
        <f aca="false">IF($K141=0,"",OPERATIONS!$B141)</f>
        <v/>
      </c>
      <c r="E141" s="26" t="str">
        <f aca="false">IF($K141=0,"","SORTIE")</f>
        <v/>
      </c>
      <c r="F141" s="26" t="str">
        <f aca="false">IF($K141=0,"",OPERATIONS!$C141)</f>
        <v/>
      </c>
      <c r="G141" s="26" t="str">
        <f aca="false">IF($K141=0,"",OPERATIONS!$D141)</f>
        <v/>
      </c>
      <c r="H141" s="26" t="str">
        <f aca="false">IF($K141=0,"",OPERATIONS!$E141)</f>
        <v/>
      </c>
      <c r="I141" s="26" t="str">
        <f aca="false">IF($H141="","",IFERROR(INDEX(EMPL_CLASSE,MATCH($H141,EMPL_KEY,0)),""))</f>
        <v/>
      </c>
      <c r="J141" s="26" t="str">
        <f aca="false">IF($K141=0,"",OPERATIONS!$J141)</f>
        <v/>
      </c>
      <c r="K141" s="67" t="n">
        <f aca="false">IF(OR(OPERATIONS!$N141=0,OPERATIONS!$C141="RECEPTION"),0,-OPERATIONS!$G141)</f>
        <v>0</v>
      </c>
      <c r="L141" s="67" t="n">
        <f aca="false">IF($K141=0,0,OPERATIONS!$Q141*$K141)</f>
        <v>0</v>
      </c>
      <c r="M141" s="26" t="str">
        <f aca="false">IF($K141=0,"",OPERATIONS!$P141)</f>
        <v/>
      </c>
      <c r="N141" s="26" t="str">
        <f aca="false">IF($G141="","",IF($G141=R_LOT,COUNTIF($G$5:$G141,R_LOT),""))</f>
        <v/>
      </c>
    </row>
    <row r="142" customFormat="false" ht="15" hidden="false" customHeight="false" outlineLevel="0" collapsed="false">
      <c r="A142" s="28" t="str">
        <f aca="false">IF($K142=0,"",ROW()-4)</f>
        <v/>
      </c>
      <c r="B142" s="26" t="str">
        <f aca="false">IF($K142=0,"","OPERATIONS")</f>
        <v/>
      </c>
      <c r="C142" s="26" t="str">
        <f aca="false">IF($K142=0,"",OPERATIONS!$A142)</f>
        <v/>
      </c>
      <c r="D142" s="31" t="str">
        <f aca="false">IF($K142=0,"",OPERATIONS!$B142)</f>
        <v/>
      </c>
      <c r="E142" s="26" t="str">
        <f aca="false">IF($K142=0,"","SORTIE")</f>
        <v/>
      </c>
      <c r="F142" s="26" t="str">
        <f aca="false">IF($K142=0,"",OPERATIONS!$C142)</f>
        <v/>
      </c>
      <c r="G142" s="26" t="str">
        <f aca="false">IF($K142=0,"",OPERATIONS!$D142)</f>
        <v/>
      </c>
      <c r="H142" s="26" t="str">
        <f aca="false">IF($K142=0,"",OPERATIONS!$E142)</f>
        <v/>
      </c>
      <c r="I142" s="26" t="str">
        <f aca="false">IF($H142="","",IFERROR(INDEX(EMPL_CLASSE,MATCH($H142,EMPL_KEY,0)),""))</f>
        <v/>
      </c>
      <c r="J142" s="26" t="str">
        <f aca="false">IF($K142=0,"",OPERATIONS!$J142)</f>
        <v/>
      </c>
      <c r="K142" s="67" t="n">
        <f aca="false">IF(OR(OPERATIONS!$N142=0,OPERATIONS!$C142="RECEPTION"),0,-OPERATIONS!$G142)</f>
        <v>0</v>
      </c>
      <c r="L142" s="67" t="n">
        <f aca="false">IF($K142=0,0,OPERATIONS!$Q142*$K142)</f>
        <v>0</v>
      </c>
      <c r="M142" s="26" t="str">
        <f aca="false">IF($K142=0,"",OPERATIONS!$P142)</f>
        <v/>
      </c>
      <c r="N142" s="26" t="str">
        <f aca="false">IF($G142="","",IF($G142=R_LOT,COUNTIF($G$5:$G142,R_LOT),""))</f>
        <v/>
      </c>
    </row>
    <row r="143" customFormat="false" ht="15" hidden="false" customHeight="false" outlineLevel="0" collapsed="false">
      <c r="A143" s="28" t="str">
        <f aca="false">IF($K143=0,"",ROW()-4)</f>
        <v/>
      </c>
      <c r="B143" s="26" t="str">
        <f aca="false">IF($K143=0,"","OPERATIONS")</f>
        <v/>
      </c>
      <c r="C143" s="26" t="str">
        <f aca="false">IF($K143=0,"",OPERATIONS!$A143)</f>
        <v/>
      </c>
      <c r="D143" s="31" t="str">
        <f aca="false">IF($K143=0,"",OPERATIONS!$B143)</f>
        <v/>
      </c>
      <c r="E143" s="26" t="str">
        <f aca="false">IF($K143=0,"","SORTIE")</f>
        <v/>
      </c>
      <c r="F143" s="26" t="str">
        <f aca="false">IF($K143=0,"",OPERATIONS!$C143)</f>
        <v/>
      </c>
      <c r="G143" s="26" t="str">
        <f aca="false">IF($K143=0,"",OPERATIONS!$D143)</f>
        <v/>
      </c>
      <c r="H143" s="26" t="str">
        <f aca="false">IF($K143=0,"",OPERATIONS!$E143)</f>
        <v/>
      </c>
      <c r="I143" s="26" t="str">
        <f aca="false">IF($H143="","",IFERROR(INDEX(EMPL_CLASSE,MATCH($H143,EMPL_KEY,0)),""))</f>
        <v/>
      </c>
      <c r="J143" s="26" t="str">
        <f aca="false">IF($K143=0,"",OPERATIONS!$J143)</f>
        <v/>
      </c>
      <c r="K143" s="67" t="n">
        <f aca="false">IF(OR(OPERATIONS!$N143=0,OPERATIONS!$C143="RECEPTION"),0,-OPERATIONS!$G143)</f>
        <v>0</v>
      </c>
      <c r="L143" s="67" t="n">
        <f aca="false">IF($K143=0,0,OPERATIONS!$Q143*$K143)</f>
        <v>0</v>
      </c>
      <c r="M143" s="26" t="str">
        <f aca="false">IF($K143=0,"",OPERATIONS!$P143)</f>
        <v/>
      </c>
      <c r="N143" s="26" t="str">
        <f aca="false">IF($G143="","",IF($G143=R_LOT,COUNTIF($G$5:$G143,R_LOT),""))</f>
        <v/>
      </c>
    </row>
    <row r="144" customFormat="false" ht="15" hidden="false" customHeight="false" outlineLevel="0" collapsed="false">
      <c r="A144" s="28" t="str">
        <f aca="false">IF($K144=0,"",ROW()-4)</f>
        <v/>
      </c>
      <c r="B144" s="26" t="str">
        <f aca="false">IF($K144=0,"","OPERATIONS")</f>
        <v/>
      </c>
      <c r="C144" s="26" t="str">
        <f aca="false">IF($K144=0,"",OPERATIONS!$A144)</f>
        <v/>
      </c>
      <c r="D144" s="31" t="str">
        <f aca="false">IF($K144=0,"",OPERATIONS!$B144)</f>
        <v/>
      </c>
      <c r="E144" s="26" t="str">
        <f aca="false">IF($K144=0,"","SORTIE")</f>
        <v/>
      </c>
      <c r="F144" s="26" t="str">
        <f aca="false">IF($K144=0,"",OPERATIONS!$C144)</f>
        <v/>
      </c>
      <c r="G144" s="26" t="str">
        <f aca="false">IF($K144=0,"",OPERATIONS!$D144)</f>
        <v/>
      </c>
      <c r="H144" s="26" t="str">
        <f aca="false">IF($K144=0,"",OPERATIONS!$E144)</f>
        <v/>
      </c>
      <c r="I144" s="26" t="str">
        <f aca="false">IF($H144="","",IFERROR(INDEX(EMPL_CLASSE,MATCH($H144,EMPL_KEY,0)),""))</f>
        <v/>
      </c>
      <c r="J144" s="26" t="str">
        <f aca="false">IF($K144=0,"",OPERATIONS!$J144)</f>
        <v/>
      </c>
      <c r="K144" s="67" t="n">
        <f aca="false">IF(OR(OPERATIONS!$N144=0,OPERATIONS!$C144="RECEPTION"),0,-OPERATIONS!$G144)</f>
        <v>0</v>
      </c>
      <c r="L144" s="67" t="n">
        <f aca="false">IF($K144=0,0,OPERATIONS!$Q144*$K144)</f>
        <v>0</v>
      </c>
      <c r="M144" s="26" t="str">
        <f aca="false">IF($K144=0,"",OPERATIONS!$P144)</f>
        <v/>
      </c>
      <c r="N144" s="26" t="str">
        <f aca="false">IF($G144="","",IF($G144=R_LOT,COUNTIF($G$5:$G144,R_LOT),""))</f>
        <v/>
      </c>
    </row>
    <row r="145" customFormat="false" ht="15" hidden="false" customHeight="false" outlineLevel="0" collapsed="false">
      <c r="A145" s="28" t="str">
        <f aca="false">IF($K145=0,"",ROW()-4)</f>
        <v/>
      </c>
      <c r="B145" s="26" t="str">
        <f aca="false">IF($K145=0,"","OPERATIONS")</f>
        <v/>
      </c>
      <c r="C145" s="26" t="str">
        <f aca="false">IF($K145=0,"",OPERATIONS!$A145)</f>
        <v/>
      </c>
      <c r="D145" s="31" t="str">
        <f aca="false">IF($K145=0,"",OPERATIONS!$B145)</f>
        <v/>
      </c>
      <c r="E145" s="26" t="str">
        <f aca="false">IF($K145=0,"","SORTIE")</f>
        <v/>
      </c>
      <c r="F145" s="26" t="str">
        <f aca="false">IF($K145=0,"",OPERATIONS!$C145)</f>
        <v/>
      </c>
      <c r="G145" s="26" t="str">
        <f aca="false">IF($K145=0,"",OPERATIONS!$D145)</f>
        <v/>
      </c>
      <c r="H145" s="26" t="str">
        <f aca="false">IF($K145=0,"",OPERATIONS!$E145)</f>
        <v/>
      </c>
      <c r="I145" s="26" t="str">
        <f aca="false">IF($H145="","",IFERROR(INDEX(EMPL_CLASSE,MATCH($H145,EMPL_KEY,0)),""))</f>
        <v/>
      </c>
      <c r="J145" s="26" t="str">
        <f aca="false">IF($K145=0,"",OPERATIONS!$J145)</f>
        <v/>
      </c>
      <c r="K145" s="67" t="n">
        <f aca="false">IF(OR(OPERATIONS!$N145=0,OPERATIONS!$C145="RECEPTION"),0,-OPERATIONS!$G145)</f>
        <v>0</v>
      </c>
      <c r="L145" s="67" t="n">
        <f aca="false">IF($K145=0,0,OPERATIONS!$Q145*$K145)</f>
        <v>0</v>
      </c>
      <c r="M145" s="26" t="str">
        <f aca="false">IF($K145=0,"",OPERATIONS!$P145)</f>
        <v/>
      </c>
      <c r="N145" s="26" t="str">
        <f aca="false">IF($G145="","",IF($G145=R_LOT,COUNTIF($G$5:$G145,R_LOT),""))</f>
        <v/>
      </c>
    </row>
    <row r="146" customFormat="false" ht="15" hidden="false" customHeight="false" outlineLevel="0" collapsed="false">
      <c r="A146" s="28" t="str">
        <f aca="false">IF($K146=0,"",ROW()-4)</f>
        <v/>
      </c>
      <c r="B146" s="26" t="str">
        <f aca="false">IF($K146=0,"","OPERATIONS")</f>
        <v/>
      </c>
      <c r="C146" s="26" t="str">
        <f aca="false">IF($K146=0,"",OPERATIONS!$A146)</f>
        <v/>
      </c>
      <c r="D146" s="31" t="str">
        <f aca="false">IF($K146=0,"",OPERATIONS!$B146)</f>
        <v/>
      </c>
      <c r="E146" s="26" t="str">
        <f aca="false">IF($K146=0,"","SORTIE")</f>
        <v/>
      </c>
      <c r="F146" s="26" t="str">
        <f aca="false">IF($K146=0,"",OPERATIONS!$C146)</f>
        <v/>
      </c>
      <c r="G146" s="26" t="str">
        <f aca="false">IF($K146=0,"",OPERATIONS!$D146)</f>
        <v/>
      </c>
      <c r="H146" s="26" t="str">
        <f aca="false">IF($K146=0,"",OPERATIONS!$E146)</f>
        <v/>
      </c>
      <c r="I146" s="26" t="str">
        <f aca="false">IF($H146="","",IFERROR(INDEX(EMPL_CLASSE,MATCH($H146,EMPL_KEY,0)),""))</f>
        <v/>
      </c>
      <c r="J146" s="26" t="str">
        <f aca="false">IF($K146=0,"",OPERATIONS!$J146)</f>
        <v/>
      </c>
      <c r="K146" s="67" t="n">
        <f aca="false">IF(OR(OPERATIONS!$N146=0,OPERATIONS!$C146="RECEPTION"),0,-OPERATIONS!$G146)</f>
        <v>0</v>
      </c>
      <c r="L146" s="67" t="n">
        <f aca="false">IF($K146=0,0,OPERATIONS!$Q146*$K146)</f>
        <v>0</v>
      </c>
      <c r="M146" s="26" t="str">
        <f aca="false">IF($K146=0,"",OPERATIONS!$P146)</f>
        <v/>
      </c>
      <c r="N146" s="26" t="str">
        <f aca="false">IF($G146="","",IF($G146=R_LOT,COUNTIF($G$5:$G146,R_LOT),""))</f>
        <v/>
      </c>
    </row>
    <row r="147" customFormat="false" ht="15" hidden="false" customHeight="false" outlineLevel="0" collapsed="false">
      <c r="A147" s="28" t="str">
        <f aca="false">IF($K147=0,"",ROW()-4)</f>
        <v/>
      </c>
      <c r="B147" s="26" t="str">
        <f aca="false">IF($K147=0,"","OPERATIONS")</f>
        <v/>
      </c>
      <c r="C147" s="26" t="str">
        <f aca="false">IF($K147=0,"",OPERATIONS!$A147)</f>
        <v/>
      </c>
      <c r="D147" s="31" t="str">
        <f aca="false">IF($K147=0,"",OPERATIONS!$B147)</f>
        <v/>
      </c>
      <c r="E147" s="26" t="str">
        <f aca="false">IF($K147=0,"","SORTIE")</f>
        <v/>
      </c>
      <c r="F147" s="26" t="str">
        <f aca="false">IF($K147=0,"",OPERATIONS!$C147)</f>
        <v/>
      </c>
      <c r="G147" s="26" t="str">
        <f aca="false">IF($K147=0,"",OPERATIONS!$D147)</f>
        <v/>
      </c>
      <c r="H147" s="26" t="str">
        <f aca="false">IF($K147=0,"",OPERATIONS!$E147)</f>
        <v/>
      </c>
      <c r="I147" s="26" t="str">
        <f aca="false">IF($H147="","",IFERROR(INDEX(EMPL_CLASSE,MATCH($H147,EMPL_KEY,0)),""))</f>
        <v/>
      </c>
      <c r="J147" s="26" t="str">
        <f aca="false">IF($K147=0,"",OPERATIONS!$J147)</f>
        <v/>
      </c>
      <c r="K147" s="67" t="n">
        <f aca="false">IF(OR(OPERATIONS!$N147=0,OPERATIONS!$C147="RECEPTION"),0,-OPERATIONS!$G147)</f>
        <v>0</v>
      </c>
      <c r="L147" s="67" t="n">
        <f aca="false">IF($K147=0,0,OPERATIONS!$Q147*$K147)</f>
        <v>0</v>
      </c>
      <c r="M147" s="26" t="str">
        <f aca="false">IF($K147=0,"",OPERATIONS!$P147)</f>
        <v/>
      </c>
      <c r="N147" s="26" t="str">
        <f aca="false">IF($G147="","",IF($G147=R_LOT,COUNTIF($G$5:$G147,R_LOT),""))</f>
        <v/>
      </c>
    </row>
    <row r="148" customFormat="false" ht="15" hidden="false" customHeight="false" outlineLevel="0" collapsed="false">
      <c r="A148" s="28" t="str">
        <f aca="false">IF($K148=0,"",ROW()-4)</f>
        <v/>
      </c>
      <c r="B148" s="26" t="str">
        <f aca="false">IF($K148=0,"","OPERATIONS")</f>
        <v/>
      </c>
      <c r="C148" s="26" t="str">
        <f aca="false">IF($K148=0,"",OPERATIONS!$A148)</f>
        <v/>
      </c>
      <c r="D148" s="31" t="str">
        <f aca="false">IF($K148=0,"",OPERATIONS!$B148)</f>
        <v/>
      </c>
      <c r="E148" s="26" t="str">
        <f aca="false">IF($K148=0,"","SORTIE")</f>
        <v/>
      </c>
      <c r="F148" s="26" t="str">
        <f aca="false">IF($K148=0,"",OPERATIONS!$C148)</f>
        <v/>
      </c>
      <c r="G148" s="26" t="str">
        <f aca="false">IF($K148=0,"",OPERATIONS!$D148)</f>
        <v/>
      </c>
      <c r="H148" s="26" t="str">
        <f aca="false">IF($K148=0,"",OPERATIONS!$E148)</f>
        <v/>
      </c>
      <c r="I148" s="26" t="str">
        <f aca="false">IF($H148="","",IFERROR(INDEX(EMPL_CLASSE,MATCH($H148,EMPL_KEY,0)),""))</f>
        <v/>
      </c>
      <c r="J148" s="26" t="str">
        <f aca="false">IF($K148=0,"",OPERATIONS!$J148)</f>
        <v/>
      </c>
      <c r="K148" s="67" t="n">
        <f aca="false">IF(OR(OPERATIONS!$N148=0,OPERATIONS!$C148="RECEPTION"),0,-OPERATIONS!$G148)</f>
        <v>0</v>
      </c>
      <c r="L148" s="67" t="n">
        <f aca="false">IF($K148=0,0,OPERATIONS!$Q148*$K148)</f>
        <v>0</v>
      </c>
      <c r="M148" s="26" t="str">
        <f aca="false">IF($K148=0,"",OPERATIONS!$P148)</f>
        <v/>
      </c>
      <c r="N148" s="26" t="str">
        <f aca="false">IF($G148="","",IF($G148=R_LOT,COUNTIF($G$5:$G148,R_LOT),""))</f>
        <v/>
      </c>
    </row>
    <row r="149" customFormat="false" ht="15" hidden="false" customHeight="false" outlineLevel="0" collapsed="false">
      <c r="A149" s="28" t="str">
        <f aca="false">IF($K149=0,"",ROW()-4)</f>
        <v/>
      </c>
      <c r="B149" s="26" t="str">
        <f aca="false">IF($K149=0,"","OPERATIONS")</f>
        <v/>
      </c>
      <c r="C149" s="26" t="str">
        <f aca="false">IF($K149=0,"",OPERATIONS!$A149)</f>
        <v/>
      </c>
      <c r="D149" s="31" t="str">
        <f aca="false">IF($K149=0,"",OPERATIONS!$B149)</f>
        <v/>
      </c>
      <c r="E149" s="26" t="str">
        <f aca="false">IF($K149=0,"","SORTIE")</f>
        <v/>
      </c>
      <c r="F149" s="26" t="str">
        <f aca="false">IF($K149=0,"",OPERATIONS!$C149)</f>
        <v/>
      </c>
      <c r="G149" s="26" t="str">
        <f aca="false">IF($K149=0,"",OPERATIONS!$D149)</f>
        <v/>
      </c>
      <c r="H149" s="26" t="str">
        <f aca="false">IF($K149=0,"",OPERATIONS!$E149)</f>
        <v/>
      </c>
      <c r="I149" s="26" t="str">
        <f aca="false">IF($H149="","",IFERROR(INDEX(EMPL_CLASSE,MATCH($H149,EMPL_KEY,0)),""))</f>
        <v/>
      </c>
      <c r="J149" s="26" t="str">
        <f aca="false">IF($K149=0,"",OPERATIONS!$J149)</f>
        <v/>
      </c>
      <c r="K149" s="67" t="n">
        <f aca="false">IF(OR(OPERATIONS!$N149=0,OPERATIONS!$C149="RECEPTION"),0,-OPERATIONS!$G149)</f>
        <v>0</v>
      </c>
      <c r="L149" s="67" t="n">
        <f aca="false">IF($K149=0,0,OPERATIONS!$Q149*$K149)</f>
        <v>0</v>
      </c>
      <c r="M149" s="26" t="str">
        <f aca="false">IF($K149=0,"",OPERATIONS!$P149)</f>
        <v/>
      </c>
      <c r="N149" s="26" t="str">
        <f aca="false">IF($G149="","",IF($G149=R_LOT,COUNTIF($G$5:$G149,R_LOT),""))</f>
        <v/>
      </c>
    </row>
    <row r="150" customFormat="false" ht="15" hidden="false" customHeight="false" outlineLevel="0" collapsed="false">
      <c r="A150" s="28" t="str">
        <f aca="false">IF($K150=0,"",ROW()-4)</f>
        <v/>
      </c>
      <c r="B150" s="26" t="str">
        <f aca="false">IF($K150=0,"","OPERATIONS")</f>
        <v/>
      </c>
      <c r="C150" s="26" t="str">
        <f aca="false">IF($K150=0,"",OPERATIONS!$A150)</f>
        <v/>
      </c>
      <c r="D150" s="31" t="str">
        <f aca="false">IF($K150=0,"",OPERATIONS!$B150)</f>
        <v/>
      </c>
      <c r="E150" s="26" t="str">
        <f aca="false">IF($K150=0,"","SORTIE")</f>
        <v/>
      </c>
      <c r="F150" s="26" t="str">
        <f aca="false">IF($K150=0,"",OPERATIONS!$C150)</f>
        <v/>
      </c>
      <c r="G150" s="26" t="str">
        <f aca="false">IF($K150=0,"",OPERATIONS!$D150)</f>
        <v/>
      </c>
      <c r="H150" s="26" t="str">
        <f aca="false">IF($K150=0,"",OPERATIONS!$E150)</f>
        <v/>
      </c>
      <c r="I150" s="26" t="str">
        <f aca="false">IF($H150="","",IFERROR(INDEX(EMPL_CLASSE,MATCH($H150,EMPL_KEY,0)),""))</f>
        <v/>
      </c>
      <c r="J150" s="26" t="str">
        <f aca="false">IF($K150=0,"",OPERATIONS!$J150)</f>
        <v/>
      </c>
      <c r="K150" s="67" t="n">
        <f aca="false">IF(OR(OPERATIONS!$N150=0,OPERATIONS!$C150="RECEPTION"),0,-OPERATIONS!$G150)</f>
        <v>0</v>
      </c>
      <c r="L150" s="67" t="n">
        <f aca="false">IF($K150=0,0,OPERATIONS!$Q150*$K150)</f>
        <v>0</v>
      </c>
      <c r="M150" s="26" t="str">
        <f aca="false">IF($K150=0,"",OPERATIONS!$P150)</f>
        <v/>
      </c>
      <c r="N150" s="26" t="str">
        <f aca="false">IF($G150="","",IF($G150=R_LOT,COUNTIF($G$5:$G150,R_LOT),""))</f>
        <v/>
      </c>
    </row>
    <row r="151" customFormat="false" ht="15" hidden="false" customHeight="false" outlineLevel="0" collapsed="false">
      <c r="A151" s="28" t="str">
        <f aca="false">IF($K151=0,"",ROW()-4)</f>
        <v/>
      </c>
      <c r="B151" s="26" t="str">
        <f aca="false">IF($K151=0,"","OPERATIONS")</f>
        <v/>
      </c>
      <c r="C151" s="26" t="str">
        <f aca="false">IF($K151=0,"",OPERATIONS!$A151)</f>
        <v/>
      </c>
      <c r="D151" s="31" t="str">
        <f aca="false">IF($K151=0,"",OPERATIONS!$B151)</f>
        <v/>
      </c>
      <c r="E151" s="26" t="str">
        <f aca="false">IF($K151=0,"","SORTIE")</f>
        <v/>
      </c>
      <c r="F151" s="26" t="str">
        <f aca="false">IF($K151=0,"",OPERATIONS!$C151)</f>
        <v/>
      </c>
      <c r="G151" s="26" t="str">
        <f aca="false">IF($K151=0,"",OPERATIONS!$D151)</f>
        <v/>
      </c>
      <c r="H151" s="26" t="str">
        <f aca="false">IF($K151=0,"",OPERATIONS!$E151)</f>
        <v/>
      </c>
      <c r="I151" s="26" t="str">
        <f aca="false">IF($H151="","",IFERROR(INDEX(EMPL_CLASSE,MATCH($H151,EMPL_KEY,0)),""))</f>
        <v/>
      </c>
      <c r="J151" s="26" t="str">
        <f aca="false">IF($K151=0,"",OPERATIONS!$J151)</f>
        <v/>
      </c>
      <c r="K151" s="67" t="n">
        <f aca="false">IF(OR(OPERATIONS!$N151=0,OPERATIONS!$C151="RECEPTION"),0,-OPERATIONS!$G151)</f>
        <v>0</v>
      </c>
      <c r="L151" s="67" t="n">
        <f aca="false">IF($K151=0,0,OPERATIONS!$Q151*$K151)</f>
        <v>0</v>
      </c>
      <c r="M151" s="26" t="str">
        <f aca="false">IF($K151=0,"",OPERATIONS!$P151)</f>
        <v/>
      </c>
      <c r="N151" s="26" t="str">
        <f aca="false">IF($G151="","",IF($G151=R_LOT,COUNTIF($G$5:$G151,R_LOT),""))</f>
        <v/>
      </c>
    </row>
    <row r="152" customFormat="false" ht="15" hidden="false" customHeight="false" outlineLevel="0" collapsed="false">
      <c r="A152" s="28" t="str">
        <f aca="false">IF($K152=0,"",ROW()-4)</f>
        <v/>
      </c>
      <c r="B152" s="26" t="str">
        <f aca="false">IF($K152=0,"","OPERATIONS")</f>
        <v/>
      </c>
      <c r="C152" s="26" t="str">
        <f aca="false">IF($K152=0,"",OPERATIONS!$A152)</f>
        <v/>
      </c>
      <c r="D152" s="31" t="str">
        <f aca="false">IF($K152=0,"",OPERATIONS!$B152)</f>
        <v/>
      </c>
      <c r="E152" s="26" t="str">
        <f aca="false">IF($K152=0,"","SORTIE")</f>
        <v/>
      </c>
      <c r="F152" s="26" t="str">
        <f aca="false">IF($K152=0,"",OPERATIONS!$C152)</f>
        <v/>
      </c>
      <c r="G152" s="26" t="str">
        <f aca="false">IF($K152=0,"",OPERATIONS!$D152)</f>
        <v/>
      </c>
      <c r="H152" s="26" t="str">
        <f aca="false">IF($K152=0,"",OPERATIONS!$E152)</f>
        <v/>
      </c>
      <c r="I152" s="26" t="str">
        <f aca="false">IF($H152="","",IFERROR(INDEX(EMPL_CLASSE,MATCH($H152,EMPL_KEY,0)),""))</f>
        <v/>
      </c>
      <c r="J152" s="26" t="str">
        <f aca="false">IF($K152=0,"",OPERATIONS!$J152)</f>
        <v/>
      </c>
      <c r="K152" s="67" t="n">
        <f aca="false">IF(OR(OPERATIONS!$N152=0,OPERATIONS!$C152="RECEPTION"),0,-OPERATIONS!$G152)</f>
        <v>0</v>
      </c>
      <c r="L152" s="67" t="n">
        <f aca="false">IF($K152=0,0,OPERATIONS!$Q152*$K152)</f>
        <v>0</v>
      </c>
      <c r="M152" s="26" t="str">
        <f aca="false">IF($K152=0,"",OPERATIONS!$P152)</f>
        <v/>
      </c>
      <c r="N152" s="26" t="str">
        <f aca="false">IF($G152="","",IF($G152=R_LOT,COUNTIF($G$5:$G152,R_LOT),""))</f>
        <v/>
      </c>
    </row>
    <row r="153" customFormat="false" ht="15" hidden="false" customHeight="false" outlineLevel="0" collapsed="false">
      <c r="A153" s="28" t="str">
        <f aca="false">IF($K153=0,"",ROW()-4)</f>
        <v/>
      </c>
      <c r="B153" s="26" t="str">
        <f aca="false">IF($K153=0,"","OPERATIONS")</f>
        <v/>
      </c>
      <c r="C153" s="26" t="str">
        <f aca="false">IF($K153=0,"",OPERATIONS!$A153)</f>
        <v/>
      </c>
      <c r="D153" s="31" t="str">
        <f aca="false">IF($K153=0,"",OPERATIONS!$B153)</f>
        <v/>
      </c>
      <c r="E153" s="26" t="str">
        <f aca="false">IF($K153=0,"","SORTIE")</f>
        <v/>
      </c>
      <c r="F153" s="26" t="str">
        <f aca="false">IF($K153=0,"",OPERATIONS!$C153)</f>
        <v/>
      </c>
      <c r="G153" s="26" t="str">
        <f aca="false">IF($K153=0,"",OPERATIONS!$D153)</f>
        <v/>
      </c>
      <c r="H153" s="26" t="str">
        <f aca="false">IF($K153=0,"",OPERATIONS!$E153)</f>
        <v/>
      </c>
      <c r="I153" s="26" t="str">
        <f aca="false">IF($H153="","",IFERROR(INDEX(EMPL_CLASSE,MATCH($H153,EMPL_KEY,0)),""))</f>
        <v/>
      </c>
      <c r="J153" s="26" t="str">
        <f aca="false">IF($K153=0,"",OPERATIONS!$J153)</f>
        <v/>
      </c>
      <c r="K153" s="67" t="n">
        <f aca="false">IF(OR(OPERATIONS!$N153=0,OPERATIONS!$C153="RECEPTION"),0,-OPERATIONS!$G153)</f>
        <v>0</v>
      </c>
      <c r="L153" s="67" t="n">
        <f aca="false">IF($K153=0,0,OPERATIONS!$Q153*$K153)</f>
        <v>0</v>
      </c>
      <c r="M153" s="26" t="str">
        <f aca="false">IF($K153=0,"",OPERATIONS!$P153)</f>
        <v/>
      </c>
      <c r="N153" s="26" t="str">
        <f aca="false">IF($G153="","",IF($G153=R_LOT,COUNTIF($G$5:$G153,R_LOT),""))</f>
        <v/>
      </c>
    </row>
    <row r="154" customFormat="false" ht="15" hidden="false" customHeight="false" outlineLevel="0" collapsed="false">
      <c r="A154" s="28" t="str">
        <f aca="false">IF($K154=0,"",ROW()-4)</f>
        <v/>
      </c>
      <c r="B154" s="26" t="str">
        <f aca="false">IF($K154=0,"","OPERATIONS")</f>
        <v/>
      </c>
      <c r="C154" s="26" t="str">
        <f aca="false">IF($K154=0,"",OPERATIONS!$A154)</f>
        <v/>
      </c>
      <c r="D154" s="31" t="str">
        <f aca="false">IF($K154=0,"",OPERATIONS!$B154)</f>
        <v/>
      </c>
      <c r="E154" s="26" t="str">
        <f aca="false">IF($K154=0,"","SORTIE")</f>
        <v/>
      </c>
      <c r="F154" s="26" t="str">
        <f aca="false">IF($K154=0,"",OPERATIONS!$C154)</f>
        <v/>
      </c>
      <c r="G154" s="26" t="str">
        <f aca="false">IF($K154=0,"",OPERATIONS!$D154)</f>
        <v/>
      </c>
      <c r="H154" s="26" t="str">
        <f aca="false">IF($K154=0,"",OPERATIONS!$E154)</f>
        <v/>
      </c>
      <c r="I154" s="26" t="str">
        <f aca="false">IF($H154="","",IFERROR(INDEX(EMPL_CLASSE,MATCH($H154,EMPL_KEY,0)),""))</f>
        <v/>
      </c>
      <c r="J154" s="26" t="str">
        <f aca="false">IF($K154=0,"",OPERATIONS!$J154)</f>
        <v/>
      </c>
      <c r="K154" s="67" t="n">
        <f aca="false">IF(OR(OPERATIONS!$N154=0,OPERATIONS!$C154="RECEPTION"),0,-OPERATIONS!$G154)</f>
        <v>0</v>
      </c>
      <c r="L154" s="67" t="n">
        <f aca="false">IF($K154=0,0,OPERATIONS!$Q154*$K154)</f>
        <v>0</v>
      </c>
      <c r="M154" s="26" t="str">
        <f aca="false">IF($K154=0,"",OPERATIONS!$P154)</f>
        <v/>
      </c>
      <c r="N154" s="26" t="str">
        <f aca="false">IF($G154="","",IF($G154=R_LOT,COUNTIF($G$5:$G154,R_LOT),""))</f>
        <v/>
      </c>
    </row>
    <row r="155" customFormat="false" ht="15" hidden="false" customHeight="false" outlineLevel="0" collapsed="false">
      <c r="A155" s="28" t="str">
        <f aca="false">IF($K155=0,"",ROW()-4)</f>
        <v/>
      </c>
      <c r="B155" s="26" t="str">
        <f aca="false">IF($K155=0,"","OPERATIONS")</f>
        <v/>
      </c>
      <c r="C155" s="26" t="str">
        <f aca="false">IF($K155=0,"",OPERATIONS!$A155)</f>
        <v/>
      </c>
      <c r="D155" s="31" t="str">
        <f aca="false">IF($K155=0,"",OPERATIONS!$B155)</f>
        <v/>
      </c>
      <c r="E155" s="26" t="str">
        <f aca="false">IF($K155=0,"","SORTIE")</f>
        <v/>
      </c>
      <c r="F155" s="26" t="str">
        <f aca="false">IF($K155=0,"",OPERATIONS!$C155)</f>
        <v/>
      </c>
      <c r="G155" s="26" t="str">
        <f aca="false">IF($K155=0,"",OPERATIONS!$D155)</f>
        <v/>
      </c>
      <c r="H155" s="26" t="str">
        <f aca="false">IF($K155=0,"",OPERATIONS!$E155)</f>
        <v/>
      </c>
      <c r="I155" s="26" t="str">
        <f aca="false">IF($H155="","",IFERROR(INDEX(EMPL_CLASSE,MATCH($H155,EMPL_KEY,0)),""))</f>
        <v/>
      </c>
      <c r="J155" s="26" t="str">
        <f aca="false">IF($K155=0,"",OPERATIONS!$J155)</f>
        <v/>
      </c>
      <c r="K155" s="67" t="n">
        <f aca="false">IF(OR(OPERATIONS!$N155=0,OPERATIONS!$C155="RECEPTION"),0,-OPERATIONS!$G155)</f>
        <v>0</v>
      </c>
      <c r="L155" s="67" t="n">
        <f aca="false">IF($K155=0,0,OPERATIONS!$Q155*$K155)</f>
        <v>0</v>
      </c>
      <c r="M155" s="26" t="str">
        <f aca="false">IF($K155=0,"",OPERATIONS!$P155)</f>
        <v/>
      </c>
      <c r="N155" s="26" t="str">
        <f aca="false">IF($G155="","",IF($G155=R_LOT,COUNTIF($G$5:$G155,R_LOT),""))</f>
        <v/>
      </c>
    </row>
    <row r="156" customFormat="false" ht="15" hidden="false" customHeight="false" outlineLevel="0" collapsed="false">
      <c r="A156" s="28" t="str">
        <f aca="false">IF($K156=0,"",ROW()-4)</f>
        <v/>
      </c>
      <c r="B156" s="26" t="str">
        <f aca="false">IF($K156=0,"","OPERATIONS")</f>
        <v/>
      </c>
      <c r="C156" s="26" t="str">
        <f aca="false">IF($K156=0,"",OPERATIONS!$A156)</f>
        <v/>
      </c>
      <c r="D156" s="31" t="str">
        <f aca="false">IF($K156=0,"",OPERATIONS!$B156)</f>
        <v/>
      </c>
      <c r="E156" s="26" t="str">
        <f aca="false">IF($K156=0,"","SORTIE")</f>
        <v/>
      </c>
      <c r="F156" s="26" t="str">
        <f aca="false">IF($K156=0,"",OPERATIONS!$C156)</f>
        <v/>
      </c>
      <c r="G156" s="26" t="str">
        <f aca="false">IF($K156=0,"",OPERATIONS!$D156)</f>
        <v/>
      </c>
      <c r="H156" s="26" t="str">
        <f aca="false">IF($K156=0,"",OPERATIONS!$E156)</f>
        <v/>
      </c>
      <c r="I156" s="26" t="str">
        <f aca="false">IF($H156="","",IFERROR(INDEX(EMPL_CLASSE,MATCH($H156,EMPL_KEY,0)),""))</f>
        <v/>
      </c>
      <c r="J156" s="26" t="str">
        <f aca="false">IF($K156=0,"",OPERATIONS!$J156)</f>
        <v/>
      </c>
      <c r="K156" s="67" t="n">
        <f aca="false">IF(OR(OPERATIONS!$N156=0,OPERATIONS!$C156="RECEPTION"),0,-OPERATIONS!$G156)</f>
        <v>0</v>
      </c>
      <c r="L156" s="67" t="n">
        <f aca="false">IF($K156=0,0,OPERATIONS!$Q156*$K156)</f>
        <v>0</v>
      </c>
      <c r="M156" s="26" t="str">
        <f aca="false">IF($K156=0,"",OPERATIONS!$P156)</f>
        <v/>
      </c>
      <c r="N156" s="26" t="str">
        <f aca="false">IF($G156="","",IF($G156=R_LOT,COUNTIF($G$5:$G156,R_LOT),""))</f>
        <v/>
      </c>
    </row>
    <row r="157" customFormat="false" ht="15" hidden="false" customHeight="false" outlineLevel="0" collapsed="false">
      <c r="A157" s="28" t="str">
        <f aca="false">IF($K157=0,"",ROW()-4)</f>
        <v/>
      </c>
      <c r="B157" s="26" t="str">
        <f aca="false">IF($K157=0,"","OPERATIONS")</f>
        <v/>
      </c>
      <c r="C157" s="26" t="str">
        <f aca="false">IF($K157=0,"",OPERATIONS!$A157)</f>
        <v/>
      </c>
      <c r="D157" s="31" t="str">
        <f aca="false">IF($K157=0,"",OPERATIONS!$B157)</f>
        <v/>
      </c>
      <c r="E157" s="26" t="str">
        <f aca="false">IF($K157=0,"","SORTIE")</f>
        <v/>
      </c>
      <c r="F157" s="26" t="str">
        <f aca="false">IF($K157=0,"",OPERATIONS!$C157)</f>
        <v/>
      </c>
      <c r="G157" s="26" t="str">
        <f aca="false">IF($K157=0,"",OPERATIONS!$D157)</f>
        <v/>
      </c>
      <c r="H157" s="26" t="str">
        <f aca="false">IF($K157=0,"",OPERATIONS!$E157)</f>
        <v/>
      </c>
      <c r="I157" s="26" t="str">
        <f aca="false">IF($H157="","",IFERROR(INDEX(EMPL_CLASSE,MATCH($H157,EMPL_KEY,0)),""))</f>
        <v/>
      </c>
      <c r="J157" s="26" t="str">
        <f aca="false">IF($K157=0,"",OPERATIONS!$J157)</f>
        <v/>
      </c>
      <c r="K157" s="67" t="n">
        <f aca="false">IF(OR(OPERATIONS!$N157=0,OPERATIONS!$C157="RECEPTION"),0,-OPERATIONS!$G157)</f>
        <v>0</v>
      </c>
      <c r="L157" s="67" t="n">
        <f aca="false">IF($K157=0,0,OPERATIONS!$Q157*$K157)</f>
        <v>0</v>
      </c>
      <c r="M157" s="26" t="str">
        <f aca="false">IF($K157=0,"",OPERATIONS!$P157)</f>
        <v/>
      </c>
      <c r="N157" s="26" t="str">
        <f aca="false">IF($G157="","",IF($G157=R_LOT,COUNTIF($G$5:$G157,R_LOT),""))</f>
        <v/>
      </c>
    </row>
    <row r="158" customFormat="false" ht="15" hidden="false" customHeight="false" outlineLevel="0" collapsed="false">
      <c r="A158" s="28" t="str">
        <f aca="false">IF($K158=0,"",ROW()-4)</f>
        <v/>
      </c>
      <c r="B158" s="26" t="str">
        <f aca="false">IF($K158=0,"","OPERATIONS")</f>
        <v/>
      </c>
      <c r="C158" s="26" t="str">
        <f aca="false">IF($K158=0,"",OPERATIONS!$A158)</f>
        <v/>
      </c>
      <c r="D158" s="31" t="str">
        <f aca="false">IF($K158=0,"",OPERATIONS!$B158)</f>
        <v/>
      </c>
      <c r="E158" s="26" t="str">
        <f aca="false">IF($K158=0,"","SORTIE")</f>
        <v/>
      </c>
      <c r="F158" s="26" t="str">
        <f aca="false">IF($K158=0,"",OPERATIONS!$C158)</f>
        <v/>
      </c>
      <c r="G158" s="26" t="str">
        <f aca="false">IF($K158=0,"",OPERATIONS!$D158)</f>
        <v/>
      </c>
      <c r="H158" s="26" t="str">
        <f aca="false">IF($K158=0,"",OPERATIONS!$E158)</f>
        <v/>
      </c>
      <c r="I158" s="26" t="str">
        <f aca="false">IF($H158="","",IFERROR(INDEX(EMPL_CLASSE,MATCH($H158,EMPL_KEY,0)),""))</f>
        <v/>
      </c>
      <c r="J158" s="26" t="str">
        <f aca="false">IF($K158=0,"",OPERATIONS!$J158)</f>
        <v/>
      </c>
      <c r="K158" s="67" t="n">
        <f aca="false">IF(OR(OPERATIONS!$N158=0,OPERATIONS!$C158="RECEPTION"),0,-OPERATIONS!$G158)</f>
        <v>0</v>
      </c>
      <c r="L158" s="67" t="n">
        <f aca="false">IF($K158=0,0,OPERATIONS!$Q158*$K158)</f>
        <v>0</v>
      </c>
      <c r="M158" s="26" t="str">
        <f aca="false">IF($K158=0,"",OPERATIONS!$P158)</f>
        <v/>
      </c>
      <c r="N158" s="26" t="str">
        <f aca="false">IF($G158="","",IF($G158=R_LOT,COUNTIF($G$5:$G158,R_LOT),""))</f>
        <v/>
      </c>
    </row>
    <row r="159" customFormat="false" ht="15" hidden="false" customHeight="false" outlineLevel="0" collapsed="false">
      <c r="A159" s="28" t="str">
        <f aca="false">IF($K159=0,"",ROW()-4)</f>
        <v/>
      </c>
      <c r="B159" s="26" t="str">
        <f aca="false">IF($K159=0,"","OPERATIONS")</f>
        <v/>
      </c>
      <c r="C159" s="26" t="str">
        <f aca="false">IF($K159=0,"",OPERATIONS!$A159)</f>
        <v/>
      </c>
      <c r="D159" s="31" t="str">
        <f aca="false">IF($K159=0,"",OPERATIONS!$B159)</f>
        <v/>
      </c>
      <c r="E159" s="26" t="str">
        <f aca="false">IF($K159=0,"","SORTIE")</f>
        <v/>
      </c>
      <c r="F159" s="26" t="str">
        <f aca="false">IF($K159=0,"",OPERATIONS!$C159)</f>
        <v/>
      </c>
      <c r="G159" s="26" t="str">
        <f aca="false">IF($K159=0,"",OPERATIONS!$D159)</f>
        <v/>
      </c>
      <c r="H159" s="26" t="str">
        <f aca="false">IF($K159=0,"",OPERATIONS!$E159)</f>
        <v/>
      </c>
      <c r="I159" s="26" t="str">
        <f aca="false">IF($H159="","",IFERROR(INDEX(EMPL_CLASSE,MATCH($H159,EMPL_KEY,0)),""))</f>
        <v/>
      </c>
      <c r="J159" s="26" t="str">
        <f aca="false">IF($K159=0,"",OPERATIONS!$J159)</f>
        <v/>
      </c>
      <c r="K159" s="67" t="n">
        <f aca="false">IF(OR(OPERATIONS!$N159=0,OPERATIONS!$C159="RECEPTION"),0,-OPERATIONS!$G159)</f>
        <v>0</v>
      </c>
      <c r="L159" s="67" t="n">
        <f aca="false">IF($K159=0,0,OPERATIONS!$Q159*$K159)</f>
        <v>0</v>
      </c>
      <c r="M159" s="26" t="str">
        <f aca="false">IF($K159=0,"",OPERATIONS!$P159)</f>
        <v/>
      </c>
      <c r="N159" s="26" t="str">
        <f aca="false">IF($G159="","",IF($G159=R_LOT,COUNTIF($G$5:$G159,R_LOT),""))</f>
        <v/>
      </c>
    </row>
    <row r="160" customFormat="false" ht="15" hidden="false" customHeight="false" outlineLevel="0" collapsed="false">
      <c r="A160" s="28" t="str">
        <f aca="false">IF($K160=0,"",ROW()-4)</f>
        <v/>
      </c>
      <c r="B160" s="26" t="str">
        <f aca="false">IF($K160=0,"","OPERATIONS")</f>
        <v/>
      </c>
      <c r="C160" s="26" t="str">
        <f aca="false">IF($K160=0,"",OPERATIONS!$A160)</f>
        <v/>
      </c>
      <c r="D160" s="31" t="str">
        <f aca="false">IF($K160=0,"",OPERATIONS!$B160)</f>
        <v/>
      </c>
      <c r="E160" s="26" t="str">
        <f aca="false">IF($K160=0,"","SORTIE")</f>
        <v/>
      </c>
      <c r="F160" s="26" t="str">
        <f aca="false">IF($K160=0,"",OPERATIONS!$C160)</f>
        <v/>
      </c>
      <c r="G160" s="26" t="str">
        <f aca="false">IF($K160=0,"",OPERATIONS!$D160)</f>
        <v/>
      </c>
      <c r="H160" s="26" t="str">
        <f aca="false">IF($K160=0,"",OPERATIONS!$E160)</f>
        <v/>
      </c>
      <c r="I160" s="26" t="str">
        <f aca="false">IF($H160="","",IFERROR(INDEX(EMPL_CLASSE,MATCH($H160,EMPL_KEY,0)),""))</f>
        <v/>
      </c>
      <c r="J160" s="26" t="str">
        <f aca="false">IF($K160=0,"",OPERATIONS!$J160)</f>
        <v/>
      </c>
      <c r="K160" s="67" t="n">
        <f aca="false">IF(OR(OPERATIONS!$N160=0,OPERATIONS!$C160="RECEPTION"),0,-OPERATIONS!$G160)</f>
        <v>0</v>
      </c>
      <c r="L160" s="67" t="n">
        <f aca="false">IF($K160=0,0,OPERATIONS!$Q160*$K160)</f>
        <v>0</v>
      </c>
      <c r="M160" s="26" t="str">
        <f aca="false">IF($K160=0,"",OPERATIONS!$P160)</f>
        <v/>
      </c>
      <c r="N160" s="26" t="str">
        <f aca="false">IF($G160="","",IF($G160=R_LOT,COUNTIF($G$5:$G160,R_LOT),""))</f>
        <v/>
      </c>
    </row>
    <row r="161" customFormat="false" ht="15" hidden="false" customHeight="false" outlineLevel="0" collapsed="false">
      <c r="A161" s="28" t="str">
        <f aca="false">IF($K161=0,"",ROW()-4)</f>
        <v/>
      </c>
      <c r="B161" s="26" t="str">
        <f aca="false">IF($K161=0,"","OPERATIONS")</f>
        <v/>
      </c>
      <c r="C161" s="26" t="str">
        <f aca="false">IF($K161=0,"",OPERATIONS!$A161)</f>
        <v/>
      </c>
      <c r="D161" s="31" t="str">
        <f aca="false">IF($K161=0,"",OPERATIONS!$B161)</f>
        <v/>
      </c>
      <c r="E161" s="26" t="str">
        <f aca="false">IF($K161=0,"","SORTIE")</f>
        <v/>
      </c>
      <c r="F161" s="26" t="str">
        <f aca="false">IF($K161=0,"",OPERATIONS!$C161)</f>
        <v/>
      </c>
      <c r="G161" s="26" t="str">
        <f aca="false">IF($K161=0,"",OPERATIONS!$D161)</f>
        <v/>
      </c>
      <c r="H161" s="26" t="str">
        <f aca="false">IF($K161=0,"",OPERATIONS!$E161)</f>
        <v/>
      </c>
      <c r="I161" s="26" t="str">
        <f aca="false">IF($H161="","",IFERROR(INDEX(EMPL_CLASSE,MATCH($H161,EMPL_KEY,0)),""))</f>
        <v/>
      </c>
      <c r="J161" s="26" t="str">
        <f aca="false">IF($K161=0,"",OPERATIONS!$J161)</f>
        <v/>
      </c>
      <c r="K161" s="67" t="n">
        <f aca="false">IF(OR(OPERATIONS!$N161=0,OPERATIONS!$C161="RECEPTION"),0,-OPERATIONS!$G161)</f>
        <v>0</v>
      </c>
      <c r="L161" s="67" t="n">
        <f aca="false">IF($K161=0,0,OPERATIONS!$Q161*$K161)</f>
        <v>0</v>
      </c>
      <c r="M161" s="26" t="str">
        <f aca="false">IF($K161=0,"",OPERATIONS!$P161)</f>
        <v/>
      </c>
      <c r="N161" s="26" t="str">
        <f aca="false">IF($G161="","",IF($G161=R_LOT,COUNTIF($G$5:$G161,R_LOT),""))</f>
        <v/>
      </c>
    </row>
    <row r="162" customFormat="false" ht="15" hidden="false" customHeight="false" outlineLevel="0" collapsed="false">
      <c r="A162" s="28" t="str">
        <f aca="false">IF($K162=0,"",ROW()-4)</f>
        <v/>
      </c>
      <c r="B162" s="26" t="str">
        <f aca="false">IF($K162=0,"","OPERATIONS")</f>
        <v/>
      </c>
      <c r="C162" s="26" t="str">
        <f aca="false">IF($K162=0,"",OPERATIONS!$A162)</f>
        <v/>
      </c>
      <c r="D162" s="31" t="str">
        <f aca="false">IF($K162=0,"",OPERATIONS!$B162)</f>
        <v/>
      </c>
      <c r="E162" s="26" t="str">
        <f aca="false">IF($K162=0,"","SORTIE")</f>
        <v/>
      </c>
      <c r="F162" s="26" t="str">
        <f aca="false">IF($K162=0,"",OPERATIONS!$C162)</f>
        <v/>
      </c>
      <c r="G162" s="26" t="str">
        <f aca="false">IF($K162=0,"",OPERATIONS!$D162)</f>
        <v/>
      </c>
      <c r="H162" s="26" t="str">
        <f aca="false">IF($K162=0,"",OPERATIONS!$E162)</f>
        <v/>
      </c>
      <c r="I162" s="26" t="str">
        <f aca="false">IF($H162="","",IFERROR(INDEX(EMPL_CLASSE,MATCH($H162,EMPL_KEY,0)),""))</f>
        <v/>
      </c>
      <c r="J162" s="26" t="str">
        <f aca="false">IF($K162=0,"",OPERATIONS!$J162)</f>
        <v/>
      </c>
      <c r="K162" s="67" t="n">
        <f aca="false">IF(OR(OPERATIONS!$N162=0,OPERATIONS!$C162="RECEPTION"),0,-OPERATIONS!$G162)</f>
        <v>0</v>
      </c>
      <c r="L162" s="67" t="n">
        <f aca="false">IF($K162=0,0,OPERATIONS!$Q162*$K162)</f>
        <v>0</v>
      </c>
      <c r="M162" s="26" t="str">
        <f aca="false">IF($K162=0,"",OPERATIONS!$P162)</f>
        <v/>
      </c>
      <c r="N162" s="26" t="str">
        <f aca="false">IF($G162="","",IF($G162=R_LOT,COUNTIF($G$5:$G162,R_LOT),""))</f>
        <v/>
      </c>
    </row>
    <row r="163" customFormat="false" ht="15" hidden="false" customHeight="false" outlineLevel="0" collapsed="false">
      <c r="A163" s="28" t="str">
        <f aca="false">IF($K163=0,"",ROW()-4)</f>
        <v/>
      </c>
      <c r="B163" s="26" t="str">
        <f aca="false">IF($K163=0,"","OPERATIONS")</f>
        <v/>
      </c>
      <c r="C163" s="26" t="str">
        <f aca="false">IF($K163=0,"",OPERATIONS!$A163)</f>
        <v/>
      </c>
      <c r="D163" s="31" t="str">
        <f aca="false">IF($K163=0,"",OPERATIONS!$B163)</f>
        <v/>
      </c>
      <c r="E163" s="26" t="str">
        <f aca="false">IF($K163=0,"","SORTIE")</f>
        <v/>
      </c>
      <c r="F163" s="26" t="str">
        <f aca="false">IF($K163=0,"",OPERATIONS!$C163)</f>
        <v/>
      </c>
      <c r="G163" s="26" t="str">
        <f aca="false">IF($K163=0,"",OPERATIONS!$D163)</f>
        <v/>
      </c>
      <c r="H163" s="26" t="str">
        <f aca="false">IF($K163=0,"",OPERATIONS!$E163)</f>
        <v/>
      </c>
      <c r="I163" s="26" t="str">
        <f aca="false">IF($H163="","",IFERROR(INDEX(EMPL_CLASSE,MATCH($H163,EMPL_KEY,0)),""))</f>
        <v/>
      </c>
      <c r="J163" s="26" t="str">
        <f aca="false">IF($K163=0,"",OPERATIONS!$J163)</f>
        <v/>
      </c>
      <c r="K163" s="67" t="n">
        <f aca="false">IF(OR(OPERATIONS!$N163=0,OPERATIONS!$C163="RECEPTION"),0,-OPERATIONS!$G163)</f>
        <v>0</v>
      </c>
      <c r="L163" s="67" t="n">
        <f aca="false">IF($K163=0,0,OPERATIONS!$Q163*$K163)</f>
        <v>0</v>
      </c>
      <c r="M163" s="26" t="str">
        <f aca="false">IF($K163=0,"",OPERATIONS!$P163)</f>
        <v/>
      </c>
      <c r="N163" s="26" t="str">
        <f aca="false">IF($G163="","",IF($G163=R_LOT,COUNTIF($G$5:$G163,R_LOT),""))</f>
        <v/>
      </c>
    </row>
    <row r="164" customFormat="false" ht="15" hidden="false" customHeight="false" outlineLevel="0" collapsed="false">
      <c r="A164" s="28" t="str">
        <f aca="false">IF($K164=0,"",ROW()-4)</f>
        <v/>
      </c>
      <c r="B164" s="26" t="str">
        <f aca="false">IF($K164=0,"","OPERATIONS")</f>
        <v/>
      </c>
      <c r="C164" s="26" t="str">
        <f aca="false">IF($K164=0,"",OPERATIONS!$A164)</f>
        <v/>
      </c>
      <c r="D164" s="31" t="str">
        <f aca="false">IF($K164=0,"",OPERATIONS!$B164)</f>
        <v/>
      </c>
      <c r="E164" s="26" t="str">
        <f aca="false">IF($K164=0,"","SORTIE")</f>
        <v/>
      </c>
      <c r="F164" s="26" t="str">
        <f aca="false">IF($K164=0,"",OPERATIONS!$C164)</f>
        <v/>
      </c>
      <c r="G164" s="26" t="str">
        <f aca="false">IF($K164=0,"",OPERATIONS!$D164)</f>
        <v/>
      </c>
      <c r="H164" s="26" t="str">
        <f aca="false">IF($K164=0,"",OPERATIONS!$E164)</f>
        <v/>
      </c>
      <c r="I164" s="26" t="str">
        <f aca="false">IF($H164="","",IFERROR(INDEX(EMPL_CLASSE,MATCH($H164,EMPL_KEY,0)),""))</f>
        <v/>
      </c>
      <c r="J164" s="26" t="str">
        <f aca="false">IF($K164=0,"",OPERATIONS!$J164)</f>
        <v/>
      </c>
      <c r="K164" s="67" t="n">
        <f aca="false">IF(OR(OPERATIONS!$N164=0,OPERATIONS!$C164="RECEPTION"),0,-OPERATIONS!$G164)</f>
        <v>0</v>
      </c>
      <c r="L164" s="67" t="n">
        <f aca="false">IF($K164=0,0,OPERATIONS!$Q164*$K164)</f>
        <v>0</v>
      </c>
      <c r="M164" s="26" t="str">
        <f aca="false">IF($K164=0,"",OPERATIONS!$P164)</f>
        <v/>
      </c>
      <c r="N164" s="26" t="str">
        <f aca="false">IF($G164="","",IF($G164=R_LOT,COUNTIF($G$5:$G164,R_LOT),""))</f>
        <v/>
      </c>
    </row>
    <row r="165" customFormat="false" ht="15" hidden="false" customHeight="false" outlineLevel="0" collapsed="false">
      <c r="A165" s="28" t="str">
        <f aca="false">IF($K165=0,"",ROW()-4)</f>
        <v/>
      </c>
      <c r="B165" s="26" t="str">
        <f aca="false">IF($K165=0,"","OPERATIONS")</f>
        <v/>
      </c>
      <c r="C165" s="26" t="str">
        <f aca="false">IF($K165=0,"",OPERATIONS!$A165)</f>
        <v/>
      </c>
      <c r="D165" s="31" t="str">
        <f aca="false">IF($K165=0,"",OPERATIONS!$B165)</f>
        <v/>
      </c>
      <c r="E165" s="26" t="str">
        <f aca="false">IF($K165=0,"","SORTIE")</f>
        <v/>
      </c>
      <c r="F165" s="26" t="str">
        <f aca="false">IF($K165=0,"",OPERATIONS!$C165)</f>
        <v/>
      </c>
      <c r="G165" s="26" t="str">
        <f aca="false">IF($K165=0,"",OPERATIONS!$D165)</f>
        <v/>
      </c>
      <c r="H165" s="26" t="str">
        <f aca="false">IF($K165=0,"",OPERATIONS!$E165)</f>
        <v/>
      </c>
      <c r="I165" s="26" t="str">
        <f aca="false">IF($H165="","",IFERROR(INDEX(EMPL_CLASSE,MATCH($H165,EMPL_KEY,0)),""))</f>
        <v/>
      </c>
      <c r="J165" s="26" t="str">
        <f aca="false">IF($K165=0,"",OPERATIONS!$J165)</f>
        <v/>
      </c>
      <c r="K165" s="67" t="n">
        <f aca="false">IF(OR(OPERATIONS!$N165=0,OPERATIONS!$C165="RECEPTION"),0,-OPERATIONS!$G165)</f>
        <v>0</v>
      </c>
      <c r="L165" s="67" t="n">
        <f aca="false">IF($K165=0,0,OPERATIONS!$Q165*$K165)</f>
        <v>0</v>
      </c>
      <c r="M165" s="26" t="str">
        <f aca="false">IF($K165=0,"",OPERATIONS!$P165)</f>
        <v/>
      </c>
      <c r="N165" s="26" t="str">
        <f aca="false">IF($G165="","",IF($G165=R_LOT,COUNTIF($G$5:$G165,R_LOT),""))</f>
        <v/>
      </c>
    </row>
    <row r="166" customFormat="false" ht="15" hidden="false" customHeight="false" outlineLevel="0" collapsed="false">
      <c r="A166" s="28" t="str">
        <f aca="false">IF($K166=0,"",ROW()-4)</f>
        <v/>
      </c>
      <c r="B166" s="26" t="str">
        <f aca="false">IF($K166=0,"","OPERATIONS")</f>
        <v/>
      </c>
      <c r="C166" s="26" t="str">
        <f aca="false">IF($K166=0,"",OPERATIONS!$A166)</f>
        <v/>
      </c>
      <c r="D166" s="31" t="str">
        <f aca="false">IF($K166=0,"",OPERATIONS!$B166)</f>
        <v/>
      </c>
      <c r="E166" s="26" t="str">
        <f aca="false">IF($K166=0,"","SORTIE")</f>
        <v/>
      </c>
      <c r="F166" s="26" t="str">
        <f aca="false">IF($K166=0,"",OPERATIONS!$C166)</f>
        <v/>
      </c>
      <c r="G166" s="26" t="str">
        <f aca="false">IF($K166=0,"",OPERATIONS!$D166)</f>
        <v/>
      </c>
      <c r="H166" s="26" t="str">
        <f aca="false">IF($K166=0,"",OPERATIONS!$E166)</f>
        <v/>
      </c>
      <c r="I166" s="26" t="str">
        <f aca="false">IF($H166="","",IFERROR(INDEX(EMPL_CLASSE,MATCH($H166,EMPL_KEY,0)),""))</f>
        <v/>
      </c>
      <c r="J166" s="26" t="str">
        <f aca="false">IF($K166=0,"",OPERATIONS!$J166)</f>
        <v/>
      </c>
      <c r="K166" s="67" t="n">
        <f aca="false">IF(OR(OPERATIONS!$N166=0,OPERATIONS!$C166="RECEPTION"),0,-OPERATIONS!$G166)</f>
        <v>0</v>
      </c>
      <c r="L166" s="67" t="n">
        <f aca="false">IF($K166=0,0,OPERATIONS!$Q166*$K166)</f>
        <v>0</v>
      </c>
      <c r="M166" s="26" t="str">
        <f aca="false">IF($K166=0,"",OPERATIONS!$P166)</f>
        <v/>
      </c>
      <c r="N166" s="26" t="str">
        <f aca="false">IF($G166="","",IF($G166=R_LOT,COUNTIF($G$5:$G166,R_LOT),""))</f>
        <v/>
      </c>
    </row>
    <row r="167" customFormat="false" ht="15" hidden="false" customHeight="false" outlineLevel="0" collapsed="false">
      <c r="A167" s="28" t="str">
        <f aca="false">IF($K167=0,"",ROW()-4)</f>
        <v/>
      </c>
      <c r="B167" s="26" t="str">
        <f aca="false">IF($K167=0,"","OPERATIONS")</f>
        <v/>
      </c>
      <c r="C167" s="26" t="str">
        <f aca="false">IF($K167=0,"",OPERATIONS!$A167)</f>
        <v/>
      </c>
      <c r="D167" s="31" t="str">
        <f aca="false">IF($K167=0,"",OPERATIONS!$B167)</f>
        <v/>
      </c>
      <c r="E167" s="26" t="str">
        <f aca="false">IF($K167=0,"","SORTIE")</f>
        <v/>
      </c>
      <c r="F167" s="26" t="str">
        <f aca="false">IF($K167=0,"",OPERATIONS!$C167)</f>
        <v/>
      </c>
      <c r="G167" s="26" t="str">
        <f aca="false">IF($K167=0,"",OPERATIONS!$D167)</f>
        <v/>
      </c>
      <c r="H167" s="26" t="str">
        <f aca="false">IF($K167=0,"",OPERATIONS!$E167)</f>
        <v/>
      </c>
      <c r="I167" s="26" t="str">
        <f aca="false">IF($H167="","",IFERROR(INDEX(EMPL_CLASSE,MATCH($H167,EMPL_KEY,0)),""))</f>
        <v/>
      </c>
      <c r="J167" s="26" t="str">
        <f aca="false">IF($K167=0,"",OPERATIONS!$J167)</f>
        <v/>
      </c>
      <c r="K167" s="67" t="n">
        <f aca="false">IF(OR(OPERATIONS!$N167=0,OPERATIONS!$C167="RECEPTION"),0,-OPERATIONS!$G167)</f>
        <v>0</v>
      </c>
      <c r="L167" s="67" t="n">
        <f aca="false">IF($K167=0,0,OPERATIONS!$Q167*$K167)</f>
        <v>0</v>
      </c>
      <c r="M167" s="26" t="str">
        <f aca="false">IF($K167=0,"",OPERATIONS!$P167)</f>
        <v/>
      </c>
      <c r="N167" s="26" t="str">
        <f aca="false">IF($G167="","",IF($G167=R_LOT,COUNTIF($G$5:$G167,R_LOT),""))</f>
        <v/>
      </c>
    </row>
    <row r="168" customFormat="false" ht="15" hidden="false" customHeight="false" outlineLevel="0" collapsed="false">
      <c r="A168" s="28" t="str">
        <f aca="false">IF($K168=0,"",ROW()-4)</f>
        <v/>
      </c>
      <c r="B168" s="26" t="str">
        <f aca="false">IF($K168=0,"","OPERATIONS")</f>
        <v/>
      </c>
      <c r="C168" s="26" t="str">
        <f aca="false">IF($K168=0,"",OPERATIONS!$A168)</f>
        <v/>
      </c>
      <c r="D168" s="31" t="str">
        <f aca="false">IF($K168=0,"",OPERATIONS!$B168)</f>
        <v/>
      </c>
      <c r="E168" s="26" t="str">
        <f aca="false">IF($K168=0,"","SORTIE")</f>
        <v/>
      </c>
      <c r="F168" s="26" t="str">
        <f aca="false">IF($K168=0,"",OPERATIONS!$C168)</f>
        <v/>
      </c>
      <c r="G168" s="26" t="str">
        <f aca="false">IF($K168=0,"",OPERATIONS!$D168)</f>
        <v/>
      </c>
      <c r="H168" s="26" t="str">
        <f aca="false">IF($K168=0,"",OPERATIONS!$E168)</f>
        <v/>
      </c>
      <c r="I168" s="26" t="str">
        <f aca="false">IF($H168="","",IFERROR(INDEX(EMPL_CLASSE,MATCH($H168,EMPL_KEY,0)),""))</f>
        <v/>
      </c>
      <c r="J168" s="26" t="str">
        <f aca="false">IF($K168=0,"",OPERATIONS!$J168)</f>
        <v/>
      </c>
      <c r="K168" s="67" t="n">
        <f aca="false">IF(OR(OPERATIONS!$N168=0,OPERATIONS!$C168="RECEPTION"),0,-OPERATIONS!$G168)</f>
        <v>0</v>
      </c>
      <c r="L168" s="67" t="n">
        <f aca="false">IF($K168=0,0,OPERATIONS!$Q168*$K168)</f>
        <v>0</v>
      </c>
      <c r="M168" s="26" t="str">
        <f aca="false">IF($K168=0,"",OPERATIONS!$P168)</f>
        <v/>
      </c>
      <c r="N168" s="26" t="str">
        <f aca="false">IF($G168="","",IF($G168=R_LOT,COUNTIF($G$5:$G168,R_LOT),""))</f>
        <v/>
      </c>
    </row>
    <row r="169" customFormat="false" ht="15" hidden="false" customHeight="false" outlineLevel="0" collapsed="false">
      <c r="A169" s="28" t="str">
        <f aca="false">IF($K169=0,"",ROW()-4)</f>
        <v/>
      </c>
      <c r="B169" s="26" t="str">
        <f aca="false">IF($K169=0,"","OPERATIONS")</f>
        <v/>
      </c>
      <c r="C169" s="26" t="str">
        <f aca="false">IF($K169=0,"",OPERATIONS!$A169)</f>
        <v/>
      </c>
      <c r="D169" s="31" t="str">
        <f aca="false">IF($K169=0,"",OPERATIONS!$B169)</f>
        <v/>
      </c>
      <c r="E169" s="26" t="str">
        <f aca="false">IF($K169=0,"","SORTIE")</f>
        <v/>
      </c>
      <c r="F169" s="26" t="str">
        <f aca="false">IF($K169=0,"",OPERATIONS!$C169)</f>
        <v/>
      </c>
      <c r="G169" s="26" t="str">
        <f aca="false">IF($K169=0,"",OPERATIONS!$D169)</f>
        <v/>
      </c>
      <c r="H169" s="26" t="str">
        <f aca="false">IF($K169=0,"",OPERATIONS!$E169)</f>
        <v/>
      </c>
      <c r="I169" s="26" t="str">
        <f aca="false">IF($H169="","",IFERROR(INDEX(EMPL_CLASSE,MATCH($H169,EMPL_KEY,0)),""))</f>
        <v/>
      </c>
      <c r="J169" s="26" t="str">
        <f aca="false">IF($K169=0,"",OPERATIONS!$J169)</f>
        <v/>
      </c>
      <c r="K169" s="67" t="n">
        <f aca="false">IF(OR(OPERATIONS!$N169=0,OPERATIONS!$C169="RECEPTION"),0,-OPERATIONS!$G169)</f>
        <v>0</v>
      </c>
      <c r="L169" s="67" t="n">
        <f aca="false">IF($K169=0,0,OPERATIONS!$Q169*$K169)</f>
        <v>0</v>
      </c>
      <c r="M169" s="26" t="str">
        <f aca="false">IF($K169=0,"",OPERATIONS!$P169)</f>
        <v/>
      </c>
      <c r="N169" s="26" t="str">
        <f aca="false">IF($G169="","",IF($G169=R_LOT,COUNTIF($G$5:$G169,R_LOT),""))</f>
        <v/>
      </c>
    </row>
    <row r="170" customFormat="false" ht="15" hidden="false" customHeight="false" outlineLevel="0" collapsed="false">
      <c r="A170" s="28" t="str">
        <f aca="false">IF($K170=0,"",ROW()-4)</f>
        <v/>
      </c>
      <c r="B170" s="26" t="str">
        <f aca="false">IF($K170=0,"","OPERATIONS")</f>
        <v/>
      </c>
      <c r="C170" s="26" t="str">
        <f aca="false">IF($K170=0,"",OPERATIONS!$A170)</f>
        <v/>
      </c>
      <c r="D170" s="31" t="str">
        <f aca="false">IF($K170=0,"",OPERATIONS!$B170)</f>
        <v/>
      </c>
      <c r="E170" s="26" t="str">
        <f aca="false">IF($K170=0,"","SORTIE")</f>
        <v/>
      </c>
      <c r="F170" s="26" t="str">
        <f aca="false">IF($K170=0,"",OPERATIONS!$C170)</f>
        <v/>
      </c>
      <c r="G170" s="26" t="str">
        <f aca="false">IF($K170=0,"",OPERATIONS!$D170)</f>
        <v/>
      </c>
      <c r="H170" s="26" t="str">
        <f aca="false">IF($K170=0,"",OPERATIONS!$E170)</f>
        <v/>
      </c>
      <c r="I170" s="26" t="str">
        <f aca="false">IF($H170="","",IFERROR(INDEX(EMPL_CLASSE,MATCH($H170,EMPL_KEY,0)),""))</f>
        <v/>
      </c>
      <c r="J170" s="26" t="str">
        <f aca="false">IF($K170=0,"",OPERATIONS!$J170)</f>
        <v/>
      </c>
      <c r="K170" s="67" t="n">
        <f aca="false">IF(OR(OPERATIONS!$N170=0,OPERATIONS!$C170="RECEPTION"),0,-OPERATIONS!$G170)</f>
        <v>0</v>
      </c>
      <c r="L170" s="67" t="n">
        <f aca="false">IF($K170=0,0,OPERATIONS!$Q170*$K170)</f>
        <v>0</v>
      </c>
      <c r="M170" s="26" t="str">
        <f aca="false">IF($K170=0,"",OPERATIONS!$P170)</f>
        <v/>
      </c>
      <c r="N170" s="26" t="str">
        <f aca="false">IF($G170="","",IF($G170=R_LOT,COUNTIF($G$5:$G170,R_LOT),""))</f>
        <v/>
      </c>
    </row>
    <row r="171" customFormat="false" ht="15" hidden="false" customHeight="false" outlineLevel="0" collapsed="false">
      <c r="A171" s="28" t="str">
        <f aca="false">IF($K171=0,"",ROW()-4)</f>
        <v/>
      </c>
      <c r="B171" s="26" t="str">
        <f aca="false">IF($K171=0,"","OPERATIONS")</f>
        <v/>
      </c>
      <c r="C171" s="26" t="str">
        <f aca="false">IF($K171=0,"",OPERATIONS!$A171)</f>
        <v/>
      </c>
      <c r="D171" s="31" t="str">
        <f aca="false">IF($K171=0,"",OPERATIONS!$B171)</f>
        <v/>
      </c>
      <c r="E171" s="26" t="str">
        <f aca="false">IF($K171=0,"","SORTIE")</f>
        <v/>
      </c>
      <c r="F171" s="26" t="str">
        <f aca="false">IF($K171=0,"",OPERATIONS!$C171)</f>
        <v/>
      </c>
      <c r="G171" s="26" t="str">
        <f aca="false">IF($K171=0,"",OPERATIONS!$D171)</f>
        <v/>
      </c>
      <c r="H171" s="26" t="str">
        <f aca="false">IF($K171=0,"",OPERATIONS!$E171)</f>
        <v/>
      </c>
      <c r="I171" s="26" t="str">
        <f aca="false">IF($H171="","",IFERROR(INDEX(EMPL_CLASSE,MATCH($H171,EMPL_KEY,0)),""))</f>
        <v/>
      </c>
      <c r="J171" s="26" t="str">
        <f aca="false">IF($K171=0,"",OPERATIONS!$J171)</f>
        <v/>
      </c>
      <c r="K171" s="67" t="n">
        <f aca="false">IF(OR(OPERATIONS!$N171=0,OPERATIONS!$C171="RECEPTION"),0,-OPERATIONS!$G171)</f>
        <v>0</v>
      </c>
      <c r="L171" s="67" t="n">
        <f aca="false">IF($K171=0,0,OPERATIONS!$Q171*$K171)</f>
        <v>0</v>
      </c>
      <c r="M171" s="26" t="str">
        <f aca="false">IF($K171=0,"",OPERATIONS!$P171)</f>
        <v/>
      </c>
      <c r="N171" s="26" t="str">
        <f aca="false">IF($G171="","",IF($G171=R_LOT,COUNTIF($G$5:$G171,R_LOT),""))</f>
        <v/>
      </c>
    </row>
    <row r="172" customFormat="false" ht="15" hidden="false" customHeight="false" outlineLevel="0" collapsed="false">
      <c r="A172" s="28" t="str">
        <f aca="false">IF($K172=0,"",ROW()-4)</f>
        <v/>
      </c>
      <c r="B172" s="26" t="str">
        <f aca="false">IF($K172=0,"","OPERATIONS")</f>
        <v/>
      </c>
      <c r="C172" s="26" t="str">
        <f aca="false">IF($K172=0,"",OPERATIONS!$A172)</f>
        <v/>
      </c>
      <c r="D172" s="31" t="str">
        <f aca="false">IF($K172=0,"",OPERATIONS!$B172)</f>
        <v/>
      </c>
      <c r="E172" s="26" t="str">
        <f aca="false">IF($K172=0,"","SORTIE")</f>
        <v/>
      </c>
      <c r="F172" s="26" t="str">
        <f aca="false">IF($K172=0,"",OPERATIONS!$C172)</f>
        <v/>
      </c>
      <c r="G172" s="26" t="str">
        <f aca="false">IF($K172=0,"",OPERATIONS!$D172)</f>
        <v/>
      </c>
      <c r="H172" s="26" t="str">
        <f aca="false">IF($K172=0,"",OPERATIONS!$E172)</f>
        <v/>
      </c>
      <c r="I172" s="26" t="str">
        <f aca="false">IF($H172="","",IFERROR(INDEX(EMPL_CLASSE,MATCH($H172,EMPL_KEY,0)),""))</f>
        <v/>
      </c>
      <c r="J172" s="26" t="str">
        <f aca="false">IF($K172=0,"",OPERATIONS!$J172)</f>
        <v/>
      </c>
      <c r="K172" s="67" t="n">
        <f aca="false">IF(OR(OPERATIONS!$N172=0,OPERATIONS!$C172="RECEPTION"),0,-OPERATIONS!$G172)</f>
        <v>0</v>
      </c>
      <c r="L172" s="67" t="n">
        <f aca="false">IF($K172=0,0,OPERATIONS!$Q172*$K172)</f>
        <v>0</v>
      </c>
      <c r="M172" s="26" t="str">
        <f aca="false">IF($K172=0,"",OPERATIONS!$P172)</f>
        <v/>
      </c>
      <c r="N172" s="26" t="str">
        <f aca="false">IF($G172="","",IF($G172=R_LOT,COUNTIF($G$5:$G172,R_LOT),""))</f>
        <v/>
      </c>
    </row>
    <row r="173" customFormat="false" ht="15" hidden="false" customHeight="false" outlineLevel="0" collapsed="false">
      <c r="A173" s="28" t="str">
        <f aca="false">IF($K173=0,"",ROW()-4)</f>
        <v/>
      </c>
      <c r="B173" s="26" t="str">
        <f aca="false">IF($K173=0,"","OPERATIONS")</f>
        <v/>
      </c>
      <c r="C173" s="26" t="str">
        <f aca="false">IF($K173=0,"",OPERATIONS!$A173)</f>
        <v/>
      </c>
      <c r="D173" s="31" t="str">
        <f aca="false">IF($K173=0,"",OPERATIONS!$B173)</f>
        <v/>
      </c>
      <c r="E173" s="26" t="str">
        <f aca="false">IF($K173=0,"","SORTIE")</f>
        <v/>
      </c>
      <c r="F173" s="26" t="str">
        <f aca="false">IF($K173=0,"",OPERATIONS!$C173)</f>
        <v/>
      </c>
      <c r="G173" s="26" t="str">
        <f aca="false">IF($K173=0,"",OPERATIONS!$D173)</f>
        <v/>
      </c>
      <c r="H173" s="26" t="str">
        <f aca="false">IF($K173=0,"",OPERATIONS!$E173)</f>
        <v/>
      </c>
      <c r="I173" s="26" t="str">
        <f aca="false">IF($H173="","",IFERROR(INDEX(EMPL_CLASSE,MATCH($H173,EMPL_KEY,0)),""))</f>
        <v/>
      </c>
      <c r="J173" s="26" t="str">
        <f aca="false">IF($K173=0,"",OPERATIONS!$J173)</f>
        <v/>
      </c>
      <c r="K173" s="67" t="n">
        <f aca="false">IF(OR(OPERATIONS!$N173=0,OPERATIONS!$C173="RECEPTION"),0,-OPERATIONS!$G173)</f>
        <v>0</v>
      </c>
      <c r="L173" s="67" t="n">
        <f aca="false">IF($K173=0,0,OPERATIONS!$Q173*$K173)</f>
        <v>0</v>
      </c>
      <c r="M173" s="26" t="str">
        <f aca="false">IF($K173=0,"",OPERATIONS!$P173)</f>
        <v/>
      </c>
      <c r="N173" s="26" t="str">
        <f aca="false">IF($G173="","",IF($G173=R_LOT,COUNTIF($G$5:$G173,R_LOT),""))</f>
        <v/>
      </c>
    </row>
    <row r="174" customFormat="false" ht="15" hidden="false" customHeight="false" outlineLevel="0" collapsed="false">
      <c r="A174" s="28" t="str">
        <f aca="false">IF($K174=0,"",ROW()-4)</f>
        <v/>
      </c>
      <c r="B174" s="26" t="str">
        <f aca="false">IF($K174=0,"","OPERATIONS")</f>
        <v/>
      </c>
      <c r="C174" s="26" t="str">
        <f aca="false">IF($K174=0,"",OPERATIONS!$A174)</f>
        <v/>
      </c>
      <c r="D174" s="31" t="str">
        <f aca="false">IF($K174=0,"",OPERATIONS!$B174)</f>
        <v/>
      </c>
      <c r="E174" s="26" t="str">
        <f aca="false">IF($K174=0,"","SORTIE")</f>
        <v/>
      </c>
      <c r="F174" s="26" t="str">
        <f aca="false">IF($K174=0,"",OPERATIONS!$C174)</f>
        <v/>
      </c>
      <c r="G174" s="26" t="str">
        <f aca="false">IF($K174=0,"",OPERATIONS!$D174)</f>
        <v/>
      </c>
      <c r="H174" s="26" t="str">
        <f aca="false">IF($K174=0,"",OPERATIONS!$E174)</f>
        <v/>
      </c>
      <c r="I174" s="26" t="str">
        <f aca="false">IF($H174="","",IFERROR(INDEX(EMPL_CLASSE,MATCH($H174,EMPL_KEY,0)),""))</f>
        <v/>
      </c>
      <c r="J174" s="26" t="str">
        <f aca="false">IF($K174=0,"",OPERATIONS!$J174)</f>
        <v/>
      </c>
      <c r="K174" s="67" t="n">
        <f aca="false">IF(OR(OPERATIONS!$N174=0,OPERATIONS!$C174="RECEPTION"),0,-OPERATIONS!$G174)</f>
        <v>0</v>
      </c>
      <c r="L174" s="67" t="n">
        <f aca="false">IF($K174=0,0,OPERATIONS!$Q174*$K174)</f>
        <v>0</v>
      </c>
      <c r="M174" s="26" t="str">
        <f aca="false">IF($K174=0,"",OPERATIONS!$P174)</f>
        <v/>
      </c>
      <c r="N174" s="26" t="str">
        <f aca="false">IF($G174="","",IF($G174=R_LOT,COUNTIF($G$5:$G174,R_LOT),""))</f>
        <v/>
      </c>
    </row>
    <row r="175" customFormat="false" ht="15" hidden="false" customHeight="false" outlineLevel="0" collapsed="false">
      <c r="A175" s="28" t="str">
        <f aca="false">IF($K175=0,"",ROW()-4)</f>
        <v/>
      </c>
      <c r="B175" s="26" t="str">
        <f aca="false">IF($K175=0,"","OPERATIONS")</f>
        <v/>
      </c>
      <c r="C175" s="26" t="str">
        <f aca="false">IF($K175=0,"",OPERATIONS!$A175)</f>
        <v/>
      </c>
      <c r="D175" s="31" t="str">
        <f aca="false">IF($K175=0,"",OPERATIONS!$B175)</f>
        <v/>
      </c>
      <c r="E175" s="26" t="str">
        <f aca="false">IF($K175=0,"","SORTIE")</f>
        <v/>
      </c>
      <c r="F175" s="26" t="str">
        <f aca="false">IF($K175=0,"",OPERATIONS!$C175)</f>
        <v/>
      </c>
      <c r="G175" s="26" t="str">
        <f aca="false">IF($K175=0,"",OPERATIONS!$D175)</f>
        <v/>
      </c>
      <c r="H175" s="26" t="str">
        <f aca="false">IF($K175=0,"",OPERATIONS!$E175)</f>
        <v/>
      </c>
      <c r="I175" s="26" t="str">
        <f aca="false">IF($H175="","",IFERROR(INDEX(EMPL_CLASSE,MATCH($H175,EMPL_KEY,0)),""))</f>
        <v/>
      </c>
      <c r="J175" s="26" t="str">
        <f aca="false">IF($K175=0,"",OPERATIONS!$J175)</f>
        <v/>
      </c>
      <c r="K175" s="67" t="n">
        <f aca="false">IF(OR(OPERATIONS!$N175=0,OPERATIONS!$C175="RECEPTION"),0,-OPERATIONS!$G175)</f>
        <v>0</v>
      </c>
      <c r="L175" s="67" t="n">
        <f aca="false">IF($K175=0,0,OPERATIONS!$Q175*$K175)</f>
        <v>0</v>
      </c>
      <c r="M175" s="26" t="str">
        <f aca="false">IF($K175=0,"",OPERATIONS!$P175)</f>
        <v/>
      </c>
      <c r="N175" s="26" t="str">
        <f aca="false">IF($G175="","",IF($G175=R_LOT,COUNTIF($G$5:$G175,R_LOT),""))</f>
        <v/>
      </c>
    </row>
    <row r="176" customFormat="false" ht="15" hidden="false" customHeight="false" outlineLevel="0" collapsed="false">
      <c r="A176" s="28" t="str">
        <f aca="false">IF($K176=0,"",ROW()-4)</f>
        <v/>
      </c>
      <c r="B176" s="26" t="str">
        <f aca="false">IF($K176=0,"","OPERATIONS")</f>
        <v/>
      </c>
      <c r="C176" s="26" t="str">
        <f aca="false">IF($K176=0,"",OPERATIONS!$A176)</f>
        <v/>
      </c>
      <c r="D176" s="31" t="str">
        <f aca="false">IF($K176=0,"",OPERATIONS!$B176)</f>
        <v/>
      </c>
      <c r="E176" s="26" t="str">
        <f aca="false">IF($K176=0,"","SORTIE")</f>
        <v/>
      </c>
      <c r="F176" s="26" t="str">
        <f aca="false">IF($K176=0,"",OPERATIONS!$C176)</f>
        <v/>
      </c>
      <c r="G176" s="26" t="str">
        <f aca="false">IF($K176=0,"",OPERATIONS!$D176)</f>
        <v/>
      </c>
      <c r="H176" s="26" t="str">
        <f aca="false">IF($K176=0,"",OPERATIONS!$E176)</f>
        <v/>
      </c>
      <c r="I176" s="26" t="str">
        <f aca="false">IF($H176="","",IFERROR(INDEX(EMPL_CLASSE,MATCH($H176,EMPL_KEY,0)),""))</f>
        <v/>
      </c>
      <c r="J176" s="26" t="str">
        <f aca="false">IF($K176=0,"",OPERATIONS!$J176)</f>
        <v/>
      </c>
      <c r="K176" s="67" t="n">
        <f aca="false">IF(OR(OPERATIONS!$N176=0,OPERATIONS!$C176="RECEPTION"),0,-OPERATIONS!$G176)</f>
        <v>0</v>
      </c>
      <c r="L176" s="67" t="n">
        <f aca="false">IF($K176=0,0,OPERATIONS!$Q176*$K176)</f>
        <v>0</v>
      </c>
      <c r="M176" s="26" t="str">
        <f aca="false">IF($K176=0,"",OPERATIONS!$P176)</f>
        <v/>
      </c>
      <c r="N176" s="26" t="str">
        <f aca="false">IF($G176="","",IF($G176=R_LOT,COUNTIF($G$5:$G176,R_LOT),""))</f>
        <v/>
      </c>
    </row>
    <row r="177" customFormat="false" ht="15" hidden="false" customHeight="false" outlineLevel="0" collapsed="false">
      <c r="A177" s="28" t="str">
        <f aca="false">IF($K177=0,"",ROW()-4)</f>
        <v/>
      </c>
      <c r="B177" s="26" t="str">
        <f aca="false">IF($K177=0,"","OPERATIONS")</f>
        <v/>
      </c>
      <c r="C177" s="26" t="str">
        <f aca="false">IF($K177=0,"",OPERATIONS!$A177)</f>
        <v/>
      </c>
      <c r="D177" s="31" t="str">
        <f aca="false">IF($K177=0,"",OPERATIONS!$B177)</f>
        <v/>
      </c>
      <c r="E177" s="26" t="str">
        <f aca="false">IF($K177=0,"","SORTIE")</f>
        <v/>
      </c>
      <c r="F177" s="26" t="str">
        <f aca="false">IF($K177=0,"",OPERATIONS!$C177)</f>
        <v/>
      </c>
      <c r="G177" s="26" t="str">
        <f aca="false">IF($K177=0,"",OPERATIONS!$D177)</f>
        <v/>
      </c>
      <c r="H177" s="26" t="str">
        <f aca="false">IF($K177=0,"",OPERATIONS!$E177)</f>
        <v/>
      </c>
      <c r="I177" s="26" t="str">
        <f aca="false">IF($H177="","",IFERROR(INDEX(EMPL_CLASSE,MATCH($H177,EMPL_KEY,0)),""))</f>
        <v/>
      </c>
      <c r="J177" s="26" t="str">
        <f aca="false">IF($K177=0,"",OPERATIONS!$J177)</f>
        <v/>
      </c>
      <c r="K177" s="67" t="n">
        <f aca="false">IF(OR(OPERATIONS!$N177=0,OPERATIONS!$C177="RECEPTION"),0,-OPERATIONS!$G177)</f>
        <v>0</v>
      </c>
      <c r="L177" s="67" t="n">
        <f aca="false">IF($K177=0,0,OPERATIONS!$Q177*$K177)</f>
        <v>0</v>
      </c>
      <c r="M177" s="26" t="str">
        <f aca="false">IF($K177=0,"",OPERATIONS!$P177)</f>
        <v/>
      </c>
      <c r="N177" s="26" t="str">
        <f aca="false">IF($G177="","",IF($G177=R_LOT,COUNTIF($G$5:$G177,R_LOT),""))</f>
        <v/>
      </c>
    </row>
    <row r="178" customFormat="false" ht="15" hidden="false" customHeight="false" outlineLevel="0" collapsed="false">
      <c r="A178" s="28" t="str">
        <f aca="false">IF($K178=0,"",ROW()-4)</f>
        <v/>
      </c>
      <c r="B178" s="26" t="str">
        <f aca="false">IF($K178=0,"","OPERATIONS")</f>
        <v/>
      </c>
      <c r="C178" s="26" t="str">
        <f aca="false">IF($K178=0,"",OPERATIONS!$A178)</f>
        <v/>
      </c>
      <c r="D178" s="31" t="str">
        <f aca="false">IF($K178=0,"",OPERATIONS!$B178)</f>
        <v/>
      </c>
      <c r="E178" s="26" t="str">
        <f aca="false">IF($K178=0,"","SORTIE")</f>
        <v/>
      </c>
      <c r="F178" s="26" t="str">
        <f aca="false">IF($K178=0,"",OPERATIONS!$C178)</f>
        <v/>
      </c>
      <c r="G178" s="26" t="str">
        <f aca="false">IF($K178=0,"",OPERATIONS!$D178)</f>
        <v/>
      </c>
      <c r="H178" s="26" t="str">
        <f aca="false">IF($K178=0,"",OPERATIONS!$E178)</f>
        <v/>
      </c>
      <c r="I178" s="26" t="str">
        <f aca="false">IF($H178="","",IFERROR(INDEX(EMPL_CLASSE,MATCH($H178,EMPL_KEY,0)),""))</f>
        <v/>
      </c>
      <c r="J178" s="26" t="str">
        <f aca="false">IF($K178=0,"",OPERATIONS!$J178)</f>
        <v/>
      </c>
      <c r="K178" s="67" t="n">
        <f aca="false">IF(OR(OPERATIONS!$N178=0,OPERATIONS!$C178="RECEPTION"),0,-OPERATIONS!$G178)</f>
        <v>0</v>
      </c>
      <c r="L178" s="67" t="n">
        <f aca="false">IF($K178=0,0,OPERATIONS!$Q178*$K178)</f>
        <v>0</v>
      </c>
      <c r="M178" s="26" t="str">
        <f aca="false">IF($K178=0,"",OPERATIONS!$P178)</f>
        <v/>
      </c>
      <c r="N178" s="26" t="str">
        <f aca="false">IF($G178="","",IF($G178=R_LOT,COUNTIF($G$5:$G178,R_LOT),""))</f>
        <v/>
      </c>
    </row>
    <row r="179" customFormat="false" ht="15" hidden="false" customHeight="false" outlineLevel="0" collapsed="false">
      <c r="A179" s="28" t="str">
        <f aca="false">IF($K179=0,"",ROW()-4)</f>
        <v/>
      </c>
      <c r="B179" s="26" t="str">
        <f aca="false">IF($K179=0,"","OPERATIONS")</f>
        <v/>
      </c>
      <c r="C179" s="26" t="str">
        <f aca="false">IF($K179=0,"",OPERATIONS!$A179)</f>
        <v/>
      </c>
      <c r="D179" s="31" t="str">
        <f aca="false">IF($K179=0,"",OPERATIONS!$B179)</f>
        <v/>
      </c>
      <c r="E179" s="26" t="str">
        <f aca="false">IF($K179=0,"","SORTIE")</f>
        <v/>
      </c>
      <c r="F179" s="26" t="str">
        <f aca="false">IF($K179=0,"",OPERATIONS!$C179)</f>
        <v/>
      </c>
      <c r="G179" s="26" t="str">
        <f aca="false">IF($K179=0,"",OPERATIONS!$D179)</f>
        <v/>
      </c>
      <c r="H179" s="26" t="str">
        <f aca="false">IF($K179=0,"",OPERATIONS!$E179)</f>
        <v/>
      </c>
      <c r="I179" s="26" t="str">
        <f aca="false">IF($H179="","",IFERROR(INDEX(EMPL_CLASSE,MATCH($H179,EMPL_KEY,0)),""))</f>
        <v/>
      </c>
      <c r="J179" s="26" t="str">
        <f aca="false">IF($K179=0,"",OPERATIONS!$J179)</f>
        <v/>
      </c>
      <c r="K179" s="67" t="n">
        <f aca="false">IF(OR(OPERATIONS!$N179=0,OPERATIONS!$C179="RECEPTION"),0,-OPERATIONS!$G179)</f>
        <v>0</v>
      </c>
      <c r="L179" s="67" t="n">
        <f aca="false">IF($K179=0,0,OPERATIONS!$Q179*$K179)</f>
        <v>0</v>
      </c>
      <c r="M179" s="26" t="str">
        <f aca="false">IF($K179=0,"",OPERATIONS!$P179)</f>
        <v/>
      </c>
      <c r="N179" s="26" t="str">
        <f aca="false">IF($G179="","",IF($G179=R_LOT,COUNTIF($G$5:$G179,R_LOT),""))</f>
        <v/>
      </c>
    </row>
    <row r="180" customFormat="false" ht="15" hidden="false" customHeight="false" outlineLevel="0" collapsed="false">
      <c r="A180" s="28" t="str">
        <f aca="false">IF($K180=0,"",ROW()-4)</f>
        <v/>
      </c>
      <c r="B180" s="26" t="str">
        <f aca="false">IF($K180=0,"","OPERATIONS")</f>
        <v/>
      </c>
      <c r="C180" s="26" t="str">
        <f aca="false">IF($K180=0,"",OPERATIONS!$A180)</f>
        <v/>
      </c>
      <c r="D180" s="31" t="str">
        <f aca="false">IF($K180=0,"",OPERATIONS!$B180)</f>
        <v/>
      </c>
      <c r="E180" s="26" t="str">
        <f aca="false">IF($K180=0,"","SORTIE")</f>
        <v/>
      </c>
      <c r="F180" s="26" t="str">
        <f aca="false">IF($K180=0,"",OPERATIONS!$C180)</f>
        <v/>
      </c>
      <c r="G180" s="26" t="str">
        <f aca="false">IF($K180=0,"",OPERATIONS!$D180)</f>
        <v/>
      </c>
      <c r="H180" s="26" t="str">
        <f aca="false">IF($K180=0,"",OPERATIONS!$E180)</f>
        <v/>
      </c>
      <c r="I180" s="26" t="str">
        <f aca="false">IF($H180="","",IFERROR(INDEX(EMPL_CLASSE,MATCH($H180,EMPL_KEY,0)),""))</f>
        <v/>
      </c>
      <c r="J180" s="26" t="str">
        <f aca="false">IF($K180=0,"",OPERATIONS!$J180)</f>
        <v/>
      </c>
      <c r="K180" s="67" t="n">
        <f aca="false">IF(OR(OPERATIONS!$N180=0,OPERATIONS!$C180="RECEPTION"),0,-OPERATIONS!$G180)</f>
        <v>0</v>
      </c>
      <c r="L180" s="67" t="n">
        <f aca="false">IF($K180=0,0,OPERATIONS!$Q180*$K180)</f>
        <v>0</v>
      </c>
      <c r="M180" s="26" t="str">
        <f aca="false">IF($K180=0,"",OPERATIONS!$P180)</f>
        <v/>
      </c>
      <c r="N180" s="26" t="str">
        <f aca="false">IF($G180="","",IF($G180=R_LOT,COUNTIF($G$5:$G180,R_LOT),""))</f>
        <v/>
      </c>
    </row>
    <row r="181" customFormat="false" ht="15" hidden="false" customHeight="false" outlineLevel="0" collapsed="false">
      <c r="A181" s="28" t="str">
        <f aca="false">IF($K181=0,"",ROW()-4)</f>
        <v/>
      </c>
      <c r="B181" s="26" t="str">
        <f aca="false">IF($K181=0,"","OPERATIONS")</f>
        <v/>
      </c>
      <c r="C181" s="26" t="str">
        <f aca="false">IF($K181=0,"",OPERATIONS!$A181)</f>
        <v/>
      </c>
      <c r="D181" s="31" t="str">
        <f aca="false">IF($K181=0,"",OPERATIONS!$B181)</f>
        <v/>
      </c>
      <c r="E181" s="26" t="str">
        <f aca="false">IF($K181=0,"","SORTIE")</f>
        <v/>
      </c>
      <c r="F181" s="26" t="str">
        <f aca="false">IF($K181=0,"",OPERATIONS!$C181)</f>
        <v/>
      </c>
      <c r="G181" s="26" t="str">
        <f aca="false">IF($K181=0,"",OPERATIONS!$D181)</f>
        <v/>
      </c>
      <c r="H181" s="26" t="str">
        <f aca="false">IF($K181=0,"",OPERATIONS!$E181)</f>
        <v/>
      </c>
      <c r="I181" s="26" t="str">
        <f aca="false">IF($H181="","",IFERROR(INDEX(EMPL_CLASSE,MATCH($H181,EMPL_KEY,0)),""))</f>
        <v/>
      </c>
      <c r="J181" s="26" t="str">
        <f aca="false">IF($K181=0,"",OPERATIONS!$J181)</f>
        <v/>
      </c>
      <c r="K181" s="67" t="n">
        <f aca="false">IF(OR(OPERATIONS!$N181=0,OPERATIONS!$C181="RECEPTION"),0,-OPERATIONS!$G181)</f>
        <v>0</v>
      </c>
      <c r="L181" s="67" t="n">
        <f aca="false">IF($K181=0,0,OPERATIONS!$Q181*$K181)</f>
        <v>0</v>
      </c>
      <c r="M181" s="26" t="str">
        <f aca="false">IF($K181=0,"",OPERATIONS!$P181)</f>
        <v/>
      </c>
      <c r="N181" s="26" t="str">
        <f aca="false">IF($G181="","",IF($G181=R_LOT,COUNTIF($G$5:$G181,R_LOT),""))</f>
        <v/>
      </c>
    </row>
    <row r="182" customFormat="false" ht="15" hidden="false" customHeight="false" outlineLevel="0" collapsed="false">
      <c r="A182" s="28" t="str">
        <f aca="false">IF($K182=0,"",ROW()-4)</f>
        <v/>
      </c>
      <c r="B182" s="26" t="str">
        <f aca="false">IF($K182=0,"","OPERATIONS")</f>
        <v/>
      </c>
      <c r="C182" s="26" t="str">
        <f aca="false">IF($K182=0,"",OPERATIONS!$A182)</f>
        <v/>
      </c>
      <c r="D182" s="31" t="str">
        <f aca="false">IF($K182=0,"",OPERATIONS!$B182)</f>
        <v/>
      </c>
      <c r="E182" s="26" t="str">
        <f aca="false">IF($K182=0,"","SORTIE")</f>
        <v/>
      </c>
      <c r="F182" s="26" t="str">
        <f aca="false">IF($K182=0,"",OPERATIONS!$C182)</f>
        <v/>
      </c>
      <c r="G182" s="26" t="str">
        <f aca="false">IF($K182=0,"",OPERATIONS!$D182)</f>
        <v/>
      </c>
      <c r="H182" s="26" t="str">
        <f aca="false">IF($K182=0,"",OPERATIONS!$E182)</f>
        <v/>
      </c>
      <c r="I182" s="26" t="str">
        <f aca="false">IF($H182="","",IFERROR(INDEX(EMPL_CLASSE,MATCH($H182,EMPL_KEY,0)),""))</f>
        <v/>
      </c>
      <c r="J182" s="26" t="str">
        <f aca="false">IF($K182=0,"",OPERATIONS!$J182)</f>
        <v/>
      </c>
      <c r="K182" s="67" t="n">
        <f aca="false">IF(OR(OPERATIONS!$N182=0,OPERATIONS!$C182="RECEPTION"),0,-OPERATIONS!$G182)</f>
        <v>0</v>
      </c>
      <c r="L182" s="67" t="n">
        <f aca="false">IF($K182=0,0,OPERATIONS!$Q182*$K182)</f>
        <v>0</v>
      </c>
      <c r="M182" s="26" t="str">
        <f aca="false">IF($K182=0,"",OPERATIONS!$P182)</f>
        <v/>
      </c>
      <c r="N182" s="26" t="str">
        <f aca="false">IF($G182="","",IF($G182=R_LOT,COUNTIF($G$5:$G182,R_LOT),""))</f>
        <v/>
      </c>
    </row>
    <row r="183" customFormat="false" ht="15" hidden="false" customHeight="false" outlineLevel="0" collapsed="false">
      <c r="A183" s="28" t="str">
        <f aca="false">IF($K183=0,"",ROW()-4)</f>
        <v/>
      </c>
      <c r="B183" s="26" t="str">
        <f aca="false">IF($K183=0,"","OPERATIONS")</f>
        <v/>
      </c>
      <c r="C183" s="26" t="str">
        <f aca="false">IF($K183=0,"",OPERATIONS!$A183)</f>
        <v/>
      </c>
      <c r="D183" s="31" t="str">
        <f aca="false">IF($K183=0,"",OPERATIONS!$B183)</f>
        <v/>
      </c>
      <c r="E183" s="26" t="str">
        <f aca="false">IF($K183=0,"","SORTIE")</f>
        <v/>
      </c>
      <c r="F183" s="26" t="str">
        <f aca="false">IF($K183=0,"",OPERATIONS!$C183)</f>
        <v/>
      </c>
      <c r="G183" s="26" t="str">
        <f aca="false">IF($K183=0,"",OPERATIONS!$D183)</f>
        <v/>
      </c>
      <c r="H183" s="26" t="str">
        <f aca="false">IF($K183=0,"",OPERATIONS!$E183)</f>
        <v/>
      </c>
      <c r="I183" s="26" t="str">
        <f aca="false">IF($H183="","",IFERROR(INDEX(EMPL_CLASSE,MATCH($H183,EMPL_KEY,0)),""))</f>
        <v/>
      </c>
      <c r="J183" s="26" t="str">
        <f aca="false">IF($K183=0,"",OPERATIONS!$J183)</f>
        <v/>
      </c>
      <c r="K183" s="67" t="n">
        <f aca="false">IF(OR(OPERATIONS!$N183=0,OPERATIONS!$C183="RECEPTION"),0,-OPERATIONS!$G183)</f>
        <v>0</v>
      </c>
      <c r="L183" s="67" t="n">
        <f aca="false">IF($K183=0,0,OPERATIONS!$Q183*$K183)</f>
        <v>0</v>
      </c>
      <c r="M183" s="26" t="str">
        <f aca="false">IF($K183=0,"",OPERATIONS!$P183)</f>
        <v/>
      </c>
      <c r="N183" s="26" t="str">
        <f aca="false">IF($G183="","",IF($G183=R_LOT,COUNTIF($G$5:$G183,R_LOT),""))</f>
        <v/>
      </c>
    </row>
    <row r="184" customFormat="false" ht="15" hidden="false" customHeight="false" outlineLevel="0" collapsed="false">
      <c r="A184" s="28" t="str">
        <f aca="false">IF($K184=0,"",ROW()-4)</f>
        <v/>
      </c>
      <c r="B184" s="26" t="str">
        <f aca="false">IF($K184=0,"","OPERATIONS")</f>
        <v/>
      </c>
      <c r="C184" s="26" t="str">
        <f aca="false">IF($K184=0,"",OPERATIONS!$A184)</f>
        <v/>
      </c>
      <c r="D184" s="31" t="str">
        <f aca="false">IF($K184=0,"",OPERATIONS!$B184)</f>
        <v/>
      </c>
      <c r="E184" s="26" t="str">
        <f aca="false">IF($K184=0,"","SORTIE")</f>
        <v/>
      </c>
      <c r="F184" s="26" t="str">
        <f aca="false">IF($K184=0,"",OPERATIONS!$C184)</f>
        <v/>
      </c>
      <c r="G184" s="26" t="str">
        <f aca="false">IF($K184=0,"",OPERATIONS!$D184)</f>
        <v/>
      </c>
      <c r="H184" s="26" t="str">
        <f aca="false">IF($K184=0,"",OPERATIONS!$E184)</f>
        <v/>
      </c>
      <c r="I184" s="26" t="str">
        <f aca="false">IF($H184="","",IFERROR(INDEX(EMPL_CLASSE,MATCH($H184,EMPL_KEY,0)),""))</f>
        <v/>
      </c>
      <c r="J184" s="26" t="str">
        <f aca="false">IF($K184=0,"",OPERATIONS!$J184)</f>
        <v/>
      </c>
      <c r="K184" s="67" t="n">
        <f aca="false">IF(OR(OPERATIONS!$N184=0,OPERATIONS!$C184="RECEPTION"),0,-OPERATIONS!$G184)</f>
        <v>0</v>
      </c>
      <c r="L184" s="67" t="n">
        <f aca="false">IF($K184=0,0,OPERATIONS!$Q184*$K184)</f>
        <v>0</v>
      </c>
      <c r="M184" s="26" t="str">
        <f aca="false">IF($K184=0,"",OPERATIONS!$P184)</f>
        <v/>
      </c>
      <c r="N184" s="26" t="str">
        <f aca="false">IF($G184="","",IF($G184=R_LOT,COUNTIF($G$5:$G184,R_LOT),""))</f>
        <v/>
      </c>
    </row>
    <row r="185" customFormat="false" ht="15" hidden="false" customHeight="false" outlineLevel="0" collapsed="false">
      <c r="A185" s="28" t="str">
        <f aca="false">IF($K185=0,"",ROW()-4)</f>
        <v/>
      </c>
      <c r="B185" s="26" t="str">
        <f aca="false">IF($K185=0,"","OPERATIONS")</f>
        <v/>
      </c>
      <c r="C185" s="26" t="str">
        <f aca="false">IF($K185=0,"",OPERATIONS!$A185)</f>
        <v/>
      </c>
      <c r="D185" s="31" t="str">
        <f aca="false">IF($K185=0,"",OPERATIONS!$B185)</f>
        <v/>
      </c>
      <c r="E185" s="26" t="str">
        <f aca="false">IF($K185=0,"","SORTIE")</f>
        <v/>
      </c>
      <c r="F185" s="26" t="str">
        <f aca="false">IF($K185=0,"",OPERATIONS!$C185)</f>
        <v/>
      </c>
      <c r="G185" s="26" t="str">
        <f aca="false">IF($K185=0,"",OPERATIONS!$D185)</f>
        <v/>
      </c>
      <c r="H185" s="26" t="str">
        <f aca="false">IF($K185=0,"",OPERATIONS!$E185)</f>
        <v/>
      </c>
      <c r="I185" s="26" t="str">
        <f aca="false">IF($H185="","",IFERROR(INDEX(EMPL_CLASSE,MATCH($H185,EMPL_KEY,0)),""))</f>
        <v/>
      </c>
      <c r="J185" s="26" t="str">
        <f aca="false">IF($K185=0,"",OPERATIONS!$J185)</f>
        <v/>
      </c>
      <c r="K185" s="67" t="n">
        <f aca="false">IF(OR(OPERATIONS!$N185=0,OPERATIONS!$C185="RECEPTION"),0,-OPERATIONS!$G185)</f>
        <v>0</v>
      </c>
      <c r="L185" s="67" t="n">
        <f aca="false">IF($K185=0,0,OPERATIONS!$Q185*$K185)</f>
        <v>0</v>
      </c>
      <c r="M185" s="26" t="str">
        <f aca="false">IF($K185=0,"",OPERATIONS!$P185)</f>
        <v/>
      </c>
      <c r="N185" s="26" t="str">
        <f aca="false">IF($G185="","",IF($G185=R_LOT,COUNTIF($G$5:$G185,R_LOT),""))</f>
        <v/>
      </c>
    </row>
    <row r="186" customFormat="false" ht="15" hidden="false" customHeight="false" outlineLevel="0" collapsed="false">
      <c r="A186" s="28" t="str">
        <f aca="false">IF($K186=0,"",ROW()-4)</f>
        <v/>
      </c>
      <c r="B186" s="26" t="str">
        <f aca="false">IF($K186=0,"","OPERATIONS")</f>
        <v/>
      </c>
      <c r="C186" s="26" t="str">
        <f aca="false">IF($K186=0,"",OPERATIONS!$A186)</f>
        <v/>
      </c>
      <c r="D186" s="31" t="str">
        <f aca="false">IF($K186=0,"",OPERATIONS!$B186)</f>
        <v/>
      </c>
      <c r="E186" s="26" t="str">
        <f aca="false">IF($K186=0,"","SORTIE")</f>
        <v/>
      </c>
      <c r="F186" s="26" t="str">
        <f aca="false">IF($K186=0,"",OPERATIONS!$C186)</f>
        <v/>
      </c>
      <c r="G186" s="26" t="str">
        <f aca="false">IF($K186=0,"",OPERATIONS!$D186)</f>
        <v/>
      </c>
      <c r="H186" s="26" t="str">
        <f aca="false">IF($K186=0,"",OPERATIONS!$E186)</f>
        <v/>
      </c>
      <c r="I186" s="26" t="str">
        <f aca="false">IF($H186="","",IFERROR(INDEX(EMPL_CLASSE,MATCH($H186,EMPL_KEY,0)),""))</f>
        <v/>
      </c>
      <c r="J186" s="26" t="str">
        <f aca="false">IF($K186=0,"",OPERATIONS!$J186)</f>
        <v/>
      </c>
      <c r="K186" s="67" t="n">
        <f aca="false">IF(OR(OPERATIONS!$N186=0,OPERATIONS!$C186="RECEPTION"),0,-OPERATIONS!$G186)</f>
        <v>0</v>
      </c>
      <c r="L186" s="67" t="n">
        <f aca="false">IF($K186=0,0,OPERATIONS!$Q186*$K186)</f>
        <v>0</v>
      </c>
      <c r="M186" s="26" t="str">
        <f aca="false">IF($K186=0,"",OPERATIONS!$P186)</f>
        <v/>
      </c>
      <c r="N186" s="26" t="str">
        <f aca="false">IF($G186="","",IF($G186=R_LOT,COUNTIF($G$5:$G186,R_LOT),""))</f>
        <v/>
      </c>
    </row>
    <row r="187" customFormat="false" ht="15" hidden="false" customHeight="false" outlineLevel="0" collapsed="false">
      <c r="A187" s="28" t="str">
        <f aca="false">IF($K187=0,"",ROW()-4)</f>
        <v/>
      </c>
      <c r="B187" s="26" t="str">
        <f aca="false">IF($K187=0,"","OPERATIONS")</f>
        <v/>
      </c>
      <c r="C187" s="26" t="str">
        <f aca="false">IF($K187=0,"",OPERATIONS!$A187)</f>
        <v/>
      </c>
      <c r="D187" s="31" t="str">
        <f aca="false">IF($K187=0,"",OPERATIONS!$B187)</f>
        <v/>
      </c>
      <c r="E187" s="26" t="str">
        <f aca="false">IF($K187=0,"","SORTIE")</f>
        <v/>
      </c>
      <c r="F187" s="26" t="str">
        <f aca="false">IF($K187=0,"",OPERATIONS!$C187)</f>
        <v/>
      </c>
      <c r="G187" s="26" t="str">
        <f aca="false">IF($K187=0,"",OPERATIONS!$D187)</f>
        <v/>
      </c>
      <c r="H187" s="26" t="str">
        <f aca="false">IF($K187=0,"",OPERATIONS!$E187)</f>
        <v/>
      </c>
      <c r="I187" s="26" t="str">
        <f aca="false">IF($H187="","",IFERROR(INDEX(EMPL_CLASSE,MATCH($H187,EMPL_KEY,0)),""))</f>
        <v/>
      </c>
      <c r="J187" s="26" t="str">
        <f aca="false">IF($K187=0,"",OPERATIONS!$J187)</f>
        <v/>
      </c>
      <c r="K187" s="67" t="n">
        <f aca="false">IF(OR(OPERATIONS!$N187=0,OPERATIONS!$C187="RECEPTION"),0,-OPERATIONS!$G187)</f>
        <v>0</v>
      </c>
      <c r="L187" s="67" t="n">
        <f aca="false">IF($K187=0,0,OPERATIONS!$Q187*$K187)</f>
        <v>0</v>
      </c>
      <c r="M187" s="26" t="str">
        <f aca="false">IF($K187=0,"",OPERATIONS!$P187)</f>
        <v/>
      </c>
      <c r="N187" s="26" t="str">
        <f aca="false">IF($G187="","",IF($G187=R_LOT,COUNTIF($G$5:$G187,R_LOT),""))</f>
        <v/>
      </c>
    </row>
    <row r="188" customFormat="false" ht="15" hidden="false" customHeight="false" outlineLevel="0" collapsed="false">
      <c r="A188" s="28" t="str">
        <f aca="false">IF($K188=0,"",ROW()-4)</f>
        <v/>
      </c>
      <c r="B188" s="26" t="str">
        <f aca="false">IF($K188=0,"","OPERATIONS")</f>
        <v/>
      </c>
      <c r="C188" s="26" t="str">
        <f aca="false">IF($K188=0,"",OPERATIONS!$A188)</f>
        <v/>
      </c>
      <c r="D188" s="31" t="str">
        <f aca="false">IF($K188=0,"",OPERATIONS!$B188)</f>
        <v/>
      </c>
      <c r="E188" s="26" t="str">
        <f aca="false">IF($K188=0,"","SORTIE")</f>
        <v/>
      </c>
      <c r="F188" s="26" t="str">
        <f aca="false">IF($K188=0,"",OPERATIONS!$C188)</f>
        <v/>
      </c>
      <c r="G188" s="26" t="str">
        <f aca="false">IF($K188=0,"",OPERATIONS!$D188)</f>
        <v/>
      </c>
      <c r="H188" s="26" t="str">
        <f aca="false">IF($K188=0,"",OPERATIONS!$E188)</f>
        <v/>
      </c>
      <c r="I188" s="26" t="str">
        <f aca="false">IF($H188="","",IFERROR(INDEX(EMPL_CLASSE,MATCH($H188,EMPL_KEY,0)),""))</f>
        <v/>
      </c>
      <c r="J188" s="26" t="str">
        <f aca="false">IF($K188=0,"",OPERATIONS!$J188)</f>
        <v/>
      </c>
      <c r="K188" s="67" t="n">
        <f aca="false">IF(OR(OPERATIONS!$N188=0,OPERATIONS!$C188="RECEPTION"),0,-OPERATIONS!$G188)</f>
        <v>0</v>
      </c>
      <c r="L188" s="67" t="n">
        <f aca="false">IF($K188=0,0,OPERATIONS!$Q188*$K188)</f>
        <v>0</v>
      </c>
      <c r="M188" s="26" t="str">
        <f aca="false">IF($K188=0,"",OPERATIONS!$P188)</f>
        <v/>
      </c>
      <c r="N188" s="26" t="str">
        <f aca="false">IF($G188="","",IF($G188=R_LOT,COUNTIF($G$5:$G188,R_LOT),""))</f>
        <v/>
      </c>
    </row>
    <row r="189" customFormat="false" ht="15" hidden="false" customHeight="false" outlineLevel="0" collapsed="false">
      <c r="A189" s="28" t="str">
        <f aca="false">IF($K189=0,"",ROW()-4)</f>
        <v/>
      </c>
      <c r="B189" s="26" t="str">
        <f aca="false">IF($K189=0,"","OPERATIONS")</f>
        <v/>
      </c>
      <c r="C189" s="26" t="str">
        <f aca="false">IF($K189=0,"",OPERATIONS!$A189)</f>
        <v/>
      </c>
      <c r="D189" s="31" t="str">
        <f aca="false">IF($K189=0,"",OPERATIONS!$B189)</f>
        <v/>
      </c>
      <c r="E189" s="26" t="str">
        <f aca="false">IF($K189=0,"","SORTIE")</f>
        <v/>
      </c>
      <c r="F189" s="26" t="str">
        <f aca="false">IF($K189=0,"",OPERATIONS!$C189)</f>
        <v/>
      </c>
      <c r="G189" s="26" t="str">
        <f aca="false">IF($K189=0,"",OPERATIONS!$D189)</f>
        <v/>
      </c>
      <c r="H189" s="26" t="str">
        <f aca="false">IF($K189=0,"",OPERATIONS!$E189)</f>
        <v/>
      </c>
      <c r="I189" s="26" t="str">
        <f aca="false">IF($H189="","",IFERROR(INDEX(EMPL_CLASSE,MATCH($H189,EMPL_KEY,0)),""))</f>
        <v/>
      </c>
      <c r="J189" s="26" t="str">
        <f aca="false">IF($K189=0,"",OPERATIONS!$J189)</f>
        <v/>
      </c>
      <c r="K189" s="67" t="n">
        <f aca="false">IF(OR(OPERATIONS!$N189=0,OPERATIONS!$C189="RECEPTION"),0,-OPERATIONS!$G189)</f>
        <v>0</v>
      </c>
      <c r="L189" s="67" t="n">
        <f aca="false">IF($K189=0,0,OPERATIONS!$Q189*$K189)</f>
        <v>0</v>
      </c>
      <c r="M189" s="26" t="str">
        <f aca="false">IF($K189=0,"",OPERATIONS!$P189)</f>
        <v/>
      </c>
      <c r="N189" s="26" t="str">
        <f aca="false">IF($G189="","",IF($G189=R_LOT,COUNTIF($G$5:$G189,R_LOT),""))</f>
        <v/>
      </c>
    </row>
    <row r="190" customFormat="false" ht="15" hidden="false" customHeight="false" outlineLevel="0" collapsed="false">
      <c r="A190" s="28" t="str">
        <f aca="false">IF($K190=0,"",ROW()-4)</f>
        <v/>
      </c>
      <c r="B190" s="26" t="str">
        <f aca="false">IF($K190=0,"","OPERATIONS")</f>
        <v/>
      </c>
      <c r="C190" s="26" t="str">
        <f aca="false">IF($K190=0,"",OPERATIONS!$A190)</f>
        <v/>
      </c>
      <c r="D190" s="31" t="str">
        <f aca="false">IF($K190=0,"",OPERATIONS!$B190)</f>
        <v/>
      </c>
      <c r="E190" s="26" t="str">
        <f aca="false">IF($K190=0,"","SORTIE")</f>
        <v/>
      </c>
      <c r="F190" s="26" t="str">
        <f aca="false">IF($K190=0,"",OPERATIONS!$C190)</f>
        <v/>
      </c>
      <c r="G190" s="26" t="str">
        <f aca="false">IF($K190=0,"",OPERATIONS!$D190)</f>
        <v/>
      </c>
      <c r="H190" s="26" t="str">
        <f aca="false">IF($K190=0,"",OPERATIONS!$E190)</f>
        <v/>
      </c>
      <c r="I190" s="26" t="str">
        <f aca="false">IF($H190="","",IFERROR(INDEX(EMPL_CLASSE,MATCH($H190,EMPL_KEY,0)),""))</f>
        <v/>
      </c>
      <c r="J190" s="26" t="str">
        <f aca="false">IF($K190=0,"",OPERATIONS!$J190)</f>
        <v/>
      </c>
      <c r="K190" s="67" t="n">
        <f aca="false">IF(OR(OPERATIONS!$N190=0,OPERATIONS!$C190="RECEPTION"),0,-OPERATIONS!$G190)</f>
        <v>0</v>
      </c>
      <c r="L190" s="67" t="n">
        <f aca="false">IF($K190=0,0,OPERATIONS!$Q190*$K190)</f>
        <v>0</v>
      </c>
      <c r="M190" s="26" t="str">
        <f aca="false">IF($K190=0,"",OPERATIONS!$P190)</f>
        <v/>
      </c>
      <c r="N190" s="26" t="str">
        <f aca="false">IF($G190="","",IF($G190=R_LOT,COUNTIF($G$5:$G190,R_LOT),""))</f>
        <v/>
      </c>
    </row>
    <row r="191" customFormat="false" ht="15" hidden="false" customHeight="false" outlineLevel="0" collapsed="false">
      <c r="A191" s="28" t="str">
        <f aca="false">IF($K191=0,"",ROW()-4)</f>
        <v/>
      </c>
      <c r="B191" s="26" t="str">
        <f aca="false">IF($K191=0,"","OPERATIONS")</f>
        <v/>
      </c>
      <c r="C191" s="26" t="str">
        <f aca="false">IF($K191=0,"",OPERATIONS!$A191)</f>
        <v/>
      </c>
      <c r="D191" s="31" t="str">
        <f aca="false">IF($K191=0,"",OPERATIONS!$B191)</f>
        <v/>
      </c>
      <c r="E191" s="26" t="str">
        <f aca="false">IF($K191=0,"","SORTIE")</f>
        <v/>
      </c>
      <c r="F191" s="26" t="str">
        <f aca="false">IF($K191=0,"",OPERATIONS!$C191)</f>
        <v/>
      </c>
      <c r="G191" s="26" t="str">
        <f aca="false">IF($K191=0,"",OPERATIONS!$D191)</f>
        <v/>
      </c>
      <c r="H191" s="26" t="str">
        <f aca="false">IF($K191=0,"",OPERATIONS!$E191)</f>
        <v/>
      </c>
      <c r="I191" s="26" t="str">
        <f aca="false">IF($H191="","",IFERROR(INDEX(EMPL_CLASSE,MATCH($H191,EMPL_KEY,0)),""))</f>
        <v/>
      </c>
      <c r="J191" s="26" t="str">
        <f aca="false">IF($K191=0,"",OPERATIONS!$J191)</f>
        <v/>
      </c>
      <c r="K191" s="67" t="n">
        <f aca="false">IF(OR(OPERATIONS!$N191=0,OPERATIONS!$C191="RECEPTION"),0,-OPERATIONS!$G191)</f>
        <v>0</v>
      </c>
      <c r="L191" s="67" t="n">
        <f aca="false">IF($K191=0,0,OPERATIONS!$Q191*$K191)</f>
        <v>0</v>
      </c>
      <c r="M191" s="26" t="str">
        <f aca="false">IF($K191=0,"",OPERATIONS!$P191)</f>
        <v/>
      </c>
      <c r="N191" s="26" t="str">
        <f aca="false">IF($G191="","",IF($G191=R_LOT,COUNTIF($G$5:$G191,R_LOT),""))</f>
        <v/>
      </c>
    </row>
    <row r="192" customFormat="false" ht="15" hidden="false" customHeight="false" outlineLevel="0" collapsed="false">
      <c r="A192" s="28" t="str">
        <f aca="false">IF($K192=0,"",ROW()-4)</f>
        <v/>
      </c>
      <c r="B192" s="26" t="str">
        <f aca="false">IF($K192=0,"","OPERATIONS")</f>
        <v/>
      </c>
      <c r="C192" s="26" t="str">
        <f aca="false">IF($K192=0,"",OPERATIONS!$A192)</f>
        <v/>
      </c>
      <c r="D192" s="31" t="str">
        <f aca="false">IF($K192=0,"",OPERATIONS!$B192)</f>
        <v/>
      </c>
      <c r="E192" s="26" t="str">
        <f aca="false">IF($K192=0,"","SORTIE")</f>
        <v/>
      </c>
      <c r="F192" s="26" t="str">
        <f aca="false">IF($K192=0,"",OPERATIONS!$C192)</f>
        <v/>
      </c>
      <c r="G192" s="26" t="str">
        <f aca="false">IF($K192=0,"",OPERATIONS!$D192)</f>
        <v/>
      </c>
      <c r="H192" s="26" t="str">
        <f aca="false">IF($K192=0,"",OPERATIONS!$E192)</f>
        <v/>
      </c>
      <c r="I192" s="26" t="str">
        <f aca="false">IF($H192="","",IFERROR(INDEX(EMPL_CLASSE,MATCH($H192,EMPL_KEY,0)),""))</f>
        <v/>
      </c>
      <c r="J192" s="26" t="str">
        <f aca="false">IF($K192=0,"",OPERATIONS!$J192)</f>
        <v/>
      </c>
      <c r="K192" s="67" t="n">
        <f aca="false">IF(OR(OPERATIONS!$N192=0,OPERATIONS!$C192="RECEPTION"),0,-OPERATIONS!$G192)</f>
        <v>0</v>
      </c>
      <c r="L192" s="67" t="n">
        <f aca="false">IF($K192=0,0,OPERATIONS!$Q192*$K192)</f>
        <v>0</v>
      </c>
      <c r="M192" s="26" t="str">
        <f aca="false">IF($K192=0,"",OPERATIONS!$P192)</f>
        <v/>
      </c>
      <c r="N192" s="26" t="str">
        <f aca="false">IF($G192="","",IF($G192=R_LOT,COUNTIF($G$5:$G192,R_LOT),""))</f>
        <v/>
      </c>
    </row>
    <row r="193" customFormat="false" ht="15" hidden="false" customHeight="false" outlineLevel="0" collapsed="false">
      <c r="A193" s="28" t="str">
        <f aca="false">IF($K193=0,"",ROW()-4)</f>
        <v/>
      </c>
      <c r="B193" s="26" t="str">
        <f aca="false">IF($K193=0,"","OPERATIONS")</f>
        <v/>
      </c>
      <c r="C193" s="26" t="str">
        <f aca="false">IF($K193=0,"",OPERATIONS!$A193)</f>
        <v/>
      </c>
      <c r="D193" s="31" t="str">
        <f aca="false">IF($K193=0,"",OPERATIONS!$B193)</f>
        <v/>
      </c>
      <c r="E193" s="26" t="str">
        <f aca="false">IF($K193=0,"","SORTIE")</f>
        <v/>
      </c>
      <c r="F193" s="26" t="str">
        <f aca="false">IF($K193=0,"",OPERATIONS!$C193)</f>
        <v/>
      </c>
      <c r="G193" s="26" t="str">
        <f aca="false">IF($K193=0,"",OPERATIONS!$D193)</f>
        <v/>
      </c>
      <c r="H193" s="26" t="str">
        <f aca="false">IF($K193=0,"",OPERATIONS!$E193)</f>
        <v/>
      </c>
      <c r="I193" s="26" t="str">
        <f aca="false">IF($H193="","",IFERROR(INDEX(EMPL_CLASSE,MATCH($H193,EMPL_KEY,0)),""))</f>
        <v/>
      </c>
      <c r="J193" s="26" t="str">
        <f aca="false">IF($K193=0,"",OPERATIONS!$J193)</f>
        <v/>
      </c>
      <c r="K193" s="67" t="n">
        <f aca="false">IF(OR(OPERATIONS!$N193=0,OPERATIONS!$C193="RECEPTION"),0,-OPERATIONS!$G193)</f>
        <v>0</v>
      </c>
      <c r="L193" s="67" t="n">
        <f aca="false">IF($K193=0,0,OPERATIONS!$Q193*$K193)</f>
        <v>0</v>
      </c>
      <c r="M193" s="26" t="str">
        <f aca="false">IF($K193=0,"",OPERATIONS!$P193)</f>
        <v/>
      </c>
      <c r="N193" s="26" t="str">
        <f aca="false">IF($G193="","",IF($G193=R_LOT,COUNTIF($G$5:$G193,R_LOT),""))</f>
        <v/>
      </c>
    </row>
    <row r="194" customFormat="false" ht="15" hidden="false" customHeight="false" outlineLevel="0" collapsed="false">
      <c r="A194" s="28" t="str">
        <f aca="false">IF($K194=0,"",ROW()-4)</f>
        <v/>
      </c>
      <c r="B194" s="26" t="str">
        <f aca="false">IF($K194=0,"","OPERATIONS")</f>
        <v/>
      </c>
      <c r="C194" s="26" t="str">
        <f aca="false">IF($K194=0,"",OPERATIONS!$A194)</f>
        <v/>
      </c>
      <c r="D194" s="31" t="str">
        <f aca="false">IF($K194=0,"",OPERATIONS!$B194)</f>
        <v/>
      </c>
      <c r="E194" s="26" t="str">
        <f aca="false">IF($K194=0,"","SORTIE")</f>
        <v/>
      </c>
      <c r="F194" s="26" t="str">
        <f aca="false">IF($K194=0,"",OPERATIONS!$C194)</f>
        <v/>
      </c>
      <c r="G194" s="26" t="str">
        <f aca="false">IF($K194=0,"",OPERATIONS!$D194)</f>
        <v/>
      </c>
      <c r="H194" s="26" t="str">
        <f aca="false">IF($K194=0,"",OPERATIONS!$E194)</f>
        <v/>
      </c>
      <c r="I194" s="26" t="str">
        <f aca="false">IF($H194="","",IFERROR(INDEX(EMPL_CLASSE,MATCH($H194,EMPL_KEY,0)),""))</f>
        <v/>
      </c>
      <c r="J194" s="26" t="str">
        <f aca="false">IF($K194=0,"",OPERATIONS!$J194)</f>
        <v/>
      </c>
      <c r="K194" s="67" t="n">
        <f aca="false">IF(OR(OPERATIONS!$N194=0,OPERATIONS!$C194="RECEPTION"),0,-OPERATIONS!$G194)</f>
        <v>0</v>
      </c>
      <c r="L194" s="67" t="n">
        <f aca="false">IF($K194=0,0,OPERATIONS!$Q194*$K194)</f>
        <v>0</v>
      </c>
      <c r="M194" s="26" t="str">
        <f aca="false">IF($K194=0,"",OPERATIONS!$P194)</f>
        <v/>
      </c>
      <c r="N194" s="26" t="str">
        <f aca="false">IF($G194="","",IF($G194=R_LOT,COUNTIF($G$5:$G194,R_LOT),""))</f>
        <v/>
      </c>
    </row>
    <row r="195" customFormat="false" ht="15" hidden="false" customHeight="false" outlineLevel="0" collapsed="false">
      <c r="A195" s="28" t="str">
        <f aca="false">IF($K195=0,"",ROW()-4)</f>
        <v/>
      </c>
      <c r="B195" s="26" t="str">
        <f aca="false">IF($K195=0,"","OPERATIONS")</f>
        <v/>
      </c>
      <c r="C195" s="26" t="str">
        <f aca="false">IF($K195=0,"",OPERATIONS!$A195)</f>
        <v/>
      </c>
      <c r="D195" s="31" t="str">
        <f aca="false">IF($K195=0,"",OPERATIONS!$B195)</f>
        <v/>
      </c>
      <c r="E195" s="26" t="str">
        <f aca="false">IF($K195=0,"","SORTIE")</f>
        <v/>
      </c>
      <c r="F195" s="26" t="str">
        <f aca="false">IF($K195=0,"",OPERATIONS!$C195)</f>
        <v/>
      </c>
      <c r="G195" s="26" t="str">
        <f aca="false">IF($K195=0,"",OPERATIONS!$D195)</f>
        <v/>
      </c>
      <c r="H195" s="26" t="str">
        <f aca="false">IF($K195=0,"",OPERATIONS!$E195)</f>
        <v/>
      </c>
      <c r="I195" s="26" t="str">
        <f aca="false">IF($H195="","",IFERROR(INDEX(EMPL_CLASSE,MATCH($H195,EMPL_KEY,0)),""))</f>
        <v/>
      </c>
      <c r="J195" s="26" t="str">
        <f aca="false">IF($K195=0,"",OPERATIONS!$J195)</f>
        <v/>
      </c>
      <c r="K195" s="67" t="n">
        <f aca="false">IF(OR(OPERATIONS!$N195=0,OPERATIONS!$C195="RECEPTION"),0,-OPERATIONS!$G195)</f>
        <v>0</v>
      </c>
      <c r="L195" s="67" t="n">
        <f aca="false">IF($K195=0,0,OPERATIONS!$Q195*$K195)</f>
        <v>0</v>
      </c>
      <c r="M195" s="26" t="str">
        <f aca="false">IF($K195=0,"",OPERATIONS!$P195)</f>
        <v/>
      </c>
      <c r="N195" s="26" t="str">
        <f aca="false">IF($G195="","",IF($G195=R_LOT,COUNTIF($G$5:$G195,R_LOT),""))</f>
        <v/>
      </c>
    </row>
    <row r="196" customFormat="false" ht="15" hidden="false" customHeight="false" outlineLevel="0" collapsed="false">
      <c r="A196" s="28" t="str">
        <f aca="false">IF($K196=0,"",ROW()-4)</f>
        <v/>
      </c>
      <c r="B196" s="26" t="str">
        <f aca="false">IF($K196=0,"","OPERATIONS")</f>
        <v/>
      </c>
      <c r="C196" s="26" t="str">
        <f aca="false">IF($K196=0,"",OPERATIONS!$A196)</f>
        <v/>
      </c>
      <c r="D196" s="31" t="str">
        <f aca="false">IF($K196=0,"",OPERATIONS!$B196)</f>
        <v/>
      </c>
      <c r="E196" s="26" t="str">
        <f aca="false">IF($K196=0,"","SORTIE")</f>
        <v/>
      </c>
      <c r="F196" s="26" t="str">
        <f aca="false">IF($K196=0,"",OPERATIONS!$C196)</f>
        <v/>
      </c>
      <c r="G196" s="26" t="str">
        <f aca="false">IF($K196=0,"",OPERATIONS!$D196)</f>
        <v/>
      </c>
      <c r="H196" s="26" t="str">
        <f aca="false">IF($K196=0,"",OPERATIONS!$E196)</f>
        <v/>
      </c>
      <c r="I196" s="26" t="str">
        <f aca="false">IF($H196="","",IFERROR(INDEX(EMPL_CLASSE,MATCH($H196,EMPL_KEY,0)),""))</f>
        <v/>
      </c>
      <c r="J196" s="26" t="str">
        <f aca="false">IF($K196=0,"",OPERATIONS!$J196)</f>
        <v/>
      </c>
      <c r="K196" s="67" t="n">
        <f aca="false">IF(OR(OPERATIONS!$N196=0,OPERATIONS!$C196="RECEPTION"),0,-OPERATIONS!$G196)</f>
        <v>0</v>
      </c>
      <c r="L196" s="67" t="n">
        <f aca="false">IF($K196=0,0,OPERATIONS!$Q196*$K196)</f>
        <v>0</v>
      </c>
      <c r="M196" s="26" t="str">
        <f aca="false">IF($K196=0,"",OPERATIONS!$P196)</f>
        <v/>
      </c>
      <c r="N196" s="26" t="str">
        <f aca="false">IF($G196="","",IF($G196=R_LOT,COUNTIF($G$5:$G196,R_LOT),""))</f>
        <v/>
      </c>
    </row>
    <row r="197" customFormat="false" ht="15" hidden="false" customHeight="false" outlineLevel="0" collapsed="false">
      <c r="A197" s="28" t="str">
        <f aca="false">IF($K197=0,"",ROW()-4)</f>
        <v/>
      </c>
      <c r="B197" s="26" t="str">
        <f aca="false">IF($K197=0,"","OPERATIONS")</f>
        <v/>
      </c>
      <c r="C197" s="26" t="str">
        <f aca="false">IF($K197=0,"",OPERATIONS!$A197)</f>
        <v/>
      </c>
      <c r="D197" s="31" t="str">
        <f aca="false">IF($K197=0,"",OPERATIONS!$B197)</f>
        <v/>
      </c>
      <c r="E197" s="26" t="str">
        <f aca="false">IF($K197=0,"","SORTIE")</f>
        <v/>
      </c>
      <c r="F197" s="26" t="str">
        <f aca="false">IF($K197=0,"",OPERATIONS!$C197)</f>
        <v/>
      </c>
      <c r="G197" s="26" t="str">
        <f aca="false">IF($K197=0,"",OPERATIONS!$D197)</f>
        <v/>
      </c>
      <c r="H197" s="26" t="str">
        <f aca="false">IF($K197=0,"",OPERATIONS!$E197)</f>
        <v/>
      </c>
      <c r="I197" s="26" t="str">
        <f aca="false">IF($H197="","",IFERROR(INDEX(EMPL_CLASSE,MATCH($H197,EMPL_KEY,0)),""))</f>
        <v/>
      </c>
      <c r="J197" s="26" t="str">
        <f aca="false">IF($K197=0,"",OPERATIONS!$J197)</f>
        <v/>
      </c>
      <c r="K197" s="67" t="n">
        <f aca="false">IF(OR(OPERATIONS!$N197=0,OPERATIONS!$C197="RECEPTION"),0,-OPERATIONS!$G197)</f>
        <v>0</v>
      </c>
      <c r="L197" s="67" t="n">
        <f aca="false">IF($K197=0,0,OPERATIONS!$Q197*$K197)</f>
        <v>0</v>
      </c>
      <c r="M197" s="26" t="str">
        <f aca="false">IF($K197=0,"",OPERATIONS!$P197)</f>
        <v/>
      </c>
      <c r="N197" s="26" t="str">
        <f aca="false">IF($G197="","",IF($G197=R_LOT,COUNTIF($G$5:$G197,R_LOT),""))</f>
        <v/>
      </c>
    </row>
    <row r="198" customFormat="false" ht="15" hidden="false" customHeight="false" outlineLevel="0" collapsed="false">
      <c r="A198" s="28" t="str">
        <f aca="false">IF($K198=0,"",ROW()-4)</f>
        <v/>
      </c>
      <c r="B198" s="26" t="str">
        <f aca="false">IF($K198=0,"","OPERATIONS")</f>
        <v/>
      </c>
      <c r="C198" s="26" t="str">
        <f aca="false">IF($K198=0,"",OPERATIONS!$A198)</f>
        <v/>
      </c>
      <c r="D198" s="31" t="str">
        <f aca="false">IF($K198=0,"",OPERATIONS!$B198)</f>
        <v/>
      </c>
      <c r="E198" s="26" t="str">
        <f aca="false">IF($K198=0,"","SORTIE")</f>
        <v/>
      </c>
      <c r="F198" s="26" t="str">
        <f aca="false">IF($K198=0,"",OPERATIONS!$C198)</f>
        <v/>
      </c>
      <c r="G198" s="26" t="str">
        <f aca="false">IF($K198=0,"",OPERATIONS!$D198)</f>
        <v/>
      </c>
      <c r="H198" s="26" t="str">
        <f aca="false">IF($K198=0,"",OPERATIONS!$E198)</f>
        <v/>
      </c>
      <c r="I198" s="26" t="str">
        <f aca="false">IF($H198="","",IFERROR(INDEX(EMPL_CLASSE,MATCH($H198,EMPL_KEY,0)),""))</f>
        <v/>
      </c>
      <c r="J198" s="26" t="str">
        <f aca="false">IF($K198=0,"",OPERATIONS!$J198)</f>
        <v/>
      </c>
      <c r="K198" s="67" t="n">
        <f aca="false">IF(OR(OPERATIONS!$N198=0,OPERATIONS!$C198="RECEPTION"),0,-OPERATIONS!$G198)</f>
        <v>0</v>
      </c>
      <c r="L198" s="67" t="n">
        <f aca="false">IF($K198=0,0,OPERATIONS!$Q198*$K198)</f>
        <v>0</v>
      </c>
      <c r="M198" s="26" t="str">
        <f aca="false">IF($K198=0,"",OPERATIONS!$P198)</f>
        <v/>
      </c>
      <c r="N198" s="26" t="str">
        <f aca="false">IF($G198="","",IF($G198=R_LOT,COUNTIF($G$5:$G198,R_LOT),""))</f>
        <v/>
      </c>
    </row>
    <row r="199" customFormat="false" ht="15" hidden="false" customHeight="false" outlineLevel="0" collapsed="false">
      <c r="A199" s="28" t="str">
        <f aca="false">IF($K199=0,"",ROW()-4)</f>
        <v/>
      </c>
      <c r="B199" s="26" t="str">
        <f aca="false">IF($K199=0,"","OPERATIONS")</f>
        <v/>
      </c>
      <c r="C199" s="26" t="str">
        <f aca="false">IF($K199=0,"",OPERATIONS!$A199)</f>
        <v/>
      </c>
      <c r="D199" s="31" t="str">
        <f aca="false">IF($K199=0,"",OPERATIONS!$B199)</f>
        <v/>
      </c>
      <c r="E199" s="26" t="str">
        <f aca="false">IF($K199=0,"","SORTIE")</f>
        <v/>
      </c>
      <c r="F199" s="26" t="str">
        <f aca="false">IF($K199=0,"",OPERATIONS!$C199)</f>
        <v/>
      </c>
      <c r="G199" s="26" t="str">
        <f aca="false">IF($K199=0,"",OPERATIONS!$D199)</f>
        <v/>
      </c>
      <c r="H199" s="26" t="str">
        <f aca="false">IF($K199=0,"",OPERATIONS!$E199)</f>
        <v/>
      </c>
      <c r="I199" s="26" t="str">
        <f aca="false">IF($H199="","",IFERROR(INDEX(EMPL_CLASSE,MATCH($H199,EMPL_KEY,0)),""))</f>
        <v/>
      </c>
      <c r="J199" s="26" t="str">
        <f aca="false">IF($K199=0,"",OPERATIONS!$J199)</f>
        <v/>
      </c>
      <c r="K199" s="67" t="n">
        <f aca="false">IF(OR(OPERATIONS!$N199=0,OPERATIONS!$C199="RECEPTION"),0,-OPERATIONS!$G199)</f>
        <v>0</v>
      </c>
      <c r="L199" s="67" t="n">
        <f aca="false">IF($K199=0,0,OPERATIONS!$Q199*$K199)</f>
        <v>0</v>
      </c>
      <c r="M199" s="26" t="str">
        <f aca="false">IF($K199=0,"",OPERATIONS!$P199)</f>
        <v/>
      </c>
      <c r="N199" s="26" t="str">
        <f aca="false">IF($G199="","",IF($G199=R_LOT,COUNTIF($G$5:$G199,R_LOT),""))</f>
        <v/>
      </c>
    </row>
    <row r="200" customFormat="false" ht="15" hidden="false" customHeight="false" outlineLevel="0" collapsed="false">
      <c r="A200" s="28" t="str">
        <f aca="false">IF($K200=0,"",ROW()-4)</f>
        <v/>
      </c>
      <c r="B200" s="26" t="str">
        <f aca="false">IF($K200=0,"","OPERATIONS")</f>
        <v/>
      </c>
      <c r="C200" s="26" t="str">
        <f aca="false">IF($K200=0,"",OPERATIONS!$A200)</f>
        <v/>
      </c>
      <c r="D200" s="31" t="str">
        <f aca="false">IF($K200=0,"",OPERATIONS!$B200)</f>
        <v/>
      </c>
      <c r="E200" s="26" t="str">
        <f aca="false">IF($K200=0,"","SORTIE")</f>
        <v/>
      </c>
      <c r="F200" s="26" t="str">
        <f aca="false">IF($K200=0,"",OPERATIONS!$C200)</f>
        <v/>
      </c>
      <c r="G200" s="26" t="str">
        <f aca="false">IF($K200=0,"",OPERATIONS!$D200)</f>
        <v/>
      </c>
      <c r="H200" s="26" t="str">
        <f aca="false">IF($K200=0,"",OPERATIONS!$E200)</f>
        <v/>
      </c>
      <c r="I200" s="26" t="str">
        <f aca="false">IF($H200="","",IFERROR(INDEX(EMPL_CLASSE,MATCH($H200,EMPL_KEY,0)),""))</f>
        <v/>
      </c>
      <c r="J200" s="26" t="str">
        <f aca="false">IF($K200=0,"",OPERATIONS!$J200)</f>
        <v/>
      </c>
      <c r="K200" s="67" t="n">
        <f aca="false">IF(OR(OPERATIONS!$N200=0,OPERATIONS!$C200="RECEPTION"),0,-OPERATIONS!$G200)</f>
        <v>0</v>
      </c>
      <c r="L200" s="67" t="n">
        <f aca="false">IF($K200=0,0,OPERATIONS!$Q200*$K200)</f>
        <v>0</v>
      </c>
      <c r="M200" s="26" t="str">
        <f aca="false">IF($K200=0,"",OPERATIONS!$P200)</f>
        <v/>
      </c>
      <c r="N200" s="26" t="str">
        <f aca="false">IF($G200="","",IF($G200=R_LOT,COUNTIF($G$5:$G200,R_LOT),""))</f>
        <v/>
      </c>
    </row>
    <row r="201" customFormat="false" ht="15" hidden="false" customHeight="false" outlineLevel="0" collapsed="false">
      <c r="A201" s="28" t="str">
        <f aca="false">IF($K201=0,"",ROW()-4)</f>
        <v/>
      </c>
      <c r="B201" s="26" t="str">
        <f aca="false">IF($K201=0,"","OPERATIONS")</f>
        <v/>
      </c>
      <c r="C201" s="26" t="str">
        <f aca="false">IF($K201=0,"",OPERATIONS!$A201)</f>
        <v/>
      </c>
      <c r="D201" s="31" t="str">
        <f aca="false">IF($K201=0,"",OPERATIONS!$B201)</f>
        <v/>
      </c>
      <c r="E201" s="26" t="str">
        <f aca="false">IF($K201=0,"","SORTIE")</f>
        <v/>
      </c>
      <c r="F201" s="26" t="str">
        <f aca="false">IF($K201=0,"",OPERATIONS!$C201)</f>
        <v/>
      </c>
      <c r="G201" s="26" t="str">
        <f aca="false">IF($K201=0,"",OPERATIONS!$D201)</f>
        <v/>
      </c>
      <c r="H201" s="26" t="str">
        <f aca="false">IF($K201=0,"",OPERATIONS!$E201)</f>
        <v/>
      </c>
      <c r="I201" s="26" t="str">
        <f aca="false">IF($H201="","",IFERROR(INDEX(EMPL_CLASSE,MATCH($H201,EMPL_KEY,0)),""))</f>
        <v/>
      </c>
      <c r="J201" s="26" t="str">
        <f aca="false">IF($K201=0,"",OPERATIONS!$J201)</f>
        <v/>
      </c>
      <c r="K201" s="67" t="n">
        <f aca="false">IF(OR(OPERATIONS!$N201=0,OPERATIONS!$C201="RECEPTION"),0,-OPERATIONS!$G201)</f>
        <v>0</v>
      </c>
      <c r="L201" s="67" t="n">
        <f aca="false">IF($K201=0,0,OPERATIONS!$Q201*$K201)</f>
        <v>0</v>
      </c>
      <c r="M201" s="26" t="str">
        <f aca="false">IF($K201=0,"",OPERATIONS!$P201)</f>
        <v/>
      </c>
      <c r="N201" s="26" t="str">
        <f aca="false">IF($G201="","",IF($G201=R_LOT,COUNTIF($G$5:$G201,R_LOT),""))</f>
        <v/>
      </c>
    </row>
    <row r="202" customFormat="false" ht="15" hidden="false" customHeight="false" outlineLevel="0" collapsed="false">
      <c r="A202" s="28" t="str">
        <f aca="false">IF($K202=0,"",ROW()-4)</f>
        <v/>
      </c>
      <c r="B202" s="26" t="str">
        <f aca="false">IF($K202=0,"","OPERATIONS")</f>
        <v/>
      </c>
      <c r="C202" s="26" t="str">
        <f aca="false">IF($K202=0,"",OPERATIONS!$A202)</f>
        <v/>
      </c>
      <c r="D202" s="31" t="str">
        <f aca="false">IF($K202=0,"",OPERATIONS!$B202)</f>
        <v/>
      </c>
      <c r="E202" s="26" t="str">
        <f aca="false">IF($K202=0,"","SORTIE")</f>
        <v/>
      </c>
      <c r="F202" s="26" t="str">
        <f aca="false">IF($K202=0,"",OPERATIONS!$C202)</f>
        <v/>
      </c>
      <c r="G202" s="26" t="str">
        <f aca="false">IF($K202=0,"",OPERATIONS!$D202)</f>
        <v/>
      </c>
      <c r="H202" s="26" t="str">
        <f aca="false">IF($K202=0,"",OPERATIONS!$E202)</f>
        <v/>
      </c>
      <c r="I202" s="26" t="str">
        <f aca="false">IF($H202="","",IFERROR(INDEX(EMPL_CLASSE,MATCH($H202,EMPL_KEY,0)),""))</f>
        <v/>
      </c>
      <c r="J202" s="26" t="str">
        <f aca="false">IF($K202=0,"",OPERATIONS!$J202)</f>
        <v/>
      </c>
      <c r="K202" s="67" t="n">
        <f aca="false">IF(OR(OPERATIONS!$N202=0,OPERATIONS!$C202="RECEPTION"),0,-OPERATIONS!$G202)</f>
        <v>0</v>
      </c>
      <c r="L202" s="67" t="n">
        <f aca="false">IF($K202=0,0,OPERATIONS!$Q202*$K202)</f>
        <v>0</v>
      </c>
      <c r="M202" s="26" t="str">
        <f aca="false">IF($K202=0,"",OPERATIONS!$P202)</f>
        <v/>
      </c>
      <c r="N202" s="26" t="str">
        <f aca="false">IF($G202="","",IF($G202=R_LOT,COUNTIF($G$5:$G202,R_LOT),""))</f>
        <v/>
      </c>
    </row>
    <row r="203" customFormat="false" ht="15" hidden="false" customHeight="false" outlineLevel="0" collapsed="false">
      <c r="A203" s="28" t="str">
        <f aca="false">IF($K203=0,"",ROW()-4)</f>
        <v/>
      </c>
      <c r="B203" s="26" t="str">
        <f aca="false">IF($K203=0,"","OPERATIONS")</f>
        <v/>
      </c>
      <c r="C203" s="26" t="str">
        <f aca="false">IF($K203=0,"",OPERATIONS!$A203)</f>
        <v/>
      </c>
      <c r="D203" s="31" t="str">
        <f aca="false">IF($K203=0,"",OPERATIONS!$B203)</f>
        <v/>
      </c>
      <c r="E203" s="26" t="str">
        <f aca="false">IF($K203=0,"","SORTIE")</f>
        <v/>
      </c>
      <c r="F203" s="26" t="str">
        <f aca="false">IF($K203=0,"",OPERATIONS!$C203)</f>
        <v/>
      </c>
      <c r="G203" s="26" t="str">
        <f aca="false">IF($K203=0,"",OPERATIONS!$D203)</f>
        <v/>
      </c>
      <c r="H203" s="26" t="str">
        <f aca="false">IF($K203=0,"",OPERATIONS!$E203)</f>
        <v/>
      </c>
      <c r="I203" s="26" t="str">
        <f aca="false">IF($H203="","",IFERROR(INDEX(EMPL_CLASSE,MATCH($H203,EMPL_KEY,0)),""))</f>
        <v/>
      </c>
      <c r="J203" s="26" t="str">
        <f aca="false">IF($K203=0,"",OPERATIONS!$J203)</f>
        <v/>
      </c>
      <c r="K203" s="67" t="n">
        <f aca="false">IF(OR(OPERATIONS!$N203=0,OPERATIONS!$C203="RECEPTION"),0,-OPERATIONS!$G203)</f>
        <v>0</v>
      </c>
      <c r="L203" s="67" t="n">
        <f aca="false">IF($K203=0,0,OPERATIONS!$Q203*$K203)</f>
        <v>0</v>
      </c>
      <c r="M203" s="26" t="str">
        <f aca="false">IF($K203=0,"",OPERATIONS!$P203)</f>
        <v/>
      </c>
      <c r="N203" s="26" t="str">
        <f aca="false">IF($G203="","",IF($G203=R_LOT,COUNTIF($G$5:$G203,R_LOT),""))</f>
        <v/>
      </c>
    </row>
    <row r="204" customFormat="false" ht="15" hidden="false" customHeight="false" outlineLevel="0" collapsed="false">
      <c r="A204" s="28" t="str">
        <f aca="false">IF($K204=0,"",ROW()-4)</f>
        <v/>
      </c>
      <c r="B204" s="26" t="str">
        <f aca="false">IF($K204=0,"","OPERATIONS")</f>
        <v/>
      </c>
      <c r="C204" s="26" t="str">
        <f aca="false">IF($K204=0,"",OPERATIONS!$A204)</f>
        <v/>
      </c>
      <c r="D204" s="31" t="str">
        <f aca="false">IF($K204=0,"",OPERATIONS!$B204)</f>
        <v/>
      </c>
      <c r="E204" s="26" t="str">
        <f aca="false">IF($K204=0,"","SORTIE")</f>
        <v/>
      </c>
      <c r="F204" s="26" t="str">
        <f aca="false">IF($K204=0,"",OPERATIONS!$C204)</f>
        <v/>
      </c>
      <c r="G204" s="26" t="str">
        <f aca="false">IF($K204=0,"",OPERATIONS!$D204)</f>
        <v/>
      </c>
      <c r="H204" s="26" t="str">
        <f aca="false">IF($K204=0,"",OPERATIONS!$E204)</f>
        <v/>
      </c>
      <c r="I204" s="26" t="str">
        <f aca="false">IF($H204="","",IFERROR(INDEX(EMPL_CLASSE,MATCH($H204,EMPL_KEY,0)),""))</f>
        <v/>
      </c>
      <c r="J204" s="26" t="str">
        <f aca="false">IF($K204=0,"",OPERATIONS!$J204)</f>
        <v/>
      </c>
      <c r="K204" s="67" t="n">
        <f aca="false">IF(OR(OPERATIONS!$N204=0,OPERATIONS!$C204="RECEPTION"),0,-OPERATIONS!$G204)</f>
        <v>0</v>
      </c>
      <c r="L204" s="67" t="n">
        <f aca="false">IF($K204=0,0,OPERATIONS!$Q204*$K204)</f>
        <v>0</v>
      </c>
      <c r="M204" s="26" t="str">
        <f aca="false">IF($K204=0,"",OPERATIONS!$P204)</f>
        <v/>
      </c>
      <c r="N204" s="26" t="str">
        <f aca="false">IF($G204="","",IF($G204=R_LOT,COUNTIF($G$5:$G204,R_LOT),""))</f>
        <v/>
      </c>
    </row>
    <row r="205" customFormat="false" ht="15" hidden="false" customHeight="false" outlineLevel="0" collapsed="false">
      <c r="A205" s="28" t="str">
        <f aca="false">IF($K205=0,"",ROW()-4)</f>
        <v/>
      </c>
      <c r="B205" s="26" t="str">
        <f aca="false">IF($K205=0,"","OPERATIONS")</f>
        <v/>
      </c>
      <c r="C205" s="26" t="str">
        <f aca="false">IF($K205=0,"",OPERATIONS!$A205)</f>
        <v/>
      </c>
      <c r="D205" s="31" t="str">
        <f aca="false">IF($K205=0,"",OPERATIONS!$B205)</f>
        <v/>
      </c>
      <c r="E205" s="26" t="str">
        <f aca="false">IF($K205=0,"","SORTIE")</f>
        <v/>
      </c>
      <c r="F205" s="26" t="str">
        <f aca="false">IF($K205=0,"",OPERATIONS!$C205)</f>
        <v/>
      </c>
      <c r="G205" s="26" t="str">
        <f aca="false">IF($K205=0,"",OPERATIONS!$D205)</f>
        <v/>
      </c>
      <c r="H205" s="26" t="str">
        <f aca="false">IF($K205=0,"",OPERATIONS!$E205)</f>
        <v/>
      </c>
      <c r="I205" s="26" t="str">
        <f aca="false">IF($H205="","",IFERROR(INDEX(EMPL_CLASSE,MATCH($H205,EMPL_KEY,0)),""))</f>
        <v/>
      </c>
      <c r="J205" s="26" t="str">
        <f aca="false">IF($K205=0,"",OPERATIONS!$J205)</f>
        <v/>
      </c>
      <c r="K205" s="67" t="n">
        <f aca="false">IF(OR(OPERATIONS!$N205=0,OPERATIONS!$C205="RECEPTION"),0,-OPERATIONS!$G205)</f>
        <v>0</v>
      </c>
      <c r="L205" s="67" t="n">
        <f aca="false">IF($K205=0,0,OPERATIONS!$Q205*$K205)</f>
        <v>0</v>
      </c>
      <c r="M205" s="26" t="str">
        <f aca="false">IF($K205=0,"",OPERATIONS!$P205)</f>
        <v/>
      </c>
      <c r="N205" s="26" t="str">
        <f aca="false">IF($G205="","",IF($G205=R_LOT,COUNTIF($G$5:$G205,R_LOT),""))</f>
        <v/>
      </c>
    </row>
    <row r="206" customFormat="false" ht="15" hidden="false" customHeight="false" outlineLevel="0" collapsed="false">
      <c r="A206" s="28" t="str">
        <f aca="false">IF($K206=0,"",ROW()-4)</f>
        <v/>
      </c>
      <c r="B206" s="26" t="str">
        <f aca="false">IF($K206=0,"","OPERATIONS")</f>
        <v/>
      </c>
      <c r="C206" s="26" t="str">
        <f aca="false">IF($K206=0,"",OPERATIONS!$A206)</f>
        <v/>
      </c>
      <c r="D206" s="31" t="str">
        <f aca="false">IF($K206=0,"",OPERATIONS!$B206)</f>
        <v/>
      </c>
      <c r="E206" s="26" t="str">
        <f aca="false">IF($K206=0,"","SORTIE")</f>
        <v/>
      </c>
      <c r="F206" s="26" t="str">
        <f aca="false">IF($K206=0,"",OPERATIONS!$C206)</f>
        <v/>
      </c>
      <c r="G206" s="26" t="str">
        <f aca="false">IF($K206=0,"",OPERATIONS!$D206)</f>
        <v/>
      </c>
      <c r="H206" s="26" t="str">
        <f aca="false">IF($K206=0,"",OPERATIONS!$E206)</f>
        <v/>
      </c>
      <c r="I206" s="26" t="str">
        <f aca="false">IF($H206="","",IFERROR(INDEX(EMPL_CLASSE,MATCH($H206,EMPL_KEY,0)),""))</f>
        <v/>
      </c>
      <c r="J206" s="26" t="str">
        <f aca="false">IF($K206=0,"",OPERATIONS!$J206)</f>
        <v/>
      </c>
      <c r="K206" s="67" t="n">
        <f aca="false">IF(OR(OPERATIONS!$N206=0,OPERATIONS!$C206="RECEPTION"),0,-OPERATIONS!$G206)</f>
        <v>0</v>
      </c>
      <c r="L206" s="67" t="n">
        <f aca="false">IF($K206=0,0,OPERATIONS!$Q206*$K206)</f>
        <v>0</v>
      </c>
      <c r="M206" s="26" t="str">
        <f aca="false">IF($K206=0,"",OPERATIONS!$P206)</f>
        <v/>
      </c>
      <c r="N206" s="26" t="str">
        <f aca="false">IF($G206="","",IF($G206=R_LOT,COUNTIF($G$5:$G206,R_LOT),""))</f>
        <v/>
      </c>
    </row>
    <row r="207" customFormat="false" ht="15" hidden="false" customHeight="false" outlineLevel="0" collapsed="false">
      <c r="A207" s="28" t="str">
        <f aca="false">IF($K207=0,"",ROW()-4)</f>
        <v/>
      </c>
      <c r="B207" s="26" t="str">
        <f aca="false">IF($K207=0,"","OPERATIONS")</f>
        <v/>
      </c>
      <c r="C207" s="26" t="str">
        <f aca="false">IF($K207=0,"",OPERATIONS!$A207)</f>
        <v/>
      </c>
      <c r="D207" s="31" t="str">
        <f aca="false">IF($K207=0,"",OPERATIONS!$B207)</f>
        <v/>
      </c>
      <c r="E207" s="26" t="str">
        <f aca="false">IF($K207=0,"","SORTIE")</f>
        <v/>
      </c>
      <c r="F207" s="26" t="str">
        <f aca="false">IF($K207=0,"",OPERATIONS!$C207)</f>
        <v/>
      </c>
      <c r="G207" s="26" t="str">
        <f aca="false">IF($K207=0,"",OPERATIONS!$D207)</f>
        <v/>
      </c>
      <c r="H207" s="26" t="str">
        <f aca="false">IF($K207=0,"",OPERATIONS!$E207)</f>
        <v/>
      </c>
      <c r="I207" s="26" t="str">
        <f aca="false">IF($H207="","",IFERROR(INDEX(EMPL_CLASSE,MATCH($H207,EMPL_KEY,0)),""))</f>
        <v/>
      </c>
      <c r="J207" s="26" t="str">
        <f aca="false">IF($K207=0,"",OPERATIONS!$J207)</f>
        <v/>
      </c>
      <c r="K207" s="67" t="n">
        <f aca="false">IF(OR(OPERATIONS!$N207=0,OPERATIONS!$C207="RECEPTION"),0,-OPERATIONS!$G207)</f>
        <v>0</v>
      </c>
      <c r="L207" s="67" t="n">
        <f aca="false">IF($K207=0,0,OPERATIONS!$Q207*$K207)</f>
        <v>0</v>
      </c>
      <c r="M207" s="26" t="str">
        <f aca="false">IF($K207=0,"",OPERATIONS!$P207)</f>
        <v/>
      </c>
      <c r="N207" s="26" t="str">
        <f aca="false">IF($G207="","",IF($G207=R_LOT,COUNTIF($G$5:$G207,R_LOT),""))</f>
        <v/>
      </c>
    </row>
    <row r="208" customFormat="false" ht="15" hidden="false" customHeight="false" outlineLevel="0" collapsed="false">
      <c r="A208" s="28" t="str">
        <f aca="false">IF($K208=0,"",ROW()-4)</f>
        <v/>
      </c>
      <c r="B208" s="26" t="str">
        <f aca="false">IF($K208=0,"","OPERATIONS")</f>
        <v/>
      </c>
      <c r="C208" s="26" t="str">
        <f aca="false">IF($K208=0,"",OPERATIONS!$A208)</f>
        <v/>
      </c>
      <c r="D208" s="31" t="str">
        <f aca="false">IF($K208=0,"",OPERATIONS!$B208)</f>
        <v/>
      </c>
      <c r="E208" s="26" t="str">
        <f aca="false">IF($K208=0,"","SORTIE")</f>
        <v/>
      </c>
      <c r="F208" s="26" t="str">
        <f aca="false">IF($K208=0,"",OPERATIONS!$C208)</f>
        <v/>
      </c>
      <c r="G208" s="26" t="str">
        <f aca="false">IF($K208=0,"",OPERATIONS!$D208)</f>
        <v/>
      </c>
      <c r="H208" s="26" t="str">
        <f aca="false">IF($K208=0,"",OPERATIONS!$E208)</f>
        <v/>
      </c>
      <c r="I208" s="26" t="str">
        <f aca="false">IF($H208="","",IFERROR(INDEX(EMPL_CLASSE,MATCH($H208,EMPL_KEY,0)),""))</f>
        <v/>
      </c>
      <c r="J208" s="26" t="str">
        <f aca="false">IF($K208=0,"",OPERATIONS!$J208)</f>
        <v/>
      </c>
      <c r="K208" s="67" t="n">
        <f aca="false">IF(OR(OPERATIONS!$N208=0,OPERATIONS!$C208="RECEPTION"),0,-OPERATIONS!$G208)</f>
        <v>0</v>
      </c>
      <c r="L208" s="67" t="n">
        <f aca="false">IF($K208=0,0,OPERATIONS!$Q208*$K208)</f>
        <v>0</v>
      </c>
      <c r="M208" s="26" t="str">
        <f aca="false">IF($K208=0,"",OPERATIONS!$P208)</f>
        <v/>
      </c>
      <c r="N208" s="26" t="str">
        <f aca="false">IF($G208="","",IF($G208=R_LOT,COUNTIF($G$5:$G208,R_LOT),""))</f>
        <v/>
      </c>
    </row>
    <row r="209" customFormat="false" ht="15" hidden="false" customHeight="false" outlineLevel="0" collapsed="false">
      <c r="A209" s="28" t="str">
        <f aca="false">IF($K209=0,"",ROW()-4)</f>
        <v/>
      </c>
      <c r="B209" s="26" t="str">
        <f aca="false">IF($K209=0,"","OPERATIONS")</f>
        <v/>
      </c>
      <c r="C209" s="26" t="str">
        <f aca="false">IF($K209=0,"",OPERATIONS!$A209)</f>
        <v/>
      </c>
      <c r="D209" s="31" t="str">
        <f aca="false">IF($K209=0,"",OPERATIONS!$B209)</f>
        <v/>
      </c>
      <c r="E209" s="26" t="str">
        <f aca="false">IF($K209=0,"","SORTIE")</f>
        <v/>
      </c>
      <c r="F209" s="26" t="str">
        <f aca="false">IF($K209=0,"",OPERATIONS!$C209)</f>
        <v/>
      </c>
      <c r="G209" s="26" t="str">
        <f aca="false">IF($K209=0,"",OPERATIONS!$D209)</f>
        <v/>
      </c>
      <c r="H209" s="26" t="str">
        <f aca="false">IF($K209=0,"",OPERATIONS!$E209)</f>
        <v/>
      </c>
      <c r="I209" s="26" t="str">
        <f aca="false">IF($H209="","",IFERROR(INDEX(EMPL_CLASSE,MATCH($H209,EMPL_KEY,0)),""))</f>
        <v/>
      </c>
      <c r="J209" s="26" t="str">
        <f aca="false">IF($K209=0,"",OPERATIONS!$J209)</f>
        <v/>
      </c>
      <c r="K209" s="67" t="n">
        <f aca="false">IF(OR(OPERATIONS!$N209=0,OPERATIONS!$C209="RECEPTION"),0,-OPERATIONS!$G209)</f>
        <v>0</v>
      </c>
      <c r="L209" s="67" t="n">
        <f aca="false">IF($K209=0,0,OPERATIONS!$Q209*$K209)</f>
        <v>0</v>
      </c>
      <c r="M209" s="26" t="str">
        <f aca="false">IF($K209=0,"",OPERATIONS!$P209)</f>
        <v/>
      </c>
      <c r="N209" s="26" t="str">
        <f aca="false">IF($G209="","",IF($G209=R_LOT,COUNTIF($G$5:$G209,R_LOT),""))</f>
        <v/>
      </c>
    </row>
    <row r="210" customFormat="false" ht="15" hidden="false" customHeight="false" outlineLevel="0" collapsed="false">
      <c r="A210" s="28" t="str">
        <f aca="false">IF($K210=0,"",ROW()-4)</f>
        <v/>
      </c>
      <c r="B210" s="26" t="str">
        <f aca="false">IF($K210=0,"","OPERATIONS")</f>
        <v/>
      </c>
      <c r="C210" s="26" t="str">
        <f aca="false">IF($K210=0,"",OPERATIONS!$A210)</f>
        <v/>
      </c>
      <c r="D210" s="31" t="str">
        <f aca="false">IF($K210=0,"",OPERATIONS!$B210)</f>
        <v/>
      </c>
      <c r="E210" s="26" t="str">
        <f aca="false">IF($K210=0,"","SORTIE")</f>
        <v/>
      </c>
      <c r="F210" s="26" t="str">
        <f aca="false">IF($K210=0,"",OPERATIONS!$C210)</f>
        <v/>
      </c>
      <c r="G210" s="26" t="str">
        <f aca="false">IF($K210=0,"",OPERATIONS!$D210)</f>
        <v/>
      </c>
      <c r="H210" s="26" t="str">
        <f aca="false">IF($K210=0,"",OPERATIONS!$E210)</f>
        <v/>
      </c>
      <c r="I210" s="26" t="str">
        <f aca="false">IF($H210="","",IFERROR(INDEX(EMPL_CLASSE,MATCH($H210,EMPL_KEY,0)),""))</f>
        <v/>
      </c>
      <c r="J210" s="26" t="str">
        <f aca="false">IF($K210=0,"",OPERATIONS!$J210)</f>
        <v/>
      </c>
      <c r="K210" s="67" t="n">
        <f aca="false">IF(OR(OPERATIONS!$N210=0,OPERATIONS!$C210="RECEPTION"),0,-OPERATIONS!$G210)</f>
        <v>0</v>
      </c>
      <c r="L210" s="67" t="n">
        <f aca="false">IF($K210=0,0,OPERATIONS!$Q210*$K210)</f>
        <v>0</v>
      </c>
      <c r="M210" s="26" t="str">
        <f aca="false">IF($K210=0,"",OPERATIONS!$P210)</f>
        <v/>
      </c>
      <c r="N210" s="26" t="str">
        <f aca="false">IF($G210="","",IF($G210=R_LOT,COUNTIF($G$5:$G210,R_LOT),""))</f>
        <v/>
      </c>
    </row>
    <row r="211" customFormat="false" ht="15" hidden="false" customHeight="false" outlineLevel="0" collapsed="false">
      <c r="A211" s="28" t="str">
        <f aca="false">IF($K211=0,"",ROW()-4)</f>
        <v/>
      </c>
      <c r="B211" s="26" t="str">
        <f aca="false">IF($K211=0,"","OPERATIONS")</f>
        <v/>
      </c>
      <c r="C211" s="26" t="str">
        <f aca="false">IF($K211=0,"",OPERATIONS!$A211)</f>
        <v/>
      </c>
      <c r="D211" s="31" t="str">
        <f aca="false">IF($K211=0,"",OPERATIONS!$B211)</f>
        <v/>
      </c>
      <c r="E211" s="26" t="str">
        <f aca="false">IF($K211=0,"","SORTIE")</f>
        <v/>
      </c>
      <c r="F211" s="26" t="str">
        <f aca="false">IF($K211=0,"",OPERATIONS!$C211)</f>
        <v/>
      </c>
      <c r="G211" s="26" t="str">
        <f aca="false">IF($K211=0,"",OPERATIONS!$D211)</f>
        <v/>
      </c>
      <c r="H211" s="26" t="str">
        <f aca="false">IF($K211=0,"",OPERATIONS!$E211)</f>
        <v/>
      </c>
      <c r="I211" s="26" t="str">
        <f aca="false">IF($H211="","",IFERROR(INDEX(EMPL_CLASSE,MATCH($H211,EMPL_KEY,0)),""))</f>
        <v/>
      </c>
      <c r="J211" s="26" t="str">
        <f aca="false">IF($K211=0,"",OPERATIONS!$J211)</f>
        <v/>
      </c>
      <c r="K211" s="67" t="n">
        <f aca="false">IF(OR(OPERATIONS!$N211=0,OPERATIONS!$C211="RECEPTION"),0,-OPERATIONS!$G211)</f>
        <v>0</v>
      </c>
      <c r="L211" s="67" t="n">
        <f aca="false">IF($K211=0,0,OPERATIONS!$Q211*$K211)</f>
        <v>0</v>
      </c>
      <c r="M211" s="26" t="str">
        <f aca="false">IF($K211=0,"",OPERATIONS!$P211)</f>
        <v/>
      </c>
      <c r="N211" s="26" t="str">
        <f aca="false">IF($G211="","",IF($G211=R_LOT,COUNTIF($G$5:$G211,R_LOT),""))</f>
        <v/>
      </c>
    </row>
    <row r="212" customFormat="false" ht="15" hidden="false" customHeight="false" outlineLevel="0" collapsed="false">
      <c r="A212" s="28" t="str">
        <f aca="false">IF($K212=0,"",ROW()-4)</f>
        <v/>
      </c>
      <c r="B212" s="26" t="str">
        <f aca="false">IF($K212=0,"","OPERATIONS")</f>
        <v/>
      </c>
      <c r="C212" s="26" t="str">
        <f aca="false">IF($K212=0,"",OPERATIONS!$A212)</f>
        <v/>
      </c>
      <c r="D212" s="31" t="str">
        <f aca="false">IF($K212=0,"",OPERATIONS!$B212)</f>
        <v/>
      </c>
      <c r="E212" s="26" t="str">
        <f aca="false">IF($K212=0,"","SORTIE")</f>
        <v/>
      </c>
      <c r="F212" s="26" t="str">
        <f aca="false">IF($K212=0,"",OPERATIONS!$C212)</f>
        <v/>
      </c>
      <c r="G212" s="26" t="str">
        <f aca="false">IF($K212=0,"",OPERATIONS!$D212)</f>
        <v/>
      </c>
      <c r="H212" s="26" t="str">
        <f aca="false">IF($K212=0,"",OPERATIONS!$E212)</f>
        <v/>
      </c>
      <c r="I212" s="26" t="str">
        <f aca="false">IF($H212="","",IFERROR(INDEX(EMPL_CLASSE,MATCH($H212,EMPL_KEY,0)),""))</f>
        <v/>
      </c>
      <c r="J212" s="26" t="str">
        <f aca="false">IF($K212=0,"",OPERATIONS!$J212)</f>
        <v/>
      </c>
      <c r="K212" s="67" t="n">
        <f aca="false">IF(OR(OPERATIONS!$N212=0,OPERATIONS!$C212="RECEPTION"),0,-OPERATIONS!$G212)</f>
        <v>0</v>
      </c>
      <c r="L212" s="67" t="n">
        <f aca="false">IF($K212=0,0,OPERATIONS!$Q212*$K212)</f>
        <v>0</v>
      </c>
      <c r="M212" s="26" t="str">
        <f aca="false">IF($K212=0,"",OPERATIONS!$P212)</f>
        <v/>
      </c>
      <c r="N212" s="26" t="str">
        <f aca="false">IF($G212="","",IF($G212=R_LOT,COUNTIF($G$5:$G212,R_LOT),""))</f>
        <v/>
      </c>
    </row>
    <row r="213" customFormat="false" ht="15" hidden="false" customHeight="false" outlineLevel="0" collapsed="false">
      <c r="A213" s="28" t="str">
        <f aca="false">IF($K213=0,"",ROW()-4)</f>
        <v/>
      </c>
      <c r="B213" s="26" t="str">
        <f aca="false">IF($K213=0,"","OPERATIONS")</f>
        <v/>
      </c>
      <c r="C213" s="26" t="str">
        <f aca="false">IF($K213=0,"",OPERATIONS!$A213)</f>
        <v/>
      </c>
      <c r="D213" s="31" t="str">
        <f aca="false">IF($K213=0,"",OPERATIONS!$B213)</f>
        <v/>
      </c>
      <c r="E213" s="26" t="str">
        <f aca="false">IF($K213=0,"","SORTIE")</f>
        <v/>
      </c>
      <c r="F213" s="26" t="str">
        <f aca="false">IF($K213=0,"",OPERATIONS!$C213)</f>
        <v/>
      </c>
      <c r="G213" s="26" t="str">
        <f aca="false">IF($K213=0,"",OPERATIONS!$D213)</f>
        <v/>
      </c>
      <c r="H213" s="26" t="str">
        <f aca="false">IF($K213=0,"",OPERATIONS!$E213)</f>
        <v/>
      </c>
      <c r="I213" s="26" t="str">
        <f aca="false">IF($H213="","",IFERROR(INDEX(EMPL_CLASSE,MATCH($H213,EMPL_KEY,0)),""))</f>
        <v/>
      </c>
      <c r="J213" s="26" t="str">
        <f aca="false">IF($K213=0,"",OPERATIONS!$J213)</f>
        <v/>
      </c>
      <c r="K213" s="67" t="n">
        <f aca="false">IF(OR(OPERATIONS!$N213=0,OPERATIONS!$C213="RECEPTION"),0,-OPERATIONS!$G213)</f>
        <v>0</v>
      </c>
      <c r="L213" s="67" t="n">
        <f aca="false">IF($K213=0,0,OPERATIONS!$Q213*$K213)</f>
        <v>0</v>
      </c>
      <c r="M213" s="26" t="str">
        <f aca="false">IF($K213=0,"",OPERATIONS!$P213)</f>
        <v/>
      </c>
      <c r="N213" s="26" t="str">
        <f aca="false">IF($G213="","",IF($G213=R_LOT,COUNTIF($G$5:$G213,R_LOT),""))</f>
        <v/>
      </c>
    </row>
    <row r="214" customFormat="false" ht="15" hidden="false" customHeight="false" outlineLevel="0" collapsed="false">
      <c r="A214" s="28" t="str">
        <f aca="false">IF($K214=0,"",ROW()-4)</f>
        <v/>
      </c>
      <c r="B214" s="26" t="str">
        <f aca="false">IF($K214=0,"","OPERATIONS")</f>
        <v/>
      </c>
      <c r="C214" s="26" t="str">
        <f aca="false">IF($K214=0,"",OPERATIONS!$A214)</f>
        <v/>
      </c>
      <c r="D214" s="31" t="str">
        <f aca="false">IF($K214=0,"",OPERATIONS!$B214)</f>
        <v/>
      </c>
      <c r="E214" s="26" t="str">
        <f aca="false">IF($K214=0,"","SORTIE")</f>
        <v/>
      </c>
      <c r="F214" s="26" t="str">
        <f aca="false">IF($K214=0,"",OPERATIONS!$C214)</f>
        <v/>
      </c>
      <c r="G214" s="26" t="str">
        <f aca="false">IF($K214=0,"",OPERATIONS!$D214)</f>
        <v/>
      </c>
      <c r="H214" s="26" t="str">
        <f aca="false">IF($K214=0,"",OPERATIONS!$E214)</f>
        <v/>
      </c>
      <c r="I214" s="26" t="str">
        <f aca="false">IF($H214="","",IFERROR(INDEX(EMPL_CLASSE,MATCH($H214,EMPL_KEY,0)),""))</f>
        <v/>
      </c>
      <c r="J214" s="26" t="str">
        <f aca="false">IF($K214=0,"",OPERATIONS!$J214)</f>
        <v/>
      </c>
      <c r="K214" s="67" t="n">
        <f aca="false">IF(OR(OPERATIONS!$N214=0,OPERATIONS!$C214="RECEPTION"),0,-OPERATIONS!$G214)</f>
        <v>0</v>
      </c>
      <c r="L214" s="67" t="n">
        <f aca="false">IF($K214=0,0,OPERATIONS!$Q214*$K214)</f>
        <v>0</v>
      </c>
      <c r="M214" s="26" t="str">
        <f aca="false">IF($K214=0,"",OPERATIONS!$P214)</f>
        <v/>
      </c>
      <c r="N214" s="26" t="str">
        <f aca="false">IF($G214="","",IF($G214=R_LOT,COUNTIF($G$5:$G214,R_LOT),""))</f>
        <v/>
      </c>
    </row>
    <row r="215" customFormat="false" ht="15" hidden="false" customHeight="false" outlineLevel="0" collapsed="false">
      <c r="A215" s="28" t="str">
        <f aca="false">IF($K215=0,"",ROW()-4)</f>
        <v/>
      </c>
      <c r="B215" s="26" t="str">
        <f aca="false">IF($K215=0,"","OPERATIONS")</f>
        <v/>
      </c>
      <c r="C215" s="26" t="str">
        <f aca="false">IF($K215=0,"",OPERATIONS!$A215)</f>
        <v/>
      </c>
      <c r="D215" s="31" t="str">
        <f aca="false">IF($K215=0,"",OPERATIONS!$B215)</f>
        <v/>
      </c>
      <c r="E215" s="26" t="str">
        <f aca="false">IF($K215=0,"","SORTIE")</f>
        <v/>
      </c>
      <c r="F215" s="26" t="str">
        <f aca="false">IF($K215=0,"",OPERATIONS!$C215)</f>
        <v/>
      </c>
      <c r="G215" s="26" t="str">
        <f aca="false">IF($K215=0,"",OPERATIONS!$D215)</f>
        <v/>
      </c>
      <c r="H215" s="26" t="str">
        <f aca="false">IF($K215=0,"",OPERATIONS!$E215)</f>
        <v/>
      </c>
      <c r="I215" s="26" t="str">
        <f aca="false">IF($H215="","",IFERROR(INDEX(EMPL_CLASSE,MATCH($H215,EMPL_KEY,0)),""))</f>
        <v/>
      </c>
      <c r="J215" s="26" t="str">
        <f aca="false">IF($K215=0,"",OPERATIONS!$J215)</f>
        <v/>
      </c>
      <c r="K215" s="67" t="n">
        <f aca="false">IF(OR(OPERATIONS!$N215=0,OPERATIONS!$C215="RECEPTION"),0,-OPERATIONS!$G215)</f>
        <v>0</v>
      </c>
      <c r="L215" s="67" t="n">
        <f aca="false">IF($K215=0,0,OPERATIONS!$Q215*$K215)</f>
        <v>0</v>
      </c>
      <c r="M215" s="26" t="str">
        <f aca="false">IF($K215=0,"",OPERATIONS!$P215)</f>
        <v/>
      </c>
      <c r="N215" s="26" t="str">
        <f aca="false">IF($G215="","",IF($G215=R_LOT,COUNTIF($G$5:$G215,R_LOT),""))</f>
        <v/>
      </c>
    </row>
    <row r="216" customFormat="false" ht="15" hidden="false" customHeight="false" outlineLevel="0" collapsed="false">
      <c r="A216" s="28" t="str">
        <f aca="false">IF($K216=0,"",ROW()-4)</f>
        <v/>
      </c>
      <c r="B216" s="26" t="str">
        <f aca="false">IF($K216=0,"","OPERATIONS")</f>
        <v/>
      </c>
      <c r="C216" s="26" t="str">
        <f aca="false">IF($K216=0,"",OPERATIONS!$A216)</f>
        <v/>
      </c>
      <c r="D216" s="31" t="str">
        <f aca="false">IF($K216=0,"",OPERATIONS!$B216)</f>
        <v/>
      </c>
      <c r="E216" s="26" t="str">
        <f aca="false">IF($K216=0,"","SORTIE")</f>
        <v/>
      </c>
      <c r="F216" s="26" t="str">
        <f aca="false">IF($K216=0,"",OPERATIONS!$C216)</f>
        <v/>
      </c>
      <c r="G216" s="26" t="str">
        <f aca="false">IF($K216=0,"",OPERATIONS!$D216)</f>
        <v/>
      </c>
      <c r="H216" s="26" t="str">
        <f aca="false">IF($K216=0,"",OPERATIONS!$E216)</f>
        <v/>
      </c>
      <c r="I216" s="26" t="str">
        <f aca="false">IF($H216="","",IFERROR(INDEX(EMPL_CLASSE,MATCH($H216,EMPL_KEY,0)),""))</f>
        <v/>
      </c>
      <c r="J216" s="26" t="str">
        <f aca="false">IF($K216=0,"",OPERATIONS!$J216)</f>
        <v/>
      </c>
      <c r="K216" s="67" t="n">
        <f aca="false">IF(OR(OPERATIONS!$N216=0,OPERATIONS!$C216="RECEPTION"),0,-OPERATIONS!$G216)</f>
        <v>0</v>
      </c>
      <c r="L216" s="67" t="n">
        <f aca="false">IF($K216=0,0,OPERATIONS!$Q216*$K216)</f>
        <v>0</v>
      </c>
      <c r="M216" s="26" t="str">
        <f aca="false">IF($K216=0,"",OPERATIONS!$P216)</f>
        <v/>
      </c>
      <c r="N216" s="26" t="str">
        <f aca="false">IF($G216="","",IF($G216=R_LOT,COUNTIF($G$5:$G216,R_LOT),""))</f>
        <v/>
      </c>
    </row>
    <row r="217" customFormat="false" ht="15" hidden="false" customHeight="false" outlineLevel="0" collapsed="false">
      <c r="A217" s="28" t="str">
        <f aca="false">IF($K217=0,"",ROW()-4)</f>
        <v/>
      </c>
      <c r="B217" s="26" t="str">
        <f aca="false">IF($K217=0,"","OPERATIONS")</f>
        <v/>
      </c>
      <c r="C217" s="26" t="str">
        <f aca="false">IF($K217=0,"",OPERATIONS!$A217)</f>
        <v/>
      </c>
      <c r="D217" s="31" t="str">
        <f aca="false">IF($K217=0,"",OPERATIONS!$B217)</f>
        <v/>
      </c>
      <c r="E217" s="26" t="str">
        <f aca="false">IF($K217=0,"","SORTIE")</f>
        <v/>
      </c>
      <c r="F217" s="26" t="str">
        <f aca="false">IF($K217=0,"",OPERATIONS!$C217)</f>
        <v/>
      </c>
      <c r="G217" s="26" t="str">
        <f aca="false">IF($K217=0,"",OPERATIONS!$D217)</f>
        <v/>
      </c>
      <c r="H217" s="26" t="str">
        <f aca="false">IF($K217=0,"",OPERATIONS!$E217)</f>
        <v/>
      </c>
      <c r="I217" s="26" t="str">
        <f aca="false">IF($H217="","",IFERROR(INDEX(EMPL_CLASSE,MATCH($H217,EMPL_KEY,0)),""))</f>
        <v/>
      </c>
      <c r="J217" s="26" t="str">
        <f aca="false">IF($K217=0,"",OPERATIONS!$J217)</f>
        <v/>
      </c>
      <c r="K217" s="67" t="n">
        <f aca="false">IF(OR(OPERATIONS!$N217=0,OPERATIONS!$C217="RECEPTION"),0,-OPERATIONS!$G217)</f>
        <v>0</v>
      </c>
      <c r="L217" s="67" t="n">
        <f aca="false">IF($K217=0,0,OPERATIONS!$Q217*$K217)</f>
        <v>0</v>
      </c>
      <c r="M217" s="26" t="str">
        <f aca="false">IF($K217=0,"",OPERATIONS!$P217)</f>
        <v/>
      </c>
      <c r="N217" s="26" t="str">
        <f aca="false">IF($G217="","",IF($G217=R_LOT,COUNTIF($G$5:$G217,R_LOT),""))</f>
        <v/>
      </c>
    </row>
    <row r="218" customFormat="false" ht="15" hidden="false" customHeight="false" outlineLevel="0" collapsed="false">
      <c r="A218" s="28" t="str">
        <f aca="false">IF($K218=0,"",ROW()-4)</f>
        <v/>
      </c>
      <c r="B218" s="26" t="str">
        <f aca="false">IF($K218=0,"","OPERATIONS")</f>
        <v/>
      </c>
      <c r="C218" s="26" t="str">
        <f aca="false">IF($K218=0,"",OPERATIONS!$A218)</f>
        <v/>
      </c>
      <c r="D218" s="31" t="str">
        <f aca="false">IF($K218=0,"",OPERATIONS!$B218)</f>
        <v/>
      </c>
      <c r="E218" s="26" t="str">
        <f aca="false">IF($K218=0,"","SORTIE")</f>
        <v/>
      </c>
      <c r="F218" s="26" t="str">
        <f aca="false">IF($K218=0,"",OPERATIONS!$C218)</f>
        <v/>
      </c>
      <c r="G218" s="26" t="str">
        <f aca="false">IF($K218=0,"",OPERATIONS!$D218)</f>
        <v/>
      </c>
      <c r="H218" s="26" t="str">
        <f aca="false">IF($K218=0,"",OPERATIONS!$E218)</f>
        <v/>
      </c>
      <c r="I218" s="26" t="str">
        <f aca="false">IF($H218="","",IFERROR(INDEX(EMPL_CLASSE,MATCH($H218,EMPL_KEY,0)),""))</f>
        <v/>
      </c>
      <c r="J218" s="26" t="str">
        <f aca="false">IF($K218=0,"",OPERATIONS!$J218)</f>
        <v/>
      </c>
      <c r="K218" s="67" t="n">
        <f aca="false">IF(OR(OPERATIONS!$N218=0,OPERATIONS!$C218="RECEPTION"),0,-OPERATIONS!$G218)</f>
        <v>0</v>
      </c>
      <c r="L218" s="67" t="n">
        <f aca="false">IF($K218=0,0,OPERATIONS!$Q218*$K218)</f>
        <v>0</v>
      </c>
      <c r="M218" s="26" t="str">
        <f aca="false">IF($K218=0,"",OPERATIONS!$P218)</f>
        <v/>
      </c>
      <c r="N218" s="26" t="str">
        <f aca="false">IF($G218="","",IF($G218=R_LOT,COUNTIF($G$5:$G218,R_LOT),""))</f>
        <v/>
      </c>
    </row>
    <row r="219" customFormat="false" ht="15" hidden="false" customHeight="false" outlineLevel="0" collapsed="false">
      <c r="A219" s="28" t="str">
        <f aca="false">IF($K219=0,"",ROW()-4)</f>
        <v/>
      </c>
      <c r="B219" s="26" t="str">
        <f aca="false">IF($K219=0,"","OPERATIONS")</f>
        <v/>
      </c>
      <c r="C219" s="26" t="str">
        <f aca="false">IF($K219=0,"",OPERATIONS!$A219)</f>
        <v/>
      </c>
      <c r="D219" s="31" t="str">
        <f aca="false">IF($K219=0,"",OPERATIONS!$B219)</f>
        <v/>
      </c>
      <c r="E219" s="26" t="str">
        <f aca="false">IF($K219=0,"","SORTIE")</f>
        <v/>
      </c>
      <c r="F219" s="26" t="str">
        <f aca="false">IF($K219=0,"",OPERATIONS!$C219)</f>
        <v/>
      </c>
      <c r="G219" s="26" t="str">
        <f aca="false">IF($K219=0,"",OPERATIONS!$D219)</f>
        <v/>
      </c>
      <c r="H219" s="26" t="str">
        <f aca="false">IF($K219=0,"",OPERATIONS!$E219)</f>
        <v/>
      </c>
      <c r="I219" s="26" t="str">
        <f aca="false">IF($H219="","",IFERROR(INDEX(EMPL_CLASSE,MATCH($H219,EMPL_KEY,0)),""))</f>
        <v/>
      </c>
      <c r="J219" s="26" t="str">
        <f aca="false">IF($K219=0,"",OPERATIONS!$J219)</f>
        <v/>
      </c>
      <c r="K219" s="67" t="n">
        <f aca="false">IF(OR(OPERATIONS!$N219=0,OPERATIONS!$C219="RECEPTION"),0,-OPERATIONS!$G219)</f>
        <v>0</v>
      </c>
      <c r="L219" s="67" t="n">
        <f aca="false">IF($K219=0,0,OPERATIONS!$Q219*$K219)</f>
        <v>0</v>
      </c>
      <c r="M219" s="26" t="str">
        <f aca="false">IF($K219=0,"",OPERATIONS!$P219)</f>
        <v/>
      </c>
      <c r="N219" s="26" t="str">
        <f aca="false">IF($G219="","",IF($G219=R_LOT,COUNTIF($G$5:$G219,R_LOT),""))</f>
        <v/>
      </c>
    </row>
    <row r="220" customFormat="false" ht="15" hidden="false" customHeight="false" outlineLevel="0" collapsed="false">
      <c r="A220" s="28" t="str">
        <f aca="false">IF($K220=0,"",ROW()-4)</f>
        <v/>
      </c>
      <c r="B220" s="26" t="str">
        <f aca="false">IF($K220=0,"","OPERATIONS")</f>
        <v/>
      </c>
      <c r="C220" s="26" t="str">
        <f aca="false">IF($K220=0,"",OPERATIONS!$A220)</f>
        <v/>
      </c>
      <c r="D220" s="31" t="str">
        <f aca="false">IF($K220=0,"",OPERATIONS!$B220)</f>
        <v/>
      </c>
      <c r="E220" s="26" t="str">
        <f aca="false">IF($K220=0,"","SORTIE")</f>
        <v/>
      </c>
      <c r="F220" s="26" t="str">
        <f aca="false">IF($K220=0,"",OPERATIONS!$C220)</f>
        <v/>
      </c>
      <c r="G220" s="26" t="str">
        <f aca="false">IF($K220=0,"",OPERATIONS!$D220)</f>
        <v/>
      </c>
      <c r="H220" s="26" t="str">
        <f aca="false">IF($K220=0,"",OPERATIONS!$E220)</f>
        <v/>
      </c>
      <c r="I220" s="26" t="str">
        <f aca="false">IF($H220="","",IFERROR(INDEX(EMPL_CLASSE,MATCH($H220,EMPL_KEY,0)),""))</f>
        <v/>
      </c>
      <c r="J220" s="26" t="str">
        <f aca="false">IF($K220=0,"",OPERATIONS!$J220)</f>
        <v/>
      </c>
      <c r="K220" s="67" t="n">
        <f aca="false">IF(OR(OPERATIONS!$N220=0,OPERATIONS!$C220="RECEPTION"),0,-OPERATIONS!$G220)</f>
        <v>0</v>
      </c>
      <c r="L220" s="67" t="n">
        <f aca="false">IF($K220=0,0,OPERATIONS!$Q220*$K220)</f>
        <v>0</v>
      </c>
      <c r="M220" s="26" t="str">
        <f aca="false">IF($K220=0,"",OPERATIONS!$P220)</f>
        <v/>
      </c>
      <c r="N220" s="26" t="str">
        <f aca="false">IF($G220="","",IF($G220=R_LOT,COUNTIF($G$5:$G220,R_LOT),""))</f>
        <v/>
      </c>
    </row>
    <row r="221" customFormat="false" ht="15" hidden="false" customHeight="false" outlineLevel="0" collapsed="false">
      <c r="A221" s="28" t="str">
        <f aca="false">IF($K221=0,"",ROW()-4)</f>
        <v/>
      </c>
      <c r="B221" s="26" t="str">
        <f aca="false">IF($K221=0,"","OPERATIONS")</f>
        <v/>
      </c>
      <c r="C221" s="26" t="str">
        <f aca="false">IF($K221=0,"",OPERATIONS!$A221)</f>
        <v/>
      </c>
      <c r="D221" s="31" t="str">
        <f aca="false">IF($K221=0,"",OPERATIONS!$B221)</f>
        <v/>
      </c>
      <c r="E221" s="26" t="str">
        <f aca="false">IF($K221=0,"","SORTIE")</f>
        <v/>
      </c>
      <c r="F221" s="26" t="str">
        <f aca="false">IF($K221=0,"",OPERATIONS!$C221)</f>
        <v/>
      </c>
      <c r="G221" s="26" t="str">
        <f aca="false">IF($K221=0,"",OPERATIONS!$D221)</f>
        <v/>
      </c>
      <c r="H221" s="26" t="str">
        <f aca="false">IF($K221=0,"",OPERATIONS!$E221)</f>
        <v/>
      </c>
      <c r="I221" s="26" t="str">
        <f aca="false">IF($H221="","",IFERROR(INDEX(EMPL_CLASSE,MATCH($H221,EMPL_KEY,0)),""))</f>
        <v/>
      </c>
      <c r="J221" s="26" t="str">
        <f aca="false">IF($K221=0,"",OPERATIONS!$J221)</f>
        <v/>
      </c>
      <c r="K221" s="67" t="n">
        <f aca="false">IF(OR(OPERATIONS!$N221=0,OPERATIONS!$C221="RECEPTION"),0,-OPERATIONS!$G221)</f>
        <v>0</v>
      </c>
      <c r="L221" s="67" t="n">
        <f aca="false">IF($K221=0,0,OPERATIONS!$Q221*$K221)</f>
        <v>0</v>
      </c>
      <c r="M221" s="26" t="str">
        <f aca="false">IF($K221=0,"",OPERATIONS!$P221)</f>
        <v/>
      </c>
      <c r="N221" s="26" t="str">
        <f aca="false">IF($G221="","",IF($G221=R_LOT,COUNTIF($G$5:$G221,R_LOT),""))</f>
        <v/>
      </c>
    </row>
    <row r="222" customFormat="false" ht="15" hidden="false" customHeight="false" outlineLevel="0" collapsed="false">
      <c r="A222" s="28" t="str">
        <f aca="false">IF($K222=0,"",ROW()-4)</f>
        <v/>
      </c>
      <c r="B222" s="26" t="str">
        <f aca="false">IF($K222=0,"","OPERATIONS")</f>
        <v/>
      </c>
      <c r="C222" s="26" t="str">
        <f aca="false">IF($K222=0,"",OPERATIONS!$A222)</f>
        <v/>
      </c>
      <c r="D222" s="31" t="str">
        <f aca="false">IF($K222=0,"",OPERATIONS!$B222)</f>
        <v/>
      </c>
      <c r="E222" s="26" t="str">
        <f aca="false">IF($K222=0,"","SORTIE")</f>
        <v/>
      </c>
      <c r="F222" s="26" t="str">
        <f aca="false">IF($K222=0,"",OPERATIONS!$C222)</f>
        <v/>
      </c>
      <c r="G222" s="26" t="str">
        <f aca="false">IF($K222=0,"",OPERATIONS!$D222)</f>
        <v/>
      </c>
      <c r="H222" s="26" t="str">
        <f aca="false">IF($K222=0,"",OPERATIONS!$E222)</f>
        <v/>
      </c>
      <c r="I222" s="26" t="str">
        <f aca="false">IF($H222="","",IFERROR(INDEX(EMPL_CLASSE,MATCH($H222,EMPL_KEY,0)),""))</f>
        <v/>
      </c>
      <c r="J222" s="26" t="str">
        <f aca="false">IF($K222=0,"",OPERATIONS!$J222)</f>
        <v/>
      </c>
      <c r="K222" s="67" t="n">
        <f aca="false">IF(OR(OPERATIONS!$N222=0,OPERATIONS!$C222="RECEPTION"),0,-OPERATIONS!$G222)</f>
        <v>0</v>
      </c>
      <c r="L222" s="67" t="n">
        <f aca="false">IF($K222=0,0,OPERATIONS!$Q222*$K222)</f>
        <v>0</v>
      </c>
      <c r="M222" s="26" t="str">
        <f aca="false">IF($K222=0,"",OPERATIONS!$P222)</f>
        <v/>
      </c>
      <c r="N222" s="26" t="str">
        <f aca="false">IF($G222="","",IF($G222=R_LOT,COUNTIF($G$5:$G222,R_LOT),""))</f>
        <v/>
      </c>
    </row>
    <row r="223" customFormat="false" ht="15" hidden="false" customHeight="false" outlineLevel="0" collapsed="false">
      <c r="A223" s="28" t="str">
        <f aca="false">IF($K223=0,"",ROW()-4)</f>
        <v/>
      </c>
      <c r="B223" s="26" t="str">
        <f aca="false">IF($K223=0,"","OPERATIONS")</f>
        <v/>
      </c>
      <c r="C223" s="26" t="str">
        <f aca="false">IF($K223=0,"",OPERATIONS!$A223)</f>
        <v/>
      </c>
      <c r="D223" s="31" t="str">
        <f aca="false">IF($K223=0,"",OPERATIONS!$B223)</f>
        <v/>
      </c>
      <c r="E223" s="26" t="str">
        <f aca="false">IF($K223=0,"","SORTIE")</f>
        <v/>
      </c>
      <c r="F223" s="26" t="str">
        <f aca="false">IF($K223=0,"",OPERATIONS!$C223)</f>
        <v/>
      </c>
      <c r="G223" s="26" t="str">
        <f aca="false">IF($K223=0,"",OPERATIONS!$D223)</f>
        <v/>
      </c>
      <c r="H223" s="26" t="str">
        <f aca="false">IF($K223=0,"",OPERATIONS!$E223)</f>
        <v/>
      </c>
      <c r="I223" s="26" t="str">
        <f aca="false">IF($H223="","",IFERROR(INDEX(EMPL_CLASSE,MATCH($H223,EMPL_KEY,0)),""))</f>
        <v/>
      </c>
      <c r="J223" s="26" t="str">
        <f aca="false">IF($K223=0,"",OPERATIONS!$J223)</f>
        <v/>
      </c>
      <c r="K223" s="67" t="n">
        <f aca="false">IF(OR(OPERATIONS!$N223=0,OPERATIONS!$C223="RECEPTION"),0,-OPERATIONS!$G223)</f>
        <v>0</v>
      </c>
      <c r="L223" s="67" t="n">
        <f aca="false">IF($K223=0,0,OPERATIONS!$Q223*$K223)</f>
        <v>0</v>
      </c>
      <c r="M223" s="26" t="str">
        <f aca="false">IF($K223=0,"",OPERATIONS!$P223)</f>
        <v/>
      </c>
      <c r="N223" s="26" t="str">
        <f aca="false">IF($G223="","",IF($G223=R_LOT,COUNTIF($G$5:$G223,R_LOT),""))</f>
        <v/>
      </c>
    </row>
    <row r="224" customFormat="false" ht="15" hidden="false" customHeight="false" outlineLevel="0" collapsed="false">
      <c r="A224" s="28" t="str">
        <f aca="false">IF($K224=0,"",ROW()-4)</f>
        <v/>
      </c>
      <c r="B224" s="26" t="str">
        <f aca="false">IF($K224=0,"","OPERATIONS")</f>
        <v/>
      </c>
      <c r="C224" s="26" t="str">
        <f aca="false">IF($K224=0,"",OPERATIONS!$A224)</f>
        <v/>
      </c>
      <c r="D224" s="31" t="str">
        <f aca="false">IF($K224=0,"",OPERATIONS!$B224)</f>
        <v/>
      </c>
      <c r="E224" s="26" t="str">
        <f aca="false">IF($K224=0,"","SORTIE")</f>
        <v/>
      </c>
      <c r="F224" s="26" t="str">
        <f aca="false">IF($K224=0,"",OPERATIONS!$C224)</f>
        <v/>
      </c>
      <c r="G224" s="26" t="str">
        <f aca="false">IF($K224=0,"",OPERATIONS!$D224)</f>
        <v/>
      </c>
      <c r="H224" s="26" t="str">
        <f aca="false">IF($K224=0,"",OPERATIONS!$E224)</f>
        <v/>
      </c>
      <c r="I224" s="26" t="str">
        <f aca="false">IF($H224="","",IFERROR(INDEX(EMPL_CLASSE,MATCH($H224,EMPL_KEY,0)),""))</f>
        <v/>
      </c>
      <c r="J224" s="26" t="str">
        <f aca="false">IF($K224=0,"",OPERATIONS!$J224)</f>
        <v/>
      </c>
      <c r="K224" s="67" t="n">
        <f aca="false">IF(OR(OPERATIONS!$N224=0,OPERATIONS!$C224="RECEPTION"),0,-OPERATIONS!$G224)</f>
        <v>0</v>
      </c>
      <c r="L224" s="67" t="n">
        <f aca="false">IF($K224=0,0,OPERATIONS!$Q224*$K224)</f>
        <v>0</v>
      </c>
      <c r="M224" s="26" t="str">
        <f aca="false">IF($K224=0,"",OPERATIONS!$P224)</f>
        <v/>
      </c>
      <c r="N224" s="26" t="str">
        <f aca="false">IF($G224="","",IF($G224=R_LOT,COUNTIF($G$5:$G224,R_LOT),""))</f>
        <v/>
      </c>
    </row>
    <row r="225" customFormat="false" ht="15" hidden="false" customHeight="false" outlineLevel="0" collapsed="false">
      <c r="A225" s="28" t="str">
        <f aca="false">IF($K225=0,"",ROW()-4)</f>
        <v/>
      </c>
      <c r="B225" s="26" t="str">
        <f aca="false">IF($K225=0,"","OPERATIONS")</f>
        <v/>
      </c>
      <c r="C225" s="26" t="str">
        <f aca="false">IF($K225=0,"",OPERATIONS!$A225)</f>
        <v/>
      </c>
      <c r="D225" s="31" t="str">
        <f aca="false">IF($K225=0,"",OPERATIONS!$B225)</f>
        <v/>
      </c>
      <c r="E225" s="26" t="str">
        <f aca="false">IF($K225=0,"","SORTIE")</f>
        <v/>
      </c>
      <c r="F225" s="26" t="str">
        <f aca="false">IF($K225=0,"",OPERATIONS!$C225)</f>
        <v/>
      </c>
      <c r="G225" s="26" t="str">
        <f aca="false">IF($K225=0,"",OPERATIONS!$D225)</f>
        <v/>
      </c>
      <c r="H225" s="26" t="str">
        <f aca="false">IF($K225=0,"",OPERATIONS!$E225)</f>
        <v/>
      </c>
      <c r="I225" s="26" t="str">
        <f aca="false">IF($H225="","",IFERROR(INDEX(EMPL_CLASSE,MATCH($H225,EMPL_KEY,0)),""))</f>
        <v/>
      </c>
      <c r="J225" s="26" t="str">
        <f aca="false">IF($K225=0,"",OPERATIONS!$J225)</f>
        <v/>
      </c>
      <c r="K225" s="67" t="n">
        <f aca="false">IF(OR(OPERATIONS!$N225=0,OPERATIONS!$C225="RECEPTION"),0,-OPERATIONS!$G225)</f>
        <v>0</v>
      </c>
      <c r="L225" s="67" t="n">
        <f aca="false">IF($K225=0,0,OPERATIONS!$Q225*$K225)</f>
        <v>0</v>
      </c>
      <c r="M225" s="26" t="str">
        <f aca="false">IF($K225=0,"",OPERATIONS!$P225)</f>
        <v/>
      </c>
      <c r="N225" s="26" t="str">
        <f aca="false">IF($G225="","",IF($G225=R_LOT,COUNTIF($G$5:$G225,R_LOT),""))</f>
        <v/>
      </c>
    </row>
    <row r="226" customFormat="false" ht="15" hidden="false" customHeight="false" outlineLevel="0" collapsed="false">
      <c r="A226" s="28" t="str">
        <f aca="false">IF($K226=0,"",ROW()-4)</f>
        <v/>
      </c>
      <c r="B226" s="26" t="str">
        <f aca="false">IF($K226=0,"","OPERATIONS")</f>
        <v/>
      </c>
      <c r="C226" s="26" t="str">
        <f aca="false">IF($K226=0,"",OPERATIONS!$A226)</f>
        <v/>
      </c>
      <c r="D226" s="31" t="str">
        <f aca="false">IF($K226=0,"",OPERATIONS!$B226)</f>
        <v/>
      </c>
      <c r="E226" s="26" t="str">
        <f aca="false">IF($K226=0,"","SORTIE")</f>
        <v/>
      </c>
      <c r="F226" s="26" t="str">
        <f aca="false">IF($K226=0,"",OPERATIONS!$C226)</f>
        <v/>
      </c>
      <c r="G226" s="26" t="str">
        <f aca="false">IF($K226=0,"",OPERATIONS!$D226)</f>
        <v/>
      </c>
      <c r="H226" s="26" t="str">
        <f aca="false">IF($K226=0,"",OPERATIONS!$E226)</f>
        <v/>
      </c>
      <c r="I226" s="26" t="str">
        <f aca="false">IF($H226="","",IFERROR(INDEX(EMPL_CLASSE,MATCH($H226,EMPL_KEY,0)),""))</f>
        <v/>
      </c>
      <c r="J226" s="26" t="str">
        <f aca="false">IF($K226=0,"",OPERATIONS!$J226)</f>
        <v/>
      </c>
      <c r="K226" s="67" t="n">
        <f aca="false">IF(OR(OPERATIONS!$N226=0,OPERATIONS!$C226="RECEPTION"),0,-OPERATIONS!$G226)</f>
        <v>0</v>
      </c>
      <c r="L226" s="67" t="n">
        <f aca="false">IF($K226=0,0,OPERATIONS!$Q226*$K226)</f>
        <v>0</v>
      </c>
      <c r="M226" s="26" t="str">
        <f aca="false">IF($K226=0,"",OPERATIONS!$P226)</f>
        <v/>
      </c>
      <c r="N226" s="26" t="str">
        <f aca="false">IF($G226="","",IF($G226=R_LOT,COUNTIF($G$5:$G226,R_LOT),""))</f>
        <v/>
      </c>
    </row>
    <row r="227" customFormat="false" ht="15" hidden="false" customHeight="false" outlineLevel="0" collapsed="false">
      <c r="A227" s="28" t="str">
        <f aca="false">IF($K227=0,"",ROW()-4)</f>
        <v/>
      </c>
      <c r="B227" s="26" t="str">
        <f aca="false">IF($K227=0,"","OPERATIONS")</f>
        <v/>
      </c>
      <c r="C227" s="26" t="str">
        <f aca="false">IF($K227=0,"",OPERATIONS!$A227)</f>
        <v/>
      </c>
      <c r="D227" s="31" t="str">
        <f aca="false">IF($K227=0,"",OPERATIONS!$B227)</f>
        <v/>
      </c>
      <c r="E227" s="26" t="str">
        <f aca="false">IF($K227=0,"","SORTIE")</f>
        <v/>
      </c>
      <c r="F227" s="26" t="str">
        <f aca="false">IF($K227=0,"",OPERATIONS!$C227)</f>
        <v/>
      </c>
      <c r="G227" s="26" t="str">
        <f aca="false">IF($K227=0,"",OPERATIONS!$D227)</f>
        <v/>
      </c>
      <c r="H227" s="26" t="str">
        <f aca="false">IF($K227=0,"",OPERATIONS!$E227)</f>
        <v/>
      </c>
      <c r="I227" s="26" t="str">
        <f aca="false">IF($H227="","",IFERROR(INDEX(EMPL_CLASSE,MATCH($H227,EMPL_KEY,0)),""))</f>
        <v/>
      </c>
      <c r="J227" s="26" t="str">
        <f aca="false">IF($K227=0,"",OPERATIONS!$J227)</f>
        <v/>
      </c>
      <c r="K227" s="67" t="n">
        <f aca="false">IF(OR(OPERATIONS!$N227=0,OPERATIONS!$C227="RECEPTION"),0,-OPERATIONS!$G227)</f>
        <v>0</v>
      </c>
      <c r="L227" s="67" t="n">
        <f aca="false">IF($K227=0,0,OPERATIONS!$Q227*$K227)</f>
        <v>0</v>
      </c>
      <c r="M227" s="26" t="str">
        <f aca="false">IF($K227=0,"",OPERATIONS!$P227)</f>
        <v/>
      </c>
      <c r="N227" s="26" t="str">
        <f aca="false">IF($G227="","",IF($G227=R_LOT,COUNTIF($G$5:$G227,R_LOT),""))</f>
        <v/>
      </c>
    </row>
    <row r="228" customFormat="false" ht="15" hidden="false" customHeight="false" outlineLevel="0" collapsed="false">
      <c r="A228" s="28" t="str">
        <f aca="false">IF($K228=0,"",ROW()-4)</f>
        <v/>
      </c>
      <c r="B228" s="26" t="str">
        <f aca="false">IF($K228=0,"","OPERATIONS")</f>
        <v/>
      </c>
      <c r="C228" s="26" t="str">
        <f aca="false">IF($K228=0,"",OPERATIONS!$A228)</f>
        <v/>
      </c>
      <c r="D228" s="31" t="str">
        <f aca="false">IF($K228=0,"",OPERATIONS!$B228)</f>
        <v/>
      </c>
      <c r="E228" s="26" t="str">
        <f aca="false">IF($K228=0,"","SORTIE")</f>
        <v/>
      </c>
      <c r="F228" s="26" t="str">
        <f aca="false">IF($K228=0,"",OPERATIONS!$C228)</f>
        <v/>
      </c>
      <c r="G228" s="26" t="str">
        <f aca="false">IF($K228=0,"",OPERATIONS!$D228)</f>
        <v/>
      </c>
      <c r="H228" s="26" t="str">
        <f aca="false">IF($K228=0,"",OPERATIONS!$E228)</f>
        <v/>
      </c>
      <c r="I228" s="26" t="str">
        <f aca="false">IF($H228="","",IFERROR(INDEX(EMPL_CLASSE,MATCH($H228,EMPL_KEY,0)),""))</f>
        <v/>
      </c>
      <c r="J228" s="26" t="str">
        <f aca="false">IF($K228=0,"",OPERATIONS!$J228)</f>
        <v/>
      </c>
      <c r="K228" s="67" t="n">
        <f aca="false">IF(OR(OPERATIONS!$N228=0,OPERATIONS!$C228="RECEPTION"),0,-OPERATIONS!$G228)</f>
        <v>0</v>
      </c>
      <c r="L228" s="67" t="n">
        <f aca="false">IF($K228=0,0,OPERATIONS!$Q228*$K228)</f>
        <v>0</v>
      </c>
      <c r="M228" s="26" t="str">
        <f aca="false">IF($K228=0,"",OPERATIONS!$P228)</f>
        <v/>
      </c>
      <c r="N228" s="26" t="str">
        <f aca="false">IF($G228="","",IF($G228=R_LOT,COUNTIF($G$5:$G228,R_LOT),""))</f>
        <v/>
      </c>
    </row>
    <row r="229" customFormat="false" ht="15" hidden="false" customHeight="false" outlineLevel="0" collapsed="false">
      <c r="A229" s="28" t="str">
        <f aca="false">IF($K229=0,"",ROW()-4)</f>
        <v/>
      </c>
      <c r="B229" s="26" t="str">
        <f aca="false">IF($K229=0,"","OPERATIONS")</f>
        <v/>
      </c>
      <c r="C229" s="26" t="str">
        <f aca="false">IF($K229=0,"",OPERATIONS!$A229)</f>
        <v/>
      </c>
      <c r="D229" s="31" t="str">
        <f aca="false">IF($K229=0,"",OPERATIONS!$B229)</f>
        <v/>
      </c>
      <c r="E229" s="26" t="str">
        <f aca="false">IF($K229=0,"","SORTIE")</f>
        <v/>
      </c>
      <c r="F229" s="26" t="str">
        <f aca="false">IF($K229=0,"",OPERATIONS!$C229)</f>
        <v/>
      </c>
      <c r="G229" s="26" t="str">
        <f aca="false">IF($K229=0,"",OPERATIONS!$D229)</f>
        <v/>
      </c>
      <c r="H229" s="26" t="str">
        <f aca="false">IF($K229=0,"",OPERATIONS!$E229)</f>
        <v/>
      </c>
      <c r="I229" s="26" t="str">
        <f aca="false">IF($H229="","",IFERROR(INDEX(EMPL_CLASSE,MATCH($H229,EMPL_KEY,0)),""))</f>
        <v/>
      </c>
      <c r="J229" s="26" t="str">
        <f aca="false">IF($K229=0,"",OPERATIONS!$J229)</f>
        <v/>
      </c>
      <c r="K229" s="67" t="n">
        <f aca="false">IF(OR(OPERATIONS!$N229=0,OPERATIONS!$C229="RECEPTION"),0,-OPERATIONS!$G229)</f>
        <v>0</v>
      </c>
      <c r="L229" s="67" t="n">
        <f aca="false">IF($K229=0,0,OPERATIONS!$Q229*$K229)</f>
        <v>0</v>
      </c>
      <c r="M229" s="26" t="str">
        <f aca="false">IF($K229=0,"",OPERATIONS!$P229)</f>
        <v/>
      </c>
      <c r="N229" s="26" t="str">
        <f aca="false">IF($G229="","",IF($G229=R_LOT,COUNTIF($G$5:$G229,R_LOT),""))</f>
        <v/>
      </c>
    </row>
    <row r="230" customFormat="false" ht="15" hidden="false" customHeight="false" outlineLevel="0" collapsed="false">
      <c r="A230" s="28" t="str">
        <f aca="false">IF($K230=0,"",ROW()-4)</f>
        <v/>
      </c>
      <c r="B230" s="26" t="str">
        <f aca="false">IF($K230=0,"","OPERATIONS")</f>
        <v/>
      </c>
      <c r="C230" s="26" t="str">
        <f aca="false">IF($K230=0,"",OPERATIONS!$A230)</f>
        <v/>
      </c>
      <c r="D230" s="31" t="str">
        <f aca="false">IF($K230=0,"",OPERATIONS!$B230)</f>
        <v/>
      </c>
      <c r="E230" s="26" t="str">
        <f aca="false">IF($K230=0,"","SORTIE")</f>
        <v/>
      </c>
      <c r="F230" s="26" t="str">
        <f aca="false">IF($K230=0,"",OPERATIONS!$C230)</f>
        <v/>
      </c>
      <c r="G230" s="26" t="str">
        <f aca="false">IF($K230=0,"",OPERATIONS!$D230)</f>
        <v/>
      </c>
      <c r="H230" s="26" t="str">
        <f aca="false">IF($K230=0,"",OPERATIONS!$E230)</f>
        <v/>
      </c>
      <c r="I230" s="26" t="str">
        <f aca="false">IF($H230="","",IFERROR(INDEX(EMPL_CLASSE,MATCH($H230,EMPL_KEY,0)),""))</f>
        <v/>
      </c>
      <c r="J230" s="26" t="str">
        <f aca="false">IF($K230=0,"",OPERATIONS!$J230)</f>
        <v/>
      </c>
      <c r="K230" s="67" t="n">
        <f aca="false">IF(OR(OPERATIONS!$N230=0,OPERATIONS!$C230="RECEPTION"),0,-OPERATIONS!$G230)</f>
        <v>0</v>
      </c>
      <c r="L230" s="67" t="n">
        <f aca="false">IF($K230=0,0,OPERATIONS!$Q230*$K230)</f>
        <v>0</v>
      </c>
      <c r="M230" s="26" t="str">
        <f aca="false">IF($K230=0,"",OPERATIONS!$P230)</f>
        <v/>
      </c>
      <c r="N230" s="26" t="str">
        <f aca="false">IF($G230="","",IF($G230=R_LOT,COUNTIF($G$5:$G230,R_LOT),""))</f>
        <v/>
      </c>
    </row>
    <row r="231" customFormat="false" ht="15" hidden="false" customHeight="false" outlineLevel="0" collapsed="false">
      <c r="A231" s="28" t="str">
        <f aca="false">IF($K231=0,"",ROW()-4)</f>
        <v/>
      </c>
      <c r="B231" s="26" t="str">
        <f aca="false">IF($K231=0,"","OPERATIONS")</f>
        <v/>
      </c>
      <c r="C231" s="26" t="str">
        <f aca="false">IF($K231=0,"",OPERATIONS!$A231)</f>
        <v/>
      </c>
      <c r="D231" s="31" t="str">
        <f aca="false">IF($K231=0,"",OPERATIONS!$B231)</f>
        <v/>
      </c>
      <c r="E231" s="26" t="str">
        <f aca="false">IF($K231=0,"","SORTIE")</f>
        <v/>
      </c>
      <c r="F231" s="26" t="str">
        <f aca="false">IF($K231=0,"",OPERATIONS!$C231)</f>
        <v/>
      </c>
      <c r="G231" s="26" t="str">
        <f aca="false">IF($K231=0,"",OPERATIONS!$D231)</f>
        <v/>
      </c>
      <c r="H231" s="26" t="str">
        <f aca="false">IF($K231=0,"",OPERATIONS!$E231)</f>
        <v/>
      </c>
      <c r="I231" s="26" t="str">
        <f aca="false">IF($H231="","",IFERROR(INDEX(EMPL_CLASSE,MATCH($H231,EMPL_KEY,0)),""))</f>
        <v/>
      </c>
      <c r="J231" s="26" t="str">
        <f aca="false">IF($K231=0,"",OPERATIONS!$J231)</f>
        <v/>
      </c>
      <c r="K231" s="67" t="n">
        <f aca="false">IF(OR(OPERATIONS!$N231=0,OPERATIONS!$C231="RECEPTION"),0,-OPERATIONS!$G231)</f>
        <v>0</v>
      </c>
      <c r="L231" s="67" t="n">
        <f aca="false">IF($K231=0,0,OPERATIONS!$Q231*$K231)</f>
        <v>0</v>
      </c>
      <c r="M231" s="26" t="str">
        <f aca="false">IF($K231=0,"",OPERATIONS!$P231)</f>
        <v/>
      </c>
      <c r="N231" s="26" t="str">
        <f aca="false">IF($G231="","",IF($G231=R_LOT,COUNTIF($G$5:$G231,R_LOT),""))</f>
        <v/>
      </c>
    </row>
    <row r="232" customFormat="false" ht="15" hidden="false" customHeight="false" outlineLevel="0" collapsed="false">
      <c r="A232" s="28" t="str">
        <f aca="false">IF($K232=0,"",ROW()-4)</f>
        <v/>
      </c>
      <c r="B232" s="26" t="str">
        <f aca="false">IF($K232=0,"","OPERATIONS")</f>
        <v/>
      </c>
      <c r="C232" s="26" t="str">
        <f aca="false">IF($K232=0,"",OPERATIONS!$A232)</f>
        <v/>
      </c>
      <c r="D232" s="31" t="str">
        <f aca="false">IF($K232=0,"",OPERATIONS!$B232)</f>
        <v/>
      </c>
      <c r="E232" s="26" t="str">
        <f aca="false">IF($K232=0,"","SORTIE")</f>
        <v/>
      </c>
      <c r="F232" s="26" t="str">
        <f aca="false">IF($K232=0,"",OPERATIONS!$C232)</f>
        <v/>
      </c>
      <c r="G232" s="26" t="str">
        <f aca="false">IF($K232=0,"",OPERATIONS!$D232)</f>
        <v/>
      </c>
      <c r="H232" s="26" t="str">
        <f aca="false">IF($K232=0,"",OPERATIONS!$E232)</f>
        <v/>
      </c>
      <c r="I232" s="26" t="str">
        <f aca="false">IF($H232="","",IFERROR(INDEX(EMPL_CLASSE,MATCH($H232,EMPL_KEY,0)),""))</f>
        <v/>
      </c>
      <c r="J232" s="26" t="str">
        <f aca="false">IF($K232=0,"",OPERATIONS!$J232)</f>
        <v/>
      </c>
      <c r="K232" s="67" t="n">
        <f aca="false">IF(OR(OPERATIONS!$N232=0,OPERATIONS!$C232="RECEPTION"),0,-OPERATIONS!$G232)</f>
        <v>0</v>
      </c>
      <c r="L232" s="67" t="n">
        <f aca="false">IF($K232=0,0,OPERATIONS!$Q232*$K232)</f>
        <v>0</v>
      </c>
      <c r="M232" s="26" t="str">
        <f aca="false">IF($K232=0,"",OPERATIONS!$P232)</f>
        <v/>
      </c>
      <c r="N232" s="26" t="str">
        <f aca="false">IF($G232="","",IF($G232=R_LOT,COUNTIF($G$5:$G232,R_LOT),""))</f>
        <v/>
      </c>
    </row>
    <row r="233" customFormat="false" ht="15" hidden="false" customHeight="false" outlineLevel="0" collapsed="false">
      <c r="A233" s="28" t="str">
        <f aca="false">IF($K233=0,"",ROW()-4)</f>
        <v/>
      </c>
      <c r="B233" s="26" t="str">
        <f aca="false">IF($K233=0,"","OPERATIONS")</f>
        <v/>
      </c>
      <c r="C233" s="26" t="str">
        <f aca="false">IF($K233=0,"",OPERATIONS!$A233)</f>
        <v/>
      </c>
      <c r="D233" s="31" t="str">
        <f aca="false">IF($K233=0,"",OPERATIONS!$B233)</f>
        <v/>
      </c>
      <c r="E233" s="26" t="str">
        <f aca="false">IF($K233=0,"","SORTIE")</f>
        <v/>
      </c>
      <c r="F233" s="26" t="str">
        <f aca="false">IF($K233=0,"",OPERATIONS!$C233)</f>
        <v/>
      </c>
      <c r="G233" s="26" t="str">
        <f aca="false">IF($K233=0,"",OPERATIONS!$D233)</f>
        <v/>
      </c>
      <c r="H233" s="26" t="str">
        <f aca="false">IF($K233=0,"",OPERATIONS!$E233)</f>
        <v/>
      </c>
      <c r="I233" s="26" t="str">
        <f aca="false">IF($H233="","",IFERROR(INDEX(EMPL_CLASSE,MATCH($H233,EMPL_KEY,0)),""))</f>
        <v/>
      </c>
      <c r="J233" s="26" t="str">
        <f aca="false">IF($K233=0,"",OPERATIONS!$J233)</f>
        <v/>
      </c>
      <c r="K233" s="67" t="n">
        <f aca="false">IF(OR(OPERATIONS!$N233=0,OPERATIONS!$C233="RECEPTION"),0,-OPERATIONS!$G233)</f>
        <v>0</v>
      </c>
      <c r="L233" s="67" t="n">
        <f aca="false">IF($K233=0,0,OPERATIONS!$Q233*$K233)</f>
        <v>0</v>
      </c>
      <c r="M233" s="26" t="str">
        <f aca="false">IF($K233=0,"",OPERATIONS!$P233)</f>
        <v/>
      </c>
      <c r="N233" s="26" t="str">
        <f aca="false">IF($G233="","",IF($G233=R_LOT,COUNTIF($G$5:$G233,R_LOT),""))</f>
        <v/>
      </c>
    </row>
    <row r="234" customFormat="false" ht="15" hidden="false" customHeight="false" outlineLevel="0" collapsed="false">
      <c r="A234" s="28" t="str">
        <f aca="false">IF($K234=0,"",ROW()-4)</f>
        <v/>
      </c>
      <c r="B234" s="26" t="str">
        <f aca="false">IF($K234=0,"","OPERATIONS")</f>
        <v/>
      </c>
      <c r="C234" s="26" t="str">
        <f aca="false">IF($K234=0,"",OPERATIONS!$A234)</f>
        <v/>
      </c>
      <c r="D234" s="31" t="str">
        <f aca="false">IF($K234=0,"",OPERATIONS!$B234)</f>
        <v/>
      </c>
      <c r="E234" s="26" t="str">
        <f aca="false">IF($K234=0,"","SORTIE")</f>
        <v/>
      </c>
      <c r="F234" s="26" t="str">
        <f aca="false">IF($K234=0,"",OPERATIONS!$C234)</f>
        <v/>
      </c>
      <c r="G234" s="26" t="str">
        <f aca="false">IF($K234=0,"",OPERATIONS!$D234)</f>
        <v/>
      </c>
      <c r="H234" s="26" t="str">
        <f aca="false">IF($K234=0,"",OPERATIONS!$E234)</f>
        <v/>
      </c>
      <c r="I234" s="26" t="str">
        <f aca="false">IF($H234="","",IFERROR(INDEX(EMPL_CLASSE,MATCH($H234,EMPL_KEY,0)),""))</f>
        <v/>
      </c>
      <c r="J234" s="26" t="str">
        <f aca="false">IF($K234=0,"",OPERATIONS!$J234)</f>
        <v/>
      </c>
      <c r="K234" s="67" t="n">
        <f aca="false">IF(OR(OPERATIONS!$N234=0,OPERATIONS!$C234="RECEPTION"),0,-OPERATIONS!$G234)</f>
        <v>0</v>
      </c>
      <c r="L234" s="67" t="n">
        <f aca="false">IF($K234=0,0,OPERATIONS!$Q234*$K234)</f>
        <v>0</v>
      </c>
      <c r="M234" s="26" t="str">
        <f aca="false">IF($K234=0,"",OPERATIONS!$P234)</f>
        <v/>
      </c>
      <c r="N234" s="26" t="str">
        <f aca="false">IF($G234="","",IF($G234=R_LOT,COUNTIF($G$5:$G234,R_LOT),""))</f>
        <v/>
      </c>
    </row>
    <row r="235" customFormat="false" ht="15" hidden="false" customHeight="false" outlineLevel="0" collapsed="false">
      <c r="A235" s="28" t="str">
        <f aca="false">IF($K235=0,"",ROW()-4)</f>
        <v/>
      </c>
      <c r="B235" s="26" t="str">
        <f aca="false">IF($K235=0,"","OPERATIONS")</f>
        <v/>
      </c>
      <c r="C235" s="26" t="str">
        <f aca="false">IF($K235=0,"",OPERATIONS!$A235)</f>
        <v/>
      </c>
      <c r="D235" s="31" t="str">
        <f aca="false">IF($K235=0,"",OPERATIONS!$B235)</f>
        <v/>
      </c>
      <c r="E235" s="26" t="str">
        <f aca="false">IF($K235=0,"","SORTIE")</f>
        <v/>
      </c>
      <c r="F235" s="26" t="str">
        <f aca="false">IF($K235=0,"",OPERATIONS!$C235)</f>
        <v/>
      </c>
      <c r="G235" s="26" t="str">
        <f aca="false">IF($K235=0,"",OPERATIONS!$D235)</f>
        <v/>
      </c>
      <c r="H235" s="26" t="str">
        <f aca="false">IF($K235=0,"",OPERATIONS!$E235)</f>
        <v/>
      </c>
      <c r="I235" s="26" t="str">
        <f aca="false">IF($H235="","",IFERROR(INDEX(EMPL_CLASSE,MATCH($H235,EMPL_KEY,0)),""))</f>
        <v/>
      </c>
      <c r="J235" s="26" t="str">
        <f aca="false">IF($K235=0,"",OPERATIONS!$J235)</f>
        <v/>
      </c>
      <c r="K235" s="67" t="n">
        <f aca="false">IF(OR(OPERATIONS!$N235=0,OPERATIONS!$C235="RECEPTION"),0,-OPERATIONS!$G235)</f>
        <v>0</v>
      </c>
      <c r="L235" s="67" t="n">
        <f aca="false">IF($K235=0,0,OPERATIONS!$Q235*$K235)</f>
        <v>0</v>
      </c>
      <c r="M235" s="26" t="str">
        <f aca="false">IF($K235=0,"",OPERATIONS!$P235)</f>
        <v/>
      </c>
      <c r="N235" s="26" t="str">
        <f aca="false">IF($G235="","",IF($G235=R_LOT,COUNTIF($G$5:$G235,R_LOT),""))</f>
        <v/>
      </c>
    </row>
    <row r="236" customFormat="false" ht="15" hidden="false" customHeight="false" outlineLevel="0" collapsed="false">
      <c r="A236" s="28" t="str">
        <f aca="false">IF($K236=0,"",ROW()-4)</f>
        <v/>
      </c>
      <c r="B236" s="26" t="str">
        <f aca="false">IF($K236=0,"","OPERATIONS")</f>
        <v/>
      </c>
      <c r="C236" s="26" t="str">
        <f aca="false">IF($K236=0,"",OPERATIONS!$A236)</f>
        <v/>
      </c>
      <c r="D236" s="31" t="str">
        <f aca="false">IF($K236=0,"",OPERATIONS!$B236)</f>
        <v/>
      </c>
      <c r="E236" s="26" t="str">
        <f aca="false">IF($K236=0,"","SORTIE")</f>
        <v/>
      </c>
      <c r="F236" s="26" t="str">
        <f aca="false">IF($K236=0,"",OPERATIONS!$C236)</f>
        <v/>
      </c>
      <c r="G236" s="26" t="str">
        <f aca="false">IF($K236=0,"",OPERATIONS!$D236)</f>
        <v/>
      </c>
      <c r="H236" s="26" t="str">
        <f aca="false">IF($K236=0,"",OPERATIONS!$E236)</f>
        <v/>
      </c>
      <c r="I236" s="26" t="str">
        <f aca="false">IF($H236="","",IFERROR(INDEX(EMPL_CLASSE,MATCH($H236,EMPL_KEY,0)),""))</f>
        <v/>
      </c>
      <c r="J236" s="26" t="str">
        <f aca="false">IF($K236=0,"",OPERATIONS!$J236)</f>
        <v/>
      </c>
      <c r="K236" s="67" t="n">
        <f aca="false">IF(OR(OPERATIONS!$N236=0,OPERATIONS!$C236="RECEPTION"),0,-OPERATIONS!$G236)</f>
        <v>0</v>
      </c>
      <c r="L236" s="67" t="n">
        <f aca="false">IF($K236=0,0,OPERATIONS!$Q236*$K236)</f>
        <v>0</v>
      </c>
      <c r="M236" s="26" t="str">
        <f aca="false">IF($K236=0,"",OPERATIONS!$P236)</f>
        <v/>
      </c>
      <c r="N236" s="26" t="str">
        <f aca="false">IF($G236="","",IF($G236=R_LOT,COUNTIF($G$5:$G236,R_LOT),""))</f>
        <v/>
      </c>
    </row>
    <row r="237" customFormat="false" ht="15" hidden="false" customHeight="false" outlineLevel="0" collapsed="false">
      <c r="A237" s="28" t="str">
        <f aca="false">IF($K237=0,"",ROW()-4)</f>
        <v/>
      </c>
      <c r="B237" s="26" t="str">
        <f aca="false">IF($K237=0,"","OPERATIONS")</f>
        <v/>
      </c>
      <c r="C237" s="26" t="str">
        <f aca="false">IF($K237=0,"",OPERATIONS!$A237)</f>
        <v/>
      </c>
      <c r="D237" s="31" t="str">
        <f aca="false">IF($K237=0,"",OPERATIONS!$B237)</f>
        <v/>
      </c>
      <c r="E237" s="26" t="str">
        <f aca="false">IF($K237=0,"","SORTIE")</f>
        <v/>
      </c>
      <c r="F237" s="26" t="str">
        <f aca="false">IF($K237=0,"",OPERATIONS!$C237)</f>
        <v/>
      </c>
      <c r="G237" s="26" t="str">
        <f aca="false">IF($K237=0,"",OPERATIONS!$D237)</f>
        <v/>
      </c>
      <c r="H237" s="26" t="str">
        <f aca="false">IF($K237=0,"",OPERATIONS!$E237)</f>
        <v/>
      </c>
      <c r="I237" s="26" t="str">
        <f aca="false">IF($H237="","",IFERROR(INDEX(EMPL_CLASSE,MATCH($H237,EMPL_KEY,0)),""))</f>
        <v/>
      </c>
      <c r="J237" s="26" t="str">
        <f aca="false">IF($K237=0,"",OPERATIONS!$J237)</f>
        <v/>
      </c>
      <c r="K237" s="67" t="n">
        <f aca="false">IF(OR(OPERATIONS!$N237=0,OPERATIONS!$C237="RECEPTION"),0,-OPERATIONS!$G237)</f>
        <v>0</v>
      </c>
      <c r="L237" s="67" t="n">
        <f aca="false">IF($K237=0,0,OPERATIONS!$Q237*$K237)</f>
        <v>0</v>
      </c>
      <c r="M237" s="26" t="str">
        <f aca="false">IF($K237=0,"",OPERATIONS!$P237)</f>
        <v/>
      </c>
      <c r="N237" s="26" t="str">
        <f aca="false">IF($G237="","",IF($G237=R_LOT,COUNTIF($G$5:$G237,R_LOT),""))</f>
        <v/>
      </c>
    </row>
    <row r="238" customFormat="false" ht="15" hidden="false" customHeight="false" outlineLevel="0" collapsed="false">
      <c r="A238" s="28" t="str">
        <f aca="false">IF($K238=0,"",ROW()-4)</f>
        <v/>
      </c>
      <c r="B238" s="26" t="str">
        <f aca="false">IF($K238=0,"","OPERATIONS")</f>
        <v/>
      </c>
      <c r="C238" s="26" t="str">
        <f aca="false">IF($K238=0,"",OPERATIONS!$A238)</f>
        <v/>
      </c>
      <c r="D238" s="31" t="str">
        <f aca="false">IF($K238=0,"",OPERATIONS!$B238)</f>
        <v/>
      </c>
      <c r="E238" s="26" t="str">
        <f aca="false">IF($K238=0,"","SORTIE")</f>
        <v/>
      </c>
      <c r="F238" s="26" t="str">
        <f aca="false">IF($K238=0,"",OPERATIONS!$C238)</f>
        <v/>
      </c>
      <c r="G238" s="26" t="str">
        <f aca="false">IF($K238=0,"",OPERATIONS!$D238)</f>
        <v/>
      </c>
      <c r="H238" s="26" t="str">
        <f aca="false">IF($K238=0,"",OPERATIONS!$E238)</f>
        <v/>
      </c>
      <c r="I238" s="26" t="str">
        <f aca="false">IF($H238="","",IFERROR(INDEX(EMPL_CLASSE,MATCH($H238,EMPL_KEY,0)),""))</f>
        <v/>
      </c>
      <c r="J238" s="26" t="str">
        <f aca="false">IF($K238=0,"",OPERATIONS!$J238)</f>
        <v/>
      </c>
      <c r="K238" s="67" t="n">
        <f aca="false">IF(OR(OPERATIONS!$N238=0,OPERATIONS!$C238="RECEPTION"),0,-OPERATIONS!$G238)</f>
        <v>0</v>
      </c>
      <c r="L238" s="67" t="n">
        <f aca="false">IF($K238=0,0,OPERATIONS!$Q238*$K238)</f>
        <v>0</v>
      </c>
      <c r="M238" s="26" t="str">
        <f aca="false">IF($K238=0,"",OPERATIONS!$P238)</f>
        <v/>
      </c>
      <c r="N238" s="26" t="str">
        <f aca="false">IF($G238="","",IF($G238=R_LOT,COUNTIF($G$5:$G238,R_LOT),""))</f>
        <v/>
      </c>
    </row>
    <row r="239" customFormat="false" ht="15" hidden="false" customHeight="false" outlineLevel="0" collapsed="false">
      <c r="A239" s="28" t="str">
        <f aca="false">IF($K239=0,"",ROW()-4)</f>
        <v/>
      </c>
      <c r="B239" s="26" t="str">
        <f aca="false">IF($K239=0,"","OPERATIONS")</f>
        <v/>
      </c>
      <c r="C239" s="26" t="str">
        <f aca="false">IF($K239=0,"",OPERATIONS!$A239)</f>
        <v/>
      </c>
      <c r="D239" s="31" t="str">
        <f aca="false">IF($K239=0,"",OPERATIONS!$B239)</f>
        <v/>
      </c>
      <c r="E239" s="26" t="str">
        <f aca="false">IF($K239=0,"","SORTIE")</f>
        <v/>
      </c>
      <c r="F239" s="26" t="str">
        <f aca="false">IF($K239=0,"",OPERATIONS!$C239)</f>
        <v/>
      </c>
      <c r="G239" s="26" t="str">
        <f aca="false">IF($K239=0,"",OPERATIONS!$D239)</f>
        <v/>
      </c>
      <c r="H239" s="26" t="str">
        <f aca="false">IF($K239=0,"",OPERATIONS!$E239)</f>
        <v/>
      </c>
      <c r="I239" s="26" t="str">
        <f aca="false">IF($H239="","",IFERROR(INDEX(EMPL_CLASSE,MATCH($H239,EMPL_KEY,0)),""))</f>
        <v/>
      </c>
      <c r="J239" s="26" t="str">
        <f aca="false">IF($K239=0,"",OPERATIONS!$J239)</f>
        <v/>
      </c>
      <c r="K239" s="67" t="n">
        <f aca="false">IF(OR(OPERATIONS!$N239=0,OPERATIONS!$C239="RECEPTION"),0,-OPERATIONS!$G239)</f>
        <v>0</v>
      </c>
      <c r="L239" s="67" t="n">
        <f aca="false">IF($K239=0,0,OPERATIONS!$Q239*$K239)</f>
        <v>0</v>
      </c>
      <c r="M239" s="26" t="str">
        <f aca="false">IF($K239=0,"",OPERATIONS!$P239)</f>
        <v/>
      </c>
      <c r="N239" s="26" t="str">
        <f aca="false">IF($G239="","",IF($G239=R_LOT,COUNTIF($G$5:$G239,R_LOT),""))</f>
        <v/>
      </c>
    </row>
    <row r="240" customFormat="false" ht="15" hidden="false" customHeight="false" outlineLevel="0" collapsed="false">
      <c r="A240" s="28" t="str">
        <f aca="false">IF($K240=0,"",ROW()-4)</f>
        <v/>
      </c>
      <c r="B240" s="26" t="str">
        <f aca="false">IF($K240=0,"","OPERATIONS")</f>
        <v/>
      </c>
      <c r="C240" s="26" t="str">
        <f aca="false">IF($K240=0,"",OPERATIONS!$A240)</f>
        <v/>
      </c>
      <c r="D240" s="31" t="str">
        <f aca="false">IF($K240=0,"",OPERATIONS!$B240)</f>
        <v/>
      </c>
      <c r="E240" s="26" t="str">
        <f aca="false">IF($K240=0,"","SORTIE")</f>
        <v/>
      </c>
      <c r="F240" s="26" t="str">
        <f aca="false">IF($K240=0,"",OPERATIONS!$C240)</f>
        <v/>
      </c>
      <c r="G240" s="26" t="str">
        <f aca="false">IF($K240=0,"",OPERATIONS!$D240)</f>
        <v/>
      </c>
      <c r="H240" s="26" t="str">
        <f aca="false">IF($K240=0,"",OPERATIONS!$E240)</f>
        <v/>
      </c>
      <c r="I240" s="26" t="str">
        <f aca="false">IF($H240="","",IFERROR(INDEX(EMPL_CLASSE,MATCH($H240,EMPL_KEY,0)),""))</f>
        <v/>
      </c>
      <c r="J240" s="26" t="str">
        <f aca="false">IF($K240=0,"",OPERATIONS!$J240)</f>
        <v/>
      </c>
      <c r="K240" s="67" t="n">
        <f aca="false">IF(OR(OPERATIONS!$N240=0,OPERATIONS!$C240="RECEPTION"),0,-OPERATIONS!$G240)</f>
        <v>0</v>
      </c>
      <c r="L240" s="67" t="n">
        <f aca="false">IF($K240=0,0,OPERATIONS!$Q240*$K240)</f>
        <v>0</v>
      </c>
      <c r="M240" s="26" t="str">
        <f aca="false">IF($K240=0,"",OPERATIONS!$P240)</f>
        <v/>
      </c>
      <c r="N240" s="26" t="str">
        <f aca="false">IF($G240="","",IF($G240=R_LOT,COUNTIF($G$5:$G240,R_LOT),""))</f>
        <v/>
      </c>
    </row>
    <row r="241" customFormat="false" ht="15" hidden="false" customHeight="false" outlineLevel="0" collapsed="false">
      <c r="A241" s="28" t="str">
        <f aca="false">IF($K241=0,"",ROW()-4)</f>
        <v/>
      </c>
      <c r="B241" s="26" t="str">
        <f aca="false">IF($K241=0,"","OPERATIONS")</f>
        <v/>
      </c>
      <c r="C241" s="26" t="str">
        <f aca="false">IF($K241=0,"",OPERATIONS!$A241)</f>
        <v/>
      </c>
      <c r="D241" s="31" t="str">
        <f aca="false">IF($K241=0,"",OPERATIONS!$B241)</f>
        <v/>
      </c>
      <c r="E241" s="26" t="str">
        <f aca="false">IF($K241=0,"","SORTIE")</f>
        <v/>
      </c>
      <c r="F241" s="26" t="str">
        <f aca="false">IF($K241=0,"",OPERATIONS!$C241)</f>
        <v/>
      </c>
      <c r="G241" s="26" t="str">
        <f aca="false">IF($K241=0,"",OPERATIONS!$D241)</f>
        <v/>
      </c>
      <c r="H241" s="26" t="str">
        <f aca="false">IF($K241=0,"",OPERATIONS!$E241)</f>
        <v/>
      </c>
      <c r="I241" s="26" t="str">
        <f aca="false">IF($H241="","",IFERROR(INDEX(EMPL_CLASSE,MATCH($H241,EMPL_KEY,0)),""))</f>
        <v/>
      </c>
      <c r="J241" s="26" t="str">
        <f aca="false">IF($K241=0,"",OPERATIONS!$J241)</f>
        <v/>
      </c>
      <c r="K241" s="67" t="n">
        <f aca="false">IF(OR(OPERATIONS!$N241=0,OPERATIONS!$C241="RECEPTION"),0,-OPERATIONS!$G241)</f>
        <v>0</v>
      </c>
      <c r="L241" s="67" t="n">
        <f aca="false">IF($K241=0,0,OPERATIONS!$Q241*$K241)</f>
        <v>0</v>
      </c>
      <c r="M241" s="26" t="str">
        <f aca="false">IF($K241=0,"",OPERATIONS!$P241)</f>
        <v/>
      </c>
      <c r="N241" s="26" t="str">
        <f aca="false">IF($G241="","",IF($G241=R_LOT,COUNTIF($G$5:$G241,R_LOT),""))</f>
        <v/>
      </c>
    </row>
    <row r="242" customFormat="false" ht="15" hidden="false" customHeight="false" outlineLevel="0" collapsed="false">
      <c r="A242" s="28" t="str">
        <f aca="false">IF($K242=0,"",ROW()-4)</f>
        <v/>
      </c>
      <c r="B242" s="26" t="str">
        <f aca="false">IF($K242=0,"","OPERATIONS")</f>
        <v/>
      </c>
      <c r="C242" s="26" t="str">
        <f aca="false">IF($K242=0,"",OPERATIONS!$A242)</f>
        <v/>
      </c>
      <c r="D242" s="31" t="str">
        <f aca="false">IF($K242=0,"",OPERATIONS!$B242)</f>
        <v/>
      </c>
      <c r="E242" s="26" t="str">
        <f aca="false">IF($K242=0,"","SORTIE")</f>
        <v/>
      </c>
      <c r="F242" s="26" t="str">
        <f aca="false">IF($K242=0,"",OPERATIONS!$C242)</f>
        <v/>
      </c>
      <c r="G242" s="26" t="str">
        <f aca="false">IF($K242=0,"",OPERATIONS!$D242)</f>
        <v/>
      </c>
      <c r="H242" s="26" t="str">
        <f aca="false">IF($K242=0,"",OPERATIONS!$E242)</f>
        <v/>
      </c>
      <c r="I242" s="26" t="str">
        <f aca="false">IF($H242="","",IFERROR(INDEX(EMPL_CLASSE,MATCH($H242,EMPL_KEY,0)),""))</f>
        <v/>
      </c>
      <c r="J242" s="26" t="str">
        <f aca="false">IF($K242=0,"",OPERATIONS!$J242)</f>
        <v/>
      </c>
      <c r="K242" s="67" t="n">
        <f aca="false">IF(OR(OPERATIONS!$N242=0,OPERATIONS!$C242="RECEPTION"),0,-OPERATIONS!$G242)</f>
        <v>0</v>
      </c>
      <c r="L242" s="67" t="n">
        <f aca="false">IF($K242=0,0,OPERATIONS!$Q242*$K242)</f>
        <v>0</v>
      </c>
      <c r="M242" s="26" t="str">
        <f aca="false">IF($K242=0,"",OPERATIONS!$P242)</f>
        <v/>
      </c>
      <c r="N242" s="26" t="str">
        <f aca="false">IF($G242="","",IF($G242=R_LOT,COUNTIF($G$5:$G242,R_LOT),""))</f>
        <v/>
      </c>
    </row>
    <row r="243" customFormat="false" ht="15" hidden="false" customHeight="false" outlineLevel="0" collapsed="false">
      <c r="A243" s="28" t="str">
        <f aca="false">IF($K243=0,"",ROW()-4)</f>
        <v/>
      </c>
      <c r="B243" s="26" t="str">
        <f aca="false">IF($K243=0,"","OPERATIONS")</f>
        <v/>
      </c>
      <c r="C243" s="26" t="str">
        <f aca="false">IF($K243=0,"",OPERATIONS!$A243)</f>
        <v/>
      </c>
      <c r="D243" s="31" t="str">
        <f aca="false">IF($K243=0,"",OPERATIONS!$B243)</f>
        <v/>
      </c>
      <c r="E243" s="26" t="str">
        <f aca="false">IF($K243=0,"","SORTIE")</f>
        <v/>
      </c>
      <c r="F243" s="26" t="str">
        <f aca="false">IF($K243=0,"",OPERATIONS!$C243)</f>
        <v/>
      </c>
      <c r="G243" s="26" t="str">
        <f aca="false">IF($K243=0,"",OPERATIONS!$D243)</f>
        <v/>
      </c>
      <c r="H243" s="26" t="str">
        <f aca="false">IF($K243=0,"",OPERATIONS!$E243)</f>
        <v/>
      </c>
      <c r="I243" s="26" t="str">
        <f aca="false">IF($H243="","",IFERROR(INDEX(EMPL_CLASSE,MATCH($H243,EMPL_KEY,0)),""))</f>
        <v/>
      </c>
      <c r="J243" s="26" t="str">
        <f aca="false">IF($K243=0,"",OPERATIONS!$J243)</f>
        <v/>
      </c>
      <c r="K243" s="67" t="n">
        <f aca="false">IF(OR(OPERATIONS!$N243=0,OPERATIONS!$C243="RECEPTION"),0,-OPERATIONS!$G243)</f>
        <v>0</v>
      </c>
      <c r="L243" s="67" t="n">
        <f aca="false">IF($K243=0,0,OPERATIONS!$Q243*$K243)</f>
        <v>0</v>
      </c>
      <c r="M243" s="26" t="str">
        <f aca="false">IF($K243=0,"",OPERATIONS!$P243)</f>
        <v/>
      </c>
      <c r="N243" s="26" t="str">
        <f aca="false">IF($G243="","",IF($G243=R_LOT,COUNTIF($G$5:$G243,R_LOT),""))</f>
        <v/>
      </c>
    </row>
    <row r="244" customFormat="false" ht="15" hidden="false" customHeight="false" outlineLevel="0" collapsed="false">
      <c r="A244" s="28" t="str">
        <f aca="false">IF($K244=0,"",ROW()-4)</f>
        <v/>
      </c>
      <c r="B244" s="26" t="str">
        <f aca="false">IF($K244=0,"","OPERATIONS")</f>
        <v/>
      </c>
      <c r="C244" s="26" t="str">
        <f aca="false">IF($K244=0,"",OPERATIONS!$A244)</f>
        <v/>
      </c>
      <c r="D244" s="31" t="str">
        <f aca="false">IF($K244=0,"",OPERATIONS!$B244)</f>
        <v/>
      </c>
      <c r="E244" s="26" t="str">
        <f aca="false">IF($K244=0,"","SORTIE")</f>
        <v/>
      </c>
      <c r="F244" s="26" t="str">
        <f aca="false">IF($K244=0,"",OPERATIONS!$C244)</f>
        <v/>
      </c>
      <c r="G244" s="26" t="str">
        <f aca="false">IF($K244=0,"",OPERATIONS!$D244)</f>
        <v/>
      </c>
      <c r="H244" s="26" t="str">
        <f aca="false">IF($K244=0,"",OPERATIONS!$E244)</f>
        <v/>
      </c>
      <c r="I244" s="26" t="str">
        <f aca="false">IF($H244="","",IFERROR(INDEX(EMPL_CLASSE,MATCH($H244,EMPL_KEY,0)),""))</f>
        <v/>
      </c>
      <c r="J244" s="26" t="str">
        <f aca="false">IF($K244=0,"",OPERATIONS!$J244)</f>
        <v/>
      </c>
      <c r="K244" s="67" t="n">
        <f aca="false">IF(OR(OPERATIONS!$N244=0,OPERATIONS!$C244="RECEPTION"),0,-OPERATIONS!$G244)</f>
        <v>0</v>
      </c>
      <c r="L244" s="67" t="n">
        <f aca="false">IF($K244=0,0,OPERATIONS!$Q244*$K244)</f>
        <v>0</v>
      </c>
      <c r="M244" s="26" t="str">
        <f aca="false">IF($K244=0,"",OPERATIONS!$P244)</f>
        <v/>
      </c>
      <c r="N244" s="26" t="str">
        <f aca="false">IF($G244="","",IF($G244=R_LOT,COUNTIF($G$5:$G244,R_LOT),""))</f>
        <v/>
      </c>
    </row>
    <row r="245" customFormat="false" ht="15" hidden="false" customHeight="false" outlineLevel="0" collapsed="false">
      <c r="A245" s="28" t="str">
        <f aca="false">IF($K245=0,"",ROW()-4)</f>
        <v/>
      </c>
      <c r="B245" s="26" t="str">
        <f aca="false">IF($K245=0,"","OPERATIONS")</f>
        <v/>
      </c>
      <c r="C245" s="26" t="str">
        <f aca="false">IF($K245=0,"",OPERATIONS!$A245)</f>
        <v/>
      </c>
      <c r="D245" s="31" t="str">
        <f aca="false">IF($K245=0,"",OPERATIONS!$B245)</f>
        <v/>
      </c>
      <c r="E245" s="26" t="str">
        <f aca="false">IF($K245=0,"","SORTIE")</f>
        <v/>
      </c>
      <c r="F245" s="26" t="str">
        <f aca="false">IF($K245=0,"",OPERATIONS!$C245)</f>
        <v/>
      </c>
      <c r="G245" s="26" t="str">
        <f aca="false">IF($K245=0,"",OPERATIONS!$D245)</f>
        <v/>
      </c>
      <c r="H245" s="26" t="str">
        <f aca="false">IF($K245=0,"",OPERATIONS!$E245)</f>
        <v/>
      </c>
      <c r="I245" s="26" t="str">
        <f aca="false">IF($H245="","",IFERROR(INDEX(EMPL_CLASSE,MATCH($H245,EMPL_KEY,0)),""))</f>
        <v/>
      </c>
      <c r="J245" s="26" t="str">
        <f aca="false">IF($K245=0,"",OPERATIONS!$J245)</f>
        <v/>
      </c>
      <c r="K245" s="67" t="n">
        <f aca="false">IF(OR(OPERATIONS!$N245=0,OPERATIONS!$C245="RECEPTION"),0,-OPERATIONS!$G245)</f>
        <v>0</v>
      </c>
      <c r="L245" s="67" t="n">
        <f aca="false">IF($K245=0,0,OPERATIONS!$Q245*$K245)</f>
        <v>0</v>
      </c>
      <c r="M245" s="26" t="str">
        <f aca="false">IF($K245=0,"",OPERATIONS!$P245)</f>
        <v/>
      </c>
      <c r="N245" s="26" t="str">
        <f aca="false">IF($G245="","",IF($G245=R_LOT,COUNTIF($G$5:$G245,R_LOT),""))</f>
        <v/>
      </c>
    </row>
    <row r="246" customFormat="false" ht="15" hidden="false" customHeight="false" outlineLevel="0" collapsed="false">
      <c r="A246" s="28" t="str">
        <f aca="false">IF($K246=0,"",ROW()-4)</f>
        <v/>
      </c>
      <c r="B246" s="26" t="str">
        <f aca="false">IF($K246=0,"","OPERATIONS")</f>
        <v/>
      </c>
      <c r="C246" s="26" t="str">
        <f aca="false">IF($K246=0,"",OPERATIONS!$A246)</f>
        <v/>
      </c>
      <c r="D246" s="31" t="str">
        <f aca="false">IF($K246=0,"",OPERATIONS!$B246)</f>
        <v/>
      </c>
      <c r="E246" s="26" t="str">
        <f aca="false">IF($K246=0,"","SORTIE")</f>
        <v/>
      </c>
      <c r="F246" s="26" t="str">
        <f aca="false">IF($K246=0,"",OPERATIONS!$C246)</f>
        <v/>
      </c>
      <c r="G246" s="26" t="str">
        <f aca="false">IF($K246=0,"",OPERATIONS!$D246)</f>
        <v/>
      </c>
      <c r="H246" s="26" t="str">
        <f aca="false">IF($K246=0,"",OPERATIONS!$E246)</f>
        <v/>
      </c>
      <c r="I246" s="26" t="str">
        <f aca="false">IF($H246="","",IFERROR(INDEX(EMPL_CLASSE,MATCH($H246,EMPL_KEY,0)),""))</f>
        <v/>
      </c>
      <c r="J246" s="26" t="str">
        <f aca="false">IF($K246=0,"",OPERATIONS!$J246)</f>
        <v/>
      </c>
      <c r="K246" s="67" t="n">
        <f aca="false">IF(OR(OPERATIONS!$N246=0,OPERATIONS!$C246="RECEPTION"),0,-OPERATIONS!$G246)</f>
        <v>0</v>
      </c>
      <c r="L246" s="67" t="n">
        <f aca="false">IF($K246=0,0,OPERATIONS!$Q246*$K246)</f>
        <v>0</v>
      </c>
      <c r="M246" s="26" t="str">
        <f aca="false">IF($K246=0,"",OPERATIONS!$P246)</f>
        <v/>
      </c>
      <c r="N246" s="26" t="str">
        <f aca="false">IF($G246="","",IF($G246=R_LOT,COUNTIF($G$5:$G246,R_LOT),""))</f>
        <v/>
      </c>
    </row>
    <row r="247" customFormat="false" ht="15" hidden="false" customHeight="false" outlineLevel="0" collapsed="false">
      <c r="A247" s="28" t="str">
        <f aca="false">IF($K247=0,"",ROW()-4)</f>
        <v/>
      </c>
      <c r="B247" s="26" t="str">
        <f aca="false">IF($K247=0,"","OPERATIONS")</f>
        <v/>
      </c>
      <c r="C247" s="26" t="str">
        <f aca="false">IF($K247=0,"",OPERATIONS!$A247)</f>
        <v/>
      </c>
      <c r="D247" s="31" t="str">
        <f aca="false">IF($K247=0,"",OPERATIONS!$B247)</f>
        <v/>
      </c>
      <c r="E247" s="26" t="str">
        <f aca="false">IF($K247=0,"","SORTIE")</f>
        <v/>
      </c>
      <c r="F247" s="26" t="str">
        <f aca="false">IF($K247=0,"",OPERATIONS!$C247)</f>
        <v/>
      </c>
      <c r="G247" s="26" t="str">
        <f aca="false">IF($K247=0,"",OPERATIONS!$D247)</f>
        <v/>
      </c>
      <c r="H247" s="26" t="str">
        <f aca="false">IF($K247=0,"",OPERATIONS!$E247)</f>
        <v/>
      </c>
      <c r="I247" s="26" t="str">
        <f aca="false">IF($H247="","",IFERROR(INDEX(EMPL_CLASSE,MATCH($H247,EMPL_KEY,0)),""))</f>
        <v/>
      </c>
      <c r="J247" s="26" t="str">
        <f aca="false">IF($K247=0,"",OPERATIONS!$J247)</f>
        <v/>
      </c>
      <c r="K247" s="67" t="n">
        <f aca="false">IF(OR(OPERATIONS!$N247=0,OPERATIONS!$C247="RECEPTION"),0,-OPERATIONS!$G247)</f>
        <v>0</v>
      </c>
      <c r="L247" s="67" t="n">
        <f aca="false">IF($K247=0,0,OPERATIONS!$Q247*$K247)</f>
        <v>0</v>
      </c>
      <c r="M247" s="26" t="str">
        <f aca="false">IF($K247=0,"",OPERATIONS!$P247)</f>
        <v/>
      </c>
      <c r="N247" s="26" t="str">
        <f aca="false">IF($G247="","",IF($G247=R_LOT,COUNTIF($G$5:$G247,R_LOT),""))</f>
        <v/>
      </c>
    </row>
    <row r="248" customFormat="false" ht="15" hidden="false" customHeight="false" outlineLevel="0" collapsed="false">
      <c r="A248" s="28" t="str">
        <f aca="false">IF($K248=0,"",ROW()-4)</f>
        <v/>
      </c>
      <c r="B248" s="26" t="str">
        <f aca="false">IF($K248=0,"","OPERATIONS")</f>
        <v/>
      </c>
      <c r="C248" s="26" t="str">
        <f aca="false">IF($K248=0,"",OPERATIONS!$A248)</f>
        <v/>
      </c>
      <c r="D248" s="31" t="str">
        <f aca="false">IF($K248=0,"",OPERATIONS!$B248)</f>
        <v/>
      </c>
      <c r="E248" s="26" t="str">
        <f aca="false">IF($K248=0,"","SORTIE")</f>
        <v/>
      </c>
      <c r="F248" s="26" t="str">
        <f aca="false">IF($K248=0,"",OPERATIONS!$C248)</f>
        <v/>
      </c>
      <c r="G248" s="26" t="str">
        <f aca="false">IF($K248=0,"",OPERATIONS!$D248)</f>
        <v/>
      </c>
      <c r="H248" s="26" t="str">
        <f aca="false">IF($K248=0,"",OPERATIONS!$E248)</f>
        <v/>
      </c>
      <c r="I248" s="26" t="str">
        <f aca="false">IF($H248="","",IFERROR(INDEX(EMPL_CLASSE,MATCH($H248,EMPL_KEY,0)),""))</f>
        <v/>
      </c>
      <c r="J248" s="26" t="str">
        <f aca="false">IF($K248=0,"",OPERATIONS!$J248)</f>
        <v/>
      </c>
      <c r="K248" s="67" t="n">
        <f aca="false">IF(OR(OPERATIONS!$N248=0,OPERATIONS!$C248="RECEPTION"),0,-OPERATIONS!$G248)</f>
        <v>0</v>
      </c>
      <c r="L248" s="67" t="n">
        <f aca="false">IF($K248=0,0,OPERATIONS!$Q248*$K248)</f>
        <v>0</v>
      </c>
      <c r="M248" s="26" t="str">
        <f aca="false">IF($K248=0,"",OPERATIONS!$P248)</f>
        <v/>
      </c>
      <c r="N248" s="26" t="str">
        <f aca="false">IF($G248="","",IF($G248=R_LOT,COUNTIF($G$5:$G248,R_LOT),""))</f>
        <v/>
      </c>
    </row>
    <row r="249" customFormat="false" ht="15" hidden="false" customHeight="false" outlineLevel="0" collapsed="false">
      <c r="A249" s="28" t="str">
        <f aca="false">IF($K249=0,"",ROW()-4)</f>
        <v/>
      </c>
      <c r="B249" s="26" t="str">
        <f aca="false">IF($K249=0,"","OPERATIONS")</f>
        <v/>
      </c>
      <c r="C249" s="26" t="str">
        <f aca="false">IF($K249=0,"",OPERATIONS!$A249)</f>
        <v/>
      </c>
      <c r="D249" s="31" t="str">
        <f aca="false">IF($K249=0,"",OPERATIONS!$B249)</f>
        <v/>
      </c>
      <c r="E249" s="26" t="str">
        <f aca="false">IF($K249=0,"","SORTIE")</f>
        <v/>
      </c>
      <c r="F249" s="26" t="str">
        <f aca="false">IF($K249=0,"",OPERATIONS!$C249)</f>
        <v/>
      </c>
      <c r="G249" s="26" t="str">
        <f aca="false">IF($K249=0,"",OPERATIONS!$D249)</f>
        <v/>
      </c>
      <c r="H249" s="26" t="str">
        <f aca="false">IF($K249=0,"",OPERATIONS!$E249)</f>
        <v/>
      </c>
      <c r="I249" s="26" t="str">
        <f aca="false">IF($H249="","",IFERROR(INDEX(EMPL_CLASSE,MATCH($H249,EMPL_KEY,0)),""))</f>
        <v/>
      </c>
      <c r="J249" s="26" t="str">
        <f aca="false">IF($K249=0,"",OPERATIONS!$J249)</f>
        <v/>
      </c>
      <c r="K249" s="67" t="n">
        <f aca="false">IF(OR(OPERATIONS!$N249=0,OPERATIONS!$C249="RECEPTION"),0,-OPERATIONS!$G249)</f>
        <v>0</v>
      </c>
      <c r="L249" s="67" t="n">
        <f aca="false">IF($K249=0,0,OPERATIONS!$Q249*$K249)</f>
        <v>0</v>
      </c>
      <c r="M249" s="26" t="str">
        <f aca="false">IF($K249=0,"",OPERATIONS!$P249)</f>
        <v/>
      </c>
      <c r="N249" s="26" t="str">
        <f aca="false">IF($G249="","",IF($G249=R_LOT,COUNTIF($G$5:$G249,R_LOT),""))</f>
        <v/>
      </c>
    </row>
    <row r="250" customFormat="false" ht="15" hidden="false" customHeight="false" outlineLevel="0" collapsed="false">
      <c r="A250" s="28" t="str">
        <f aca="false">IF($K250=0,"",ROW()-4)</f>
        <v/>
      </c>
      <c r="B250" s="26" t="str">
        <f aca="false">IF($K250=0,"","OPERATIONS")</f>
        <v/>
      </c>
      <c r="C250" s="26" t="str">
        <f aca="false">IF($K250=0,"",OPERATIONS!$A250)</f>
        <v/>
      </c>
      <c r="D250" s="31" t="str">
        <f aca="false">IF($K250=0,"",OPERATIONS!$B250)</f>
        <v/>
      </c>
      <c r="E250" s="26" t="str">
        <f aca="false">IF($K250=0,"","SORTIE")</f>
        <v/>
      </c>
      <c r="F250" s="26" t="str">
        <f aca="false">IF($K250=0,"",OPERATIONS!$C250)</f>
        <v/>
      </c>
      <c r="G250" s="26" t="str">
        <f aca="false">IF($K250=0,"",OPERATIONS!$D250)</f>
        <v/>
      </c>
      <c r="H250" s="26" t="str">
        <f aca="false">IF($K250=0,"",OPERATIONS!$E250)</f>
        <v/>
      </c>
      <c r="I250" s="26" t="str">
        <f aca="false">IF($H250="","",IFERROR(INDEX(EMPL_CLASSE,MATCH($H250,EMPL_KEY,0)),""))</f>
        <v/>
      </c>
      <c r="J250" s="26" t="str">
        <f aca="false">IF($K250=0,"",OPERATIONS!$J250)</f>
        <v/>
      </c>
      <c r="K250" s="67" t="n">
        <f aca="false">IF(OR(OPERATIONS!$N250=0,OPERATIONS!$C250="RECEPTION"),0,-OPERATIONS!$G250)</f>
        <v>0</v>
      </c>
      <c r="L250" s="67" t="n">
        <f aca="false">IF($K250=0,0,OPERATIONS!$Q250*$K250)</f>
        <v>0</v>
      </c>
      <c r="M250" s="26" t="str">
        <f aca="false">IF($K250=0,"",OPERATIONS!$P250)</f>
        <v/>
      </c>
      <c r="N250" s="26" t="str">
        <f aca="false">IF($G250="","",IF($G250=R_LOT,COUNTIF($G$5:$G250,R_LOT),""))</f>
        <v/>
      </c>
    </row>
    <row r="251" customFormat="false" ht="15" hidden="false" customHeight="false" outlineLevel="0" collapsed="false">
      <c r="A251" s="28" t="str">
        <f aca="false">IF($K251=0,"",ROW()-4)</f>
        <v/>
      </c>
      <c r="B251" s="26" t="str">
        <f aca="false">IF($K251=0,"","OPERATIONS")</f>
        <v/>
      </c>
      <c r="C251" s="26" t="str">
        <f aca="false">IF($K251=0,"",OPERATIONS!$A251)</f>
        <v/>
      </c>
      <c r="D251" s="31" t="str">
        <f aca="false">IF($K251=0,"",OPERATIONS!$B251)</f>
        <v/>
      </c>
      <c r="E251" s="26" t="str">
        <f aca="false">IF($K251=0,"","SORTIE")</f>
        <v/>
      </c>
      <c r="F251" s="26" t="str">
        <f aca="false">IF($K251=0,"",OPERATIONS!$C251)</f>
        <v/>
      </c>
      <c r="G251" s="26" t="str">
        <f aca="false">IF($K251=0,"",OPERATIONS!$D251)</f>
        <v/>
      </c>
      <c r="H251" s="26" t="str">
        <f aca="false">IF($K251=0,"",OPERATIONS!$E251)</f>
        <v/>
      </c>
      <c r="I251" s="26" t="str">
        <f aca="false">IF($H251="","",IFERROR(INDEX(EMPL_CLASSE,MATCH($H251,EMPL_KEY,0)),""))</f>
        <v/>
      </c>
      <c r="J251" s="26" t="str">
        <f aca="false">IF($K251=0,"",OPERATIONS!$J251)</f>
        <v/>
      </c>
      <c r="K251" s="67" t="n">
        <f aca="false">IF(OR(OPERATIONS!$N251=0,OPERATIONS!$C251="RECEPTION"),0,-OPERATIONS!$G251)</f>
        <v>0</v>
      </c>
      <c r="L251" s="67" t="n">
        <f aca="false">IF($K251=0,0,OPERATIONS!$Q251*$K251)</f>
        <v>0</v>
      </c>
      <c r="M251" s="26" t="str">
        <f aca="false">IF($K251=0,"",OPERATIONS!$P251)</f>
        <v/>
      </c>
      <c r="N251" s="26" t="str">
        <f aca="false">IF($G251="","",IF($G251=R_LOT,COUNTIF($G$5:$G251,R_LOT),""))</f>
        <v/>
      </c>
    </row>
    <row r="252" customFormat="false" ht="15" hidden="false" customHeight="false" outlineLevel="0" collapsed="false">
      <c r="A252" s="28" t="str">
        <f aca="false">IF($K252=0,"",ROW()-4)</f>
        <v/>
      </c>
      <c r="B252" s="26" t="str">
        <f aca="false">IF($K252=0,"","OPERATIONS")</f>
        <v/>
      </c>
      <c r="C252" s="26" t="str">
        <f aca="false">IF($K252=0,"",OPERATIONS!$A252)</f>
        <v/>
      </c>
      <c r="D252" s="31" t="str">
        <f aca="false">IF($K252=0,"",OPERATIONS!$B252)</f>
        <v/>
      </c>
      <c r="E252" s="26" t="str">
        <f aca="false">IF($K252=0,"","SORTIE")</f>
        <v/>
      </c>
      <c r="F252" s="26" t="str">
        <f aca="false">IF($K252=0,"",OPERATIONS!$C252)</f>
        <v/>
      </c>
      <c r="G252" s="26" t="str">
        <f aca="false">IF($K252=0,"",OPERATIONS!$D252)</f>
        <v/>
      </c>
      <c r="H252" s="26" t="str">
        <f aca="false">IF($K252=0,"",OPERATIONS!$E252)</f>
        <v/>
      </c>
      <c r="I252" s="26" t="str">
        <f aca="false">IF($H252="","",IFERROR(INDEX(EMPL_CLASSE,MATCH($H252,EMPL_KEY,0)),""))</f>
        <v/>
      </c>
      <c r="J252" s="26" t="str">
        <f aca="false">IF($K252=0,"",OPERATIONS!$J252)</f>
        <v/>
      </c>
      <c r="K252" s="67" t="n">
        <f aca="false">IF(OR(OPERATIONS!$N252=0,OPERATIONS!$C252="RECEPTION"),0,-OPERATIONS!$G252)</f>
        <v>0</v>
      </c>
      <c r="L252" s="67" t="n">
        <f aca="false">IF($K252=0,0,OPERATIONS!$Q252*$K252)</f>
        <v>0</v>
      </c>
      <c r="M252" s="26" t="str">
        <f aca="false">IF($K252=0,"",OPERATIONS!$P252)</f>
        <v/>
      </c>
      <c r="N252" s="26" t="str">
        <f aca="false">IF($G252="","",IF($G252=R_LOT,COUNTIF($G$5:$G252,R_LOT),""))</f>
        <v/>
      </c>
    </row>
    <row r="253" customFormat="false" ht="15" hidden="false" customHeight="false" outlineLevel="0" collapsed="false">
      <c r="A253" s="28" t="str">
        <f aca="false">IF($K253=0,"",ROW()-4)</f>
        <v/>
      </c>
      <c r="B253" s="26" t="str">
        <f aca="false">IF($K253=0,"","OPERATIONS")</f>
        <v/>
      </c>
      <c r="C253" s="26" t="str">
        <f aca="false">IF($K253=0,"",OPERATIONS!$A253)</f>
        <v/>
      </c>
      <c r="D253" s="31" t="str">
        <f aca="false">IF($K253=0,"",OPERATIONS!$B253)</f>
        <v/>
      </c>
      <c r="E253" s="26" t="str">
        <f aca="false">IF($K253=0,"","SORTIE")</f>
        <v/>
      </c>
      <c r="F253" s="26" t="str">
        <f aca="false">IF($K253=0,"",OPERATIONS!$C253)</f>
        <v/>
      </c>
      <c r="G253" s="26" t="str">
        <f aca="false">IF($K253=0,"",OPERATIONS!$D253)</f>
        <v/>
      </c>
      <c r="H253" s="26" t="str">
        <f aca="false">IF($K253=0,"",OPERATIONS!$E253)</f>
        <v/>
      </c>
      <c r="I253" s="26" t="str">
        <f aca="false">IF($H253="","",IFERROR(INDEX(EMPL_CLASSE,MATCH($H253,EMPL_KEY,0)),""))</f>
        <v/>
      </c>
      <c r="J253" s="26" t="str">
        <f aca="false">IF($K253=0,"",OPERATIONS!$J253)</f>
        <v/>
      </c>
      <c r="K253" s="67" t="n">
        <f aca="false">IF(OR(OPERATIONS!$N253=0,OPERATIONS!$C253="RECEPTION"),0,-OPERATIONS!$G253)</f>
        <v>0</v>
      </c>
      <c r="L253" s="67" t="n">
        <f aca="false">IF($K253=0,0,OPERATIONS!$Q253*$K253)</f>
        <v>0</v>
      </c>
      <c r="M253" s="26" t="str">
        <f aca="false">IF($K253=0,"",OPERATIONS!$P253)</f>
        <v/>
      </c>
      <c r="N253" s="26" t="str">
        <f aca="false">IF($G253="","",IF($G253=R_LOT,COUNTIF($G$5:$G253,R_LOT),""))</f>
        <v/>
      </c>
    </row>
    <row r="254" customFormat="false" ht="15" hidden="false" customHeight="false" outlineLevel="0" collapsed="false">
      <c r="A254" s="28" t="str">
        <f aca="false">IF($K254=0,"",ROW()-4)</f>
        <v/>
      </c>
      <c r="B254" s="26" t="str">
        <f aca="false">IF($K254=0,"","OPERATIONS")</f>
        <v/>
      </c>
      <c r="C254" s="26" t="str">
        <f aca="false">IF($K254=0,"",OPERATIONS!$A254)</f>
        <v/>
      </c>
      <c r="D254" s="31" t="str">
        <f aca="false">IF($K254=0,"",OPERATIONS!$B254)</f>
        <v/>
      </c>
      <c r="E254" s="26" t="str">
        <f aca="false">IF($K254=0,"","SORTIE")</f>
        <v/>
      </c>
      <c r="F254" s="26" t="str">
        <f aca="false">IF($K254=0,"",OPERATIONS!$C254)</f>
        <v/>
      </c>
      <c r="G254" s="26" t="str">
        <f aca="false">IF($K254=0,"",OPERATIONS!$D254)</f>
        <v/>
      </c>
      <c r="H254" s="26" t="str">
        <f aca="false">IF($K254=0,"",OPERATIONS!$E254)</f>
        <v/>
      </c>
      <c r="I254" s="26" t="str">
        <f aca="false">IF($H254="","",IFERROR(INDEX(EMPL_CLASSE,MATCH($H254,EMPL_KEY,0)),""))</f>
        <v/>
      </c>
      <c r="J254" s="26" t="str">
        <f aca="false">IF($K254=0,"",OPERATIONS!$J254)</f>
        <v/>
      </c>
      <c r="K254" s="67" t="n">
        <f aca="false">IF(OR(OPERATIONS!$N254=0,OPERATIONS!$C254="RECEPTION"),0,-OPERATIONS!$G254)</f>
        <v>0</v>
      </c>
      <c r="L254" s="67" t="n">
        <f aca="false">IF($K254=0,0,OPERATIONS!$Q254*$K254)</f>
        <v>0</v>
      </c>
      <c r="M254" s="26" t="str">
        <f aca="false">IF($K254=0,"",OPERATIONS!$P254)</f>
        <v/>
      </c>
      <c r="N254" s="26" t="str">
        <f aca="false">IF($G254="","",IF($G254=R_LOT,COUNTIF($G$5:$G254,R_LOT),""))</f>
        <v/>
      </c>
    </row>
    <row r="255" customFormat="false" ht="15" hidden="false" customHeight="false" outlineLevel="0" collapsed="false">
      <c r="A255" s="28" t="str">
        <f aca="false">IF($K255=0,"",ROW()-4)</f>
        <v/>
      </c>
      <c r="B255" s="26" t="str">
        <f aca="false">IF($K255=0,"","OPERATIONS")</f>
        <v/>
      </c>
      <c r="C255" s="26" t="str">
        <f aca="false">IF($K255=0,"",OPERATIONS!$A255)</f>
        <v/>
      </c>
      <c r="D255" s="31" t="str">
        <f aca="false">IF($K255=0,"",OPERATIONS!$B255)</f>
        <v/>
      </c>
      <c r="E255" s="26" t="str">
        <f aca="false">IF($K255=0,"","SORTIE")</f>
        <v/>
      </c>
      <c r="F255" s="26" t="str">
        <f aca="false">IF($K255=0,"",OPERATIONS!$C255)</f>
        <v/>
      </c>
      <c r="G255" s="26" t="str">
        <f aca="false">IF($K255=0,"",OPERATIONS!$D255)</f>
        <v/>
      </c>
      <c r="H255" s="26" t="str">
        <f aca="false">IF($K255=0,"",OPERATIONS!$E255)</f>
        <v/>
      </c>
      <c r="I255" s="26" t="str">
        <f aca="false">IF($H255="","",IFERROR(INDEX(EMPL_CLASSE,MATCH($H255,EMPL_KEY,0)),""))</f>
        <v/>
      </c>
      <c r="J255" s="26" t="str">
        <f aca="false">IF($K255=0,"",OPERATIONS!$J255)</f>
        <v/>
      </c>
      <c r="K255" s="67" t="n">
        <f aca="false">IF(OR(OPERATIONS!$N255=0,OPERATIONS!$C255="RECEPTION"),0,-OPERATIONS!$G255)</f>
        <v>0</v>
      </c>
      <c r="L255" s="67" t="n">
        <f aca="false">IF($K255=0,0,OPERATIONS!$Q255*$K255)</f>
        <v>0</v>
      </c>
      <c r="M255" s="26" t="str">
        <f aca="false">IF($K255=0,"",OPERATIONS!$P255)</f>
        <v/>
      </c>
      <c r="N255" s="26" t="str">
        <f aca="false">IF($G255="","",IF($G255=R_LOT,COUNTIF($G$5:$G255,R_LOT),""))</f>
        <v/>
      </c>
    </row>
    <row r="256" customFormat="false" ht="15" hidden="false" customHeight="false" outlineLevel="0" collapsed="false">
      <c r="A256" s="28" t="str">
        <f aca="false">IF($K256=0,"",ROW()-4)</f>
        <v/>
      </c>
      <c r="B256" s="26" t="str">
        <f aca="false">IF($K256=0,"","OPERATIONS")</f>
        <v/>
      </c>
      <c r="C256" s="26" t="str">
        <f aca="false">IF($K256=0,"",OPERATIONS!$A256)</f>
        <v/>
      </c>
      <c r="D256" s="31" t="str">
        <f aca="false">IF($K256=0,"",OPERATIONS!$B256)</f>
        <v/>
      </c>
      <c r="E256" s="26" t="str">
        <f aca="false">IF($K256=0,"","SORTIE")</f>
        <v/>
      </c>
      <c r="F256" s="26" t="str">
        <f aca="false">IF($K256=0,"",OPERATIONS!$C256)</f>
        <v/>
      </c>
      <c r="G256" s="26" t="str">
        <f aca="false">IF($K256=0,"",OPERATIONS!$D256)</f>
        <v/>
      </c>
      <c r="H256" s="26" t="str">
        <f aca="false">IF($K256=0,"",OPERATIONS!$E256)</f>
        <v/>
      </c>
      <c r="I256" s="26" t="str">
        <f aca="false">IF($H256="","",IFERROR(INDEX(EMPL_CLASSE,MATCH($H256,EMPL_KEY,0)),""))</f>
        <v/>
      </c>
      <c r="J256" s="26" t="str">
        <f aca="false">IF($K256=0,"",OPERATIONS!$J256)</f>
        <v/>
      </c>
      <c r="K256" s="67" t="n">
        <f aca="false">IF(OR(OPERATIONS!$N256=0,OPERATIONS!$C256="RECEPTION"),0,-OPERATIONS!$G256)</f>
        <v>0</v>
      </c>
      <c r="L256" s="67" t="n">
        <f aca="false">IF($K256=0,0,OPERATIONS!$Q256*$K256)</f>
        <v>0</v>
      </c>
      <c r="M256" s="26" t="str">
        <f aca="false">IF($K256=0,"",OPERATIONS!$P256)</f>
        <v/>
      </c>
      <c r="N256" s="26" t="str">
        <f aca="false">IF($G256="","",IF($G256=R_LOT,COUNTIF($G$5:$G256,R_LOT),""))</f>
        <v/>
      </c>
    </row>
    <row r="257" customFormat="false" ht="15" hidden="false" customHeight="false" outlineLevel="0" collapsed="false">
      <c r="A257" s="28" t="str">
        <f aca="false">IF($K257=0,"",ROW()-4)</f>
        <v/>
      </c>
      <c r="B257" s="26" t="str">
        <f aca="false">IF($K257=0,"","OPERATIONS")</f>
        <v/>
      </c>
      <c r="C257" s="26" t="str">
        <f aca="false">IF($K257=0,"",OPERATIONS!$A257)</f>
        <v/>
      </c>
      <c r="D257" s="31" t="str">
        <f aca="false">IF($K257=0,"",OPERATIONS!$B257)</f>
        <v/>
      </c>
      <c r="E257" s="26" t="str">
        <f aca="false">IF($K257=0,"","SORTIE")</f>
        <v/>
      </c>
      <c r="F257" s="26" t="str">
        <f aca="false">IF($K257=0,"",OPERATIONS!$C257)</f>
        <v/>
      </c>
      <c r="G257" s="26" t="str">
        <f aca="false">IF($K257=0,"",OPERATIONS!$D257)</f>
        <v/>
      </c>
      <c r="H257" s="26" t="str">
        <f aca="false">IF($K257=0,"",OPERATIONS!$E257)</f>
        <v/>
      </c>
      <c r="I257" s="26" t="str">
        <f aca="false">IF($H257="","",IFERROR(INDEX(EMPL_CLASSE,MATCH($H257,EMPL_KEY,0)),""))</f>
        <v/>
      </c>
      <c r="J257" s="26" t="str">
        <f aca="false">IF($K257=0,"",OPERATIONS!$J257)</f>
        <v/>
      </c>
      <c r="K257" s="67" t="n">
        <f aca="false">IF(OR(OPERATIONS!$N257=0,OPERATIONS!$C257="RECEPTION"),0,-OPERATIONS!$G257)</f>
        <v>0</v>
      </c>
      <c r="L257" s="67" t="n">
        <f aca="false">IF($K257=0,0,OPERATIONS!$Q257*$K257)</f>
        <v>0</v>
      </c>
      <c r="M257" s="26" t="str">
        <f aca="false">IF($K257=0,"",OPERATIONS!$P257)</f>
        <v/>
      </c>
      <c r="N257" s="26" t="str">
        <f aca="false">IF($G257="","",IF($G257=R_LOT,COUNTIF($G$5:$G257,R_LOT),""))</f>
        <v/>
      </c>
    </row>
    <row r="258" customFormat="false" ht="15" hidden="false" customHeight="false" outlineLevel="0" collapsed="false">
      <c r="A258" s="28" t="str">
        <f aca="false">IF($K258=0,"",ROW()-4)</f>
        <v/>
      </c>
      <c r="B258" s="26" t="str">
        <f aca="false">IF($K258=0,"","OPERATIONS")</f>
        <v/>
      </c>
      <c r="C258" s="26" t="str">
        <f aca="false">IF($K258=0,"",OPERATIONS!$A258)</f>
        <v/>
      </c>
      <c r="D258" s="31" t="str">
        <f aca="false">IF($K258=0,"",OPERATIONS!$B258)</f>
        <v/>
      </c>
      <c r="E258" s="26" t="str">
        <f aca="false">IF($K258=0,"","SORTIE")</f>
        <v/>
      </c>
      <c r="F258" s="26" t="str">
        <f aca="false">IF($K258=0,"",OPERATIONS!$C258)</f>
        <v/>
      </c>
      <c r="G258" s="26" t="str">
        <f aca="false">IF($K258=0,"",OPERATIONS!$D258)</f>
        <v/>
      </c>
      <c r="H258" s="26" t="str">
        <f aca="false">IF($K258=0,"",OPERATIONS!$E258)</f>
        <v/>
      </c>
      <c r="I258" s="26" t="str">
        <f aca="false">IF($H258="","",IFERROR(INDEX(EMPL_CLASSE,MATCH($H258,EMPL_KEY,0)),""))</f>
        <v/>
      </c>
      <c r="J258" s="26" t="str">
        <f aca="false">IF($K258=0,"",OPERATIONS!$J258)</f>
        <v/>
      </c>
      <c r="K258" s="67" t="n">
        <f aca="false">IF(OR(OPERATIONS!$N258=0,OPERATIONS!$C258="RECEPTION"),0,-OPERATIONS!$G258)</f>
        <v>0</v>
      </c>
      <c r="L258" s="67" t="n">
        <f aca="false">IF($K258=0,0,OPERATIONS!$Q258*$K258)</f>
        <v>0</v>
      </c>
      <c r="M258" s="26" t="str">
        <f aca="false">IF($K258=0,"",OPERATIONS!$P258)</f>
        <v/>
      </c>
      <c r="N258" s="26" t="str">
        <f aca="false">IF($G258="","",IF($G258=R_LOT,COUNTIF($G$5:$G258,R_LOT),""))</f>
        <v/>
      </c>
    </row>
    <row r="259" customFormat="false" ht="15" hidden="false" customHeight="false" outlineLevel="0" collapsed="false">
      <c r="A259" s="28" t="str">
        <f aca="false">IF($K259=0,"",ROW()-4)</f>
        <v/>
      </c>
      <c r="B259" s="26" t="str">
        <f aca="false">IF($K259=0,"","OPERATIONS")</f>
        <v/>
      </c>
      <c r="C259" s="26" t="str">
        <f aca="false">IF($K259=0,"",OPERATIONS!$A259)</f>
        <v/>
      </c>
      <c r="D259" s="31" t="str">
        <f aca="false">IF($K259=0,"",OPERATIONS!$B259)</f>
        <v/>
      </c>
      <c r="E259" s="26" t="str">
        <f aca="false">IF($K259=0,"","SORTIE")</f>
        <v/>
      </c>
      <c r="F259" s="26" t="str">
        <f aca="false">IF($K259=0,"",OPERATIONS!$C259)</f>
        <v/>
      </c>
      <c r="G259" s="26" t="str">
        <f aca="false">IF($K259=0,"",OPERATIONS!$D259)</f>
        <v/>
      </c>
      <c r="H259" s="26" t="str">
        <f aca="false">IF($K259=0,"",OPERATIONS!$E259)</f>
        <v/>
      </c>
      <c r="I259" s="26" t="str">
        <f aca="false">IF($H259="","",IFERROR(INDEX(EMPL_CLASSE,MATCH($H259,EMPL_KEY,0)),""))</f>
        <v/>
      </c>
      <c r="J259" s="26" t="str">
        <f aca="false">IF($K259=0,"",OPERATIONS!$J259)</f>
        <v/>
      </c>
      <c r="K259" s="67" t="n">
        <f aca="false">IF(OR(OPERATIONS!$N259=0,OPERATIONS!$C259="RECEPTION"),0,-OPERATIONS!$G259)</f>
        <v>0</v>
      </c>
      <c r="L259" s="67" t="n">
        <f aca="false">IF($K259=0,0,OPERATIONS!$Q259*$K259)</f>
        <v>0</v>
      </c>
      <c r="M259" s="26" t="str">
        <f aca="false">IF($K259=0,"",OPERATIONS!$P259)</f>
        <v/>
      </c>
      <c r="N259" s="26" t="str">
        <f aca="false">IF($G259="","",IF($G259=R_LOT,COUNTIF($G$5:$G259,R_LOT),""))</f>
        <v/>
      </c>
    </row>
    <row r="260" customFormat="false" ht="15" hidden="false" customHeight="false" outlineLevel="0" collapsed="false">
      <c r="A260" s="28" t="str">
        <f aca="false">IF($K260=0,"",ROW()-4)</f>
        <v/>
      </c>
      <c r="B260" s="26" t="str">
        <f aca="false">IF($K260=0,"","OPERATIONS")</f>
        <v/>
      </c>
      <c r="C260" s="26" t="str">
        <f aca="false">IF($K260=0,"",OPERATIONS!$A260)</f>
        <v/>
      </c>
      <c r="D260" s="31" t="str">
        <f aca="false">IF($K260=0,"",OPERATIONS!$B260)</f>
        <v/>
      </c>
      <c r="E260" s="26" t="str">
        <f aca="false">IF($K260=0,"","SORTIE")</f>
        <v/>
      </c>
      <c r="F260" s="26" t="str">
        <f aca="false">IF($K260=0,"",OPERATIONS!$C260)</f>
        <v/>
      </c>
      <c r="G260" s="26" t="str">
        <f aca="false">IF($K260=0,"",OPERATIONS!$D260)</f>
        <v/>
      </c>
      <c r="H260" s="26" t="str">
        <f aca="false">IF($K260=0,"",OPERATIONS!$E260)</f>
        <v/>
      </c>
      <c r="I260" s="26" t="str">
        <f aca="false">IF($H260="","",IFERROR(INDEX(EMPL_CLASSE,MATCH($H260,EMPL_KEY,0)),""))</f>
        <v/>
      </c>
      <c r="J260" s="26" t="str">
        <f aca="false">IF($K260=0,"",OPERATIONS!$J260)</f>
        <v/>
      </c>
      <c r="K260" s="67" t="n">
        <f aca="false">IF(OR(OPERATIONS!$N260=0,OPERATIONS!$C260="RECEPTION"),0,-OPERATIONS!$G260)</f>
        <v>0</v>
      </c>
      <c r="L260" s="67" t="n">
        <f aca="false">IF($K260=0,0,OPERATIONS!$Q260*$K260)</f>
        <v>0</v>
      </c>
      <c r="M260" s="26" t="str">
        <f aca="false">IF($K260=0,"",OPERATIONS!$P260)</f>
        <v/>
      </c>
      <c r="N260" s="26" t="str">
        <f aca="false">IF($G260="","",IF($G260=R_LOT,COUNTIF($G$5:$G260,R_LOT),""))</f>
        <v/>
      </c>
    </row>
    <row r="261" customFormat="false" ht="15" hidden="false" customHeight="false" outlineLevel="0" collapsed="false">
      <c r="A261" s="28" t="str">
        <f aca="false">IF($K261=0,"",ROW()-4)</f>
        <v/>
      </c>
      <c r="B261" s="26" t="str">
        <f aca="false">IF($K261=0,"","OPERATIONS")</f>
        <v/>
      </c>
      <c r="C261" s="26" t="str">
        <f aca="false">IF($K261=0,"",OPERATIONS!$A261)</f>
        <v/>
      </c>
      <c r="D261" s="31" t="str">
        <f aca="false">IF($K261=0,"",OPERATIONS!$B261)</f>
        <v/>
      </c>
      <c r="E261" s="26" t="str">
        <f aca="false">IF($K261=0,"","SORTIE")</f>
        <v/>
      </c>
      <c r="F261" s="26" t="str">
        <f aca="false">IF($K261=0,"",OPERATIONS!$C261)</f>
        <v/>
      </c>
      <c r="G261" s="26" t="str">
        <f aca="false">IF($K261=0,"",OPERATIONS!$D261)</f>
        <v/>
      </c>
      <c r="H261" s="26" t="str">
        <f aca="false">IF($K261=0,"",OPERATIONS!$E261)</f>
        <v/>
      </c>
      <c r="I261" s="26" t="str">
        <f aca="false">IF($H261="","",IFERROR(INDEX(EMPL_CLASSE,MATCH($H261,EMPL_KEY,0)),""))</f>
        <v/>
      </c>
      <c r="J261" s="26" t="str">
        <f aca="false">IF($K261=0,"",OPERATIONS!$J261)</f>
        <v/>
      </c>
      <c r="K261" s="67" t="n">
        <f aca="false">IF(OR(OPERATIONS!$N261=0,OPERATIONS!$C261="RECEPTION"),0,-OPERATIONS!$G261)</f>
        <v>0</v>
      </c>
      <c r="L261" s="67" t="n">
        <f aca="false">IF($K261=0,0,OPERATIONS!$Q261*$K261)</f>
        <v>0</v>
      </c>
      <c r="M261" s="26" t="str">
        <f aca="false">IF($K261=0,"",OPERATIONS!$P261)</f>
        <v/>
      </c>
      <c r="N261" s="26" t="str">
        <f aca="false">IF($G261="","",IF($G261=R_LOT,COUNTIF($G$5:$G261,R_LOT),""))</f>
        <v/>
      </c>
    </row>
    <row r="262" customFormat="false" ht="15" hidden="false" customHeight="false" outlineLevel="0" collapsed="false">
      <c r="A262" s="28" t="str">
        <f aca="false">IF($K262=0,"",ROW()-4)</f>
        <v/>
      </c>
      <c r="B262" s="26" t="str">
        <f aca="false">IF($K262=0,"","OPERATIONS")</f>
        <v/>
      </c>
      <c r="C262" s="26" t="str">
        <f aca="false">IF($K262=0,"",OPERATIONS!$A262)</f>
        <v/>
      </c>
      <c r="D262" s="31" t="str">
        <f aca="false">IF($K262=0,"",OPERATIONS!$B262)</f>
        <v/>
      </c>
      <c r="E262" s="26" t="str">
        <f aca="false">IF($K262=0,"","SORTIE")</f>
        <v/>
      </c>
      <c r="F262" s="26" t="str">
        <f aca="false">IF($K262=0,"",OPERATIONS!$C262)</f>
        <v/>
      </c>
      <c r="G262" s="26" t="str">
        <f aca="false">IF($K262=0,"",OPERATIONS!$D262)</f>
        <v/>
      </c>
      <c r="H262" s="26" t="str">
        <f aca="false">IF($K262=0,"",OPERATIONS!$E262)</f>
        <v/>
      </c>
      <c r="I262" s="26" t="str">
        <f aca="false">IF($H262="","",IFERROR(INDEX(EMPL_CLASSE,MATCH($H262,EMPL_KEY,0)),""))</f>
        <v/>
      </c>
      <c r="J262" s="26" t="str">
        <f aca="false">IF($K262=0,"",OPERATIONS!$J262)</f>
        <v/>
      </c>
      <c r="K262" s="67" t="n">
        <f aca="false">IF(OR(OPERATIONS!$N262=0,OPERATIONS!$C262="RECEPTION"),0,-OPERATIONS!$G262)</f>
        <v>0</v>
      </c>
      <c r="L262" s="67" t="n">
        <f aca="false">IF($K262=0,0,OPERATIONS!$Q262*$K262)</f>
        <v>0</v>
      </c>
      <c r="M262" s="26" t="str">
        <f aca="false">IF($K262=0,"",OPERATIONS!$P262)</f>
        <v/>
      </c>
      <c r="N262" s="26" t="str">
        <f aca="false">IF($G262="","",IF($G262=R_LOT,COUNTIF($G$5:$G262,R_LOT),""))</f>
        <v/>
      </c>
    </row>
    <row r="263" customFormat="false" ht="15" hidden="false" customHeight="false" outlineLevel="0" collapsed="false">
      <c r="A263" s="28" t="str">
        <f aca="false">IF($K263=0,"",ROW()-4)</f>
        <v/>
      </c>
      <c r="B263" s="26" t="str">
        <f aca="false">IF($K263=0,"","OPERATIONS")</f>
        <v/>
      </c>
      <c r="C263" s="26" t="str">
        <f aca="false">IF($K263=0,"",OPERATIONS!$A263)</f>
        <v/>
      </c>
      <c r="D263" s="31" t="str">
        <f aca="false">IF($K263=0,"",OPERATIONS!$B263)</f>
        <v/>
      </c>
      <c r="E263" s="26" t="str">
        <f aca="false">IF($K263=0,"","SORTIE")</f>
        <v/>
      </c>
      <c r="F263" s="26" t="str">
        <f aca="false">IF($K263=0,"",OPERATIONS!$C263)</f>
        <v/>
      </c>
      <c r="G263" s="26" t="str">
        <f aca="false">IF($K263=0,"",OPERATIONS!$D263)</f>
        <v/>
      </c>
      <c r="H263" s="26" t="str">
        <f aca="false">IF($K263=0,"",OPERATIONS!$E263)</f>
        <v/>
      </c>
      <c r="I263" s="26" t="str">
        <f aca="false">IF($H263="","",IFERROR(INDEX(EMPL_CLASSE,MATCH($H263,EMPL_KEY,0)),""))</f>
        <v/>
      </c>
      <c r="J263" s="26" t="str">
        <f aca="false">IF($K263=0,"",OPERATIONS!$J263)</f>
        <v/>
      </c>
      <c r="K263" s="67" t="n">
        <f aca="false">IF(OR(OPERATIONS!$N263=0,OPERATIONS!$C263="RECEPTION"),0,-OPERATIONS!$G263)</f>
        <v>0</v>
      </c>
      <c r="L263" s="67" t="n">
        <f aca="false">IF($K263=0,0,OPERATIONS!$Q263*$K263)</f>
        <v>0</v>
      </c>
      <c r="M263" s="26" t="str">
        <f aca="false">IF($K263=0,"",OPERATIONS!$P263)</f>
        <v/>
      </c>
      <c r="N263" s="26" t="str">
        <f aca="false">IF($G263="","",IF($G263=R_LOT,COUNTIF($G$5:$G263,R_LOT),""))</f>
        <v/>
      </c>
    </row>
    <row r="264" customFormat="false" ht="15" hidden="false" customHeight="false" outlineLevel="0" collapsed="false">
      <c r="A264" s="28" t="str">
        <f aca="false">IF($K264=0,"",ROW()-4)</f>
        <v/>
      </c>
      <c r="B264" s="26" t="str">
        <f aca="false">IF($K264=0,"","OPERATIONS")</f>
        <v/>
      </c>
      <c r="C264" s="26" t="str">
        <f aca="false">IF($K264=0,"",OPERATIONS!$A264)</f>
        <v/>
      </c>
      <c r="D264" s="31" t="str">
        <f aca="false">IF($K264=0,"",OPERATIONS!$B264)</f>
        <v/>
      </c>
      <c r="E264" s="26" t="str">
        <f aca="false">IF($K264=0,"","SORTIE")</f>
        <v/>
      </c>
      <c r="F264" s="26" t="str">
        <f aca="false">IF($K264=0,"",OPERATIONS!$C264)</f>
        <v/>
      </c>
      <c r="G264" s="26" t="str">
        <f aca="false">IF($K264=0,"",OPERATIONS!$D264)</f>
        <v/>
      </c>
      <c r="H264" s="26" t="str">
        <f aca="false">IF($K264=0,"",OPERATIONS!$E264)</f>
        <v/>
      </c>
      <c r="I264" s="26" t="str">
        <f aca="false">IF($H264="","",IFERROR(INDEX(EMPL_CLASSE,MATCH($H264,EMPL_KEY,0)),""))</f>
        <v/>
      </c>
      <c r="J264" s="26" t="str">
        <f aca="false">IF($K264=0,"",OPERATIONS!$J264)</f>
        <v/>
      </c>
      <c r="K264" s="67" t="n">
        <f aca="false">IF(OR(OPERATIONS!$N264=0,OPERATIONS!$C264="RECEPTION"),0,-OPERATIONS!$G264)</f>
        <v>0</v>
      </c>
      <c r="L264" s="67" t="n">
        <f aca="false">IF($K264=0,0,OPERATIONS!$Q264*$K264)</f>
        <v>0</v>
      </c>
      <c r="M264" s="26" t="str">
        <f aca="false">IF($K264=0,"",OPERATIONS!$P264)</f>
        <v/>
      </c>
      <c r="N264" s="26" t="str">
        <f aca="false">IF($G264="","",IF($G264=R_LOT,COUNTIF($G$5:$G264,R_LOT),""))</f>
        <v/>
      </c>
    </row>
    <row r="265" customFormat="false" ht="15" hidden="false" customHeight="false" outlineLevel="0" collapsed="false">
      <c r="A265" s="28" t="str">
        <f aca="false">IF($K265=0,"",ROW()-4)</f>
        <v/>
      </c>
      <c r="B265" s="26" t="str">
        <f aca="false">IF($K265=0,"","OPERATIONS")</f>
        <v/>
      </c>
      <c r="C265" s="26" t="str">
        <f aca="false">IF($K265=0,"",OPERATIONS!$A265)</f>
        <v/>
      </c>
      <c r="D265" s="31" t="str">
        <f aca="false">IF($K265=0,"",OPERATIONS!$B265)</f>
        <v/>
      </c>
      <c r="E265" s="26" t="str">
        <f aca="false">IF($K265=0,"","SORTIE")</f>
        <v/>
      </c>
      <c r="F265" s="26" t="str">
        <f aca="false">IF($K265=0,"",OPERATIONS!$C265)</f>
        <v/>
      </c>
      <c r="G265" s="26" t="str">
        <f aca="false">IF($K265=0,"",OPERATIONS!$D265)</f>
        <v/>
      </c>
      <c r="H265" s="26" t="str">
        <f aca="false">IF($K265=0,"",OPERATIONS!$E265)</f>
        <v/>
      </c>
      <c r="I265" s="26" t="str">
        <f aca="false">IF($H265="","",IFERROR(INDEX(EMPL_CLASSE,MATCH($H265,EMPL_KEY,0)),""))</f>
        <v/>
      </c>
      <c r="J265" s="26" t="str">
        <f aca="false">IF($K265=0,"",OPERATIONS!$J265)</f>
        <v/>
      </c>
      <c r="K265" s="67" t="n">
        <f aca="false">IF(OR(OPERATIONS!$N265=0,OPERATIONS!$C265="RECEPTION"),0,-OPERATIONS!$G265)</f>
        <v>0</v>
      </c>
      <c r="L265" s="67" t="n">
        <f aca="false">IF($K265=0,0,OPERATIONS!$Q265*$K265)</f>
        <v>0</v>
      </c>
      <c r="M265" s="26" t="str">
        <f aca="false">IF($K265=0,"",OPERATIONS!$P265)</f>
        <v/>
      </c>
      <c r="N265" s="26" t="str">
        <f aca="false">IF($G265="","",IF($G265=R_LOT,COUNTIF($G$5:$G265,R_LOT),""))</f>
        <v/>
      </c>
    </row>
    <row r="266" customFormat="false" ht="15" hidden="false" customHeight="false" outlineLevel="0" collapsed="false">
      <c r="A266" s="28" t="str">
        <f aca="false">IF($K266=0,"",ROW()-4)</f>
        <v/>
      </c>
      <c r="B266" s="26" t="str">
        <f aca="false">IF($K266=0,"","OPERATIONS")</f>
        <v/>
      </c>
      <c r="C266" s="26" t="str">
        <f aca="false">IF($K266=0,"",OPERATIONS!$A266)</f>
        <v/>
      </c>
      <c r="D266" s="31" t="str">
        <f aca="false">IF($K266=0,"",OPERATIONS!$B266)</f>
        <v/>
      </c>
      <c r="E266" s="26" t="str">
        <f aca="false">IF($K266=0,"","SORTIE")</f>
        <v/>
      </c>
      <c r="F266" s="26" t="str">
        <f aca="false">IF($K266=0,"",OPERATIONS!$C266)</f>
        <v/>
      </c>
      <c r="G266" s="26" t="str">
        <f aca="false">IF($K266=0,"",OPERATIONS!$D266)</f>
        <v/>
      </c>
      <c r="H266" s="26" t="str">
        <f aca="false">IF($K266=0,"",OPERATIONS!$E266)</f>
        <v/>
      </c>
      <c r="I266" s="26" t="str">
        <f aca="false">IF($H266="","",IFERROR(INDEX(EMPL_CLASSE,MATCH($H266,EMPL_KEY,0)),""))</f>
        <v/>
      </c>
      <c r="J266" s="26" t="str">
        <f aca="false">IF($K266=0,"",OPERATIONS!$J266)</f>
        <v/>
      </c>
      <c r="K266" s="67" t="n">
        <f aca="false">IF(OR(OPERATIONS!$N266=0,OPERATIONS!$C266="RECEPTION"),0,-OPERATIONS!$G266)</f>
        <v>0</v>
      </c>
      <c r="L266" s="67" t="n">
        <f aca="false">IF($K266=0,0,OPERATIONS!$Q266*$K266)</f>
        <v>0</v>
      </c>
      <c r="M266" s="26" t="str">
        <f aca="false">IF($K266=0,"",OPERATIONS!$P266)</f>
        <v/>
      </c>
      <c r="N266" s="26" t="str">
        <f aca="false">IF($G266="","",IF($G266=R_LOT,COUNTIF($G$5:$G266,R_LOT),""))</f>
        <v/>
      </c>
    </row>
    <row r="267" customFormat="false" ht="15" hidden="false" customHeight="false" outlineLevel="0" collapsed="false">
      <c r="A267" s="28" t="str">
        <f aca="false">IF($K267=0,"",ROW()-4)</f>
        <v/>
      </c>
      <c r="B267" s="26" t="str">
        <f aca="false">IF($K267=0,"","OPERATIONS")</f>
        <v/>
      </c>
      <c r="C267" s="26" t="str">
        <f aca="false">IF($K267=0,"",OPERATIONS!$A267)</f>
        <v/>
      </c>
      <c r="D267" s="31" t="str">
        <f aca="false">IF($K267=0,"",OPERATIONS!$B267)</f>
        <v/>
      </c>
      <c r="E267" s="26" t="str">
        <f aca="false">IF($K267=0,"","SORTIE")</f>
        <v/>
      </c>
      <c r="F267" s="26" t="str">
        <f aca="false">IF($K267=0,"",OPERATIONS!$C267)</f>
        <v/>
      </c>
      <c r="G267" s="26" t="str">
        <f aca="false">IF($K267=0,"",OPERATIONS!$D267)</f>
        <v/>
      </c>
      <c r="H267" s="26" t="str">
        <f aca="false">IF($K267=0,"",OPERATIONS!$E267)</f>
        <v/>
      </c>
      <c r="I267" s="26" t="str">
        <f aca="false">IF($H267="","",IFERROR(INDEX(EMPL_CLASSE,MATCH($H267,EMPL_KEY,0)),""))</f>
        <v/>
      </c>
      <c r="J267" s="26" t="str">
        <f aca="false">IF($K267=0,"",OPERATIONS!$J267)</f>
        <v/>
      </c>
      <c r="K267" s="67" t="n">
        <f aca="false">IF(OR(OPERATIONS!$N267=0,OPERATIONS!$C267="RECEPTION"),0,-OPERATIONS!$G267)</f>
        <v>0</v>
      </c>
      <c r="L267" s="67" t="n">
        <f aca="false">IF($K267=0,0,OPERATIONS!$Q267*$K267)</f>
        <v>0</v>
      </c>
      <c r="M267" s="26" t="str">
        <f aca="false">IF($K267=0,"",OPERATIONS!$P267)</f>
        <v/>
      </c>
      <c r="N267" s="26" t="str">
        <f aca="false">IF($G267="","",IF($G267=R_LOT,COUNTIF($G$5:$G267,R_LOT),""))</f>
        <v/>
      </c>
    </row>
    <row r="268" customFormat="false" ht="15" hidden="false" customHeight="false" outlineLevel="0" collapsed="false">
      <c r="A268" s="28" t="str">
        <f aca="false">IF($K268=0,"",ROW()-4)</f>
        <v/>
      </c>
      <c r="B268" s="26" t="str">
        <f aca="false">IF($K268=0,"","OPERATIONS")</f>
        <v/>
      </c>
      <c r="C268" s="26" t="str">
        <f aca="false">IF($K268=0,"",OPERATIONS!$A268)</f>
        <v/>
      </c>
      <c r="D268" s="31" t="str">
        <f aca="false">IF($K268=0,"",OPERATIONS!$B268)</f>
        <v/>
      </c>
      <c r="E268" s="26" t="str">
        <f aca="false">IF($K268=0,"","SORTIE")</f>
        <v/>
      </c>
      <c r="F268" s="26" t="str">
        <f aca="false">IF($K268=0,"",OPERATIONS!$C268)</f>
        <v/>
      </c>
      <c r="G268" s="26" t="str">
        <f aca="false">IF($K268=0,"",OPERATIONS!$D268)</f>
        <v/>
      </c>
      <c r="H268" s="26" t="str">
        <f aca="false">IF($K268=0,"",OPERATIONS!$E268)</f>
        <v/>
      </c>
      <c r="I268" s="26" t="str">
        <f aca="false">IF($H268="","",IFERROR(INDEX(EMPL_CLASSE,MATCH($H268,EMPL_KEY,0)),""))</f>
        <v/>
      </c>
      <c r="J268" s="26" t="str">
        <f aca="false">IF($K268=0,"",OPERATIONS!$J268)</f>
        <v/>
      </c>
      <c r="K268" s="67" t="n">
        <f aca="false">IF(OR(OPERATIONS!$N268=0,OPERATIONS!$C268="RECEPTION"),0,-OPERATIONS!$G268)</f>
        <v>0</v>
      </c>
      <c r="L268" s="67" t="n">
        <f aca="false">IF($K268=0,0,OPERATIONS!$Q268*$K268)</f>
        <v>0</v>
      </c>
      <c r="M268" s="26" t="str">
        <f aca="false">IF($K268=0,"",OPERATIONS!$P268)</f>
        <v/>
      </c>
      <c r="N268" s="26" t="str">
        <f aca="false">IF($G268="","",IF($G268=R_LOT,COUNTIF($G$5:$G268,R_LOT),""))</f>
        <v/>
      </c>
    </row>
    <row r="269" customFormat="false" ht="15" hidden="false" customHeight="false" outlineLevel="0" collapsed="false">
      <c r="A269" s="28" t="str">
        <f aca="false">IF($K269=0,"",ROW()-4)</f>
        <v/>
      </c>
      <c r="B269" s="26" t="str">
        <f aca="false">IF($K269=0,"","OPERATIONS")</f>
        <v/>
      </c>
      <c r="C269" s="26" t="str">
        <f aca="false">IF($K269=0,"",OPERATIONS!$A269)</f>
        <v/>
      </c>
      <c r="D269" s="31" t="str">
        <f aca="false">IF($K269=0,"",OPERATIONS!$B269)</f>
        <v/>
      </c>
      <c r="E269" s="26" t="str">
        <f aca="false">IF($K269=0,"","SORTIE")</f>
        <v/>
      </c>
      <c r="F269" s="26" t="str">
        <f aca="false">IF($K269=0,"",OPERATIONS!$C269)</f>
        <v/>
      </c>
      <c r="G269" s="26" t="str">
        <f aca="false">IF($K269=0,"",OPERATIONS!$D269)</f>
        <v/>
      </c>
      <c r="H269" s="26" t="str">
        <f aca="false">IF($K269=0,"",OPERATIONS!$E269)</f>
        <v/>
      </c>
      <c r="I269" s="26" t="str">
        <f aca="false">IF($H269="","",IFERROR(INDEX(EMPL_CLASSE,MATCH($H269,EMPL_KEY,0)),""))</f>
        <v/>
      </c>
      <c r="J269" s="26" t="str">
        <f aca="false">IF($K269=0,"",OPERATIONS!$J269)</f>
        <v/>
      </c>
      <c r="K269" s="67" t="n">
        <f aca="false">IF(OR(OPERATIONS!$N269=0,OPERATIONS!$C269="RECEPTION"),0,-OPERATIONS!$G269)</f>
        <v>0</v>
      </c>
      <c r="L269" s="67" t="n">
        <f aca="false">IF($K269=0,0,OPERATIONS!$Q269*$K269)</f>
        <v>0</v>
      </c>
      <c r="M269" s="26" t="str">
        <f aca="false">IF($K269=0,"",OPERATIONS!$P269)</f>
        <v/>
      </c>
      <c r="N269" s="26" t="str">
        <f aca="false">IF($G269="","",IF($G269=R_LOT,COUNTIF($G$5:$G269,R_LOT),""))</f>
        <v/>
      </c>
    </row>
    <row r="270" customFormat="false" ht="15" hidden="false" customHeight="false" outlineLevel="0" collapsed="false">
      <c r="A270" s="28" t="str">
        <f aca="false">IF($K270=0,"",ROW()-4)</f>
        <v/>
      </c>
      <c r="B270" s="26" t="str">
        <f aca="false">IF($K270=0,"","OPERATIONS")</f>
        <v/>
      </c>
      <c r="C270" s="26" t="str">
        <f aca="false">IF($K270=0,"",OPERATIONS!$A270)</f>
        <v/>
      </c>
      <c r="D270" s="31" t="str">
        <f aca="false">IF($K270=0,"",OPERATIONS!$B270)</f>
        <v/>
      </c>
      <c r="E270" s="26" t="str">
        <f aca="false">IF($K270=0,"","SORTIE")</f>
        <v/>
      </c>
      <c r="F270" s="26" t="str">
        <f aca="false">IF($K270=0,"",OPERATIONS!$C270)</f>
        <v/>
      </c>
      <c r="G270" s="26" t="str">
        <f aca="false">IF($K270=0,"",OPERATIONS!$D270)</f>
        <v/>
      </c>
      <c r="H270" s="26" t="str">
        <f aca="false">IF($K270=0,"",OPERATIONS!$E270)</f>
        <v/>
      </c>
      <c r="I270" s="26" t="str">
        <f aca="false">IF($H270="","",IFERROR(INDEX(EMPL_CLASSE,MATCH($H270,EMPL_KEY,0)),""))</f>
        <v/>
      </c>
      <c r="J270" s="26" t="str">
        <f aca="false">IF($K270=0,"",OPERATIONS!$J270)</f>
        <v/>
      </c>
      <c r="K270" s="67" t="n">
        <f aca="false">IF(OR(OPERATIONS!$N270=0,OPERATIONS!$C270="RECEPTION"),0,-OPERATIONS!$G270)</f>
        <v>0</v>
      </c>
      <c r="L270" s="67" t="n">
        <f aca="false">IF($K270=0,0,OPERATIONS!$Q270*$K270)</f>
        <v>0</v>
      </c>
      <c r="M270" s="26" t="str">
        <f aca="false">IF($K270=0,"",OPERATIONS!$P270)</f>
        <v/>
      </c>
      <c r="N270" s="26" t="str">
        <f aca="false">IF($G270="","",IF($G270=R_LOT,COUNTIF($G$5:$G270,R_LOT),""))</f>
        <v/>
      </c>
    </row>
    <row r="271" customFormat="false" ht="15" hidden="false" customHeight="false" outlineLevel="0" collapsed="false">
      <c r="A271" s="28" t="str">
        <f aca="false">IF($K271=0,"",ROW()-4)</f>
        <v/>
      </c>
      <c r="B271" s="26" t="str">
        <f aca="false">IF($K271=0,"","OPERATIONS")</f>
        <v/>
      </c>
      <c r="C271" s="26" t="str">
        <f aca="false">IF($K271=0,"",OPERATIONS!$A271)</f>
        <v/>
      </c>
      <c r="D271" s="31" t="str">
        <f aca="false">IF($K271=0,"",OPERATIONS!$B271)</f>
        <v/>
      </c>
      <c r="E271" s="26" t="str">
        <f aca="false">IF($K271=0,"","SORTIE")</f>
        <v/>
      </c>
      <c r="F271" s="26" t="str">
        <f aca="false">IF($K271=0,"",OPERATIONS!$C271)</f>
        <v/>
      </c>
      <c r="G271" s="26" t="str">
        <f aca="false">IF($K271=0,"",OPERATIONS!$D271)</f>
        <v/>
      </c>
      <c r="H271" s="26" t="str">
        <f aca="false">IF($K271=0,"",OPERATIONS!$E271)</f>
        <v/>
      </c>
      <c r="I271" s="26" t="str">
        <f aca="false">IF($H271="","",IFERROR(INDEX(EMPL_CLASSE,MATCH($H271,EMPL_KEY,0)),""))</f>
        <v/>
      </c>
      <c r="J271" s="26" t="str">
        <f aca="false">IF($K271=0,"",OPERATIONS!$J271)</f>
        <v/>
      </c>
      <c r="K271" s="67" t="n">
        <f aca="false">IF(OR(OPERATIONS!$N271=0,OPERATIONS!$C271="RECEPTION"),0,-OPERATIONS!$G271)</f>
        <v>0</v>
      </c>
      <c r="L271" s="67" t="n">
        <f aca="false">IF($K271=0,0,OPERATIONS!$Q271*$K271)</f>
        <v>0</v>
      </c>
      <c r="M271" s="26" t="str">
        <f aca="false">IF($K271=0,"",OPERATIONS!$P271)</f>
        <v/>
      </c>
      <c r="N271" s="26" t="str">
        <f aca="false">IF($G271="","",IF($G271=R_LOT,COUNTIF($G$5:$G271,R_LOT),""))</f>
        <v/>
      </c>
    </row>
    <row r="272" customFormat="false" ht="15" hidden="false" customHeight="false" outlineLevel="0" collapsed="false">
      <c r="A272" s="28" t="str">
        <f aca="false">IF($K272=0,"",ROW()-4)</f>
        <v/>
      </c>
      <c r="B272" s="26" t="str">
        <f aca="false">IF($K272=0,"","OPERATIONS")</f>
        <v/>
      </c>
      <c r="C272" s="26" t="str">
        <f aca="false">IF($K272=0,"",OPERATIONS!$A272)</f>
        <v/>
      </c>
      <c r="D272" s="31" t="str">
        <f aca="false">IF($K272=0,"",OPERATIONS!$B272)</f>
        <v/>
      </c>
      <c r="E272" s="26" t="str">
        <f aca="false">IF($K272=0,"","SORTIE")</f>
        <v/>
      </c>
      <c r="F272" s="26" t="str">
        <f aca="false">IF($K272=0,"",OPERATIONS!$C272)</f>
        <v/>
      </c>
      <c r="G272" s="26" t="str">
        <f aca="false">IF($K272=0,"",OPERATIONS!$D272)</f>
        <v/>
      </c>
      <c r="H272" s="26" t="str">
        <f aca="false">IF($K272=0,"",OPERATIONS!$E272)</f>
        <v/>
      </c>
      <c r="I272" s="26" t="str">
        <f aca="false">IF($H272="","",IFERROR(INDEX(EMPL_CLASSE,MATCH($H272,EMPL_KEY,0)),""))</f>
        <v/>
      </c>
      <c r="J272" s="26" t="str">
        <f aca="false">IF($K272=0,"",OPERATIONS!$J272)</f>
        <v/>
      </c>
      <c r="K272" s="67" t="n">
        <f aca="false">IF(OR(OPERATIONS!$N272=0,OPERATIONS!$C272="RECEPTION"),0,-OPERATIONS!$G272)</f>
        <v>0</v>
      </c>
      <c r="L272" s="67" t="n">
        <f aca="false">IF($K272=0,0,OPERATIONS!$Q272*$K272)</f>
        <v>0</v>
      </c>
      <c r="M272" s="26" t="str">
        <f aca="false">IF($K272=0,"",OPERATIONS!$P272)</f>
        <v/>
      </c>
      <c r="N272" s="26" t="str">
        <f aca="false">IF($G272="","",IF($G272=R_LOT,COUNTIF($G$5:$G272,R_LOT),""))</f>
        <v/>
      </c>
    </row>
    <row r="273" customFormat="false" ht="15" hidden="false" customHeight="false" outlineLevel="0" collapsed="false">
      <c r="A273" s="28" t="str">
        <f aca="false">IF($K273=0,"",ROW()-4)</f>
        <v/>
      </c>
      <c r="B273" s="26" t="str">
        <f aca="false">IF($K273=0,"","OPERATIONS")</f>
        <v/>
      </c>
      <c r="C273" s="26" t="str">
        <f aca="false">IF($K273=0,"",OPERATIONS!$A273)</f>
        <v/>
      </c>
      <c r="D273" s="31" t="str">
        <f aca="false">IF($K273=0,"",OPERATIONS!$B273)</f>
        <v/>
      </c>
      <c r="E273" s="26" t="str">
        <f aca="false">IF($K273=0,"","SORTIE")</f>
        <v/>
      </c>
      <c r="F273" s="26" t="str">
        <f aca="false">IF($K273=0,"",OPERATIONS!$C273)</f>
        <v/>
      </c>
      <c r="G273" s="26" t="str">
        <f aca="false">IF($K273=0,"",OPERATIONS!$D273)</f>
        <v/>
      </c>
      <c r="H273" s="26" t="str">
        <f aca="false">IF($K273=0,"",OPERATIONS!$E273)</f>
        <v/>
      </c>
      <c r="I273" s="26" t="str">
        <f aca="false">IF($H273="","",IFERROR(INDEX(EMPL_CLASSE,MATCH($H273,EMPL_KEY,0)),""))</f>
        <v/>
      </c>
      <c r="J273" s="26" t="str">
        <f aca="false">IF($K273=0,"",OPERATIONS!$J273)</f>
        <v/>
      </c>
      <c r="K273" s="67" t="n">
        <f aca="false">IF(OR(OPERATIONS!$N273=0,OPERATIONS!$C273="RECEPTION"),0,-OPERATIONS!$G273)</f>
        <v>0</v>
      </c>
      <c r="L273" s="67" t="n">
        <f aca="false">IF($K273=0,0,OPERATIONS!$Q273*$K273)</f>
        <v>0</v>
      </c>
      <c r="M273" s="26" t="str">
        <f aca="false">IF($K273=0,"",OPERATIONS!$P273)</f>
        <v/>
      </c>
      <c r="N273" s="26" t="str">
        <f aca="false">IF($G273="","",IF($G273=R_LOT,COUNTIF($G$5:$G273,R_LOT),""))</f>
        <v/>
      </c>
    </row>
    <row r="274" customFormat="false" ht="15" hidden="false" customHeight="false" outlineLevel="0" collapsed="false">
      <c r="A274" s="28" t="str">
        <f aca="false">IF($K274=0,"",ROW()-4)</f>
        <v/>
      </c>
      <c r="B274" s="26" t="str">
        <f aca="false">IF($K274=0,"","OPERATIONS")</f>
        <v/>
      </c>
      <c r="C274" s="26" t="str">
        <f aca="false">IF($K274=0,"",OPERATIONS!$A274)</f>
        <v/>
      </c>
      <c r="D274" s="31" t="str">
        <f aca="false">IF($K274=0,"",OPERATIONS!$B274)</f>
        <v/>
      </c>
      <c r="E274" s="26" t="str">
        <f aca="false">IF($K274=0,"","SORTIE")</f>
        <v/>
      </c>
      <c r="F274" s="26" t="str">
        <f aca="false">IF($K274=0,"",OPERATIONS!$C274)</f>
        <v/>
      </c>
      <c r="G274" s="26" t="str">
        <f aca="false">IF($K274=0,"",OPERATIONS!$D274)</f>
        <v/>
      </c>
      <c r="H274" s="26" t="str">
        <f aca="false">IF($K274=0,"",OPERATIONS!$E274)</f>
        <v/>
      </c>
      <c r="I274" s="26" t="str">
        <f aca="false">IF($H274="","",IFERROR(INDEX(EMPL_CLASSE,MATCH($H274,EMPL_KEY,0)),""))</f>
        <v/>
      </c>
      <c r="J274" s="26" t="str">
        <f aca="false">IF($K274=0,"",OPERATIONS!$J274)</f>
        <v/>
      </c>
      <c r="K274" s="67" t="n">
        <f aca="false">IF(OR(OPERATIONS!$N274=0,OPERATIONS!$C274="RECEPTION"),0,-OPERATIONS!$G274)</f>
        <v>0</v>
      </c>
      <c r="L274" s="67" t="n">
        <f aca="false">IF($K274=0,0,OPERATIONS!$Q274*$K274)</f>
        <v>0</v>
      </c>
      <c r="M274" s="26" t="str">
        <f aca="false">IF($K274=0,"",OPERATIONS!$P274)</f>
        <v/>
      </c>
      <c r="N274" s="26" t="str">
        <f aca="false">IF($G274="","",IF($G274=R_LOT,COUNTIF($G$5:$G274,R_LOT),""))</f>
        <v/>
      </c>
    </row>
    <row r="275" customFormat="false" ht="15" hidden="false" customHeight="false" outlineLevel="0" collapsed="false">
      <c r="A275" s="28" t="str">
        <f aca="false">IF($K275=0,"",ROW()-4)</f>
        <v/>
      </c>
      <c r="B275" s="26" t="str">
        <f aca="false">IF($K275=0,"","OPERATIONS")</f>
        <v/>
      </c>
      <c r="C275" s="26" t="str">
        <f aca="false">IF($K275=0,"",OPERATIONS!$A275)</f>
        <v/>
      </c>
      <c r="D275" s="31" t="str">
        <f aca="false">IF($K275=0,"",OPERATIONS!$B275)</f>
        <v/>
      </c>
      <c r="E275" s="26" t="str">
        <f aca="false">IF($K275=0,"","SORTIE")</f>
        <v/>
      </c>
      <c r="F275" s="26" t="str">
        <f aca="false">IF($K275=0,"",OPERATIONS!$C275)</f>
        <v/>
      </c>
      <c r="G275" s="26" t="str">
        <f aca="false">IF($K275=0,"",OPERATIONS!$D275)</f>
        <v/>
      </c>
      <c r="H275" s="26" t="str">
        <f aca="false">IF($K275=0,"",OPERATIONS!$E275)</f>
        <v/>
      </c>
      <c r="I275" s="26" t="str">
        <f aca="false">IF($H275="","",IFERROR(INDEX(EMPL_CLASSE,MATCH($H275,EMPL_KEY,0)),""))</f>
        <v/>
      </c>
      <c r="J275" s="26" t="str">
        <f aca="false">IF($K275=0,"",OPERATIONS!$J275)</f>
        <v/>
      </c>
      <c r="K275" s="67" t="n">
        <f aca="false">IF(OR(OPERATIONS!$N275=0,OPERATIONS!$C275="RECEPTION"),0,-OPERATIONS!$G275)</f>
        <v>0</v>
      </c>
      <c r="L275" s="67" t="n">
        <f aca="false">IF($K275=0,0,OPERATIONS!$Q275*$K275)</f>
        <v>0</v>
      </c>
      <c r="M275" s="26" t="str">
        <f aca="false">IF($K275=0,"",OPERATIONS!$P275)</f>
        <v/>
      </c>
      <c r="N275" s="26" t="str">
        <f aca="false">IF($G275="","",IF($G275=R_LOT,COUNTIF($G$5:$G275,R_LOT),""))</f>
        <v/>
      </c>
    </row>
    <row r="276" customFormat="false" ht="15" hidden="false" customHeight="false" outlineLevel="0" collapsed="false">
      <c r="A276" s="28" t="str">
        <f aca="false">IF($K276=0,"",ROW()-4)</f>
        <v/>
      </c>
      <c r="B276" s="26" t="str">
        <f aca="false">IF($K276=0,"","OPERATIONS")</f>
        <v/>
      </c>
      <c r="C276" s="26" t="str">
        <f aca="false">IF($K276=0,"",OPERATIONS!$A276)</f>
        <v/>
      </c>
      <c r="D276" s="31" t="str">
        <f aca="false">IF($K276=0,"",OPERATIONS!$B276)</f>
        <v/>
      </c>
      <c r="E276" s="26" t="str">
        <f aca="false">IF($K276=0,"","SORTIE")</f>
        <v/>
      </c>
      <c r="F276" s="26" t="str">
        <f aca="false">IF($K276=0,"",OPERATIONS!$C276)</f>
        <v/>
      </c>
      <c r="G276" s="26" t="str">
        <f aca="false">IF($K276=0,"",OPERATIONS!$D276)</f>
        <v/>
      </c>
      <c r="H276" s="26" t="str">
        <f aca="false">IF($K276=0,"",OPERATIONS!$E276)</f>
        <v/>
      </c>
      <c r="I276" s="26" t="str">
        <f aca="false">IF($H276="","",IFERROR(INDEX(EMPL_CLASSE,MATCH($H276,EMPL_KEY,0)),""))</f>
        <v/>
      </c>
      <c r="J276" s="26" t="str">
        <f aca="false">IF($K276=0,"",OPERATIONS!$J276)</f>
        <v/>
      </c>
      <c r="K276" s="67" t="n">
        <f aca="false">IF(OR(OPERATIONS!$N276=0,OPERATIONS!$C276="RECEPTION"),0,-OPERATIONS!$G276)</f>
        <v>0</v>
      </c>
      <c r="L276" s="67" t="n">
        <f aca="false">IF($K276=0,0,OPERATIONS!$Q276*$K276)</f>
        <v>0</v>
      </c>
      <c r="M276" s="26" t="str">
        <f aca="false">IF($K276=0,"",OPERATIONS!$P276)</f>
        <v/>
      </c>
      <c r="N276" s="26" t="str">
        <f aca="false">IF($G276="","",IF($G276=R_LOT,COUNTIF($G$5:$G276,R_LOT),""))</f>
        <v/>
      </c>
    </row>
    <row r="277" customFormat="false" ht="15" hidden="false" customHeight="false" outlineLevel="0" collapsed="false">
      <c r="A277" s="28" t="str">
        <f aca="false">IF($K277=0,"",ROW()-4)</f>
        <v/>
      </c>
      <c r="B277" s="26" t="str">
        <f aca="false">IF($K277=0,"","OPERATIONS")</f>
        <v/>
      </c>
      <c r="C277" s="26" t="str">
        <f aca="false">IF($K277=0,"",OPERATIONS!$A277)</f>
        <v/>
      </c>
      <c r="D277" s="31" t="str">
        <f aca="false">IF($K277=0,"",OPERATIONS!$B277)</f>
        <v/>
      </c>
      <c r="E277" s="26" t="str">
        <f aca="false">IF($K277=0,"","SORTIE")</f>
        <v/>
      </c>
      <c r="F277" s="26" t="str">
        <f aca="false">IF($K277=0,"",OPERATIONS!$C277)</f>
        <v/>
      </c>
      <c r="G277" s="26" t="str">
        <f aca="false">IF($K277=0,"",OPERATIONS!$D277)</f>
        <v/>
      </c>
      <c r="H277" s="26" t="str">
        <f aca="false">IF($K277=0,"",OPERATIONS!$E277)</f>
        <v/>
      </c>
      <c r="I277" s="26" t="str">
        <f aca="false">IF($H277="","",IFERROR(INDEX(EMPL_CLASSE,MATCH($H277,EMPL_KEY,0)),""))</f>
        <v/>
      </c>
      <c r="J277" s="26" t="str">
        <f aca="false">IF($K277=0,"",OPERATIONS!$J277)</f>
        <v/>
      </c>
      <c r="K277" s="67" t="n">
        <f aca="false">IF(OR(OPERATIONS!$N277=0,OPERATIONS!$C277="RECEPTION"),0,-OPERATIONS!$G277)</f>
        <v>0</v>
      </c>
      <c r="L277" s="67" t="n">
        <f aca="false">IF($K277=0,0,OPERATIONS!$Q277*$K277)</f>
        <v>0</v>
      </c>
      <c r="M277" s="26" t="str">
        <f aca="false">IF($K277=0,"",OPERATIONS!$P277)</f>
        <v/>
      </c>
      <c r="N277" s="26" t="str">
        <f aca="false">IF($G277="","",IF($G277=R_LOT,COUNTIF($G$5:$G277,R_LOT),""))</f>
        <v/>
      </c>
    </row>
    <row r="278" customFormat="false" ht="15" hidden="false" customHeight="false" outlineLevel="0" collapsed="false">
      <c r="A278" s="28" t="str">
        <f aca="false">IF($K278=0,"",ROW()-4)</f>
        <v/>
      </c>
      <c r="B278" s="26" t="str">
        <f aca="false">IF($K278=0,"","OPERATIONS")</f>
        <v/>
      </c>
      <c r="C278" s="26" t="str">
        <f aca="false">IF($K278=0,"",OPERATIONS!$A278)</f>
        <v/>
      </c>
      <c r="D278" s="31" t="str">
        <f aca="false">IF($K278=0,"",OPERATIONS!$B278)</f>
        <v/>
      </c>
      <c r="E278" s="26" t="str">
        <f aca="false">IF($K278=0,"","SORTIE")</f>
        <v/>
      </c>
      <c r="F278" s="26" t="str">
        <f aca="false">IF($K278=0,"",OPERATIONS!$C278)</f>
        <v/>
      </c>
      <c r="G278" s="26" t="str">
        <f aca="false">IF($K278=0,"",OPERATIONS!$D278)</f>
        <v/>
      </c>
      <c r="H278" s="26" t="str">
        <f aca="false">IF($K278=0,"",OPERATIONS!$E278)</f>
        <v/>
      </c>
      <c r="I278" s="26" t="str">
        <f aca="false">IF($H278="","",IFERROR(INDEX(EMPL_CLASSE,MATCH($H278,EMPL_KEY,0)),""))</f>
        <v/>
      </c>
      <c r="J278" s="26" t="str">
        <f aca="false">IF($K278=0,"",OPERATIONS!$J278)</f>
        <v/>
      </c>
      <c r="K278" s="67" t="n">
        <f aca="false">IF(OR(OPERATIONS!$N278=0,OPERATIONS!$C278="RECEPTION"),0,-OPERATIONS!$G278)</f>
        <v>0</v>
      </c>
      <c r="L278" s="67" t="n">
        <f aca="false">IF($K278=0,0,OPERATIONS!$Q278*$K278)</f>
        <v>0</v>
      </c>
      <c r="M278" s="26" t="str">
        <f aca="false">IF($K278=0,"",OPERATIONS!$P278)</f>
        <v/>
      </c>
      <c r="N278" s="26" t="str">
        <f aca="false">IF($G278="","",IF($G278=R_LOT,COUNTIF($G$5:$G278,R_LOT),""))</f>
        <v/>
      </c>
    </row>
    <row r="279" customFormat="false" ht="15" hidden="false" customHeight="false" outlineLevel="0" collapsed="false">
      <c r="A279" s="28" t="str">
        <f aca="false">IF($K279=0,"",ROW()-4)</f>
        <v/>
      </c>
      <c r="B279" s="26" t="str">
        <f aca="false">IF($K279=0,"","OPERATIONS")</f>
        <v/>
      </c>
      <c r="C279" s="26" t="str">
        <f aca="false">IF($K279=0,"",OPERATIONS!$A279)</f>
        <v/>
      </c>
      <c r="D279" s="31" t="str">
        <f aca="false">IF($K279=0,"",OPERATIONS!$B279)</f>
        <v/>
      </c>
      <c r="E279" s="26" t="str">
        <f aca="false">IF($K279=0,"","SORTIE")</f>
        <v/>
      </c>
      <c r="F279" s="26" t="str">
        <f aca="false">IF($K279=0,"",OPERATIONS!$C279)</f>
        <v/>
      </c>
      <c r="G279" s="26" t="str">
        <f aca="false">IF($K279=0,"",OPERATIONS!$D279)</f>
        <v/>
      </c>
      <c r="H279" s="26" t="str">
        <f aca="false">IF($K279=0,"",OPERATIONS!$E279)</f>
        <v/>
      </c>
      <c r="I279" s="26" t="str">
        <f aca="false">IF($H279="","",IFERROR(INDEX(EMPL_CLASSE,MATCH($H279,EMPL_KEY,0)),""))</f>
        <v/>
      </c>
      <c r="J279" s="26" t="str">
        <f aca="false">IF($K279=0,"",OPERATIONS!$J279)</f>
        <v/>
      </c>
      <c r="K279" s="67" t="n">
        <f aca="false">IF(OR(OPERATIONS!$N279=0,OPERATIONS!$C279="RECEPTION"),0,-OPERATIONS!$G279)</f>
        <v>0</v>
      </c>
      <c r="L279" s="67" t="n">
        <f aca="false">IF($K279=0,0,OPERATIONS!$Q279*$K279)</f>
        <v>0</v>
      </c>
      <c r="M279" s="26" t="str">
        <f aca="false">IF($K279=0,"",OPERATIONS!$P279)</f>
        <v/>
      </c>
      <c r="N279" s="26" t="str">
        <f aca="false">IF($G279="","",IF($G279=R_LOT,COUNTIF($G$5:$G279,R_LOT),""))</f>
        <v/>
      </c>
    </row>
    <row r="280" customFormat="false" ht="15" hidden="false" customHeight="false" outlineLevel="0" collapsed="false">
      <c r="A280" s="28" t="str">
        <f aca="false">IF($K280=0,"",ROW()-4)</f>
        <v/>
      </c>
      <c r="B280" s="26" t="str">
        <f aca="false">IF($K280=0,"","OPERATIONS")</f>
        <v/>
      </c>
      <c r="C280" s="26" t="str">
        <f aca="false">IF($K280=0,"",OPERATIONS!$A280)</f>
        <v/>
      </c>
      <c r="D280" s="31" t="str">
        <f aca="false">IF($K280=0,"",OPERATIONS!$B280)</f>
        <v/>
      </c>
      <c r="E280" s="26" t="str">
        <f aca="false">IF($K280=0,"","SORTIE")</f>
        <v/>
      </c>
      <c r="F280" s="26" t="str">
        <f aca="false">IF($K280=0,"",OPERATIONS!$C280)</f>
        <v/>
      </c>
      <c r="G280" s="26" t="str">
        <f aca="false">IF($K280=0,"",OPERATIONS!$D280)</f>
        <v/>
      </c>
      <c r="H280" s="26" t="str">
        <f aca="false">IF($K280=0,"",OPERATIONS!$E280)</f>
        <v/>
      </c>
      <c r="I280" s="26" t="str">
        <f aca="false">IF($H280="","",IFERROR(INDEX(EMPL_CLASSE,MATCH($H280,EMPL_KEY,0)),""))</f>
        <v/>
      </c>
      <c r="J280" s="26" t="str">
        <f aca="false">IF($K280=0,"",OPERATIONS!$J280)</f>
        <v/>
      </c>
      <c r="K280" s="67" t="n">
        <f aca="false">IF(OR(OPERATIONS!$N280=0,OPERATIONS!$C280="RECEPTION"),0,-OPERATIONS!$G280)</f>
        <v>0</v>
      </c>
      <c r="L280" s="67" t="n">
        <f aca="false">IF($K280=0,0,OPERATIONS!$Q280*$K280)</f>
        <v>0</v>
      </c>
      <c r="M280" s="26" t="str">
        <f aca="false">IF($K280=0,"",OPERATIONS!$P280)</f>
        <v/>
      </c>
      <c r="N280" s="26" t="str">
        <f aca="false">IF($G280="","",IF($G280=R_LOT,COUNTIF($G$5:$G280,R_LOT),""))</f>
        <v/>
      </c>
    </row>
    <row r="281" customFormat="false" ht="15" hidden="false" customHeight="false" outlineLevel="0" collapsed="false">
      <c r="A281" s="28" t="str">
        <f aca="false">IF($K281=0,"",ROW()-4)</f>
        <v/>
      </c>
      <c r="B281" s="26" t="str">
        <f aca="false">IF($K281=0,"","OPERATIONS")</f>
        <v/>
      </c>
      <c r="C281" s="26" t="str">
        <f aca="false">IF($K281=0,"",OPERATIONS!$A281)</f>
        <v/>
      </c>
      <c r="D281" s="31" t="str">
        <f aca="false">IF($K281=0,"",OPERATIONS!$B281)</f>
        <v/>
      </c>
      <c r="E281" s="26" t="str">
        <f aca="false">IF($K281=0,"","SORTIE")</f>
        <v/>
      </c>
      <c r="F281" s="26" t="str">
        <f aca="false">IF($K281=0,"",OPERATIONS!$C281)</f>
        <v/>
      </c>
      <c r="G281" s="26" t="str">
        <f aca="false">IF($K281=0,"",OPERATIONS!$D281)</f>
        <v/>
      </c>
      <c r="H281" s="26" t="str">
        <f aca="false">IF($K281=0,"",OPERATIONS!$E281)</f>
        <v/>
      </c>
      <c r="I281" s="26" t="str">
        <f aca="false">IF($H281="","",IFERROR(INDEX(EMPL_CLASSE,MATCH($H281,EMPL_KEY,0)),""))</f>
        <v/>
      </c>
      <c r="J281" s="26" t="str">
        <f aca="false">IF($K281=0,"",OPERATIONS!$J281)</f>
        <v/>
      </c>
      <c r="K281" s="67" t="n">
        <f aca="false">IF(OR(OPERATIONS!$N281=0,OPERATIONS!$C281="RECEPTION"),0,-OPERATIONS!$G281)</f>
        <v>0</v>
      </c>
      <c r="L281" s="67" t="n">
        <f aca="false">IF($K281=0,0,OPERATIONS!$Q281*$K281)</f>
        <v>0</v>
      </c>
      <c r="M281" s="26" t="str">
        <f aca="false">IF($K281=0,"",OPERATIONS!$P281)</f>
        <v/>
      </c>
      <c r="N281" s="26" t="str">
        <f aca="false">IF($G281="","",IF($G281=R_LOT,COUNTIF($G$5:$G281,R_LOT),""))</f>
        <v/>
      </c>
    </row>
    <row r="282" customFormat="false" ht="15" hidden="false" customHeight="false" outlineLevel="0" collapsed="false">
      <c r="A282" s="28" t="str">
        <f aca="false">IF($K282=0,"",ROW()-4)</f>
        <v/>
      </c>
      <c r="B282" s="26" t="str">
        <f aca="false">IF($K282=0,"","OPERATIONS")</f>
        <v/>
      </c>
      <c r="C282" s="26" t="str">
        <f aca="false">IF($K282=0,"",OPERATIONS!$A282)</f>
        <v/>
      </c>
      <c r="D282" s="31" t="str">
        <f aca="false">IF($K282=0,"",OPERATIONS!$B282)</f>
        <v/>
      </c>
      <c r="E282" s="26" t="str">
        <f aca="false">IF($K282=0,"","SORTIE")</f>
        <v/>
      </c>
      <c r="F282" s="26" t="str">
        <f aca="false">IF($K282=0,"",OPERATIONS!$C282)</f>
        <v/>
      </c>
      <c r="G282" s="26" t="str">
        <f aca="false">IF($K282=0,"",OPERATIONS!$D282)</f>
        <v/>
      </c>
      <c r="H282" s="26" t="str">
        <f aca="false">IF($K282=0,"",OPERATIONS!$E282)</f>
        <v/>
      </c>
      <c r="I282" s="26" t="str">
        <f aca="false">IF($H282="","",IFERROR(INDEX(EMPL_CLASSE,MATCH($H282,EMPL_KEY,0)),""))</f>
        <v/>
      </c>
      <c r="J282" s="26" t="str">
        <f aca="false">IF($K282=0,"",OPERATIONS!$J282)</f>
        <v/>
      </c>
      <c r="K282" s="67" t="n">
        <f aca="false">IF(OR(OPERATIONS!$N282=0,OPERATIONS!$C282="RECEPTION"),0,-OPERATIONS!$G282)</f>
        <v>0</v>
      </c>
      <c r="L282" s="67" t="n">
        <f aca="false">IF($K282=0,0,OPERATIONS!$Q282*$K282)</f>
        <v>0</v>
      </c>
      <c r="M282" s="26" t="str">
        <f aca="false">IF($K282=0,"",OPERATIONS!$P282)</f>
        <v/>
      </c>
      <c r="N282" s="26" t="str">
        <f aca="false">IF($G282="","",IF($G282=R_LOT,COUNTIF($G$5:$G282,R_LOT),""))</f>
        <v/>
      </c>
    </row>
    <row r="283" customFormat="false" ht="15" hidden="false" customHeight="false" outlineLevel="0" collapsed="false">
      <c r="A283" s="28" t="str">
        <f aca="false">IF($K283=0,"",ROW()-4)</f>
        <v/>
      </c>
      <c r="B283" s="26" t="str">
        <f aca="false">IF($K283=0,"","OPERATIONS")</f>
        <v/>
      </c>
      <c r="C283" s="26" t="str">
        <f aca="false">IF($K283=0,"",OPERATIONS!$A283)</f>
        <v/>
      </c>
      <c r="D283" s="31" t="str">
        <f aca="false">IF($K283=0,"",OPERATIONS!$B283)</f>
        <v/>
      </c>
      <c r="E283" s="26" t="str">
        <f aca="false">IF($K283=0,"","SORTIE")</f>
        <v/>
      </c>
      <c r="F283" s="26" t="str">
        <f aca="false">IF($K283=0,"",OPERATIONS!$C283)</f>
        <v/>
      </c>
      <c r="G283" s="26" t="str">
        <f aca="false">IF($K283=0,"",OPERATIONS!$D283)</f>
        <v/>
      </c>
      <c r="H283" s="26" t="str">
        <f aca="false">IF($K283=0,"",OPERATIONS!$E283)</f>
        <v/>
      </c>
      <c r="I283" s="26" t="str">
        <f aca="false">IF($H283="","",IFERROR(INDEX(EMPL_CLASSE,MATCH($H283,EMPL_KEY,0)),""))</f>
        <v/>
      </c>
      <c r="J283" s="26" t="str">
        <f aca="false">IF($K283=0,"",OPERATIONS!$J283)</f>
        <v/>
      </c>
      <c r="K283" s="67" t="n">
        <f aca="false">IF(OR(OPERATIONS!$N283=0,OPERATIONS!$C283="RECEPTION"),0,-OPERATIONS!$G283)</f>
        <v>0</v>
      </c>
      <c r="L283" s="67" t="n">
        <f aca="false">IF($K283=0,0,OPERATIONS!$Q283*$K283)</f>
        <v>0</v>
      </c>
      <c r="M283" s="26" t="str">
        <f aca="false">IF($K283=0,"",OPERATIONS!$P283)</f>
        <v/>
      </c>
      <c r="N283" s="26" t="str">
        <f aca="false">IF($G283="","",IF($G283=R_LOT,COUNTIF($G$5:$G283,R_LOT),""))</f>
        <v/>
      </c>
    </row>
    <row r="284" customFormat="false" ht="15" hidden="false" customHeight="false" outlineLevel="0" collapsed="false">
      <c r="A284" s="28" t="str">
        <f aca="false">IF($K284=0,"",ROW()-4)</f>
        <v/>
      </c>
      <c r="B284" s="26" t="str">
        <f aca="false">IF($K284=0,"","OPERATIONS")</f>
        <v/>
      </c>
      <c r="C284" s="26" t="str">
        <f aca="false">IF($K284=0,"",OPERATIONS!$A284)</f>
        <v/>
      </c>
      <c r="D284" s="31" t="str">
        <f aca="false">IF($K284=0,"",OPERATIONS!$B284)</f>
        <v/>
      </c>
      <c r="E284" s="26" t="str">
        <f aca="false">IF($K284=0,"","SORTIE")</f>
        <v/>
      </c>
      <c r="F284" s="26" t="str">
        <f aca="false">IF($K284=0,"",OPERATIONS!$C284)</f>
        <v/>
      </c>
      <c r="G284" s="26" t="str">
        <f aca="false">IF($K284=0,"",OPERATIONS!$D284)</f>
        <v/>
      </c>
      <c r="H284" s="26" t="str">
        <f aca="false">IF($K284=0,"",OPERATIONS!$E284)</f>
        <v/>
      </c>
      <c r="I284" s="26" t="str">
        <f aca="false">IF($H284="","",IFERROR(INDEX(EMPL_CLASSE,MATCH($H284,EMPL_KEY,0)),""))</f>
        <v/>
      </c>
      <c r="J284" s="26" t="str">
        <f aca="false">IF($K284=0,"",OPERATIONS!$J284)</f>
        <v/>
      </c>
      <c r="K284" s="67" t="n">
        <f aca="false">IF(OR(OPERATIONS!$N284=0,OPERATIONS!$C284="RECEPTION"),0,-OPERATIONS!$G284)</f>
        <v>0</v>
      </c>
      <c r="L284" s="67" t="n">
        <f aca="false">IF($K284=0,0,OPERATIONS!$Q284*$K284)</f>
        <v>0</v>
      </c>
      <c r="M284" s="26" t="str">
        <f aca="false">IF($K284=0,"",OPERATIONS!$P284)</f>
        <v/>
      </c>
      <c r="N284" s="26" t="str">
        <f aca="false">IF($G284="","",IF($G284=R_LOT,COUNTIF($G$5:$G284,R_LOT),""))</f>
        <v/>
      </c>
    </row>
    <row r="285" customFormat="false" ht="15" hidden="false" customHeight="false" outlineLevel="0" collapsed="false">
      <c r="A285" s="28" t="str">
        <f aca="false">IF($K285=0,"",ROW()-4)</f>
        <v/>
      </c>
      <c r="B285" s="26" t="str">
        <f aca="false">IF($K285=0,"","OPERATIONS")</f>
        <v/>
      </c>
      <c r="C285" s="26" t="str">
        <f aca="false">IF($K285=0,"",OPERATIONS!$A285)</f>
        <v/>
      </c>
      <c r="D285" s="31" t="str">
        <f aca="false">IF($K285=0,"",OPERATIONS!$B285)</f>
        <v/>
      </c>
      <c r="E285" s="26" t="str">
        <f aca="false">IF($K285=0,"","SORTIE")</f>
        <v/>
      </c>
      <c r="F285" s="26" t="str">
        <f aca="false">IF($K285=0,"",OPERATIONS!$C285)</f>
        <v/>
      </c>
      <c r="G285" s="26" t="str">
        <f aca="false">IF($K285=0,"",OPERATIONS!$D285)</f>
        <v/>
      </c>
      <c r="H285" s="26" t="str">
        <f aca="false">IF($K285=0,"",OPERATIONS!$E285)</f>
        <v/>
      </c>
      <c r="I285" s="26" t="str">
        <f aca="false">IF($H285="","",IFERROR(INDEX(EMPL_CLASSE,MATCH($H285,EMPL_KEY,0)),""))</f>
        <v/>
      </c>
      <c r="J285" s="26" t="str">
        <f aca="false">IF($K285=0,"",OPERATIONS!$J285)</f>
        <v/>
      </c>
      <c r="K285" s="67" t="n">
        <f aca="false">IF(OR(OPERATIONS!$N285=0,OPERATIONS!$C285="RECEPTION"),0,-OPERATIONS!$G285)</f>
        <v>0</v>
      </c>
      <c r="L285" s="67" t="n">
        <f aca="false">IF($K285=0,0,OPERATIONS!$Q285*$K285)</f>
        <v>0</v>
      </c>
      <c r="M285" s="26" t="str">
        <f aca="false">IF($K285=0,"",OPERATIONS!$P285)</f>
        <v/>
      </c>
      <c r="N285" s="26" t="str">
        <f aca="false">IF($G285="","",IF($G285=R_LOT,COUNTIF($G$5:$G285,R_LOT),""))</f>
        <v/>
      </c>
    </row>
    <row r="286" customFormat="false" ht="15" hidden="false" customHeight="false" outlineLevel="0" collapsed="false">
      <c r="A286" s="28" t="str">
        <f aca="false">IF($K286=0,"",ROW()-4)</f>
        <v/>
      </c>
      <c r="B286" s="26" t="str">
        <f aca="false">IF($K286=0,"","OPERATIONS")</f>
        <v/>
      </c>
      <c r="C286" s="26" t="str">
        <f aca="false">IF($K286=0,"",OPERATIONS!$A286)</f>
        <v/>
      </c>
      <c r="D286" s="31" t="str">
        <f aca="false">IF($K286=0,"",OPERATIONS!$B286)</f>
        <v/>
      </c>
      <c r="E286" s="26" t="str">
        <f aca="false">IF($K286=0,"","SORTIE")</f>
        <v/>
      </c>
      <c r="F286" s="26" t="str">
        <f aca="false">IF($K286=0,"",OPERATIONS!$C286)</f>
        <v/>
      </c>
      <c r="G286" s="26" t="str">
        <f aca="false">IF($K286=0,"",OPERATIONS!$D286)</f>
        <v/>
      </c>
      <c r="H286" s="26" t="str">
        <f aca="false">IF($K286=0,"",OPERATIONS!$E286)</f>
        <v/>
      </c>
      <c r="I286" s="26" t="str">
        <f aca="false">IF($H286="","",IFERROR(INDEX(EMPL_CLASSE,MATCH($H286,EMPL_KEY,0)),""))</f>
        <v/>
      </c>
      <c r="J286" s="26" t="str">
        <f aca="false">IF($K286=0,"",OPERATIONS!$J286)</f>
        <v/>
      </c>
      <c r="K286" s="67" t="n">
        <f aca="false">IF(OR(OPERATIONS!$N286=0,OPERATIONS!$C286="RECEPTION"),0,-OPERATIONS!$G286)</f>
        <v>0</v>
      </c>
      <c r="L286" s="67" t="n">
        <f aca="false">IF($K286=0,0,OPERATIONS!$Q286*$K286)</f>
        <v>0</v>
      </c>
      <c r="M286" s="26" t="str">
        <f aca="false">IF($K286=0,"",OPERATIONS!$P286)</f>
        <v/>
      </c>
      <c r="N286" s="26" t="str">
        <f aca="false">IF($G286="","",IF($G286=R_LOT,COUNTIF($G$5:$G286,R_LOT),""))</f>
        <v/>
      </c>
    </row>
    <row r="287" customFormat="false" ht="15" hidden="false" customHeight="false" outlineLevel="0" collapsed="false">
      <c r="A287" s="28" t="str">
        <f aca="false">IF($K287=0,"",ROW()-4)</f>
        <v/>
      </c>
      <c r="B287" s="26" t="str">
        <f aca="false">IF($K287=0,"","OPERATIONS")</f>
        <v/>
      </c>
      <c r="C287" s="26" t="str">
        <f aca="false">IF($K287=0,"",OPERATIONS!$A287)</f>
        <v/>
      </c>
      <c r="D287" s="31" t="str">
        <f aca="false">IF($K287=0,"",OPERATIONS!$B287)</f>
        <v/>
      </c>
      <c r="E287" s="26" t="str">
        <f aca="false">IF($K287=0,"","SORTIE")</f>
        <v/>
      </c>
      <c r="F287" s="26" t="str">
        <f aca="false">IF($K287=0,"",OPERATIONS!$C287)</f>
        <v/>
      </c>
      <c r="G287" s="26" t="str">
        <f aca="false">IF($K287=0,"",OPERATIONS!$D287)</f>
        <v/>
      </c>
      <c r="H287" s="26" t="str">
        <f aca="false">IF($K287=0,"",OPERATIONS!$E287)</f>
        <v/>
      </c>
      <c r="I287" s="26" t="str">
        <f aca="false">IF($H287="","",IFERROR(INDEX(EMPL_CLASSE,MATCH($H287,EMPL_KEY,0)),""))</f>
        <v/>
      </c>
      <c r="J287" s="26" t="str">
        <f aca="false">IF($K287=0,"",OPERATIONS!$J287)</f>
        <v/>
      </c>
      <c r="K287" s="67" t="n">
        <f aca="false">IF(OR(OPERATIONS!$N287=0,OPERATIONS!$C287="RECEPTION"),0,-OPERATIONS!$G287)</f>
        <v>0</v>
      </c>
      <c r="L287" s="67" t="n">
        <f aca="false">IF($K287=0,0,OPERATIONS!$Q287*$K287)</f>
        <v>0</v>
      </c>
      <c r="M287" s="26" t="str">
        <f aca="false">IF($K287=0,"",OPERATIONS!$P287)</f>
        <v/>
      </c>
      <c r="N287" s="26" t="str">
        <f aca="false">IF($G287="","",IF($G287=R_LOT,COUNTIF($G$5:$G287,R_LOT),""))</f>
        <v/>
      </c>
    </row>
    <row r="288" customFormat="false" ht="15" hidden="false" customHeight="false" outlineLevel="0" collapsed="false">
      <c r="A288" s="28" t="str">
        <f aca="false">IF($K288=0,"",ROW()-4)</f>
        <v/>
      </c>
      <c r="B288" s="26" t="str">
        <f aca="false">IF($K288=0,"","OPERATIONS")</f>
        <v/>
      </c>
      <c r="C288" s="26" t="str">
        <f aca="false">IF($K288=0,"",OPERATIONS!$A288)</f>
        <v/>
      </c>
      <c r="D288" s="31" t="str">
        <f aca="false">IF($K288=0,"",OPERATIONS!$B288)</f>
        <v/>
      </c>
      <c r="E288" s="26" t="str">
        <f aca="false">IF($K288=0,"","SORTIE")</f>
        <v/>
      </c>
      <c r="F288" s="26" t="str">
        <f aca="false">IF($K288=0,"",OPERATIONS!$C288)</f>
        <v/>
      </c>
      <c r="G288" s="26" t="str">
        <f aca="false">IF($K288=0,"",OPERATIONS!$D288)</f>
        <v/>
      </c>
      <c r="H288" s="26" t="str">
        <f aca="false">IF($K288=0,"",OPERATIONS!$E288)</f>
        <v/>
      </c>
      <c r="I288" s="26" t="str">
        <f aca="false">IF($H288="","",IFERROR(INDEX(EMPL_CLASSE,MATCH($H288,EMPL_KEY,0)),""))</f>
        <v/>
      </c>
      <c r="J288" s="26" t="str">
        <f aca="false">IF($K288=0,"",OPERATIONS!$J288)</f>
        <v/>
      </c>
      <c r="K288" s="67" t="n">
        <f aca="false">IF(OR(OPERATIONS!$N288=0,OPERATIONS!$C288="RECEPTION"),0,-OPERATIONS!$G288)</f>
        <v>0</v>
      </c>
      <c r="L288" s="67" t="n">
        <f aca="false">IF($K288=0,0,OPERATIONS!$Q288*$K288)</f>
        <v>0</v>
      </c>
      <c r="M288" s="26" t="str">
        <f aca="false">IF($K288=0,"",OPERATIONS!$P288)</f>
        <v/>
      </c>
      <c r="N288" s="26" t="str">
        <f aca="false">IF($G288="","",IF($G288=R_LOT,COUNTIF($G$5:$G288,R_LOT),""))</f>
        <v/>
      </c>
    </row>
    <row r="289" customFormat="false" ht="15" hidden="false" customHeight="false" outlineLevel="0" collapsed="false">
      <c r="A289" s="28" t="str">
        <f aca="false">IF($K289=0,"",ROW()-4)</f>
        <v/>
      </c>
      <c r="B289" s="26" t="str">
        <f aca="false">IF($K289=0,"","OPERATIONS")</f>
        <v/>
      </c>
      <c r="C289" s="26" t="str">
        <f aca="false">IF($K289=0,"",OPERATIONS!$A289)</f>
        <v/>
      </c>
      <c r="D289" s="31" t="str">
        <f aca="false">IF($K289=0,"",OPERATIONS!$B289)</f>
        <v/>
      </c>
      <c r="E289" s="26" t="str">
        <f aca="false">IF($K289=0,"","SORTIE")</f>
        <v/>
      </c>
      <c r="F289" s="26" t="str">
        <f aca="false">IF($K289=0,"",OPERATIONS!$C289)</f>
        <v/>
      </c>
      <c r="G289" s="26" t="str">
        <f aca="false">IF($K289=0,"",OPERATIONS!$D289)</f>
        <v/>
      </c>
      <c r="H289" s="26" t="str">
        <f aca="false">IF($K289=0,"",OPERATIONS!$E289)</f>
        <v/>
      </c>
      <c r="I289" s="26" t="str">
        <f aca="false">IF($H289="","",IFERROR(INDEX(EMPL_CLASSE,MATCH($H289,EMPL_KEY,0)),""))</f>
        <v/>
      </c>
      <c r="J289" s="26" t="str">
        <f aca="false">IF($K289=0,"",OPERATIONS!$J289)</f>
        <v/>
      </c>
      <c r="K289" s="67" t="n">
        <f aca="false">IF(OR(OPERATIONS!$N289=0,OPERATIONS!$C289="RECEPTION"),0,-OPERATIONS!$G289)</f>
        <v>0</v>
      </c>
      <c r="L289" s="67" t="n">
        <f aca="false">IF($K289=0,0,OPERATIONS!$Q289*$K289)</f>
        <v>0</v>
      </c>
      <c r="M289" s="26" t="str">
        <f aca="false">IF($K289=0,"",OPERATIONS!$P289)</f>
        <v/>
      </c>
      <c r="N289" s="26" t="str">
        <f aca="false">IF($G289="","",IF($G289=R_LOT,COUNTIF($G$5:$G289,R_LOT),""))</f>
        <v/>
      </c>
    </row>
    <row r="290" customFormat="false" ht="15" hidden="false" customHeight="false" outlineLevel="0" collapsed="false">
      <c r="A290" s="28" t="str">
        <f aca="false">IF($K290=0,"",ROW()-4)</f>
        <v/>
      </c>
      <c r="B290" s="26" t="str">
        <f aca="false">IF($K290=0,"","OPERATIONS")</f>
        <v/>
      </c>
      <c r="C290" s="26" t="str">
        <f aca="false">IF($K290=0,"",OPERATIONS!$A290)</f>
        <v/>
      </c>
      <c r="D290" s="31" t="str">
        <f aca="false">IF($K290=0,"",OPERATIONS!$B290)</f>
        <v/>
      </c>
      <c r="E290" s="26" t="str">
        <f aca="false">IF($K290=0,"","SORTIE")</f>
        <v/>
      </c>
      <c r="F290" s="26" t="str">
        <f aca="false">IF($K290=0,"",OPERATIONS!$C290)</f>
        <v/>
      </c>
      <c r="G290" s="26" t="str">
        <f aca="false">IF($K290=0,"",OPERATIONS!$D290)</f>
        <v/>
      </c>
      <c r="H290" s="26" t="str">
        <f aca="false">IF($K290=0,"",OPERATIONS!$E290)</f>
        <v/>
      </c>
      <c r="I290" s="26" t="str">
        <f aca="false">IF($H290="","",IFERROR(INDEX(EMPL_CLASSE,MATCH($H290,EMPL_KEY,0)),""))</f>
        <v/>
      </c>
      <c r="J290" s="26" t="str">
        <f aca="false">IF($K290=0,"",OPERATIONS!$J290)</f>
        <v/>
      </c>
      <c r="K290" s="67" t="n">
        <f aca="false">IF(OR(OPERATIONS!$N290=0,OPERATIONS!$C290="RECEPTION"),0,-OPERATIONS!$G290)</f>
        <v>0</v>
      </c>
      <c r="L290" s="67" t="n">
        <f aca="false">IF($K290=0,0,OPERATIONS!$Q290*$K290)</f>
        <v>0</v>
      </c>
      <c r="M290" s="26" t="str">
        <f aca="false">IF($K290=0,"",OPERATIONS!$P290)</f>
        <v/>
      </c>
      <c r="N290" s="26" t="str">
        <f aca="false">IF($G290="","",IF($G290=R_LOT,COUNTIF($G$5:$G290,R_LOT),""))</f>
        <v/>
      </c>
    </row>
    <row r="291" customFormat="false" ht="15" hidden="false" customHeight="false" outlineLevel="0" collapsed="false">
      <c r="A291" s="28" t="str">
        <f aca="false">IF($K291=0,"",ROW()-4)</f>
        <v/>
      </c>
      <c r="B291" s="26" t="str">
        <f aca="false">IF($K291=0,"","OPERATIONS")</f>
        <v/>
      </c>
      <c r="C291" s="26" t="str">
        <f aca="false">IF($K291=0,"",OPERATIONS!$A291)</f>
        <v/>
      </c>
      <c r="D291" s="31" t="str">
        <f aca="false">IF($K291=0,"",OPERATIONS!$B291)</f>
        <v/>
      </c>
      <c r="E291" s="26" t="str">
        <f aca="false">IF($K291=0,"","SORTIE")</f>
        <v/>
      </c>
      <c r="F291" s="26" t="str">
        <f aca="false">IF($K291=0,"",OPERATIONS!$C291)</f>
        <v/>
      </c>
      <c r="G291" s="26" t="str">
        <f aca="false">IF($K291=0,"",OPERATIONS!$D291)</f>
        <v/>
      </c>
      <c r="H291" s="26" t="str">
        <f aca="false">IF($K291=0,"",OPERATIONS!$E291)</f>
        <v/>
      </c>
      <c r="I291" s="26" t="str">
        <f aca="false">IF($H291="","",IFERROR(INDEX(EMPL_CLASSE,MATCH($H291,EMPL_KEY,0)),""))</f>
        <v/>
      </c>
      <c r="J291" s="26" t="str">
        <f aca="false">IF($K291=0,"",OPERATIONS!$J291)</f>
        <v/>
      </c>
      <c r="K291" s="67" t="n">
        <f aca="false">IF(OR(OPERATIONS!$N291=0,OPERATIONS!$C291="RECEPTION"),0,-OPERATIONS!$G291)</f>
        <v>0</v>
      </c>
      <c r="L291" s="67" t="n">
        <f aca="false">IF($K291=0,0,OPERATIONS!$Q291*$K291)</f>
        <v>0</v>
      </c>
      <c r="M291" s="26" t="str">
        <f aca="false">IF($K291=0,"",OPERATIONS!$P291)</f>
        <v/>
      </c>
      <c r="N291" s="26" t="str">
        <f aca="false">IF($G291="","",IF($G291=R_LOT,COUNTIF($G$5:$G291,R_LOT),""))</f>
        <v/>
      </c>
    </row>
    <row r="292" customFormat="false" ht="15" hidden="false" customHeight="false" outlineLevel="0" collapsed="false">
      <c r="A292" s="28" t="str">
        <f aca="false">IF($K292=0,"",ROW()-4)</f>
        <v/>
      </c>
      <c r="B292" s="26" t="str">
        <f aca="false">IF($K292=0,"","OPERATIONS")</f>
        <v/>
      </c>
      <c r="C292" s="26" t="str">
        <f aca="false">IF($K292=0,"",OPERATIONS!$A292)</f>
        <v/>
      </c>
      <c r="D292" s="31" t="str">
        <f aca="false">IF($K292=0,"",OPERATIONS!$B292)</f>
        <v/>
      </c>
      <c r="E292" s="26" t="str">
        <f aca="false">IF($K292=0,"","SORTIE")</f>
        <v/>
      </c>
      <c r="F292" s="26" t="str">
        <f aca="false">IF($K292=0,"",OPERATIONS!$C292)</f>
        <v/>
      </c>
      <c r="G292" s="26" t="str">
        <f aca="false">IF($K292=0,"",OPERATIONS!$D292)</f>
        <v/>
      </c>
      <c r="H292" s="26" t="str">
        <f aca="false">IF($K292=0,"",OPERATIONS!$E292)</f>
        <v/>
      </c>
      <c r="I292" s="26" t="str">
        <f aca="false">IF($H292="","",IFERROR(INDEX(EMPL_CLASSE,MATCH($H292,EMPL_KEY,0)),""))</f>
        <v/>
      </c>
      <c r="J292" s="26" t="str">
        <f aca="false">IF($K292=0,"",OPERATIONS!$J292)</f>
        <v/>
      </c>
      <c r="K292" s="67" t="n">
        <f aca="false">IF(OR(OPERATIONS!$N292=0,OPERATIONS!$C292="RECEPTION"),0,-OPERATIONS!$G292)</f>
        <v>0</v>
      </c>
      <c r="L292" s="67" t="n">
        <f aca="false">IF($K292=0,0,OPERATIONS!$Q292*$K292)</f>
        <v>0</v>
      </c>
      <c r="M292" s="26" t="str">
        <f aca="false">IF($K292=0,"",OPERATIONS!$P292)</f>
        <v/>
      </c>
      <c r="N292" s="26" t="str">
        <f aca="false">IF($G292="","",IF($G292=R_LOT,COUNTIF($G$5:$G292,R_LOT),""))</f>
        <v/>
      </c>
    </row>
    <row r="293" customFormat="false" ht="15" hidden="false" customHeight="false" outlineLevel="0" collapsed="false">
      <c r="A293" s="28" t="str">
        <f aca="false">IF($K293=0,"",ROW()-4)</f>
        <v/>
      </c>
      <c r="B293" s="26" t="str">
        <f aca="false">IF($K293=0,"","OPERATIONS")</f>
        <v/>
      </c>
      <c r="C293" s="26" t="str">
        <f aca="false">IF($K293=0,"",OPERATIONS!$A293)</f>
        <v/>
      </c>
      <c r="D293" s="31" t="str">
        <f aca="false">IF($K293=0,"",OPERATIONS!$B293)</f>
        <v/>
      </c>
      <c r="E293" s="26" t="str">
        <f aca="false">IF($K293=0,"","SORTIE")</f>
        <v/>
      </c>
      <c r="F293" s="26" t="str">
        <f aca="false">IF($K293=0,"",OPERATIONS!$C293)</f>
        <v/>
      </c>
      <c r="G293" s="26" t="str">
        <f aca="false">IF($K293=0,"",OPERATIONS!$D293)</f>
        <v/>
      </c>
      <c r="H293" s="26" t="str">
        <f aca="false">IF($K293=0,"",OPERATIONS!$E293)</f>
        <v/>
      </c>
      <c r="I293" s="26" t="str">
        <f aca="false">IF($H293="","",IFERROR(INDEX(EMPL_CLASSE,MATCH($H293,EMPL_KEY,0)),""))</f>
        <v/>
      </c>
      <c r="J293" s="26" t="str">
        <f aca="false">IF($K293=0,"",OPERATIONS!$J293)</f>
        <v/>
      </c>
      <c r="K293" s="67" t="n">
        <f aca="false">IF(OR(OPERATIONS!$N293=0,OPERATIONS!$C293="RECEPTION"),0,-OPERATIONS!$G293)</f>
        <v>0</v>
      </c>
      <c r="L293" s="67" t="n">
        <f aca="false">IF($K293=0,0,OPERATIONS!$Q293*$K293)</f>
        <v>0</v>
      </c>
      <c r="M293" s="26" t="str">
        <f aca="false">IF($K293=0,"",OPERATIONS!$P293)</f>
        <v/>
      </c>
      <c r="N293" s="26" t="str">
        <f aca="false">IF($G293="","",IF($G293=R_LOT,COUNTIF($G$5:$G293,R_LOT),""))</f>
        <v/>
      </c>
    </row>
    <row r="294" customFormat="false" ht="15" hidden="false" customHeight="false" outlineLevel="0" collapsed="false">
      <c r="A294" s="28" t="str">
        <f aca="false">IF($K294=0,"",ROW()-4)</f>
        <v/>
      </c>
      <c r="B294" s="26" t="str">
        <f aca="false">IF($K294=0,"","OPERATIONS")</f>
        <v/>
      </c>
      <c r="C294" s="26" t="str">
        <f aca="false">IF($K294=0,"",OPERATIONS!$A294)</f>
        <v/>
      </c>
      <c r="D294" s="31" t="str">
        <f aca="false">IF($K294=0,"",OPERATIONS!$B294)</f>
        <v/>
      </c>
      <c r="E294" s="26" t="str">
        <f aca="false">IF($K294=0,"","SORTIE")</f>
        <v/>
      </c>
      <c r="F294" s="26" t="str">
        <f aca="false">IF($K294=0,"",OPERATIONS!$C294)</f>
        <v/>
      </c>
      <c r="G294" s="26" t="str">
        <f aca="false">IF($K294=0,"",OPERATIONS!$D294)</f>
        <v/>
      </c>
      <c r="H294" s="26" t="str">
        <f aca="false">IF($K294=0,"",OPERATIONS!$E294)</f>
        <v/>
      </c>
      <c r="I294" s="26" t="str">
        <f aca="false">IF($H294="","",IFERROR(INDEX(EMPL_CLASSE,MATCH($H294,EMPL_KEY,0)),""))</f>
        <v/>
      </c>
      <c r="J294" s="26" t="str">
        <f aca="false">IF($K294=0,"",OPERATIONS!$J294)</f>
        <v/>
      </c>
      <c r="K294" s="67" t="n">
        <f aca="false">IF(OR(OPERATIONS!$N294=0,OPERATIONS!$C294="RECEPTION"),0,-OPERATIONS!$G294)</f>
        <v>0</v>
      </c>
      <c r="L294" s="67" t="n">
        <f aca="false">IF($K294=0,0,OPERATIONS!$Q294*$K294)</f>
        <v>0</v>
      </c>
      <c r="M294" s="26" t="str">
        <f aca="false">IF($K294=0,"",OPERATIONS!$P294)</f>
        <v/>
      </c>
      <c r="N294" s="26" t="str">
        <f aca="false">IF($G294="","",IF($G294=R_LOT,COUNTIF($G$5:$G294,R_LOT),""))</f>
        <v/>
      </c>
    </row>
    <row r="295" customFormat="false" ht="15" hidden="false" customHeight="false" outlineLevel="0" collapsed="false">
      <c r="A295" s="28" t="str">
        <f aca="false">IF($K295=0,"",ROW()-4)</f>
        <v/>
      </c>
      <c r="B295" s="26" t="str">
        <f aca="false">IF($K295=0,"","OPERATIONS")</f>
        <v/>
      </c>
      <c r="C295" s="26" t="str">
        <f aca="false">IF($K295=0,"",OPERATIONS!$A295)</f>
        <v/>
      </c>
      <c r="D295" s="31" t="str">
        <f aca="false">IF($K295=0,"",OPERATIONS!$B295)</f>
        <v/>
      </c>
      <c r="E295" s="26" t="str">
        <f aca="false">IF($K295=0,"","SORTIE")</f>
        <v/>
      </c>
      <c r="F295" s="26" t="str">
        <f aca="false">IF($K295=0,"",OPERATIONS!$C295)</f>
        <v/>
      </c>
      <c r="G295" s="26" t="str">
        <f aca="false">IF($K295=0,"",OPERATIONS!$D295)</f>
        <v/>
      </c>
      <c r="H295" s="26" t="str">
        <f aca="false">IF($K295=0,"",OPERATIONS!$E295)</f>
        <v/>
      </c>
      <c r="I295" s="26" t="str">
        <f aca="false">IF($H295="","",IFERROR(INDEX(EMPL_CLASSE,MATCH($H295,EMPL_KEY,0)),""))</f>
        <v/>
      </c>
      <c r="J295" s="26" t="str">
        <f aca="false">IF($K295=0,"",OPERATIONS!$J295)</f>
        <v/>
      </c>
      <c r="K295" s="67" t="n">
        <f aca="false">IF(OR(OPERATIONS!$N295=0,OPERATIONS!$C295="RECEPTION"),0,-OPERATIONS!$G295)</f>
        <v>0</v>
      </c>
      <c r="L295" s="67" t="n">
        <f aca="false">IF($K295=0,0,OPERATIONS!$Q295*$K295)</f>
        <v>0</v>
      </c>
      <c r="M295" s="26" t="str">
        <f aca="false">IF($K295=0,"",OPERATIONS!$P295)</f>
        <v/>
      </c>
      <c r="N295" s="26" t="str">
        <f aca="false">IF($G295="","",IF($G295=R_LOT,COUNTIF($G$5:$G295,R_LOT),""))</f>
        <v/>
      </c>
    </row>
    <row r="296" customFormat="false" ht="15" hidden="false" customHeight="false" outlineLevel="0" collapsed="false">
      <c r="A296" s="28" t="str">
        <f aca="false">IF($K296=0,"",ROW()-4)</f>
        <v/>
      </c>
      <c r="B296" s="26" t="str">
        <f aca="false">IF($K296=0,"","OPERATIONS")</f>
        <v/>
      </c>
      <c r="C296" s="26" t="str">
        <f aca="false">IF($K296=0,"",OPERATIONS!$A296)</f>
        <v/>
      </c>
      <c r="D296" s="31" t="str">
        <f aca="false">IF($K296=0,"",OPERATIONS!$B296)</f>
        <v/>
      </c>
      <c r="E296" s="26" t="str">
        <f aca="false">IF($K296=0,"","SORTIE")</f>
        <v/>
      </c>
      <c r="F296" s="26" t="str">
        <f aca="false">IF($K296=0,"",OPERATIONS!$C296)</f>
        <v/>
      </c>
      <c r="G296" s="26" t="str">
        <f aca="false">IF($K296=0,"",OPERATIONS!$D296)</f>
        <v/>
      </c>
      <c r="H296" s="26" t="str">
        <f aca="false">IF($K296=0,"",OPERATIONS!$E296)</f>
        <v/>
      </c>
      <c r="I296" s="26" t="str">
        <f aca="false">IF($H296="","",IFERROR(INDEX(EMPL_CLASSE,MATCH($H296,EMPL_KEY,0)),""))</f>
        <v/>
      </c>
      <c r="J296" s="26" t="str">
        <f aca="false">IF($K296=0,"",OPERATIONS!$J296)</f>
        <v/>
      </c>
      <c r="K296" s="67" t="n">
        <f aca="false">IF(OR(OPERATIONS!$N296=0,OPERATIONS!$C296="RECEPTION"),0,-OPERATIONS!$G296)</f>
        <v>0</v>
      </c>
      <c r="L296" s="67" t="n">
        <f aca="false">IF($K296=0,0,OPERATIONS!$Q296*$K296)</f>
        <v>0</v>
      </c>
      <c r="M296" s="26" t="str">
        <f aca="false">IF($K296=0,"",OPERATIONS!$P296)</f>
        <v/>
      </c>
      <c r="N296" s="26" t="str">
        <f aca="false">IF($G296="","",IF($G296=R_LOT,COUNTIF($G$5:$G296,R_LOT),""))</f>
        <v/>
      </c>
    </row>
    <row r="297" customFormat="false" ht="15" hidden="false" customHeight="false" outlineLevel="0" collapsed="false">
      <c r="A297" s="28" t="str">
        <f aca="false">IF($K297=0,"",ROW()-4)</f>
        <v/>
      </c>
      <c r="B297" s="26" t="str">
        <f aca="false">IF($K297=0,"","OPERATIONS")</f>
        <v/>
      </c>
      <c r="C297" s="26" t="str">
        <f aca="false">IF($K297=0,"",OPERATIONS!$A297)</f>
        <v/>
      </c>
      <c r="D297" s="31" t="str">
        <f aca="false">IF($K297=0,"",OPERATIONS!$B297)</f>
        <v/>
      </c>
      <c r="E297" s="26" t="str">
        <f aca="false">IF($K297=0,"","SORTIE")</f>
        <v/>
      </c>
      <c r="F297" s="26" t="str">
        <f aca="false">IF($K297=0,"",OPERATIONS!$C297)</f>
        <v/>
      </c>
      <c r="G297" s="26" t="str">
        <f aca="false">IF($K297=0,"",OPERATIONS!$D297)</f>
        <v/>
      </c>
      <c r="H297" s="26" t="str">
        <f aca="false">IF($K297=0,"",OPERATIONS!$E297)</f>
        <v/>
      </c>
      <c r="I297" s="26" t="str">
        <f aca="false">IF($H297="","",IFERROR(INDEX(EMPL_CLASSE,MATCH($H297,EMPL_KEY,0)),""))</f>
        <v/>
      </c>
      <c r="J297" s="26" t="str">
        <f aca="false">IF($K297=0,"",OPERATIONS!$J297)</f>
        <v/>
      </c>
      <c r="K297" s="67" t="n">
        <f aca="false">IF(OR(OPERATIONS!$N297=0,OPERATIONS!$C297="RECEPTION"),0,-OPERATIONS!$G297)</f>
        <v>0</v>
      </c>
      <c r="L297" s="67" t="n">
        <f aca="false">IF($K297=0,0,OPERATIONS!$Q297*$K297)</f>
        <v>0</v>
      </c>
      <c r="M297" s="26" t="str">
        <f aca="false">IF($K297=0,"",OPERATIONS!$P297)</f>
        <v/>
      </c>
      <c r="N297" s="26" t="str">
        <f aca="false">IF($G297="","",IF($G297=R_LOT,COUNTIF($G$5:$G297,R_LOT),""))</f>
        <v/>
      </c>
    </row>
    <row r="298" customFormat="false" ht="15" hidden="false" customHeight="false" outlineLevel="0" collapsed="false">
      <c r="A298" s="28" t="str">
        <f aca="false">IF($K298=0,"",ROW()-4)</f>
        <v/>
      </c>
      <c r="B298" s="26" t="str">
        <f aca="false">IF($K298=0,"","OPERATIONS")</f>
        <v/>
      </c>
      <c r="C298" s="26" t="str">
        <f aca="false">IF($K298=0,"",OPERATIONS!$A298)</f>
        <v/>
      </c>
      <c r="D298" s="31" t="str">
        <f aca="false">IF($K298=0,"",OPERATIONS!$B298)</f>
        <v/>
      </c>
      <c r="E298" s="26" t="str">
        <f aca="false">IF($K298=0,"","SORTIE")</f>
        <v/>
      </c>
      <c r="F298" s="26" t="str">
        <f aca="false">IF($K298=0,"",OPERATIONS!$C298)</f>
        <v/>
      </c>
      <c r="G298" s="26" t="str">
        <f aca="false">IF($K298=0,"",OPERATIONS!$D298)</f>
        <v/>
      </c>
      <c r="H298" s="26" t="str">
        <f aca="false">IF($K298=0,"",OPERATIONS!$E298)</f>
        <v/>
      </c>
      <c r="I298" s="26" t="str">
        <f aca="false">IF($H298="","",IFERROR(INDEX(EMPL_CLASSE,MATCH($H298,EMPL_KEY,0)),""))</f>
        <v/>
      </c>
      <c r="J298" s="26" t="str">
        <f aca="false">IF($K298=0,"",OPERATIONS!$J298)</f>
        <v/>
      </c>
      <c r="K298" s="67" t="n">
        <f aca="false">IF(OR(OPERATIONS!$N298=0,OPERATIONS!$C298="RECEPTION"),0,-OPERATIONS!$G298)</f>
        <v>0</v>
      </c>
      <c r="L298" s="67" t="n">
        <f aca="false">IF($K298=0,0,OPERATIONS!$Q298*$K298)</f>
        <v>0</v>
      </c>
      <c r="M298" s="26" t="str">
        <f aca="false">IF($K298=0,"",OPERATIONS!$P298)</f>
        <v/>
      </c>
      <c r="N298" s="26" t="str">
        <f aca="false">IF($G298="","",IF($G298=R_LOT,COUNTIF($G$5:$G298,R_LOT),""))</f>
        <v/>
      </c>
    </row>
    <row r="299" customFormat="false" ht="15" hidden="false" customHeight="false" outlineLevel="0" collapsed="false">
      <c r="A299" s="28" t="str">
        <f aca="false">IF($K299=0,"",ROW()-4)</f>
        <v/>
      </c>
      <c r="B299" s="26" t="str">
        <f aca="false">IF($K299=0,"","OPERATIONS")</f>
        <v/>
      </c>
      <c r="C299" s="26" t="str">
        <f aca="false">IF($K299=0,"",OPERATIONS!$A299)</f>
        <v/>
      </c>
      <c r="D299" s="31" t="str">
        <f aca="false">IF($K299=0,"",OPERATIONS!$B299)</f>
        <v/>
      </c>
      <c r="E299" s="26" t="str">
        <f aca="false">IF($K299=0,"","SORTIE")</f>
        <v/>
      </c>
      <c r="F299" s="26" t="str">
        <f aca="false">IF($K299=0,"",OPERATIONS!$C299)</f>
        <v/>
      </c>
      <c r="G299" s="26" t="str">
        <f aca="false">IF($K299=0,"",OPERATIONS!$D299)</f>
        <v/>
      </c>
      <c r="H299" s="26" t="str">
        <f aca="false">IF($K299=0,"",OPERATIONS!$E299)</f>
        <v/>
      </c>
      <c r="I299" s="26" t="str">
        <f aca="false">IF($H299="","",IFERROR(INDEX(EMPL_CLASSE,MATCH($H299,EMPL_KEY,0)),""))</f>
        <v/>
      </c>
      <c r="J299" s="26" t="str">
        <f aca="false">IF($K299=0,"",OPERATIONS!$J299)</f>
        <v/>
      </c>
      <c r="K299" s="67" t="n">
        <f aca="false">IF(OR(OPERATIONS!$N299=0,OPERATIONS!$C299="RECEPTION"),0,-OPERATIONS!$G299)</f>
        <v>0</v>
      </c>
      <c r="L299" s="67" t="n">
        <f aca="false">IF($K299=0,0,OPERATIONS!$Q299*$K299)</f>
        <v>0</v>
      </c>
      <c r="M299" s="26" t="str">
        <f aca="false">IF($K299=0,"",OPERATIONS!$P299)</f>
        <v/>
      </c>
      <c r="N299" s="26" t="str">
        <f aca="false">IF($G299="","",IF($G299=R_LOT,COUNTIF($G$5:$G299,R_LOT),""))</f>
        <v/>
      </c>
    </row>
    <row r="300" customFormat="false" ht="15" hidden="false" customHeight="false" outlineLevel="0" collapsed="false">
      <c r="A300" s="28" t="str">
        <f aca="false">IF($K300=0,"",ROW()-4)</f>
        <v/>
      </c>
      <c r="B300" s="26" t="str">
        <f aca="false">IF($K300=0,"","OPERATIONS")</f>
        <v/>
      </c>
      <c r="C300" s="26" t="str">
        <f aca="false">IF($K300=0,"",OPERATIONS!$A300)</f>
        <v/>
      </c>
      <c r="D300" s="31" t="str">
        <f aca="false">IF($K300=0,"",OPERATIONS!$B300)</f>
        <v/>
      </c>
      <c r="E300" s="26" t="str">
        <f aca="false">IF($K300=0,"","SORTIE")</f>
        <v/>
      </c>
      <c r="F300" s="26" t="str">
        <f aca="false">IF($K300=0,"",OPERATIONS!$C300)</f>
        <v/>
      </c>
      <c r="G300" s="26" t="str">
        <f aca="false">IF($K300=0,"",OPERATIONS!$D300)</f>
        <v/>
      </c>
      <c r="H300" s="26" t="str">
        <f aca="false">IF($K300=0,"",OPERATIONS!$E300)</f>
        <v/>
      </c>
      <c r="I300" s="26" t="str">
        <f aca="false">IF($H300="","",IFERROR(INDEX(EMPL_CLASSE,MATCH($H300,EMPL_KEY,0)),""))</f>
        <v/>
      </c>
      <c r="J300" s="26" t="str">
        <f aca="false">IF($K300=0,"",OPERATIONS!$J300)</f>
        <v/>
      </c>
      <c r="K300" s="67" t="n">
        <f aca="false">IF(OR(OPERATIONS!$N300=0,OPERATIONS!$C300="RECEPTION"),0,-OPERATIONS!$G300)</f>
        <v>0</v>
      </c>
      <c r="L300" s="67" t="n">
        <f aca="false">IF($K300=0,0,OPERATIONS!$Q300*$K300)</f>
        <v>0</v>
      </c>
      <c r="M300" s="26" t="str">
        <f aca="false">IF($K300=0,"",OPERATIONS!$P300)</f>
        <v/>
      </c>
      <c r="N300" s="26" t="str">
        <f aca="false">IF($G300="","",IF($G300=R_LOT,COUNTIF($G$5:$G300,R_LOT),""))</f>
        <v/>
      </c>
    </row>
    <row r="301" customFormat="false" ht="15" hidden="false" customHeight="false" outlineLevel="0" collapsed="false">
      <c r="A301" s="28" t="str">
        <f aca="false">IF($K301=0,"",ROW()-4)</f>
        <v/>
      </c>
      <c r="B301" s="26" t="str">
        <f aca="false">IF($K301=0,"","OPERATIONS")</f>
        <v/>
      </c>
      <c r="C301" s="26" t="str">
        <f aca="false">IF($K301=0,"",OPERATIONS!$A301)</f>
        <v/>
      </c>
      <c r="D301" s="31" t="str">
        <f aca="false">IF($K301=0,"",OPERATIONS!$B301)</f>
        <v/>
      </c>
      <c r="E301" s="26" t="str">
        <f aca="false">IF($K301=0,"","SORTIE")</f>
        <v/>
      </c>
      <c r="F301" s="26" t="str">
        <f aca="false">IF($K301=0,"",OPERATIONS!$C301)</f>
        <v/>
      </c>
      <c r="G301" s="26" t="str">
        <f aca="false">IF($K301=0,"",OPERATIONS!$D301)</f>
        <v/>
      </c>
      <c r="H301" s="26" t="str">
        <f aca="false">IF($K301=0,"",OPERATIONS!$E301)</f>
        <v/>
      </c>
      <c r="I301" s="26" t="str">
        <f aca="false">IF($H301="","",IFERROR(INDEX(EMPL_CLASSE,MATCH($H301,EMPL_KEY,0)),""))</f>
        <v/>
      </c>
      <c r="J301" s="26" t="str">
        <f aca="false">IF($K301=0,"",OPERATIONS!$J301)</f>
        <v/>
      </c>
      <c r="K301" s="67" t="n">
        <f aca="false">IF(OR(OPERATIONS!$N301=0,OPERATIONS!$C301="RECEPTION"),0,-OPERATIONS!$G301)</f>
        <v>0</v>
      </c>
      <c r="L301" s="67" t="n">
        <f aca="false">IF($K301=0,0,OPERATIONS!$Q301*$K301)</f>
        <v>0</v>
      </c>
      <c r="M301" s="26" t="str">
        <f aca="false">IF($K301=0,"",OPERATIONS!$P301)</f>
        <v/>
      </c>
      <c r="N301" s="26" t="str">
        <f aca="false">IF($G301="","",IF($G301=R_LOT,COUNTIF($G$5:$G301,R_LOT),""))</f>
        <v/>
      </c>
    </row>
    <row r="302" customFormat="false" ht="15" hidden="false" customHeight="false" outlineLevel="0" collapsed="false">
      <c r="A302" s="28" t="str">
        <f aca="false">IF($K302=0,"",ROW()-4)</f>
        <v/>
      </c>
      <c r="B302" s="26" t="str">
        <f aca="false">IF($K302=0,"","OPERATIONS")</f>
        <v/>
      </c>
      <c r="C302" s="26" t="str">
        <f aca="false">IF($K302=0,"",OPERATIONS!$A302)</f>
        <v/>
      </c>
      <c r="D302" s="31" t="str">
        <f aca="false">IF($K302=0,"",OPERATIONS!$B302)</f>
        <v/>
      </c>
      <c r="E302" s="26" t="str">
        <f aca="false">IF($K302=0,"","SORTIE")</f>
        <v/>
      </c>
      <c r="F302" s="26" t="str">
        <f aca="false">IF($K302=0,"",OPERATIONS!$C302)</f>
        <v/>
      </c>
      <c r="G302" s="26" t="str">
        <f aca="false">IF($K302=0,"",OPERATIONS!$D302)</f>
        <v/>
      </c>
      <c r="H302" s="26" t="str">
        <f aca="false">IF($K302=0,"",OPERATIONS!$E302)</f>
        <v/>
      </c>
      <c r="I302" s="26" t="str">
        <f aca="false">IF($H302="","",IFERROR(INDEX(EMPL_CLASSE,MATCH($H302,EMPL_KEY,0)),""))</f>
        <v/>
      </c>
      <c r="J302" s="26" t="str">
        <f aca="false">IF($K302=0,"",OPERATIONS!$J302)</f>
        <v/>
      </c>
      <c r="K302" s="67" t="n">
        <f aca="false">IF(OR(OPERATIONS!$N302=0,OPERATIONS!$C302="RECEPTION"),0,-OPERATIONS!$G302)</f>
        <v>0</v>
      </c>
      <c r="L302" s="67" t="n">
        <f aca="false">IF($K302=0,0,OPERATIONS!$Q302*$K302)</f>
        <v>0</v>
      </c>
      <c r="M302" s="26" t="str">
        <f aca="false">IF($K302=0,"",OPERATIONS!$P302)</f>
        <v/>
      </c>
      <c r="N302" s="26" t="str">
        <f aca="false">IF($G302="","",IF($G302=R_LOT,COUNTIF($G$5:$G302,R_LOT),""))</f>
        <v/>
      </c>
    </row>
    <row r="303" customFormat="false" ht="15" hidden="false" customHeight="false" outlineLevel="0" collapsed="false">
      <c r="A303" s="28" t="str">
        <f aca="false">IF($K303=0,"",ROW()-4)</f>
        <v/>
      </c>
      <c r="B303" s="26" t="str">
        <f aca="false">IF($K303=0,"","OPERATIONS")</f>
        <v/>
      </c>
      <c r="C303" s="26" t="str">
        <f aca="false">IF($K303=0,"",OPERATIONS!$A303)</f>
        <v/>
      </c>
      <c r="D303" s="31" t="str">
        <f aca="false">IF($K303=0,"",OPERATIONS!$B303)</f>
        <v/>
      </c>
      <c r="E303" s="26" t="str">
        <f aca="false">IF($K303=0,"","SORTIE")</f>
        <v/>
      </c>
      <c r="F303" s="26" t="str">
        <f aca="false">IF($K303=0,"",OPERATIONS!$C303)</f>
        <v/>
      </c>
      <c r="G303" s="26" t="str">
        <f aca="false">IF($K303=0,"",OPERATIONS!$D303)</f>
        <v/>
      </c>
      <c r="H303" s="26" t="str">
        <f aca="false">IF($K303=0,"",OPERATIONS!$E303)</f>
        <v/>
      </c>
      <c r="I303" s="26" t="str">
        <f aca="false">IF($H303="","",IFERROR(INDEX(EMPL_CLASSE,MATCH($H303,EMPL_KEY,0)),""))</f>
        <v/>
      </c>
      <c r="J303" s="26" t="str">
        <f aca="false">IF($K303=0,"",OPERATIONS!$J303)</f>
        <v/>
      </c>
      <c r="K303" s="67" t="n">
        <f aca="false">IF(OR(OPERATIONS!$N303=0,OPERATIONS!$C303="RECEPTION"),0,-OPERATIONS!$G303)</f>
        <v>0</v>
      </c>
      <c r="L303" s="67" t="n">
        <f aca="false">IF($K303=0,0,OPERATIONS!$Q303*$K303)</f>
        <v>0</v>
      </c>
      <c r="M303" s="26" t="str">
        <f aca="false">IF($K303=0,"",OPERATIONS!$P303)</f>
        <v/>
      </c>
      <c r="N303" s="26" t="str">
        <f aca="false">IF($G303="","",IF($G303=R_LOT,COUNTIF($G$5:$G303,R_LOT),""))</f>
        <v/>
      </c>
    </row>
    <row r="304" customFormat="false" ht="15" hidden="false" customHeight="false" outlineLevel="0" collapsed="false">
      <c r="A304" s="28" t="str">
        <f aca="false">IF($K304=0,"",ROW()-4)</f>
        <v/>
      </c>
      <c r="B304" s="26" t="str">
        <f aca="false">IF($K304=0,"","OPERATIONS")</f>
        <v/>
      </c>
      <c r="C304" s="26" t="str">
        <f aca="false">IF($K304=0,"",OPERATIONS!$A304)</f>
        <v/>
      </c>
      <c r="D304" s="31" t="str">
        <f aca="false">IF($K304=0,"",OPERATIONS!$B304)</f>
        <v/>
      </c>
      <c r="E304" s="26" t="str">
        <f aca="false">IF($K304=0,"","SORTIE")</f>
        <v/>
      </c>
      <c r="F304" s="26" t="str">
        <f aca="false">IF($K304=0,"",OPERATIONS!$C304)</f>
        <v/>
      </c>
      <c r="G304" s="26" t="str">
        <f aca="false">IF($K304=0,"",OPERATIONS!$D304)</f>
        <v/>
      </c>
      <c r="H304" s="26" t="str">
        <f aca="false">IF($K304=0,"",OPERATIONS!$E304)</f>
        <v/>
      </c>
      <c r="I304" s="26" t="str">
        <f aca="false">IF($H304="","",IFERROR(INDEX(EMPL_CLASSE,MATCH($H304,EMPL_KEY,0)),""))</f>
        <v/>
      </c>
      <c r="J304" s="26" t="str">
        <f aca="false">IF($K304=0,"",OPERATIONS!$J304)</f>
        <v/>
      </c>
      <c r="K304" s="67" t="n">
        <f aca="false">IF(OR(OPERATIONS!$N304=0,OPERATIONS!$C304="RECEPTION"),0,-OPERATIONS!$G304)</f>
        <v>0</v>
      </c>
      <c r="L304" s="67" t="n">
        <f aca="false">IF($K304=0,0,OPERATIONS!$Q304*$K304)</f>
        <v>0</v>
      </c>
      <c r="M304" s="26" t="str">
        <f aca="false">IF($K304=0,"",OPERATIONS!$P304)</f>
        <v/>
      </c>
      <c r="N304" s="26" t="str">
        <f aca="false">IF($G304="","",IF($G304=R_LOT,COUNTIF($G$5:$G304,R_LOT),""))</f>
        <v/>
      </c>
    </row>
    <row r="305" customFormat="false" ht="15" hidden="false" customHeight="false" outlineLevel="0" collapsed="false">
      <c r="A305" s="28" t="n">
        <f aca="false">IF($K305=0,"",ROW()-4)</f>
        <v>301</v>
      </c>
      <c r="B305" s="26" t="str">
        <f aca="false">IF($K305=0,"","OPERATIONS")</f>
        <v>OPERATIONS</v>
      </c>
      <c r="C305" s="26" t="str">
        <f aca="false">IF($K305=0,"",OPERATIONS!$A5)</f>
        <v>OP-001</v>
      </c>
      <c r="D305" s="31" t="n">
        <f aca="false">IF($K305=0,"",OPERATIONS!$B5)</f>
        <v>46237</v>
      </c>
      <c r="E305" s="26" t="str">
        <f aca="false">IF($K305=0,"","ENTREE")</f>
        <v>ENTREE</v>
      </c>
      <c r="F305" s="26" t="str">
        <f aca="false">IF($K305=0,"",OPERATIONS!$C5)</f>
        <v>RECEPTION</v>
      </c>
      <c r="G305" s="26" t="str">
        <f aca="false">IF($K305=0,"",OPERATIONS!$D5)</f>
        <v>255</v>
      </c>
      <c r="H305" s="26" t="str">
        <f aca="false">IF($K305=0,"",OPERATIONS!$F5)</f>
        <v>OCEAMIC 2</v>
      </c>
      <c r="I305" s="26" t="str">
        <f aca="false">IF($H305="","",IFERROR(INDEX(EMPL_CLASSE,MATCH($H305,EMPL_KEY,0)),""))</f>
        <v>INTERNE</v>
      </c>
      <c r="J305" s="26" t="str">
        <f aca="false">IF($K305=0,"",OPERATIONS!$J5)</f>
        <v>SARDINE</v>
      </c>
      <c r="K305" s="67" t="n">
        <f aca="false">IF(OR(OPERATIONS!$N5=0,OPERATIONS!$C5="CONSOMMATION"),0,OPERATIONS!$G5)</f>
        <v>1000</v>
      </c>
      <c r="L305" s="67" t="n">
        <f aca="false">IF($K305=0,0,OPERATIONS!$Q5*$K305)</f>
        <v>1000</v>
      </c>
      <c r="M305" s="26" t="str">
        <f aca="false">IF($K305=0,"",OPERATIONS!$P5)</f>
        <v>OK</v>
      </c>
      <c r="N305" s="26" t="n">
        <f aca="false">IF($G305="","",IF($G305=R_LOT,COUNTIF($G$5:$G305,R_LOT),""))</f>
        <v>1</v>
      </c>
    </row>
    <row r="306" customFormat="false" ht="15" hidden="false" customHeight="false" outlineLevel="0" collapsed="false">
      <c r="A306" s="28" t="n">
        <f aca="false">IF($K306=0,"",ROW()-4)</f>
        <v>302</v>
      </c>
      <c r="B306" s="26" t="str">
        <f aca="false">IF($K306=0,"","OPERATIONS")</f>
        <v>OPERATIONS</v>
      </c>
      <c r="C306" s="26" t="str">
        <f aca="false">IF($K306=0,"",OPERATIONS!$A6)</f>
        <v>OP-002</v>
      </c>
      <c r="D306" s="31" t="n">
        <f aca="false">IF($K306=0,"",OPERATIONS!$B6)</f>
        <v>46238</v>
      </c>
      <c r="E306" s="26" t="str">
        <f aca="false">IF($K306=0,"","ENTREE")</f>
        <v>ENTREE</v>
      </c>
      <c r="F306" s="26" t="str">
        <f aca="false">IF($K306=0,"",OPERATIONS!$C6)</f>
        <v>RECEPTION</v>
      </c>
      <c r="G306" s="26" t="str">
        <f aca="false">IF($K306=0,"",OPERATIONS!$D6)</f>
        <v>256</v>
      </c>
      <c r="H306" s="26" t="str">
        <f aca="false">IF($K306=0,"",OPERATIONS!$F6)</f>
        <v>SARMA</v>
      </c>
      <c r="I306" s="26" t="str">
        <f aca="false">IF($H306="","",IFERROR(INDEX(EMPL_CLASSE,MATCH($H306,EMPL_KEY,0)),""))</f>
        <v>EXTERNE</v>
      </c>
      <c r="J306" s="26" t="str">
        <f aca="false">IF($K306=0,"",OPERATIONS!$J6)</f>
        <v>MAQUEREAU</v>
      </c>
      <c r="K306" s="67" t="n">
        <f aca="false">IF(OR(OPERATIONS!$N6=0,OPERATIONS!$C6="CONSOMMATION"),0,OPERATIONS!$G6)</f>
        <v>2000</v>
      </c>
      <c r="L306" s="67" t="n">
        <f aca="false">IF($K306=0,0,OPERATIONS!$Q6*$K306)</f>
        <v>2000</v>
      </c>
      <c r="M306" s="26" t="str">
        <f aca="false">IF($K306=0,"",OPERATIONS!$P6)</f>
        <v>OK</v>
      </c>
      <c r="N306" s="26" t="str">
        <f aca="false">IF($G306="","",IF($G306=R_LOT,COUNTIF($G$5:$G306,R_LOT),""))</f>
        <v/>
      </c>
    </row>
    <row r="307" customFormat="false" ht="15" hidden="false" customHeight="false" outlineLevel="0" collapsed="false">
      <c r="A307" s="28" t="n">
        <f aca="false">IF($K307=0,"",ROW()-4)</f>
        <v>303</v>
      </c>
      <c r="B307" s="26" t="str">
        <f aca="false">IF($K307=0,"","OPERATIONS")</f>
        <v>OPERATIONS</v>
      </c>
      <c r="C307" s="26" t="str">
        <f aca="false">IF($K307=0,"",OPERATIONS!$A7)</f>
        <v>OP-003</v>
      </c>
      <c r="D307" s="31" t="n">
        <f aca="false">IF($K307=0,"",OPERATIONS!$B7)</f>
        <v>46239</v>
      </c>
      <c r="E307" s="26" t="str">
        <f aca="false">IF($K307=0,"","ENTREE")</f>
        <v>ENTREE</v>
      </c>
      <c r="F307" s="26" t="str">
        <f aca="false">IF($K307=0,"",OPERATIONS!$C7)</f>
        <v>RECEPTION</v>
      </c>
      <c r="G307" s="26" t="str">
        <f aca="false">IF($K307=0,"",OPERATIONS!$D7)</f>
        <v>257</v>
      </c>
      <c r="H307" s="26" t="str">
        <f aca="false">IF($K307=0,"",OPERATIONS!$F7)</f>
        <v>OCEAMIC 2</v>
      </c>
      <c r="I307" s="26" t="str">
        <f aca="false">IF($H307="","",IFERROR(INDEX(EMPL_CLASSE,MATCH($H307,EMPL_KEY,0)),""))</f>
        <v>INTERNE</v>
      </c>
      <c r="J307" s="26" t="str">
        <f aca="false">IF($K307=0,"",OPERATIONS!$J7)</f>
        <v>SARDINE</v>
      </c>
      <c r="K307" s="67" t="n">
        <f aca="false">IF(OR(OPERATIONS!$N7=0,OPERATIONS!$C7="CONSOMMATION"),0,OPERATIONS!$G7)</f>
        <v>800</v>
      </c>
      <c r="L307" s="67" t="n">
        <f aca="false">IF($K307=0,0,OPERATIONS!$Q7*$K307)</f>
        <v>800</v>
      </c>
      <c r="M307" s="26" t="str">
        <f aca="false">IF($K307=0,"",OPERATIONS!$P7)</f>
        <v>OK</v>
      </c>
      <c r="N307" s="26" t="str">
        <f aca="false">IF($G307="","",IF($G307=R_LOT,COUNTIF($G$5:$G307,R_LOT),""))</f>
        <v/>
      </c>
    </row>
    <row r="308" customFormat="false" ht="15" hidden="false" customHeight="false" outlineLevel="0" collapsed="false">
      <c r="A308" s="28" t="n">
        <f aca="false">IF($K308=0,"",ROW()-4)</f>
        <v>304</v>
      </c>
      <c r="B308" s="26" t="str">
        <f aca="false">IF($K308=0,"","OPERATIONS")</f>
        <v>OPERATIONS</v>
      </c>
      <c r="C308" s="26" t="str">
        <f aca="false">IF($K308=0,"",OPERATIONS!$A8)</f>
        <v>OP-004</v>
      </c>
      <c r="D308" s="31" t="n">
        <f aca="false">IF($K308=0,"",OPERATIONS!$B8)</f>
        <v>46240</v>
      </c>
      <c r="E308" s="26" t="str">
        <f aca="false">IF($K308=0,"","ENTREE")</f>
        <v>ENTREE</v>
      </c>
      <c r="F308" s="26" t="str">
        <f aca="false">IF($K308=0,"",OPERATIONS!$C8)</f>
        <v>RECEPTION</v>
      </c>
      <c r="G308" s="26" t="str">
        <f aca="false">IF($K308=0,"",OPERATIONS!$D8)</f>
        <v>258</v>
      </c>
      <c r="H308" s="26" t="str">
        <f aca="false">IF($K308=0,"",OPERATIONS!$F8)</f>
        <v>OCEAMIC 2</v>
      </c>
      <c r="I308" s="26" t="str">
        <f aca="false">IF($H308="","",IFERROR(INDEX(EMPL_CLASSE,MATCH($H308,EMPL_KEY,0)),""))</f>
        <v>INTERNE</v>
      </c>
      <c r="J308" s="26" t="str">
        <f aca="false">IF($K308=0,"",OPERATIONS!$J8)</f>
        <v>SARDINE</v>
      </c>
      <c r="K308" s="67" t="n">
        <f aca="false">IF(OR(OPERATIONS!$N8=0,OPERATIONS!$C8="CONSOMMATION"),0,OPERATIONS!$G8)</f>
        <v>200</v>
      </c>
      <c r="L308" s="67" t="n">
        <f aca="false">IF($K308=0,0,OPERATIONS!$Q8*$K308)</f>
        <v>200</v>
      </c>
      <c r="M308" s="26" t="str">
        <f aca="false">IF($K308=0,"",OPERATIONS!$P8)</f>
        <v>OK</v>
      </c>
      <c r="N308" s="26" t="str">
        <f aca="false">IF($G308="","",IF($G308=R_LOT,COUNTIF($G$5:$G308,R_LOT),""))</f>
        <v/>
      </c>
    </row>
    <row r="309" customFormat="false" ht="15" hidden="false" customHeight="false" outlineLevel="0" collapsed="false">
      <c r="A309" s="28" t="str">
        <f aca="false">IF($K309=0,"",ROW()-4)</f>
        <v/>
      </c>
      <c r="B309" s="26" t="str">
        <f aca="false">IF($K309=0,"","OPERATIONS")</f>
        <v/>
      </c>
      <c r="C309" s="26" t="str">
        <f aca="false">IF($K309=0,"",OPERATIONS!$A9)</f>
        <v/>
      </c>
      <c r="D309" s="31" t="str">
        <f aca="false">IF($K309=0,"",OPERATIONS!$B9)</f>
        <v/>
      </c>
      <c r="E309" s="26" t="str">
        <f aca="false">IF($K309=0,"","ENTREE")</f>
        <v/>
      </c>
      <c r="F309" s="26" t="str">
        <f aca="false">IF($K309=0,"",OPERATIONS!$C9)</f>
        <v/>
      </c>
      <c r="G309" s="26" t="str">
        <f aca="false">IF($K309=0,"",OPERATIONS!$D9)</f>
        <v/>
      </c>
      <c r="H309" s="26" t="str">
        <f aca="false">IF($K309=0,"",OPERATIONS!$F9)</f>
        <v/>
      </c>
      <c r="I309" s="26" t="str">
        <f aca="false">IF($H309="","",IFERROR(INDEX(EMPL_CLASSE,MATCH($H309,EMPL_KEY,0)),""))</f>
        <v/>
      </c>
      <c r="J309" s="26" t="str">
        <f aca="false">IF($K309=0,"",OPERATIONS!$J9)</f>
        <v/>
      </c>
      <c r="K309" s="67" t="n">
        <f aca="false">IF(OR(OPERATIONS!$N9=0,OPERATIONS!$C9="CONSOMMATION"),0,OPERATIONS!$G9)</f>
        <v>0</v>
      </c>
      <c r="L309" s="67" t="n">
        <f aca="false">IF($K309=0,0,OPERATIONS!$Q9*$K309)</f>
        <v>0</v>
      </c>
      <c r="M309" s="26" t="str">
        <f aca="false">IF($K309=0,"",OPERATIONS!$P9)</f>
        <v/>
      </c>
      <c r="N309" s="26" t="str">
        <f aca="false">IF($G309="","",IF($G309=R_LOT,COUNTIF($G$5:$G309,R_LOT),""))</f>
        <v/>
      </c>
    </row>
    <row r="310" customFormat="false" ht="15" hidden="false" customHeight="false" outlineLevel="0" collapsed="false">
      <c r="A310" s="28" t="n">
        <f aca="false">IF($K310=0,"",ROW()-4)</f>
        <v>306</v>
      </c>
      <c r="B310" s="26" t="str">
        <f aca="false">IF($K310=0,"","OPERATIONS")</f>
        <v>OPERATIONS</v>
      </c>
      <c r="C310" s="26" t="str">
        <f aca="false">IF($K310=0,"",OPERATIONS!$A10)</f>
        <v>OP-006</v>
      </c>
      <c r="D310" s="31" t="n">
        <f aca="false">IF($K310=0,"",OPERATIONS!$B10)</f>
        <v>46243</v>
      </c>
      <c r="E310" s="26" t="str">
        <f aca="false">IF($K310=0,"","ENTREE")</f>
        <v>ENTREE</v>
      </c>
      <c r="F310" s="26" t="str">
        <f aca="false">IF($K310=0,"",OPERATIONS!$C10)</f>
        <v>TRANSFERT</v>
      </c>
      <c r="G310" s="26" t="str">
        <f aca="false">IF($K310=0,"",OPERATIONS!$D10)</f>
        <v>256</v>
      </c>
      <c r="H310" s="26" t="str">
        <f aca="false">IF($K310=0,"",OPERATIONS!$F10)</f>
        <v>OCEAMIC 2</v>
      </c>
      <c r="I310" s="26" t="str">
        <f aca="false">IF($H310="","",IFERROR(INDEX(EMPL_CLASSE,MATCH($H310,EMPL_KEY,0)),""))</f>
        <v>INTERNE</v>
      </c>
      <c r="J310" s="26" t="str">
        <f aca="false">IF($K310=0,"",OPERATIONS!$J10)</f>
        <v>MAQUEREAU</v>
      </c>
      <c r="K310" s="67" t="n">
        <f aca="false">IF(OR(OPERATIONS!$N10=0,OPERATIONS!$C10="CONSOMMATION"),0,OPERATIONS!$G10)</f>
        <v>800</v>
      </c>
      <c r="L310" s="67" t="n">
        <f aca="false">IF($K310=0,0,OPERATIONS!$Q10*$K310)</f>
        <v>800</v>
      </c>
      <c r="M310" s="26" t="str">
        <f aca="false">IF($K310=0,"",OPERATIONS!$P10)</f>
        <v>OK</v>
      </c>
      <c r="N310" s="26" t="str">
        <f aca="false">IF($G310="","",IF($G310=R_LOT,COUNTIF($G$5:$G310,R_LOT),""))</f>
        <v/>
      </c>
    </row>
    <row r="311" customFormat="false" ht="15" hidden="false" customHeight="false" outlineLevel="0" collapsed="false">
      <c r="A311" s="28" t="n">
        <f aca="false">IF($K311=0,"",ROW()-4)</f>
        <v>307</v>
      </c>
      <c r="B311" s="26" t="str">
        <f aca="false">IF($K311=0,"","OPERATIONS")</f>
        <v>OPERATIONS</v>
      </c>
      <c r="C311" s="26" t="str">
        <f aca="false">IF($K311=0,"",OPERATIONS!$A11)</f>
        <v>OP-007</v>
      </c>
      <c r="D311" s="31" t="n">
        <f aca="false">IF($K311=0,"",OPERATIONS!$B11)</f>
        <v>46244</v>
      </c>
      <c r="E311" s="26" t="str">
        <f aca="false">IF($K311=0,"","ENTREE")</f>
        <v>ENTREE</v>
      </c>
      <c r="F311" s="26" t="str">
        <f aca="false">IF($K311=0,"",OPERATIONS!$C11)</f>
        <v>RECEPTION</v>
      </c>
      <c r="G311" s="26" t="str">
        <f aca="false">IF($K311=0,"",OPERATIONS!$D11)</f>
        <v>301</v>
      </c>
      <c r="H311" s="26" t="str">
        <f aca="false">IF($K311=0,"",OPERATIONS!$F11)</f>
        <v>OCEAMIC 2</v>
      </c>
      <c r="I311" s="26" t="str">
        <f aca="false">IF($H311="","",IFERROR(INDEX(EMPL_CLASSE,MATCH($H311,EMPL_KEY,0)),""))</f>
        <v>INTERNE</v>
      </c>
      <c r="J311" s="26" t="str">
        <f aca="false">IF($K311=0,"",OPERATIONS!$J11)</f>
        <v>MAQUEREAU</v>
      </c>
      <c r="K311" s="67" t="n">
        <f aca="false">IF(OR(OPERATIONS!$N11=0,OPERATIONS!$C11="CONSOMMATION"),0,OPERATIONS!$G11)</f>
        <v>400</v>
      </c>
      <c r="L311" s="67" t="n">
        <f aca="false">IF($K311=0,0,OPERATIONS!$Q11*$K311)</f>
        <v>400</v>
      </c>
      <c r="M311" s="26" t="str">
        <f aca="false">IF($K311=0,"",OPERATIONS!$P11)</f>
        <v>OK</v>
      </c>
      <c r="N311" s="26" t="str">
        <f aca="false">IF($G311="","",IF($G311=R_LOT,COUNTIF($G$5:$G311,R_LOT),""))</f>
        <v/>
      </c>
    </row>
    <row r="312" customFormat="false" ht="15" hidden="false" customHeight="false" outlineLevel="0" collapsed="false">
      <c r="A312" s="28" t="str">
        <f aca="false">IF($K312=0,"",ROW()-4)</f>
        <v/>
      </c>
      <c r="B312" s="26" t="str">
        <f aca="false">IF($K312=0,"","OPERATIONS")</f>
        <v/>
      </c>
      <c r="C312" s="26" t="str">
        <f aca="false">IF($K312=0,"",OPERATIONS!$A12)</f>
        <v/>
      </c>
      <c r="D312" s="31" t="str">
        <f aca="false">IF($K312=0,"",OPERATIONS!$B12)</f>
        <v/>
      </c>
      <c r="E312" s="26" t="str">
        <f aca="false">IF($K312=0,"","ENTREE")</f>
        <v/>
      </c>
      <c r="F312" s="26" t="str">
        <f aca="false">IF($K312=0,"",OPERATIONS!$C12)</f>
        <v/>
      </c>
      <c r="G312" s="26" t="str">
        <f aca="false">IF($K312=0,"",OPERATIONS!$D12)</f>
        <v/>
      </c>
      <c r="H312" s="26" t="str">
        <f aca="false">IF($K312=0,"",OPERATIONS!$F12)</f>
        <v/>
      </c>
      <c r="I312" s="26" t="str">
        <f aca="false">IF($H312="","",IFERROR(INDEX(EMPL_CLASSE,MATCH($H312,EMPL_KEY,0)),""))</f>
        <v/>
      </c>
      <c r="J312" s="26" t="str">
        <f aca="false">IF($K312=0,"",OPERATIONS!$J12)</f>
        <v/>
      </c>
      <c r="K312" s="67" t="n">
        <f aca="false">IF(OR(OPERATIONS!$N12=0,OPERATIONS!$C12="CONSOMMATION"),0,OPERATIONS!$G12)</f>
        <v>0</v>
      </c>
      <c r="L312" s="67" t="n">
        <f aca="false">IF($K312=0,0,OPERATIONS!$Q12*$K312)</f>
        <v>0</v>
      </c>
      <c r="M312" s="26" t="str">
        <f aca="false">IF($K312=0,"",OPERATIONS!$P12)</f>
        <v/>
      </c>
      <c r="N312" s="26" t="str">
        <f aca="false">IF($G312="","",IF($G312=R_LOT,COUNTIF($G$5:$G312,R_LOT),""))</f>
        <v/>
      </c>
    </row>
    <row r="313" customFormat="false" ht="15" hidden="false" customHeight="false" outlineLevel="0" collapsed="false">
      <c r="A313" s="28" t="str">
        <f aca="false">IF($K313=0,"",ROW()-4)</f>
        <v/>
      </c>
      <c r="B313" s="26" t="str">
        <f aca="false">IF($K313=0,"","OPERATIONS")</f>
        <v/>
      </c>
      <c r="C313" s="26" t="str">
        <f aca="false">IF($K313=0,"",OPERATIONS!$A13)</f>
        <v/>
      </c>
      <c r="D313" s="31" t="str">
        <f aca="false">IF($K313=0,"",OPERATIONS!$B13)</f>
        <v/>
      </c>
      <c r="E313" s="26" t="str">
        <f aca="false">IF($K313=0,"","ENTREE")</f>
        <v/>
      </c>
      <c r="F313" s="26" t="str">
        <f aca="false">IF($K313=0,"",OPERATIONS!$C13)</f>
        <v/>
      </c>
      <c r="G313" s="26" t="str">
        <f aca="false">IF($K313=0,"",OPERATIONS!$D13)</f>
        <v/>
      </c>
      <c r="H313" s="26" t="str">
        <f aca="false">IF($K313=0,"",OPERATIONS!$F13)</f>
        <v/>
      </c>
      <c r="I313" s="26" t="str">
        <f aca="false">IF($H313="","",IFERROR(INDEX(EMPL_CLASSE,MATCH($H313,EMPL_KEY,0)),""))</f>
        <v/>
      </c>
      <c r="J313" s="26" t="str">
        <f aca="false">IF($K313=0,"",OPERATIONS!$J13)</f>
        <v/>
      </c>
      <c r="K313" s="67" t="n">
        <f aca="false">IF(OR(OPERATIONS!$N13=0,OPERATIONS!$C13="CONSOMMATION"),0,OPERATIONS!$G13)</f>
        <v>0</v>
      </c>
      <c r="L313" s="67" t="n">
        <f aca="false">IF($K313=0,0,OPERATIONS!$Q13*$K313)</f>
        <v>0</v>
      </c>
      <c r="M313" s="26" t="str">
        <f aca="false">IF($K313=0,"",OPERATIONS!$P13)</f>
        <v/>
      </c>
      <c r="N313" s="26" t="str">
        <f aca="false">IF($G313="","",IF($G313=R_LOT,COUNTIF($G$5:$G313,R_LOT),""))</f>
        <v/>
      </c>
    </row>
    <row r="314" customFormat="false" ht="15" hidden="false" customHeight="false" outlineLevel="0" collapsed="false">
      <c r="A314" s="28" t="str">
        <f aca="false">IF($K314=0,"",ROW()-4)</f>
        <v/>
      </c>
      <c r="B314" s="26" t="str">
        <f aca="false">IF($K314=0,"","OPERATIONS")</f>
        <v/>
      </c>
      <c r="C314" s="26" t="str">
        <f aca="false">IF($K314=0,"",OPERATIONS!$A14)</f>
        <v/>
      </c>
      <c r="D314" s="31" t="str">
        <f aca="false">IF($K314=0,"",OPERATIONS!$B14)</f>
        <v/>
      </c>
      <c r="E314" s="26" t="str">
        <f aca="false">IF($K314=0,"","ENTREE")</f>
        <v/>
      </c>
      <c r="F314" s="26" t="str">
        <f aca="false">IF($K314=0,"",OPERATIONS!$C14)</f>
        <v/>
      </c>
      <c r="G314" s="26" t="str">
        <f aca="false">IF($K314=0,"",OPERATIONS!$D14)</f>
        <v/>
      </c>
      <c r="H314" s="26" t="str">
        <f aca="false">IF($K314=0,"",OPERATIONS!$F14)</f>
        <v/>
      </c>
      <c r="I314" s="26" t="str">
        <f aca="false">IF($H314="","",IFERROR(INDEX(EMPL_CLASSE,MATCH($H314,EMPL_KEY,0)),""))</f>
        <v/>
      </c>
      <c r="J314" s="26" t="str">
        <f aca="false">IF($K314=0,"",OPERATIONS!$J14)</f>
        <v/>
      </c>
      <c r="K314" s="67" t="n">
        <f aca="false">IF(OR(OPERATIONS!$N14=0,OPERATIONS!$C14="CONSOMMATION"),0,OPERATIONS!$G14)</f>
        <v>0</v>
      </c>
      <c r="L314" s="67" t="n">
        <f aca="false">IF($K314=0,0,OPERATIONS!$Q14*$K314)</f>
        <v>0</v>
      </c>
      <c r="M314" s="26" t="str">
        <f aca="false">IF($K314=0,"",OPERATIONS!$P14)</f>
        <v/>
      </c>
      <c r="N314" s="26" t="str">
        <f aca="false">IF($G314="","",IF($G314=R_LOT,COUNTIF($G$5:$G314,R_LOT),""))</f>
        <v/>
      </c>
    </row>
    <row r="315" customFormat="false" ht="15" hidden="false" customHeight="false" outlineLevel="0" collapsed="false">
      <c r="A315" s="28" t="str">
        <f aca="false">IF($K315=0,"",ROW()-4)</f>
        <v/>
      </c>
      <c r="B315" s="26" t="str">
        <f aca="false">IF($K315=0,"","OPERATIONS")</f>
        <v/>
      </c>
      <c r="C315" s="26" t="str">
        <f aca="false">IF($K315=0,"",OPERATIONS!$A15)</f>
        <v/>
      </c>
      <c r="D315" s="31" t="str">
        <f aca="false">IF($K315=0,"",OPERATIONS!$B15)</f>
        <v/>
      </c>
      <c r="E315" s="26" t="str">
        <f aca="false">IF($K315=0,"","ENTREE")</f>
        <v/>
      </c>
      <c r="F315" s="26" t="str">
        <f aca="false">IF($K315=0,"",OPERATIONS!$C15)</f>
        <v/>
      </c>
      <c r="G315" s="26" t="str">
        <f aca="false">IF($K315=0,"",OPERATIONS!$D15)</f>
        <v/>
      </c>
      <c r="H315" s="26" t="str">
        <f aca="false">IF($K315=0,"",OPERATIONS!$F15)</f>
        <v/>
      </c>
      <c r="I315" s="26" t="str">
        <f aca="false">IF($H315="","",IFERROR(INDEX(EMPL_CLASSE,MATCH($H315,EMPL_KEY,0)),""))</f>
        <v/>
      </c>
      <c r="J315" s="26" t="str">
        <f aca="false">IF($K315=0,"",OPERATIONS!$J15)</f>
        <v/>
      </c>
      <c r="K315" s="67" t="n">
        <f aca="false">IF(OR(OPERATIONS!$N15=0,OPERATIONS!$C15="CONSOMMATION"),0,OPERATIONS!$G15)</f>
        <v>0</v>
      </c>
      <c r="L315" s="67" t="n">
        <f aca="false">IF($K315=0,0,OPERATIONS!$Q15*$K315)</f>
        <v>0</v>
      </c>
      <c r="M315" s="26" t="str">
        <f aca="false">IF($K315=0,"",OPERATIONS!$P15)</f>
        <v/>
      </c>
      <c r="N315" s="26" t="str">
        <f aca="false">IF($G315="","",IF($G315=R_LOT,COUNTIF($G$5:$G315,R_LOT),""))</f>
        <v/>
      </c>
    </row>
    <row r="316" customFormat="false" ht="15" hidden="false" customHeight="false" outlineLevel="0" collapsed="false">
      <c r="A316" s="28" t="str">
        <f aca="false">IF($K316=0,"",ROW()-4)</f>
        <v/>
      </c>
      <c r="B316" s="26" t="str">
        <f aca="false">IF($K316=0,"","OPERATIONS")</f>
        <v/>
      </c>
      <c r="C316" s="26" t="str">
        <f aca="false">IF($K316=0,"",OPERATIONS!$A16)</f>
        <v/>
      </c>
      <c r="D316" s="31" t="str">
        <f aca="false">IF($K316=0,"",OPERATIONS!$B16)</f>
        <v/>
      </c>
      <c r="E316" s="26" t="str">
        <f aca="false">IF($K316=0,"","ENTREE")</f>
        <v/>
      </c>
      <c r="F316" s="26" t="str">
        <f aca="false">IF($K316=0,"",OPERATIONS!$C16)</f>
        <v/>
      </c>
      <c r="G316" s="26" t="str">
        <f aca="false">IF($K316=0,"",OPERATIONS!$D16)</f>
        <v/>
      </c>
      <c r="H316" s="26" t="str">
        <f aca="false">IF($K316=0,"",OPERATIONS!$F16)</f>
        <v/>
      </c>
      <c r="I316" s="26" t="str">
        <f aca="false">IF($H316="","",IFERROR(INDEX(EMPL_CLASSE,MATCH($H316,EMPL_KEY,0)),""))</f>
        <v/>
      </c>
      <c r="J316" s="26" t="str">
        <f aca="false">IF($K316=0,"",OPERATIONS!$J16)</f>
        <v/>
      </c>
      <c r="K316" s="67" t="n">
        <f aca="false">IF(OR(OPERATIONS!$N16=0,OPERATIONS!$C16="CONSOMMATION"),0,OPERATIONS!$G16)</f>
        <v>0</v>
      </c>
      <c r="L316" s="67" t="n">
        <f aca="false">IF($K316=0,0,OPERATIONS!$Q16*$K316)</f>
        <v>0</v>
      </c>
      <c r="M316" s="26" t="str">
        <f aca="false">IF($K316=0,"",OPERATIONS!$P16)</f>
        <v/>
      </c>
      <c r="N316" s="26" t="str">
        <f aca="false">IF($G316="","",IF($G316=R_LOT,COUNTIF($G$5:$G316,R_LOT),""))</f>
        <v/>
      </c>
    </row>
    <row r="317" customFormat="false" ht="15" hidden="false" customHeight="false" outlineLevel="0" collapsed="false">
      <c r="A317" s="28" t="str">
        <f aca="false">IF($K317=0,"",ROW()-4)</f>
        <v/>
      </c>
      <c r="B317" s="26" t="str">
        <f aca="false">IF($K317=0,"","OPERATIONS")</f>
        <v/>
      </c>
      <c r="C317" s="26" t="str">
        <f aca="false">IF($K317=0,"",OPERATIONS!$A17)</f>
        <v/>
      </c>
      <c r="D317" s="31" t="str">
        <f aca="false">IF($K317=0,"",OPERATIONS!$B17)</f>
        <v/>
      </c>
      <c r="E317" s="26" t="str">
        <f aca="false">IF($K317=0,"","ENTREE")</f>
        <v/>
      </c>
      <c r="F317" s="26" t="str">
        <f aca="false">IF($K317=0,"",OPERATIONS!$C17)</f>
        <v/>
      </c>
      <c r="G317" s="26" t="str">
        <f aca="false">IF($K317=0,"",OPERATIONS!$D17)</f>
        <v/>
      </c>
      <c r="H317" s="26" t="str">
        <f aca="false">IF($K317=0,"",OPERATIONS!$F17)</f>
        <v/>
      </c>
      <c r="I317" s="26" t="str">
        <f aca="false">IF($H317="","",IFERROR(INDEX(EMPL_CLASSE,MATCH($H317,EMPL_KEY,0)),""))</f>
        <v/>
      </c>
      <c r="J317" s="26" t="str">
        <f aca="false">IF($K317=0,"",OPERATIONS!$J17)</f>
        <v/>
      </c>
      <c r="K317" s="67" t="n">
        <f aca="false">IF(OR(OPERATIONS!$N17=0,OPERATIONS!$C17="CONSOMMATION"),0,OPERATIONS!$G17)</f>
        <v>0</v>
      </c>
      <c r="L317" s="67" t="n">
        <f aca="false">IF($K317=0,0,OPERATIONS!$Q17*$K317)</f>
        <v>0</v>
      </c>
      <c r="M317" s="26" t="str">
        <f aca="false">IF($K317=0,"",OPERATIONS!$P17)</f>
        <v/>
      </c>
      <c r="N317" s="26" t="str">
        <f aca="false">IF($G317="","",IF($G317=R_LOT,COUNTIF($G$5:$G317,R_LOT),""))</f>
        <v/>
      </c>
    </row>
    <row r="318" customFormat="false" ht="15" hidden="false" customHeight="false" outlineLevel="0" collapsed="false">
      <c r="A318" s="28" t="str">
        <f aca="false">IF($K318=0,"",ROW()-4)</f>
        <v/>
      </c>
      <c r="B318" s="26" t="str">
        <f aca="false">IF($K318=0,"","OPERATIONS")</f>
        <v/>
      </c>
      <c r="C318" s="26" t="str">
        <f aca="false">IF($K318=0,"",OPERATIONS!$A18)</f>
        <v/>
      </c>
      <c r="D318" s="31" t="str">
        <f aca="false">IF($K318=0,"",OPERATIONS!$B18)</f>
        <v/>
      </c>
      <c r="E318" s="26" t="str">
        <f aca="false">IF($K318=0,"","ENTREE")</f>
        <v/>
      </c>
      <c r="F318" s="26" t="str">
        <f aca="false">IF($K318=0,"",OPERATIONS!$C18)</f>
        <v/>
      </c>
      <c r="G318" s="26" t="str">
        <f aca="false">IF($K318=0,"",OPERATIONS!$D18)</f>
        <v/>
      </c>
      <c r="H318" s="26" t="str">
        <f aca="false">IF($K318=0,"",OPERATIONS!$F18)</f>
        <v/>
      </c>
      <c r="I318" s="26" t="str">
        <f aca="false">IF($H318="","",IFERROR(INDEX(EMPL_CLASSE,MATCH($H318,EMPL_KEY,0)),""))</f>
        <v/>
      </c>
      <c r="J318" s="26" t="str">
        <f aca="false">IF($K318=0,"",OPERATIONS!$J18)</f>
        <v/>
      </c>
      <c r="K318" s="67" t="n">
        <f aca="false">IF(OR(OPERATIONS!$N18=0,OPERATIONS!$C18="CONSOMMATION"),0,OPERATIONS!$G18)</f>
        <v>0</v>
      </c>
      <c r="L318" s="67" t="n">
        <f aca="false">IF($K318=0,0,OPERATIONS!$Q18*$K318)</f>
        <v>0</v>
      </c>
      <c r="M318" s="26" t="str">
        <f aca="false">IF($K318=0,"",OPERATIONS!$P18)</f>
        <v/>
      </c>
      <c r="N318" s="26" t="str">
        <f aca="false">IF($G318="","",IF($G318=R_LOT,COUNTIF($G$5:$G318,R_LOT),""))</f>
        <v/>
      </c>
    </row>
    <row r="319" customFormat="false" ht="15" hidden="false" customHeight="false" outlineLevel="0" collapsed="false">
      <c r="A319" s="28" t="str">
        <f aca="false">IF($K319=0,"",ROW()-4)</f>
        <v/>
      </c>
      <c r="B319" s="26" t="str">
        <f aca="false">IF($K319=0,"","OPERATIONS")</f>
        <v/>
      </c>
      <c r="C319" s="26" t="str">
        <f aca="false">IF($K319=0,"",OPERATIONS!$A19)</f>
        <v/>
      </c>
      <c r="D319" s="31" t="str">
        <f aca="false">IF($K319=0,"",OPERATIONS!$B19)</f>
        <v/>
      </c>
      <c r="E319" s="26" t="str">
        <f aca="false">IF($K319=0,"","ENTREE")</f>
        <v/>
      </c>
      <c r="F319" s="26" t="str">
        <f aca="false">IF($K319=0,"",OPERATIONS!$C19)</f>
        <v/>
      </c>
      <c r="G319" s="26" t="str">
        <f aca="false">IF($K319=0,"",OPERATIONS!$D19)</f>
        <v/>
      </c>
      <c r="H319" s="26" t="str">
        <f aca="false">IF($K319=0,"",OPERATIONS!$F19)</f>
        <v/>
      </c>
      <c r="I319" s="26" t="str">
        <f aca="false">IF($H319="","",IFERROR(INDEX(EMPL_CLASSE,MATCH($H319,EMPL_KEY,0)),""))</f>
        <v/>
      </c>
      <c r="J319" s="26" t="str">
        <f aca="false">IF($K319=0,"",OPERATIONS!$J19)</f>
        <v/>
      </c>
      <c r="K319" s="67" t="n">
        <f aca="false">IF(OR(OPERATIONS!$N19=0,OPERATIONS!$C19="CONSOMMATION"),0,OPERATIONS!$G19)</f>
        <v>0</v>
      </c>
      <c r="L319" s="67" t="n">
        <f aca="false">IF($K319=0,0,OPERATIONS!$Q19*$K319)</f>
        <v>0</v>
      </c>
      <c r="M319" s="26" t="str">
        <f aca="false">IF($K319=0,"",OPERATIONS!$P19)</f>
        <v/>
      </c>
      <c r="N319" s="26" t="str">
        <f aca="false">IF($G319="","",IF($G319=R_LOT,COUNTIF($G$5:$G319,R_LOT),""))</f>
        <v/>
      </c>
    </row>
    <row r="320" customFormat="false" ht="15" hidden="false" customHeight="false" outlineLevel="0" collapsed="false">
      <c r="A320" s="28" t="str">
        <f aca="false">IF($K320=0,"",ROW()-4)</f>
        <v/>
      </c>
      <c r="B320" s="26" t="str">
        <f aca="false">IF($K320=0,"","OPERATIONS")</f>
        <v/>
      </c>
      <c r="C320" s="26" t="str">
        <f aca="false">IF($K320=0,"",OPERATIONS!$A20)</f>
        <v/>
      </c>
      <c r="D320" s="31" t="str">
        <f aca="false">IF($K320=0,"",OPERATIONS!$B20)</f>
        <v/>
      </c>
      <c r="E320" s="26" t="str">
        <f aca="false">IF($K320=0,"","ENTREE")</f>
        <v/>
      </c>
      <c r="F320" s="26" t="str">
        <f aca="false">IF($K320=0,"",OPERATIONS!$C20)</f>
        <v/>
      </c>
      <c r="G320" s="26" t="str">
        <f aca="false">IF($K320=0,"",OPERATIONS!$D20)</f>
        <v/>
      </c>
      <c r="H320" s="26" t="str">
        <f aca="false">IF($K320=0,"",OPERATIONS!$F20)</f>
        <v/>
      </c>
      <c r="I320" s="26" t="str">
        <f aca="false">IF($H320="","",IFERROR(INDEX(EMPL_CLASSE,MATCH($H320,EMPL_KEY,0)),""))</f>
        <v/>
      </c>
      <c r="J320" s="26" t="str">
        <f aca="false">IF($K320=0,"",OPERATIONS!$J20)</f>
        <v/>
      </c>
      <c r="K320" s="67" t="n">
        <f aca="false">IF(OR(OPERATIONS!$N20=0,OPERATIONS!$C20="CONSOMMATION"),0,OPERATIONS!$G20)</f>
        <v>0</v>
      </c>
      <c r="L320" s="67" t="n">
        <f aca="false">IF($K320=0,0,OPERATIONS!$Q20*$K320)</f>
        <v>0</v>
      </c>
      <c r="M320" s="26" t="str">
        <f aca="false">IF($K320=0,"",OPERATIONS!$P20)</f>
        <v/>
      </c>
      <c r="N320" s="26" t="str">
        <f aca="false">IF($G320="","",IF($G320=R_LOT,COUNTIF($G$5:$G320,R_LOT),""))</f>
        <v/>
      </c>
    </row>
    <row r="321" customFormat="false" ht="15" hidden="false" customHeight="false" outlineLevel="0" collapsed="false">
      <c r="A321" s="28" t="str">
        <f aca="false">IF($K321=0,"",ROW()-4)</f>
        <v/>
      </c>
      <c r="B321" s="26" t="str">
        <f aca="false">IF($K321=0,"","OPERATIONS")</f>
        <v/>
      </c>
      <c r="C321" s="26" t="str">
        <f aca="false">IF($K321=0,"",OPERATIONS!$A21)</f>
        <v/>
      </c>
      <c r="D321" s="31" t="str">
        <f aca="false">IF($K321=0,"",OPERATIONS!$B21)</f>
        <v/>
      </c>
      <c r="E321" s="26" t="str">
        <f aca="false">IF($K321=0,"","ENTREE")</f>
        <v/>
      </c>
      <c r="F321" s="26" t="str">
        <f aca="false">IF($K321=0,"",OPERATIONS!$C21)</f>
        <v/>
      </c>
      <c r="G321" s="26" t="str">
        <f aca="false">IF($K321=0,"",OPERATIONS!$D21)</f>
        <v/>
      </c>
      <c r="H321" s="26" t="str">
        <f aca="false">IF($K321=0,"",OPERATIONS!$F21)</f>
        <v/>
      </c>
      <c r="I321" s="26" t="str">
        <f aca="false">IF($H321="","",IFERROR(INDEX(EMPL_CLASSE,MATCH($H321,EMPL_KEY,0)),""))</f>
        <v/>
      </c>
      <c r="J321" s="26" t="str">
        <f aca="false">IF($K321=0,"",OPERATIONS!$J21)</f>
        <v/>
      </c>
      <c r="K321" s="67" t="n">
        <f aca="false">IF(OR(OPERATIONS!$N21=0,OPERATIONS!$C21="CONSOMMATION"),0,OPERATIONS!$G21)</f>
        <v>0</v>
      </c>
      <c r="L321" s="67" t="n">
        <f aca="false">IF($K321=0,0,OPERATIONS!$Q21*$K321)</f>
        <v>0</v>
      </c>
      <c r="M321" s="26" t="str">
        <f aca="false">IF($K321=0,"",OPERATIONS!$P21)</f>
        <v/>
      </c>
      <c r="N321" s="26" t="str">
        <f aca="false">IF($G321="","",IF($G321=R_LOT,COUNTIF($G$5:$G321,R_LOT),""))</f>
        <v/>
      </c>
    </row>
    <row r="322" customFormat="false" ht="15" hidden="false" customHeight="false" outlineLevel="0" collapsed="false">
      <c r="A322" s="28" t="str">
        <f aca="false">IF($K322=0,"",ROW()-4)</f>
        <v/>
      </c>
      <c r="B322" s="26" t="str">
        <f aca="false">IF($K322=0,"","OPERATIONS")</f>
        <v/>
      </c>
      <c r="C322" s="26" t="str">
        <f aca="false">IF($K322=0,"",OPERATIONS!$A22)</f>
        <v/>
      </c>
      <c r="D322" s="31" t="str">
        <f aca="false">IF($K322=0,"",OPERATIONS!$B22)</f>
        <v/>
      </c>
      <c r="E322" s="26" t="str">
        <f aca="false">IF($K322=0,"","ENTREE")</f>
        <v/>
      </c>
      <c r="F322" s="26" t="str">
        <f aca="false">IF($K322=0,"",OPERATIONS!$C22)</f>
        <v/>
      </c>
      <c r="G322" s="26" t="str">
        <f aca="false">IF($K322=0,"",OPERATIONS!$D22)</f>
        <v/>
      </c>
      <c r="H322" s="26" t="str">
        <f aca="false">IF($K322=0,"",OPERATIONS!$F22)</f>
        <v/>
      </c>
      <c r="I322" s="26" t="str">
        <f aca="false">IF($H322="","",IFERROR(INDEX(EMPL_CLASSE,MATCH($H322,EMPL_KEY,0)),""))</f>
        <v/>
      </c>
      <c r="J322" s="26" t="str">
        <f aca="false">IF($K322=0,"",OPERATIONS!$J22)</f>
        <v/>
      </c>
      <c r="K322" s="67" t="n">
        <f aca="false">IF(OR(OPERATIONS!$N22=0,OPERATIONS!$C22="CONSOMMATION"),0,OPERATIONS!$G22)</f>
        <v>0</v>
      </c>
      <c r="L322" s="67" t="n">
        <f aca="false">IF($K322=0,0,OPERATIONS!$Q22*$K322)</f>
        <v>0</v>
      </c>
      <c r="M322" s="26" t="str">
        <f aca="false">IF($K322=0,"",OPERATIONS!$P22)</f>
        <v/>
      </c>
      <c r="N322" s="26" t="str">
        <f aca="false">IF($G322="","",IF($G322=R_LOT,COUNTIF($G$5:$G322,R_LOT),""))</f>
        <v/>
      </c>
    </row>
    <row r="323" customFormat="false" ht="15" hidden="false" customHeight="false" outlineLevel="0" collapsed="false">
      <c r="A323" s="28" t="str">
        <f aca="false">IF($K323=0,"",ROW()-4)</f>
        <v/>
      </c>
      <c r="B323" s="26" t="str">
        <f aca="false">IF($K323=0,"","OPERATIONS")</f>
        <v/>
      </c>
      <c r="C323" s="26" t="str">
        <f aca="false">IF($K323=0,"",OPERATIONS!$A23)</f>
        <v/>
      </c>
      <c r="D323" s="31" t="str">
        <f aca="false">IF($K323=0,"",OPERATIONS!$B23)</f>
        <v/>
      </c>
      <c r="E323" s="26" t="str">
        <f aca="false">IF($K323=0,"","ENTREE")</f>
        <v/>
      </c>
      <c r="F323" s="26" t="str">
        <f aca="false">IF($K323=0,"",OPERATIONS!$C23)</f>
        <v/>
      </c>
      <c r="G323" s="26" t="str">
        <f aca="false">IF($K323=0,"",OPERATIONS!$D23)</f>
        <v/>
      </c>
      <c r="H323" s="26" t="str">
        <f aca="false">IF($K323=0,"",OPERATIONS!$F23)</f>
        <v/>
      </c>
      <c r="I323" s="26" t="str">
        <f aca="false">IF($H323="","",IFERROR(INDEX(EMPL_CLASSE,MATCH($H323,EMPL_KEY,0)),""))</f>
        <v/>
      </c>
      <c r="J323" s="26" t="str">
        <f aca="false">IF($K323=0,"",OPERATIONS!$J23)</f>
        <v/>
      </c>
      <c r="K323" s="67" t="n">
        <f aca="false">IF(OR(OPERATIONS!$N23=0,OPERATIONS!$C23="CONSOMMATION"),0,OPERATIONS!$G23)</f>
        <v>0</v>
      </c>
      <c r="L323" s="67" t="n">
        <f aca="false">IF($K323=0,0,OPERATIONS!$Q23*$K323)</f>
        <v>0</v>
      </c>
      <c r="M323" s="26" t="str">
        <f aca="false">IF($K323=0,"",OPERATIONS!$P23)</f>
        <v/>
      </c>
      <c r="N323" s="26" t="str">
        <f aca="false">IF($G323="","",IF($G323=R_LOT,COUNTIF($G$5:$G323,R_LOT),""))</f>
        <v/>
      </c>
    </row>
    <row r="324" customFormat="false" ht="15" hidden="false" customHeight="false" outlineLevel="0" collapsed="false">
      <c r="A324" s="28" t="str">
        <f aca="false">IF($K324=0,"",ROW()-4)</f>
        <v/>
      </c>
      <c r="B324" s="26" t="str">
        <f aca="false">IF($K324=0,"","OPERATIONS")</f>
        <v/>
      </c>
      <c r="C324" s="26" t="str">
        <f aca="false">IF($K324=0,"",OPERATIONS!$A24)</f>
        <v/>
      </c>
      <c r="D324" s="31" t="str">
        <f aca="false">IF($K324=0,"",OPERATIONS!$B24)</f>
        <v/>
      </c>
      <c r="E324" s="26" t="str">
        <f aca="false">IF($K324=0,"","ENTREE")</f>
        <v/>
      </c>
      <c r="F324" s="26" t="str">
        <f aca="false">IF($K324=0,"",OPERATIONS!$C24)</f>
        <v/>
      </c>
      <c r="G324" s="26" t="str">
        <f aca="false">IF($K324=0,"",OPERATIONS!$D24)</f>
        <v/>
      </c>
      <c r="H324" s="26" t="str">
        <f aca="false">IF($K324=0,"",OPERATIONS!$F24)</f>
        <v/>
      </c>
      <c r="I324" s="26" t="str">
        <f aca="false">IF($H324="","",IFERROR(INDEX(EMPL_CLASSE,MATCH($H324,EMPL_KEY,0)),""))</f>
        <v/>
      </c>
      <c r="J324" s="26" t="str">
        <f aca="false">IF($K324=0,"",OPERATIONS!$J24)</f>
        <v/>
      </c>
      <c r="K324" s="67" t="n">
        <f aca="false">IF(OR(OPERATIONS!$N24=0,OPERATIONS!$C24="CONSOMMATION"),0,OPERATIONS!$G24)</f>
        <v>0</v>
      </c>
      <c r="L324" s="67" t="n">
        <f aca="false">IF($K324=0,0,OPERATIONS!$Q24*$K324)</f>
        <v>0</v>
      </c>
      <c r="M324" s="26" t="str">
        <f aca="false">IF($K324=0,"",OPERATIONS!$P24)</f>
        <v/>
      </c>
      <c r="N324" s="26" t="str">
        <f aca="false">IF($G324="","",IF($G324=R_LOT,COUNTIF($G$5:$G324,R_LOT),""))</f>
        <v/>
      </c>
    </row>
    <row r="325" customFormat="false" ht="15" hidden="false" customHeight="false" outlineLevel="0" collapsed="false">
      <c r="A325" s="28" t="str">
        <f aca="false">IF($K325=0,"",ROW()-4)</f>
        <v/>
      </c>
      <c r="B325" s="26" t="str">
        <f aca="false">IF($K325=0,"","OPERATIONS")</f>
        <v/>
      </c>
      <c r="C325" s="26" t="str">
        <f aca="false">IF($K325=0,"",OPERATIONS!$A25)</f>
        <v/>
      </c>
      <c r="D325" s="31" t="str">
        <f aca="false">IF($K325=0,"",OPERATIONS!$B25)</f>
        <v/>
      </c>
      <c r="E325" s="26" t="str">
        <f aca="false">IF($K325=0,"","ENTREE")</f>
        <v/>
      </c>
      <c r="F325" s="26" t="str">
        <f aca="false">IF($K325=0,"",OPERATIONS!$C25)</f>
        <v/>
      </c>
      <c r="G325" s="26" t="str">
        <f aca="false">IF($K325=0,"",OPERATIONS!$D25)</f>
        <v/>
      </c>
      <c r="H325" s="26" t="str">
        <f aca="false">IF($K325=0,"",OPERATIONS!$F25)</f>
        <v/>
      </c>
      <c r="I325" s="26" t="str">
        <f aca="false">IF($H325="","",IFERROR(INDEX(EMPL_CLASSE,MATCH($H325,EMPL_KEY,0)),""))</f>
        <v/>
      </c>
      <c r="J325" s="26" t="str">
        <f aca="false">IF($K325=0,"",OPERATIONS!$J25)</f>
        <v/>
      </c>
      <c r="K325" s="67" t="n">
        <f aca="false">IF(OR(OPERATIONS!$N25=0,OPERATIONS!$C25="CONSOMMATION"),0,OPERATIONS!$G25)</f>
        <v>0</v>
      </c>
      <c r="L325" s="67" t="n">
        <f aca="false">IF($K325=0,0,OPERATIONS!$Q25*$K325)</f>
        <v>0</v>
      </c>
      <c r="M325" s="26" t="str">
        <f aca="false">IF($K325=0,"",OPERATIONS!$P25)</f>
        <v/>
      </c>
      <c r="N325" s="26" t="str">
        <f aca="false">IF($G325="","",IF($G325=R_LOT,COUNTIF($G$5:$G325,R_LOT),""))</f>
        <v/>
      </c>
    </row>
    <row r="326" customFormat="false" ht="15" hidden="false" customHeight="false" outlineLevel="0" collapsed="false">
      <c r="A326" s="28" t="str">
        <f aca="false">IF($K326=0,"",ROW()-4)</f>
        <v/>
      </c>
      <c r="B326" s="26" t="str">
        <f aca="false">IF($K326=0,"","OPERATIONS")</f>
        <v/>
      </c>
      <c r="C326" s="26" t="str">
        <f aca="false">IF($K326=0,"",OPERATIONS!$A26)</f>
        <v/>
      </c>
      <c r="D326" s="31" t="str">
        <f aca="false">IF($K326=0,"",OPERATIONS!$B26)</f>
        <v/>
      </c>
      <c r="E326" s="26" t="str">
        <f aca="false">IF($K326=0,"","ENTREE")</f>
        <v/>
      </c>
      <c r="F326" s="26" t="str">
        <f aca="false">IF($K326=0,"",OPERATIONS!$C26)</f>
        <v/>
      </c>
      <c r="G326" s="26" t="str">
        <f aca="false">IF($K326=0,"",OPERATIONS!$D26)</f>
        <v/>
      </c>
      <c r="H326" s="26" t="str">
        <f aca="false">IF($K326=0,"",OPERATIONS!$F26)</f>
        <v/>
      </c>
      <c r="I326" s="26" t="str">
        <f aca="false">IF($H326="","",IFERROR(INDEX(EMPL_CLASSE,MATCH($H326,EMPL_KEY,0)),""))</f>
        <v/>
      </c>
      <c r="J326" s="26" t="str">
        <f aca="false">IF($K326=0,"",OPERATIONS!$J26)</f>
        <v/>
      </c>
      <c r="K326" s="67" t="n">
        <f aca="false">IF(OR(OPERATIONS!$N26=0,OPERATIONS!$C26="CONSOMMATION"),0,OPERATIONS!$G26)</f>
        <v>0</v>
      </c>
      <c r="L326" s="67" t="n">
        <f aca="false">IF($K326=0,0,OPERATIONS!$Q26*$K326)</f>
        <v>0</v>
      </c>
      <c r="M326" s="26" t="str">
        <f aca="false">IF($K326=0,"",OPERATIONS!$P26)</f>
        <v/>
      </c>
      <c r="N326" s="26" t="str">
        <f aca="false">IF($G326="","",IF($G326=R_LOT,COUNTIF($G$5:$G326,R_LOT),""))</f>
        <v/>
      </c>
    </row>
    <row r="327" customFormat="false" ht="15" hidden="false" customHeight="false" outlineLevel="0" collapsed="false">
      <c r="A327" s="28" t="str">
        <f aca="false">IF($K327=0,"",ROW()-4)</f>
        <v/>
      </c>
      <c r="B327" s="26" t="str">
        <f aca="false">IF($K327=0,"","OPERATIONS")</f>
        <v/>
      </c>
      <c r="C327" s="26" t="str">
        <f aca="false">IF($K327=0,"",OPERATIONS!$A27)</f>
        <v/>
      </c>
      <c r="D327" s="31" t="str">
        <f aca="false">IF($K327=0,"",OPERATIONS!$B27)</f>
        <v/>
      </c>
      <c r="E327" s="26" t="str">
        <f aca="false">IF($K327=0,"","ENTREE")</f>
        <v/>
      </c>
      <c r="F327" s="26" t="str">
        <f aca="false">IF($K327=0,"",OPERATIONS!$C27)</f>
        <v/>
      </c>
      <c r="G327" s="26" t="str">
        <f aca="false">IF($K327=0,"",OPERATIONS!$D27)</f>
        <v/>
      </c>
      <c r="H327" s="26" t="str">
        <f aca="false">IF($K327=0,"",OPERATIONS!$F27)</f>
        <v/>
      </c>
      <c r="I327" s="26" t="str">
        <f aca="false">IF($H327="","",IFERROR(INDEX(EMPL_CLASSE,MATCH($H327,EMPL_KEY,0)),""))</f>
        <v/>
      </c>
      <c r="J327" s="26" t="str">
        <f aca="false">IF($K327=0,"",OPERATIONS!$J27)</f>
        <v/>
      </c>
      <c r="K327" s="67" t="n">
        <f aca="false">IF(OR(OPERATIONS!$N27=0,OPERATIONS!$C27="CONSOMMATION"),0,OPERATIONS!$G27)</f>
        <v>0</v>
      </c>
      <c r="L327" s="67" t="n">
        <f aca="false">IF($K327=0,0,OPERATIONS!$Q27*$K327)</f>
        <v>0</v>
      </c>
      <c r="M327" s="26" t="str">
        <f aca="false">IF($K327=0,"",OPERATIONS!$P27)</f>
        <v/>
      </c>
      <c r="N327" s="26" t="str">
        <f aca="false">IF($G327="","",IF($G327=R_LOT,COUNTIF($G$5:$G327,R_LOT),""))</f>
        <v/>
      </c>
    </row>
    <row r="328" customFormat="false" ht="15" hidden="false" customHeight="false" outlineLevel="0" collapsed="false">
      <c r="A328" s="28" t="str">
        <f aca="false">IF($K328=0,"",ROW()-4)</f>
        <v/>
      </c>
      <c r="B328" s="26" t="str">
        <f aca="false">IF($K328=0,"","OPERATIONS")</f>
        <v/>
      </c>
      <c r="C328" s="26" t="str">
        <f aca="false">IF($K328=0,"",OPERATIONS!$A28)</f>
        <v/>
      </c>
      <c r="D328" s="31" t="str">
        <f aca="false">IF($K328=0,"",OPERATIONS!$B28)</f>
        <v/>
      </c>
      <c r="E328" s="26" t="str">
        <f aca="false">IF($K328=0,"","ENTREE")</f>
        <v/>
      </c>
      <c r="F328" s="26" t="str">
        <f aca="false">IF($K328=0,"",OPERATIONS!$C28)</f>
        <v/>
      </c>
      <c r="G328" s="26" t="str">
        <f aca="false">IF($K328=0,"",OPERATIONS!$D28)</f>
        <v/>
      </c>
      <c r="H328" s="26" t="str">
        <f aca="false">IF($K328=0,"",OPERATIONS!$F28)</f>
        <v/>
      </c>
      <c r="I328" s="26" t="str">
        <f aca="false">IF($H328="","",IFERROR(INDEX(EMPL_CLASSE,MATCH($H328,EMPL_KEY,0)),""))</f>
        <v/>
      </c>
      <c r="J328" s="26" t="str">
        <f aca="false">IF($K328=0,"",OPERATIONS!$J28)</f>
        <v/>
      </c>
      <c r="K328" s="67" t="n">
        <f aca="false">IF(OR(OPERATIONS!$N28=0,OPERATIONS!$C28="CONSOMMATION"),0,OPERATIONS!$G28)</f>
        <v>0</v>
      </c>
      <c r="L328" s="67" t="n">
        <f aca="false">IF($K328=0,0,OPERATIONS!$Q28*$K328)</f>
        <v>0</v>
      </c>
      <c r="M328" s="26" t="str">
        <f aca="false">IF($K328=0,"",OPERATIONS!$P28)</f>
        <v/>
      </c>
      <c r="N328" s="26" t="str">
        <f aca="false">IF($G328="","",IF($G328=R_LOT,COUNTIF($G$5:$G328,R_LOT),""))</f>
        <v/>
      </c>
    </row>
    <row r="329" customFormat="false" ht="15" hidden="false" customHeight="false" outlineLevel="0" collapsed="false">
      <c r="A329" s="28" t="str">
        <f aca="false">IF($K329=0,"",ROW()-4)</f>
        <v/>
      </c>
      <c r="B329" s="26" t="str">
        <f aca="false">IF($K329=0,"","OPERATIONS")</f>
        <v/>
      </c>
      <c r="C329" s="26" t="str">
        <f aca="false">IF($K329=0,"",OPERATIONS!$A29)</f>
        <v/>
      </c>
      <c r="D329" s="31" t="str">
        <f aca="false">IF($K329=0,"",OPERATIONS!$B29)</f>
        <v/>
      </c>
      <c r="E329" s="26" t="str">
        <f aca="false">IF($K329=0,"","ENTREE")</f>
        <v/>
      </c>
      <c r="F329" s="26" t="str">
        <f aca="false">IF($K329=0,"",OPERATIONS!$C29)</f>
        <v/>
      </c>
      <c r="G329" s="26" t="str">
        <f aca="false">IF($K329=0,"",OPERATIONS!$D29)</f>
        <v/>
      </c>
      <c r="H329" s="26" t="str">
        <f aca="false">IF($K329=0,"",OPERATIONS!$F29)</f>
        <v/>
      </c>
      <c r="I329" s="26" t="str">
        <f aca="false">IF($H329="","",IFERROR(INDEX(EMPL_CLASSE,MATCH($H329,EMPL_KEY,0)),""))</f>
        <v/>
      </c>
      <c r="J329" s="26" t="str">
        <f aca="false">IF($K329=0,"",OPERATIONS!$J29)</f>
        <v/>
      </c>
      <c r="K329" s="67" t="n">
        <f aca="false">IF(OR(OPERATIONS!$N29=0,OPERATIONS!$C29="CONSOMMATION"),0,OPERATIONS!$G29)</f>
        <v>0</v>
      </c>
      <c r="L329" s="67" t="n">
        <f aca="false">IF($K329=0,0,OPERATIONS!$Q29*$K329)</f>
        <v>0</v>
      </c>
      <c r="M329" s="26" t="str">
        <f aca="false">IF($K329=0,"",OPERATIONS!$P29)</f>
        <v/>
      </c>
      <c r="N329" s="26" t="str">
        <f aca="false">IF($G329="","",IF($G329=R_LOT,COUNTIF($G$5:$G329,R_LOT),""))</f>
        <v/>
      </c>
    </row>
    <row r="330" customFormat="false" ht="15" hidden="false" customHeight="false" outlineLevel="0" collapsed="false">
      <c r="A330" s="28" t="str">
        <f aca="false">IF($K330=0,"",ROW()-4)</f>
        <v/>
      </c>
      <c r="B330" s="26" t="str">
        <f aca="false">IF($K330=0,"","OPERATIONS")</f>
        <v/>
      </c>
      <c r="C330" s="26" t="str">
        <f aca="false">IF($K330=0,"",OPERATIONS!$A30)</f>
        <v/>
      </c>
      <c r="D330" s="31" t="str">
        <f aca="false">IF($K330=0,"",OPERATIONS!$B30)</f>
        <v/>
      </c>
      <c r="E330" s="26" t="str">
        <f aca="false">IF($K330=0,"","ENTREE")</f>
        <v/>
      </c>
      <c r="F330" s="26" t="str">
        <f aca="false">IF($K330=0,"",OPERATIONS!$C30)</f>
        <v/>
      </c>
      <c r="G330" s="26" t="str">
        <f aca="false">IF($K330=0,"",OPERATIONS!$D30)</f>
        <v/>
      </c>
      <c r="H330" s="26" t="str">
        <f aca="false">IF($K330=0,"",OPERATIONS!$F30)</f>
        <v/>
      </c>
      <c r="I330" s="26" t="str">
        <f aca="false">IF($H330="","",IFERROR(INDEX(EMPL_CLASSE,MATCH($H330,EMPL_KEY,0)),""))</f>
        <v/>
      </c>
      <c r="J330" s="26" t="str">
        <f aca="false">IF($K330=0,"",OPERATIONS!$J30)</f>
        <v/>
      </c>
      <c r="K330" s="67" t="n">
        <f aca="false">IF(OR(OPERATIONS!$N30=0,OPERATIONS!$C30="CONSOMMATION"),0,OPERATIONS!$G30)</f>
        <v>0</v>
      </c>
      <c r="L330" s="67" t="n">
        <f aca="false">IF($K330=0,0,OPERATIONS!$Q30*$K330)</f>
        <v>0</v>
      </c>
      <c r="M330" s="26" t="str">
        <f aca="false">IF($K330=0,"",OPERATIONS!$P30)</f>
        <v/>
      </c>
      <c r="N330" s="26" t="str">
        <f aca="false">IF($G330="","",IF($G330=R_LOT,COUNTIF($G$5:$G330,R_LOT),""))</f>
        <v/>
      </c>
    </row>
    <row r="331" customFormat="false" ht="15" hidden="false" customHeight="false" outlineLevel="0" collapsed="false">
      <c r="A331" s="28" t="str">
        <f aca="false">IF($K331=0,"",ROW()-4)</f>
        <v/>
      </c>
      <c r="B331" s="26" t="str">
        <f aca="false">IF($K331=0,"","OPERATIONS")</f>
        <v/>
      </c>
      <c r="C331" s="26" t="str">
        <f aca="false">IF($K331=0,"",OPERATIONS!$A31)</f>
        <v/>
      </c>
      <c r="D331" s="31" t="str">
        <f aca="false">IF($K331=0,"",OPERATIONS!$B31)</f>
        <v/>
      </c>
      <c r="E331" s="26" t="str">
        <f aca="false">IF($K331=0,"","ENTREE")</f>
        <v/>
      </c>
      <c r="F331" s="26" t="str">
        <f aca="false">IF($K331=0,"",OPERATIONS!$C31)</f>
        <v/>
      </c>
      <c r="G331" s="26" t="str">
        <f aca="false">IF($K331=0,"",OPERATIONS!$D31)</f>
        <v/>
      </c>
      <c r="H331" s="26" t="str">
        <f aca="false">IF($K331=0,"",OPERATIONS!$F31)</f>
        <v/>
      </c>
      <c r="I331" s="26" t="str">
        <f aca="false">IF($H331="","",IFERROR(INDEX(EMPL_CLASSE,MATCH($H331,EMPL_KEY,0)),""))</f>
        <v/>
      </c>
      <c r="J331" s="26" t="str">
        <f aca="false">IF($K331=0,"",OPERATIONS!$J31)</f>
        <v/>
      </c>
      <c r="K331" s="67" t="n">
        <f aca="false">IF(OR(OPERATIONS!$N31=0,OPERATIONS!$C31="CONSOMMATION"),0,OPERATIONS!$G31)</f>
        <v>0</v>
      </c>
      <c r="L331" s="67" t="n">
        <f aca="false">IF($K331=0,0,OPERATIONS!$Q31*$K331)</f>
        <v>0</v>
      </c>
      <c r="M331" s="26" t="str">
        <f aca="false">IF($K331=0,"",OPERATIONS!$P31)</f>
        <v/>
      </c>
      <c r="N331" s="26" t="str">
        <f aca="false">IF($G331="","",IF($G331=R_LOT,COUNTIF($G$5:$G331,R_LOT),""))</f>
        <v/>
      </c>
    </row>
    <row r="332" customFormat="false" ht="15" hidden="false" customHeight="false" outlineLevel="0" collapsed="false">
      <c r="A332" s="28" t="str">
        <f aca="false">IF($K332=0,"",ROW()-4)</f>
        <v/>
      </c>
      <c r="B332" s="26" t="str">
        <f aca="false">IF($K332=0,"","OPERATIONS")</f>
        <v/>
      </c>
      <c r="C332" s="26" t="str">
        <f aca="false">IF($K332=0,"",OPERATIONS!$A32)</f>
        <v/>
      </c>
      <c r="D332" s="31" t="str">
        <f aca="false">IF($K332=0,"",OPERATIONS!$B32)</f>
        <v/>
      </c>
      <c r="E332" s="26" t="str">
        <f aca="false">IF($K332=0,"","ENTREE")</f>
        <v/>
      </c>
      <c r="F332" s="26" t="str">
        <f aca="false">IF($K332=0,"",OPERATIONS!$C32)</f>
        <v/>
      </c>
      <c r="G332" s="26" t="str">
        <f aca="false">IF($K332=0,"",OPERATIONS!$D32)</f>
        <v/>
      </c>
      <c r="H332" s="26" t="str">
        <f aca="false">IF($K332=0,"",OPERATIONS!$F32)</f>
        <v/>
      </c>
      <c r="I332" s="26" t="str">
        <f aca="false">IF($H332="","",IFERROR(INDEX(EMPL_CLASSE,MATCH($H332,EMPL_KEY,0)),""))</f>
        <v/>
      </c>
      <c r="J332" s="26" t="str">
        <f aca="false">IF($K332=0,"",OPERATIONS!$J32)</f>
        <v/>
      </c>
      <c r="K332" s="67" t="n">
        <f aca="false">IF(OR(OPERATIONS!$N32=0,OPERATIONS!$C32="CONSOMMATION"),0,OPERATIONS!$G32)</f>
        <v>0</v>
      </c>
      <c r="L332" s="67" t="n">
        <f aca="false">IF($K332=0,0,OPERATIONS!$Q32*$K332)</f>
        <v>0</v>
      </c>
      <c r="M332" s="26" t="str">
        <f aca="false">IF($K332=0,"",OPERATIONS!$P32)</f>
        <v/>
      </c>
      <c r="N332" s="26" t="str">
        <f aca="false">IF($G332="","",IF($G332=R_LOT,COUNTIF($G$5:$G332,R_LOT),""))</f>
        <v/>
      </c>
    </row>
    <row r="333" customFormat="false" ht="15" hidden="false" customHeight="false" outlineLevel="0" collapsed="false">
      <c r="A333" s="28" t="str">
        <f aca="false">IF($K333=0,"",ROW()-4)</f>
        <v/>
      </c>
      <c r="B333" s="26" t="str">
        <f aca="false">IF($K333=0,"","OPERATIONS")</f>
        <v/>
      </c>
      <c r="C333" s="26" t="str">
        <f aca="false">IF($K333=0,"",OPERATIONS!$A33)</f>
        <v/>
      </c>
      <c r="D333" s="31" t="str">
        <f aca="false">IF($K333=0,"",OPERATIONS!$B33)</f>
        <v/>
      </c>
      <c r="E333" s="26" t="str">
        <f aca="false">IF($K333=0,"","ENTREE")</f>
        <v/>
      </c>
      <c r="F333" s="26" t="str">
        <f aca="false">IF($K333=0,"",OPERATIONS!$C33)</f>
        <v/>
      </c>
      <c r="G333" s="26" t="str">
        <f aca="false">IF($K333=0,"",OPERATIONS!$D33)</f>
        <v/>
      </c>
      <c r="H333" s="26" t="str">
        <f aca="false">IF($K333=0,"",OPERATIONS!$F33)</f>
        <v/>
      </c>
      <c r="I333" s="26" t="str">
        <f aca="false">IF($H333="","",IFERROR(INDEX(EMPL_CLASSE,MATCH($H333,EMPL_KEY,0)),""))</f>
        <v/>
      </c>
      <c r="J333" s="26" t="str">
        <f aca="false">IF($K333=0,"",OPERATIONS!$J33)</f>
        <v/>
      </c>
      <c r="K333" s="67" t="n">
        <f aca="false">IF(OR(OPERATIONS!$N33=0,OPERATIONS!$C33="CONSOMMATION"),0,OPERATIONS!$G33)</f>
        <v>0</v>
      </c>
      <c r="L333" s="67" t="n">
        <f aca="false">IF($K333=0,0,OPERATIONS!$Q33*$K333)</f>
        <v>0</v>
      </c>
      <c r="M333" s="26" t="str">
        <f aca="false">IF($K333=0,"",OPERATIONS!$P33)</f>
        <v/>
      </c>
      <c r="N333" s="26" t="str">
        <f aca="false">IF($G333="","",IF($G333=R_LOT,COUNTIF($G$5:$G333,R_LOT),""))</f>
        <v/>
      </c>
    </row>
    <row r="334" customFormat="false" ht="15" hidden="false" customHeight="false" outlineLevel="0" collapsed="false">
      <c r="A334" s="28" t="str">
        <f aca="false">IF($K334=0,"",ROW()-4)</f>
        <v/>
      </c>
      <c r="B334" s="26" t="str">
        <f aca="false">IF($K334=0,"","OPERATIONS")</f>
        <v/>
      </c>
      <c r="C334" s="26" t="str">
        <f aca="false">IF($K334=0,"",OPERATIONS!$A34)</f>
        <v/>
      </c>
      <c r="D334" s="31" t="str">
        <f aca="false">IF($K334=0,"",OPERATIONS!$B34)</f>
        <v/>
      </c>
      <c r="E334" s="26" t="str">
        <f aca="false">IF($K334=0,"","ENTREE")</f>
        <v/>
      </c>
      <c r="F334" s="26" t="str">
        <f aca="false">IF($K334=0,"",OPERATIONS!$C34)</f>
        <v/>
      </c>
      <c r="G334" s="26" t="str">
        <f aca="false">IF($K334=0,"",OPERATIONS!$D34)</f>
        <v/>
      </c>
      <c r="H334" s="26" t="str">
        <f aca="false">IF($K334=0,"",OPERATIONS!$F34)</f>
        <v/>
      </c>
      <c r="I334" s="26" t="str">
        <f aca="false">IF($H334="","",IFERROR(INDEX(EMPL_CLASSE,MATCH($H334,EMPL_KEY,0)),""))</f>
        <v/>
      </c>
      <c r="J334" s="26" t="str">
        <f aca="false">IF($K334=0,"",OPERATIONS!$J34)</f>
        <v/>
      </c>
      <c r="K334" s="67" t="n">
        <f aca="false">IF(OR(OPERATIONS!$N34=0,OPERATIONS!$C34="CONSOMMATION"),0,OPERATIONS!$G34)</f>
        <v>0</v>
      </c>
      <c r="L334" s="67" t="n">
        <f aca="false">IF($K334=0,0,OPERATIONS!$Q34*$K334)</f>
        <v>0</v>
      </c>
      <c r="M334" s="26" t="str">
        <f aca="false">IF($K334=0,"",OPERATIONS!$P34)</f>
        <v/>
      </c>
      <c r="N334" s="26" t="str">
        <f aca="false">IF($G334="","",IF($G334=R_LOT,COUNTIF($G$5:$G334,R_LOT),""))</f>
        <v/>
      </c>
    </row>
    <row r="335" customFormat="false" ht="15" hidden="false" customHeight="false" outlineLevel="0" collapsed="false">
      <c r="A335" s="28" t="str">
        <f aca="false">IF($K335=0,"",ROW()-4)</f>
        <v/>
      </c>
      <c r="B335" s="26" t="str">
        <f aca="false">IF($K335=0,"","OPERATIONS")</f>
        <v/>
      </c>
      <c r="C335" s="26" t="str">
        <f aca="false">IF($K335=0,"",OPERATIONS!$A35)</f>
        <v/>
      </c>
      <c r="D335" s="31" t="str">
        <f aca="false">IF($K335=0,"",OPERATIONS!$B35)</f>
        <v/>
      </c>
      <c r="E335" s="26" t="str">
        <f aca="false">IF($K335=0,"","ENTREE")</f>
        <v/>
      </c>
      <c r="F335" s="26" t="str">
        <f aca="false">IF($K335=0,"",OPERATIONS!$C35)</f>
        <v/>
      </c>
      <c r="G335" s="26" t="str">
        <f aca="false">IF($K335=0,"",OPERATIONS!$D35)</f>
        <v/>
      </c>
      <c r="H335" s="26" t="str">
        <f aca="false">IF($K335=0,"",OPERATIONS!$F35)</f>
        <v/>
      </c>
      <c r="I335" s="26" t="str">
        <f aca="false">IF($H335="","",IFERROR(INDEX(EMPL_CLASSE,MATCH($H335,EMPL_KEY,0)),""))</f>
        <v/>
      </c>
      <c r="J335" s="26" t="str">
        <f aca="false">IF($K335=0,"",OPERATIONS!$J35)</f>
        <v/>
      </c>
      <c r="K335" s="67" t="n">
        <f aca="false">IF(OR(OPERATIONS!$N35=0,OPERATIONS!$C35="CONSOMMATION"),0,OPERATIONS!$G35)</f>
        <v>0</v>
      </c>
      <c r="L335" s="67" t="n">
        <f aca="false">IF($K335=0,0,OPERATIONS!$Q35*$K335)</f>
        <v>0</v>
      </c>
      <c r="M335" s="26" t="str">
        <f aca="false">IF($K335=0,"",OPERATIONS!$P35)</f>
        <v/>
      </c>
      <c r="N335" s="26" t="str">
        <f aca="false">IF($G335="","",IF($G335=R_LOT,COUNTIF($G$5:$G335,R_LOT),""))</f>
        <v/>
      </c>
    </row>
    <row r="336" customFormat="false" ht="15" hidden="false" customHeight="false" outlineLevel="0" collapsed="false">
      <c r="A336" s="28" t="str">
        <f aca="false">IF($K336=0,"",ROW()-4)</f>
        <v/>
      </c>
      <c r="B336" s="26" t="str">
        <f aca="false">IF($K336=0,"","OPERATIONS")</f>
        <v/>
      </c>
      <c r="C336" s="26" t="str">
        <f aca="false">IF($K336=0,"",OPERATIONS!$A36)</f>
        <v/>
      </c>
      <c r="D336" s="31" t="str">
        <f aca="false">IF($K336=0,"",OPERATIONS!$B36)</f>
        <v/>
      </c>
      <c r="E336" s="26" t="str">
        <f aca="false">IF($K336=0,"","ENTREE")</f>
        <v/>
      </c>
      <c r="F336" s="26" t="str">
        <f aca="false">IF($K336=0,"",OPERATIONS!$C36)</f>
        <v/>
      </c>
      <c r="G336" s="26" t="str">
        <f aca="false">IF($K336=0,"",OPERATIONS!$D36)</f>
        <v/>
      </c>
      <c r="H336" s="26" t="str">
        <f aca="false">IF($K336=0,"",OPERATIONS!$F36)</f>
        <v/>
      </c>
      <c r="I336" s="26" t="str">
        <f aca="false">IF($H336="","",IFERROR(INDEX(EMPL_CLASSE,MATCH($H336,EMPL_KEY,0)),""))</f>
        <v/>
      </c>
      <c r="J336" s="26" t="str">
        <f aca="false">IF($K336=0,"",OPERATIONS!$J36)</f>
        <v/>
      </c>
      <c r="K336" s="67" t="n">
        <f aca="false">IF(OR(OPERATIONS!$N36=0,OPERATIONS!$C36="CONSOMMATION"),0,OPERATIONS!$G36)</f>
        <v>0</v>
      </c>
      <c r="L336" s="67" t="n">
        <f aca="false">IF($K336=0,0,OPERATIONS!$Q36*$K336)</f>
        <v>0</v>
      </c>
      <c r="M336" s="26" t="str">
        <f aca="false">IF($K336=0,"",OPERATIONS!$P36)</f>
        <v/>
      </c>
      <c r="N336" s="26" t="str">
        <f aca="false">IF($G336="","",IF($G336=R_LOT,COUNTIF($G$5:$G336,R_LOT),""))</f>
        <v/>
      </c>
    </row>
    <row r="337" customFormat="false" ht="15" hidden="false" customHeight="false" outlineLevel="0" collapsed="false">
      <c r="A337" s="28" t="str">
        <f aca="false">IF($K337=0,"",ROW()-4)</f>
        <v/>
      </c>
      <c r="B337" s="26" t="str">
        <f aca="false">IF($K337=0,"","OPERATIONS")</f>
        <v/>
      </c>
      <c r="C337" s="26" t="str">
        <f aca="false">IF($K337=0,"",OPERATIONS!$A37)</f>
        <v/>
      </c>
      <c r="D337" s="31" t="str">
        <f aca="false">IF($K337=0,"",OPERATIONS!$B37)</f>
        <v/>
      </c>
      <c r="E337" s="26" t="str">
        <f aca="false">IF($K337=0,"","ENTREE")</f>
        <v/>
      </c>
      <c r="F337" s="26" t="str">
        <f aca="false">IF($K337=0,"",OPERATIONS!$C37)</f>
        <v/>
      </c>
      <c r="G337" s="26" t="str">
        <f aca="false">IF($K337=0,"",OPERATIONS!$D37)</f>
        <v/>
      </c>
      <c r="H337" s="26" t="str">
        <f aca="false">IF($K337=0,"",OPERATIONS!$F37)</f>
        <v/>
      </c>
      <c r="I337" s="26" t="str">
        <f aca="false">IF($H337="","",IFERROR(INDEX(EMPL_CLASSE,MATCH($H337,EMPL_KEY,0)),""))</f>
        <v/>
      </c>
      <c r="J337" s="26" t="str">
        <f aca="false">IF($K337=0,"",OPERATIONS!$J37)</f>
        <v/>
      </c>
      <c r="K337" s="67" t="n">
        <f aca="false">IF(OR(OPERATIONS!$N37=0,OPERATIONS!$C37="CONSOMMATION"),0,OPERATIONS!$G37)</f>
        <v>0</v>
      </c>
      <c r="L337" s="67" t="n">
        <f aca="false">IF($K337=0,0,OPERATIONS!$Q37*$K337)</f>
        <v>0</v>
      </c>
      <c r="M337" s="26" t="str">
        <f aca="false">IF($K337=0,"",OPERATIONS!$P37)</f>
        <v/>
      </c>
      <c r="N337" s="26" t="str">
        <f aca="false">IF($G337="","",IF($G337=R_LOT,COUNTIF($G$5:$G337,R_LOT),""))</f>
        <v/>
      </c>
    </row>
    <row r="338" customFormat="false" ht="15" hidden="false" customHeight="false" outlineLevel="0" collapsed="false">
      <c r="A338" s="28" t="str">
        <f aca="false">IF($K338=0,"",ROW()-4)</f>
        <v/>
      </c>
      <c r="B338" s="26" t="str">
        <f aca="false">IF($K338=0,"","OPERATIONS")</f>
        <v/>
      </c>
      <c r="C338" s="26" t="str">
        <f aca="false">IF($K338=0,"",OPERATIONS!$A38)</f>
        <v/>
      </c>
      <c r="D338" s="31" t="str">
        <f aca="false">IF($K338=0,"",OPERATIONS!$B38)</f>
        <v/>
      </c>
      <c r="E338" s="26" t="str">
        <f aca="false">IF($K338=0,"","ENTREE")</f>
        <v/>
      </c>
      <c r="F338" s="26" t="str">
        <f aca="false">IF($K338=0,"",OPERATIONS!$C38)</f>
        <v/>
      </c>
      <c r="G338" s="26" t="str">
        <f aca="false">IF($K338=0,"",OPERATIONS!$D38)</f>
        <v/>
      </c>
      <c r="H338" s="26" t="str">
        <f aca="false">IF($K338=0,"",OPERATIONS!$F38)</f>
        <v/>
      </c>
      <c r="I338" s="26" t="str">
        <f aca="false">IF($H338="","",IFERROR(INDEX(EMPL_CLASSE,MATCH($H338,EMPL_KEY,0)),""))</f>
        <v/>
      </c>
      <c r="J338" s="26" t="str">
        <f aca="false">IF($K338=0,"",OPERATIONS!$J38)</f>
        <v/>
      </c>
      <c r="K338" s="67" t="n">
        <f aca="false">IF(OR(OPERATIONS!$N38=0,OPERATIONS!$C38="CONSOMMATION"),0,OPERATIONS!$G38)</f>
        <v>0</v>
      </c>
      <c r="L338" s="67" t="n">
        <f aca="false">IF($K338=0,0,OPERATIONS!$Q38*$K338)</f>
        <v>0</v>
      </c>
      <c r="M338" s="26" t="str">
        <f aca="false">IF($K338=0,"",OPERATIONS!$P38)</f>
        <v/>
      </c>
      <c r="N338" s="26" t="str">
        <f aca="false">IF($G338="","",IF($G338=R_LOT,COUNTIF($G$5:$G338,R_LOT),""))</f>
        <v/>
      </c>
    </row>
    <row r="339" customFormat="false" ht="15" hidden="false" customHeight="false" outlineLevel="0" collapsed="false">
      <c r="A339" s="28" t="str">
        <f aca="false">IF($K339=0,"",ROW()-4)</f>
        <v/>
      </c>
      <c r="B339" s="26" t="str">
        <f aca="false">IF($K339=0,"","OPERATIONS")</f>
        <v/>
      </c>
      <c r="C339" s="26" t="str">
        <f aca="false">IF($K339=0,"",OPERATIONS!$A39)</f>
        <v/>
      </c>
      <c r="D339" s="31" t="str">
        <f aca="false">IF($K339=0,"",OPERATIONS!$B39)</f>
        <v/>
      </c>
      <c r="E339" s="26" t="str">
        <f aca="false">IF($K339=0,"","ENTREE")</f>
        <v/>
      </c>
      <c r="F339" s="26" t="str">
        <f aca="false">IF($K339=0,"",OPERATIONS!$C39)</f>
        <v/>
      </c>
      <c r="G339" s="26" t="str">
        <f aca="false">IF($K339=0,"",OPERATIONS!$D39)</f>
        <v/>
      </c>
      <c r="H339" s="26" t="str">
        <f aca="false">IF($K339=0,"",OPERATIONS!$F39)</f>
        <v/>
      </c>
      <c r="I339" s="26" t="str">
        <f aca="false">IF($H339="","",IFERROR(INDEX(EMPL_CLASSE,MATCH($H339,EMPL_KEY,0)),""))</f>
        <v/>
      </c>
      <c r="J339" s="26" t="str">
        <f aca="false">IF($K339=0,"",OPERATIONS!$J39)</f>
        <v/>
      </c>
      <c r="K339" s="67" t="n">
        <f aca="false">IF(OR(OPERATIONS!$N39=0,OPERATIONS!$C39="CONSOMMATION"),0,OPERATIONS!$G39)</f>
        <v>0</v>
      </c>
      <c r="L339" s="67" t="n">
        <f aca="false">IF($K339=0,0,OPERATIONS!$Q39*$K339)</f>
        <v>0</v>
      </c>
      <c r="M339" s="26" t="str">
        <f aca="false">IF($K339=0,"",OPERATIONS!$P39)</f>
        <v/>
      </c>
      <c r="N339" s="26" t="str">
        <f aca="false">IF($G339="","",IF($G339=R_LOT,COUNTIF($G$5:$G339,R_LOT),""))</f>
        <v/>
      </c>
    </row>
    <row r="340" customFormat="false" ht="15" hidden="false" customHeight="false" outlineLevel="0" collapsed="false">
      <c r="A340" s="28" t="str">
        <f aca="false">IF($K340=0,"",ROW()-4)</f>
        <v/>
      </c>
      <c r="B340" s="26" t="str">
        <f aca="false">IF($K340=0,"","OPERATIONS")</f>
        <v/>
      </c>
      <c r="C340" s="26" t="str">
        <f aca="false">IF($K340=0,"",OPERATIONS!$A40)</f>
        <v/>
      </c>
      <c r="D340" s="31" t="str">
        <f aca="false">IF($K340=0,"",OPERATIONS!$B40)</f>
        <v/>
      </c>
      <c r="E340" s="26" t="str">
        <f aca="false">IF($K340=0,"","ENTREE")</f>
        <v/>
      </c>
      <c r="F340" s="26" t="str">
        <f aca="false">IF($K340=0,"",OPERATIONS!$C40)</f>
        <v/>
      </c>
      <c r="G340" s="26" t="str">
        <f aca="false">IF($K340=0,"",OPERATIONS!$D40)</f>
        <v/>
      </c>
      <c r="H340" s="26" t="str">
        <f aca="false">IF($K340=0,"",OPERATIONS!$F40)</f>
        <v/>
      </c>
      <c r="I340" s="26" t="str">
        <f aca="false">IF($H340="","",IFERROR(INDEX(EMPL_CLASSE,MATCH($H340,EMPL_KEY,0)),""))</f>
        <v/>
      </c>
      <c r="J340" s="26" t="str">
        <f aca="false">IF($K340=0,"",OPERATIONS!$J40)</f>
        <v/>
      </c>
      <c r="K340" s="67" t="n">
        <f aca="false">IF(OR(OPERATIONS!$N40=0,OPERATIONS!$C40="CONSOMMATION"),0,OPERATIONS!$G40)</f>
        <v>0</v>
      </c>
      <c r="L340" s="67" t="n">
        <f aca="false">IF($K340=0,0,OPERATIONS!$Q40*$K340)</f>
        <v>0</v>
      </c>
      <c r="M340" s="26" t="str">
        <f aca="false">IF($K340=0,"",OPERATIONS!$P40)</f>
        <v/>
      </c>
      <c r="N340" s="26" t="str">
        <f aca="false">IF($G340="","",IF($G340=R_LOT,COUNTIF($G$5:$G340,R_LOT),""))</f>
        <v/>
      </c>
    </row>
    <row r="341" customFormat="false" ht="15" hidden="false" customHeight="false" outlineLevel="0" collapsed="false">
      <c r="A341" s="28" t="str">
        <f aca="false">IF($K341=0,"",ROW()-4)</f>
        <v/>
      </c>
      <c r="B341" s="26" t="str">
        <f aca="false">IF($K341=0,"","OPERATIONS")</f>
        <v/>
      </c>
      <c r="C341" s="26" t="str">
        <f aca="false">IF($K341=0,"",OPERATIONS!$A41)</f>
        <v/>
      </c>
      <c r="D341" s="31" t="str">
        <f aca="false">IF($K341=0,"",OPERATIONS!$B41)</f>
        <v/>
      </c>
      <c r="E341" s="26" t="str">
        <f aca="false">IF($K341=0,"","ENTREE")</f>
        <v/>
      </c>
      <c r="F341" s="26" t="str">
        <f aca="false">IF($K341=0,"",OPERATIONS!$C41)</f>
        <v/>
      </c>
      <c r="G341" s="26" t="str">
        <f aca="false">IF($K341=0,"",OPERATIONS!$D41)</f>
        <v/>
      </c>
      <c r="H341" s="26" t="str">
        <f aca="false">IF($K341=0,"",OPERATIONS!$F41)</f>
        <v/>
      </c>
      <c r="I341" s="26" t="str">
        <f aca="false">IF($H341="","",IFERROR(INDEX(EMPL_CLASSE,MATCH($H341,EMPL_KEY,0)),""))</f>
        <v/>
      </c>
      <c r="J341" s="26" t="str">
        <f aca="false">IF($K341=0,"",OPERATIONS!$J41)</f>
        <v/>
      </c>
      <c r="K341" s="67" t="n">
        <f aca="false">IF(OR(OPERATIONS!$N41=0,OPERATIONS!$C41="CONSOMMATION"),0,OPERATIONS!$G41)</f>
        <v>0</v>
      </c>
      <c r="L341" s="67" t="n">
        <f aca="false">IF($K341=0,0,OPERATIONS!$Q41*$K341)</f>
        <v>0</v>
      </c>
      <c r="M341" s="26" t="str">
        <f aca="false">IF($K341=0,"",OPERATIONS!$P41)</f>
        <v/>
      </c>
      <c r="N341" s="26" t="str">
        <f aca="false">IF($G341="","",IF($G341=R_LOT,COUNTIF($G$5:$G341,R_LOT),""))</f>
        <v/>
      </c>
    </row>
    <row r="342" customFormat="false" ht="15" hidden="false" customHeight="false" outlineLevel="0" collapsed="false">
      <c r="A342" s="28" t="str">
        <f aca="false">IF($K342=0,"",ROW()-4)</f>
        <v/>
      </c>
      <c r="B342" s="26" t="str">
        <f aca="false">IF($K342=0,"","OPERATIONS")</f>
        <v/>
      </c>
      <c r="C342" s="26" t="str">
        <f aca="false">IF($K342=0,"",OPERATIONS!$A42)</f>
        <v/>
      </c>
      <c r="D342" s="31" t="str">
        <f aca="false">IF($K342=0,"",OPERATIONS!$B42)</f>
        <v/>
      </c>
      <c r="E342" s="26" t="str">
        <f aca="false">IF($K342=0,"","ENTREE")</f>
        <v/>
      </c>
      <c r="F342" s="26" t="str">
        <f aca="false">IF($K342=0,"",OPERATIONS!$C42)</f>
        <v/>
      </c>
      <c r="G342" s="26" t="str">
        <f aca="false">IF($K342=0,"",OPERATIONS!$D42)</f>
        <v/>
      </c>
      <c r="H342" s="26" t="str">
        <f aca="false">IF($K342=0,"",OPERATIONS!$F42)</f>
        <v/>
      </c>
      <c r="I342" s="26" t="str">
        <f aca="false">IF($H342="","",IFERROR(INDEX(EMPL_CLASSE,MATCH($H342,EMPL_KEY,0)),""))</f>
        <v/>
      </c>
      <c r="J342" s="26" t="str">
        <f aca="false">IF($K342=0,"",OPERATIONS!$J42)</f>
        <v/>
      </c>
      <c r="K342" s="67" t="n">
        <f aca="false">IF(OR(OPERATIONS!$N42=0,OPERATIONS!$C42="CONSOMMATION"),0,OPERATIONS!$G42)</f>
        <v>0</v>
      </c>
      <c r="L342" s="67" t="n">
        <f aca="false">IF($K342=0,0,OPERATIONS!$Q42*$K342)</f>
        <v>0</v>
      </c>
      <c r="M342" s="26" t="str">
        <f aca="false">IF($K342=0,"",OPERATIONS!$P42)</f>
        <v/>
      </c>
      <c r="N342" s="26" t="str">
        <f aca="false">IF($G342="","",IF($G342=R_LOT,COUNTIF($G$5:$G342,R_LOT),""))</f>
        <v/>
      </c>
    </row>
    <row r="343" customFormat="false" ht="15" hidden="false" customHeight="false" outlineLevel="0" collapsed="false">
      <c r="A343" s="28" t="str">
        <f aca="false">IF($K343=0,"",ROW()-4)</f>
        <v/>
      </c>
      <c r="B343" s="26" t="str">
        <f aca="false">IF($K343=0,"","OPERATIONS")</f>
        <v/>
      </c>
      <c r="C343" s="26" t="str">
        <f aca="false">IF($K343=0,"",OPERATIONS!$A43)</f>
        <v/>
      </c>
      <c r="D343" s="31" t="str">
        <f aca="false">IF($K343=0,"",OPERATIONS!$B43)</f>
        <v/>
      </c>
      <c r="E343" s="26" t="str">
        <f aca="false">IF($K343=0,"","ENTREE")</f>
        <v/>
      </c>
      <c r="F343" s="26" t="str">
        <f aca="false">IF($K343=0,"",OPERATIONS!$C43)</f>
        <v/>
      </c>
      <c r="G343" s="26" t="str">
        <f aca="false">IF($K343=0,"",OPERATIONS!$D43)</f>
        <v/>
      </c>
      <c r="H343" s="26" t="str">
        <f aca="false">IF($K343=0,"",OPERATIONS!$F43)</f>
        <v/>
      </c>
      <c r="I343" s="26" t="str">
        <f aca="false">IF($H343="","",IFERROR(INDEX(EMPL_CLASSE,MATCH($H343,EMPL_KEY,0)),""))</f>
        <v/>
      </c>
      <c r="J343" s="26" t="str">
        <f aca="false">IF($K343=0,"",OPERATIONS!$J43)</f>
        <v/>
      </c>
      <c r="K343" s="67" t="n">
        <f aca="false">IF(OR(OPERATIONS!$N43=0,OPERATIONS!$C43="CONSOMMATION"),0,OPERATIONS!$G43)</f>
        <v>0</v>
      </c>
      <c r="L343" s="67" t="n">
        <f aca="false">IF($K343=0,0,OPERATIONS!$Q43*$K343)</f>
        <v>0</v>
      </c>
      <c r="M343" s="26" t="str">
        <f aca="false">IF($K343=0,"",OPERATIONS!$P43)</f>
        <v/>
      </c>
      <c r="N343" s="26" t="str">
        <f aca="false">IF($G343="","",IF($G343=R_LOT,COUNTIF($G$5:$G343,R_LOT),""))</f>
        <v/>
      </c>
    </row>
    <row r="344" customFormat="false" ht="15" hidden="false" customHeight="false" outlineLevel="0" collapsed="false">
      <c r="A344" s="28" t="str">
        <f aca="false">IF($K344=0,"",ROW()-4)</f>
        <v/>
      </c>
      <c r="B344" s="26" t="str">
        <f aca="false">IF($K344=0,"","OPERATIONS")</f>
        <v/>
      </c>
      <c r="C344" s="26" t="str">
        <f aca="false">IF($K344=0,"",OPERATIONS!$A44)</f>
        <v/>
      </c>
      <c r="D344" s="31" t="str">
        <f aca="false">IF($K344=0,"",OPERATIONS!$B44)</f>
        <v/>
      </c>
      <c r="E344" s="26" t="str">
        <f aca="false">IF($K344=0,"","ENTREE")</f>
        <v/>
      </c>
      <c r="F344" s="26" t="str">
        <f aca="false">IF($K344=0,"",OPERATIONS!$C44)</f>
        <v/>
      </c>
      <c r="G344" s="26" t="str">
        <f aca="false">IF($K344=0,"",OPERATIONS!$D44)</f>
        <v/>
      </c>
      <c r="H344" s="26" t="str">
        <f aca="false">IF($K344=0,"",OPERATIONS!$F44)</f>
        <v/>
      </c>
      <c r="I344" s="26" t="str">
        <f aca="false">IF($H344="","",IFERROR(INDEX(EMPL_CLASSE,MATCH($H344,EMPL_KEY,0)),""))</f>
        <v/>
      </c>
      <c r="J344" s="26" t="str">
        <f aca="false">IF($K344=0,"",OPERATIONS!$J44)</f>
        <v/>
      </c>
      <c r="K344" s="67" t="n">
        <f aca="false">IF(OR(OPERATIONS!$N44=0,OPERATIONS!$C44="CONSOMMATION"),0,OPERATIONS!$G44)</f>
        <v>0</v>
      </c>
      <c r="L344" s="67" t="n">
        <f aca="false">IF($K344=0,0,OPERATIONS!$Q44*$K344)</f>
        <v>0</v>
      </c>
      <c r="M344" s="26" t="str">
        <f aca="false">IF($K344=0,"",OPERATIONS!$P44)</f>
        <v/>
      </c>
      <c r="N344" s="26" t="str">
        <f aca="false">IF($G344="","",IF($G344=R_LOT,COUNTIF($G$5:$G344,R_LOT),""))</f>
        <v/>
      </c>
    </row>
    <row r="345" customFormat="false" ht="15" hidden="false" customHeight="false" outlineLevel="0" collapsed="false">
      <c r="A345" s="28" t="str">
        <f aca="false">IF($K345=0,"",ROW()-4)</f>
        <v/>
      </c>
      <c r="B345" s="26" t="str">
        <f aca="false">IF($K345=0,"","OPERATIONS")</f>
        <v/>
      </c>
      <c r="C345" s="26" t="str">
        <f aca="false">IF($K345=0,"",OPERATIONS!$A45)</f>
        <v/>
      </c>
      <c r="D345" s="31" t="str">
        <f aca="false">IF($K345=0,"",OPERATIONS!$B45)</f>
        <v/>
      </c>
      <c r="E345" s="26" t="str">
        <f aca="false">IF($K345=0,"","ENTREE")</f>
        <v/>
      </c>
      <c r="F345" s="26" t="str">
        <f aca="false">IF($K345=0,"",OPERATIONS!$C45)</f>
        <v/>
      </c>
      <c r="G345" s="26" t="str">
        <f aca="false">IF($K345=0,"",OPERATIONS!$D45)</f>
        <v/>
      </c>
      <c r="H345" s="26" t="str">
        <f aca="false">IF($K345=0,"",OPERATIONS!$F45)</f>
        <v/>
      </c>
      <c r="I345" s="26" t="str">
        <f aca="false">IF($H345="","",IFERROR(INDEX(EMPL_CLASSE,MATCH($H345,EMPL_KEY,0)),""))</f>
        <v/>
      </c>
      <c r="J345" s="26" t="str">
        <f aca="false">IF($K345=0,"",OPERATIONS!$J45)</f>
        <v/>
      </c>
      <c r="K345" s="67" t="n">
        <f aca="false">IF(OR(OPERATIONS!$N45=0,OPERATIONS!$C45="CONSOMMATION"),0,OPERATIONS!$G45)</f>
        <v>0</v>
      </c>
      <c r="L345" s="67" t="n">
        <f aca="false">IF($K345=0,0,OPERATIONS!$Q45*$K345)</f>
        <v>0</v>
      </c>
      <c r="M345" s="26" t="str">
        <f aca="false">IF($K345=0,"",OPERATIONS!$P45)</f>
        <v/>
      </c>
      <c r="N345" s="26" t="str">
        <f aca="false">IF($G345="","",IF($G345=R_LOT,COUNTIF($G$5:$G345,R_LOT),""))</f>
        <v/>
      </c>
    </row>
    <row r="346" customFormat="false" ht="15" hidden="false" customHeight="false" outlineLevel="0" collapsed="false">
      <c r="A346" s="28" t="str">
        <f aca="false">IF($K346=0,"",ROW()-4)</f>
        <v/>
      </c>
      <c r="B346" s="26" t="str">
        <f aca="false">IF($K346=0,"","OPERATIONS")</f>
        <v/>
      </c>
      <c r="C346" s="26" t="str">
        <f aca="false">IF($K346=0,"",OPERATIONS!$A46)</f>
        <v/>
      </c>
      <c r="D346" s="31" t="str">
        <f aca="false">IF($K346=0,"",OPERATIONS!$B46)</f>
        <v/>
      </c>
      <c r="E346" s="26" t="str">
        <f aca="false">IF($K346=0,"","ENTREE")</f>
        <v/>
      </c>
      <c r="F346" s="26" t="str">
        <f aca="false">IF($K346=0,"",OPERATIONS!$C46)</f>
        <v/>
      </c>
      <c r="G346" s="26" t="str">
        <f aca="false">IF($K346=0,"",OPERATIONS!$D46)</f>
        <v/>
      </c>
      <c r="H346" s="26" t="str">
        <f aca="false">IF($K346=0,"",OPERATIONS!$F46)</f>
        <v/>
      </c>
      <c r="I346" s="26" t="str">
        <f aca="false">IF($H346="","",IFERROR(INDEX(EMPL_CLASSE,MATCH($H346,EMPL_KEY,0)),""))</f>
        <v/>
      </c>
      <c r="J346" s="26" t="str">
        <f aca="false">IF($K346=0,"",OPERATIONS!$J46)</f>
        <v/>
      </c>
      <c r="K346" s="67" t="n">
        <f aca="false">IF(OR(OPERATIONS!$N46=0,OPERATIONS!$C46="CONSOMMATION"),0,OPERATIONS!$G46)</f>
        <v>0</v>
      </c>
      <c r="L346" s="67" t="n">
        <f aca="false">IF($K346=0,0,OPERATIONS!$Q46*$K346)</f>
        <v>0</v>
      </c>
      <c r="M346" s="26" t="str">
        <f aca="false">IF($K346=0,"",OPERATIONS!$P46)</f>
        <v/>
      </c>
      <c r="N346" s="26" t="str">
        <f aca="false">IF($G346="","",IF($G346=R_LOT,COUNTIF($G$5:$G346,R_LOT),""))</f>
        <v/>
      </c>
    </row>
    <row r="347" customFormat="false" ht="15" hidden="false" customHeight="false" outlineLevel="0" collapsed="false">
      <c r="A347" s="28" t="str">
        <f aca="false">IF($K347=0,"",ROW()-4)</f>
        <v/>
      </c>
      <c r="B347" s="26" t="str">
        <f aca="false">IF($K347=0,"","OPERATIONS")</f>
        <v/>
      </c>
      <c r="C347" s="26" t="str">
        <f aca="false">IF($K347=0,"",OPERATIONS!$A47)</f>
        <v/>
      </c>
      <c r="D347" s="31" t="str">
        <f aca="false">IF($K347=0,"",OPERATIONS!$B47)</f>
        <v/>
      </c>
      <c r="E347" s="26" t="str">
        <f aca="false">IF($K347=0,"","ENTREE")</f>
        <v/>
      </c>
      <c r="F347" s="26" t="str">
        <f aca="false">IF($K347=0,"",OPERATIONS!$C47)</f>
        <v/>
      </c>
      <c r="G347" s="26" t="str">
        <f aca="false">IF($K347=0,"",OPERATIONS!$D47)</f>
        <v/>
      </c>
      <c r="H347" s="26" t="str">
        <f aca="false">IF($K347=0,"",OPERATIONS!$F47)</f>
        <v/>
      </c>
      <c r="I347" s="26" t="str">
        <f aca="false">IF($H347="","",IFERROR(INDEX(EMPL_CLASSE,MATCH($H347,EMPL_KEY,0)),""))</f>
        <v/>
      </c>
      <c r="J347" s="26" t="str">
        <f aca="false">IF($K347=0,"",OPERATIONS!$J47)</f>
        <v/>
      </c>
      <c r="K347" s="67" t="n">
        <f aca="false">IF(OR(OPERATIONS!$N47=0,OPERATIONS!$C47="CONSOMMATION"),0,OPERATIONS!$G47)</f>
        <v>0</v>
      </c>
      <c r="L347" s="67" t="n">
        <f aca="false">IF($K347=0,0,OPERATIONS!$Q47*$K347)</f>
        <v>0</v>
      </c>
      <c r="M347" s="26" t="str">
        <f aca="false">IF($K347=0,"",OPERATIONS!$P47)</f>
        <v/>
      </c>
      <c r="N347" s="26" t="str">
        <f aca="false">IF($G347="","",IF($G347=R_LOT,COUNTIF($G$5:$G347,R_LOT),""))</f>
        <v/>
      </c>
    </row>
    <row r="348" customFormat="false" ht="15" hidden="false" customHeight="false" outlineLevel="0" collapsed="false">
      <c r="A348" s="28" t="str">
        <f aca="false">IF($K348=0,"",ROW()-4)</f>
        <v/>
      </c>
      <c r="B348" s="26" t="str">
        <f aca="false">IF($K348=0,"","OPERATIONS")</f>
        <v/>
      </c>
      <c r="C348" s="26" t="str">
        <f aca="false">IF($K348=0,"",OPERATIONS!$A48)</f>
        <v/>
      </c>
      <c r="D348" s="31" t="str">
        <f aca="false">IF($K348=0,"",OPERATIONS!$B48)</f>
        <v/>
      </c>
      <c r="E348" s="26" t="str">
        <f aca="false">IF($K348=0,"","ENTREE")</f>
        <v/>
      </c>
      <c r="F348" s="26" t="str">
        <f aca="false">IF($K348=0,"",OPERATIONS!$C48)</f>
        <v/>
      </c>
      <c r="G348" s="26" t="str">
        <f aca="false">IF($K348=0,"",OPERATIONS!$D48)</f>
        <v/>
      </c>
      <c r="H348" s="26" t="str">
        <f aca="false">IF($K348=0,"",OPERATIONS!$F48)</f>
        <v/>
      </c>
      <c r="I348" s="26" t="str">
        <f aca="false">IF($H348="","",IFERROR(INDEX(EMPL_CLASSE,MATCH($H348,EMPL_KEY,0)),""))</f>
        <v/>
      </c>
      <c r="J348" s="26" t="str">
        <f aca="false">IF($K348=0,"",OPERATIONS!$J48)</f>
        <v/>
      </c>
      <c r="K348" s="67" t="n">
        <f aca="false">IF(OR(OPERATIONS!$N48=0,OPERATIONS!$C48="CONSOMMATION"),0,OPERATIONS!$G48)</f>
        <v>0</v>
      </c>
      <c r="L348" s="67" t="n">
        <f aca="false">IF($K348=0,0,OPERATIONS!$Q48*$K348)</f>
        <v>0</v>
      </c>
      <c r="M348" s="26" t="str">
        <f aca="false">IF($K348=0,"",OPERATIONS!$P48)</f>
        <v/>
      </c>
      <c r="N348" s="26" t="str">
        <f aca="false">IF($G348="","",IF($G348=R_LOT,COUNTIF($G$5:$G348,R_LOT),""))</f>
        <v/>
      </c>
    </row>
    <row r="349" customFormat="false" ht="15" hidden="false" customHeight="false" outlineLevel="0" collapsed="false">
      <c r="A349" s="28" t="str">
        <f aca="false">IF($K349=0,"",ROW()-4)</f>
        <v/>
      </c>
      <c r="B349" s="26" t="str">
        <f aca="false">IF($K349=0,"","OPERATIONS")</f>
        <v/>
      </c>
      <c r="C349" s="26" t="str">
        <f aca="false">IF($K349=0,"",OPERATIONS!$A49)</f>
        <v/>
      </c>
      <c r="D349" s="31" t="str">
        <f aca="false">IF($K349=0,"",OPERATIONS!$B49)</f>
        <v/>
      </c>
      <c r="E349" s="26" t="str">
        <f aca="false">IF($K349=0,"","ENTREE")</f>
        <v/>
      </c>
      <c r="F349" s="26" t="str">
        <f aca="false">IF($K349=0,"",OPERATIONS!$C49)</f>
        <v/>
      </c>
      <c r="G349" s="26" t="str">
        <f aca="false">IF($K349=0,"",OPERATIONS!$D49)</f>
        <v/>
      </c>
      <c r="H349" s="26" t="str">
        <f aca="false">IF($K349=0,"",OPERATIONS!$F49)</f>
        <v/>
      </c>
      <c r="I349" s="26" t="str">
        <f aca="false">IF($H349="","",IFERROR(INDEX(EMPL_CLASSE,MATCH($H349,EMPL_KEY,0)),""))</f>
        <v/>
      </c>
      <c r="J349" s="26" t="str">
        <f aca="false">IF($K349=0,"",OPERATIONS!$J49)</f>
        <v/>
      </c>
      <c r="K349" s="67" t="n">
        <f aca="false">IF(OR(OPERATIONS!$N49=0,OPERATIONS!$C49="CONSOMMATION"),0,OPERATIONS!$G49)</f>
        <v>0</v>
      </c>
      <c r="L349" s="67" t="n">
        <f aca="false">IF($K349=0,0,OPERATIONS!$Q49*$K349)</f>
        <v>0</v>
      </c>
      <c r="M349" s="26" t="str">
        <f aca="false">IF($K349=0,"",OPERATIONS!$P49)</f>
        <v/>
      </c>
      <c r="N349" s="26" t="str">
        <f aca="false">IF($G349="","",IF($G349=R_LOT,COUNTIF($G$5:$G349,R_LOT),""))</f>
        <v/>
      </c>
    </row>
    <row r="350" customFormat="false" ht="15" hidden="false" customHeight="false" outlineLevel="0" collapsed="false">
      <c r="A350" s="28" t="str">
        <f aca="false">IF($K350=0,"",ROW()-4)</f>
        <v/>
      </c>
      <c r="B350" s="26" t="str">
        <f aca="false">IF($K350=0,"","OPERATIONS")</f>
        <v/>
      </c>
      <c r="C350" s="26" t="str">
        <f aca="false">IF($K350=0,"",OPERATIONS!$A50)</f>
        <v/>
      </c>
      <c r="D350" s="31" t="str">
        <f aca="false">IF($K350=0,"",OPERATIONS!$B50)</f>
        <v/>
      </c>
      <c r="E350" s="26" t="str">
        <f aca="false">IF($K350=0,"","ENTREE")</f>
        <v/>
      </c>
      <c r="F350" s="26" t="str">
        <f aca="false">IF($K350=0,"",OPERATIONS!$C50)</f>
        <v/>
      </c>
      <c r="G350" s="26" t="str">
        <f aca="false">IF($K350=0,"",OPERATIONS!$D50)</f>
        <v/>
      </c>
      <c r="H350" s="26" t="str">
        <f aca="false">IF($K350=0,"",OPERATIONS!$F50)</f>
        <v/>
      </c>
      <c r="I350" s="26" t="str">
        <f aca="false">IF($H350="","",IFERROR(INDEX(EMPL_CLASSE,MATCH($H350,EMPL_KEY,0)),""))</f>
        <v/>
      </c>
      <c r="J350" s="26" t="str">
        <f aca="false">IF($K350=0,"",OPERATIONS!$J50)</f>
        <v/>
      </c>
      <c r="K350" s="67" t="n">
        <f aca="false">IF(OR(OPERATIONS!$N50=0,OPERATIONS!$C50="CONSOMMATION"),0,OPERATIONS!$G50)</f>
        <v>0</v>
      </c>
      <c r="L350" s="67" t="n">
        <f aca="false">IF($K350=0,0,OPERATIONS!$Q50*$K350)</f>
        <v>0</v>
      </c>
      <c r="M350" s="26" t="str">
        <f aca="false">IF($K350=0,"",OPERATIONS!$P50)</f>
        <v/>
      </c>
      <c r="N350" s="26" t="str">
        <f aca="false">IF($G350="","",IF($G350=R_LOT,COUNTIF($G$5:$G350,R_LOT),""))</f>
        <v/>
      </c>
    </row>
    <row r="351" customFormat="false" ht="15" hidden="false" customHeight="false" outlineLevel="0" collapsed="false">
      <c r="A351" s="28" t="str">
        <f aca="false">IF($K351=0,"",ROW()-4)</f>
        <v/>
      </c>
      <c r="B351" s="26" t="str">
        <f aca="false">IF($K351=0,"","OPERATIONS")</f>
        <v/>
      </c>
      <c r="C351" s="26" t="str">
        <f aca="false">IF($K351=0,"",OPERATIONS!$A51)</f>
        <v/>
      </c>
      <c r="D351" s="31" t="str">
        <f aca="false">IF($K351=0,"",OPERATIONS!$B51)</f>
        <v/>
      </c>
      <c r="E351" s="26" t="str">
        <f aca="false">IF($K351=0,"","ENTREE")</f>
        <v/>
      </c>
      <c r="F351" s="26" t="str">
        <f aca="false">IF($K351=0,"",OPERATIONS!$C51)</f>
        <v/>
      </c>
      <c r="G351" s="26" t="str">
        <f aca="false">IF($K351=0,"",OPERATIONS!$D51)</f>
        <v/>
      </c>
      <c r="H351" s="26" t="str">
        <f aca="false">IF($K351=0,"",OPERATIONS!$F51)</f>
        <v/>
      </c>
      <c r="I351" s="26" t="str">
        <f aca="false">IF($H351="","",IFERROR(INDEX(EMPL_CLASSE,MATCH($H351,EMPL_KEY,0)),""))</f>
        <v/>
      </c>
      <c r="J351" s="26" t="str">
        <f aca="false">IF($K351=0,"",OPERATIONS!$J51)</f>
        <v/>
      </c>
      <c r="K351" s="67" t="n">
        <f aca="false">IF(OR(OPERATIONS!$N51=0,OPERATIONS!$C51="CONSOMMATION"),0,OPERATIONS!$G51)</f>
        <v>0</v>
      </c>
      <c r="L351" s="67" t="n">
        <f aca="false">IF($K351=0,0,OPERATIONS!$Q51*$K351)</f>
        <v>0</v>
      </c>
      <c r="M351" s="26" t="str">
        <f aca="false">IF($K351=0,"",OPERATIONS!$P51)</f>
        <v/>
      </c>
      <c r="N351" s="26" t="str">
        <f aca="false">IF($G351="","",IF($G351=R_LOT,COUNTIF($G$5:$G351,R_LOT),""))</f>
        <v/>
      </c>
    </row>
    <row r="352" customFormat="false" ht="15" hidden="false" customHeight="false" outlineLevel="0" collapsed="false">
      <c r="A352" s="28" t="str">
        <f aca="false">IF($K352=0,"",ROW()-4)</f>
        <v/>
      </c>
      <c r="B352" s="26" t="str">
        <f aca="false">IF($K352=0,"","OPERATIONS")</f>
        <v/>
      </c>
      <c r="C352" s="26" t="str">
        <f aca="false">IF($K352=0,"",OPERATIONS!$A52)</f>
        <v/>
      </c>
      <c r="D352" s="31" t="str">
        <f aca="false">IF($K352=0,"",OPERATIONS!$B52)</f>
        <v/>
      </c>
      <c r="E352" s="26" t="str">
        <f aca="false">IF($K352=0,"","ENTREE")</f>
        <v/>
      </c>
      <c r="F352" s="26" t="str">
        <f aca="false">IF($K352=0,"",OPERATIONS!$C52)</f>
        <v/>
      </c>
      <c r="G352" s="26" t="str">
        <f aca="false">IF($K352=0,"",OPERATIONS!$D52)</f>
        <v/>
      </c>
      <c r="H352" s="26" t="str">
        <f aca="false">IF($K352=0,"",OPERATIONS!$F52)</f>
        <v/>
      </c>
      <c r="I352" s="26" t="str">
        <f aca="false">IF($H352="","",IFERROR(INDEX(EMPL_CLASSE,MATCH($H352,EMPL_KEY,0)),""))</f>
        <v/>
      </c>
      <c r="J352" s="26" t="str">
        <f aca="false">IF($K352=0,"",OPERATIONS!$J52)</f>
        <v/>
      </c>
      <c r="K352" s="67" t="n">
        <f aca="false">IF(OR(OPERATIONS!$N52=0,OPERATIONS!$C52="CONSOMMATION"),0,OPERATIONS!$G52)</f>
        <v>0</v>
      </c>
      <c r="L352" s="67" t="n">
        <f aca="false">IF($K352=0,0,OPERATIONS!$Q52*$K352)</f>
        <v>0</v>
      </c>
      <c r="M352" s="26" t="str">
        <f aca="false">IF($K352=0,"",OPERATIONS!$P52)</f>
        <v/>
      </c>
      <c r="N352" s="26" t="str">
        <f aca="false">IF($G352="","",IF($G352=R_LOT,COUNTIF($G$5:$G352,R_LOT),""))</f>
        <v/>
      </c>
    </row>
    <row r="353" customFormat="false" ht="15" hidden="false" customHeight="false" outlineLevel="0" collapsed="false">
      <c r="A353" s="28" t="str">
        <f aca="false">IF($K353=0,"",ROW()-4)</f>
        <v/>
      </c>
      <c r="B353" s="26" t="str">
        <f aca="false">IF($K353=0,"","OPERATIONS")</f>
        <v/>
      </c>
      <c r="C353" s="26" t="str">
        <f aca="false">IF($K353=0,"",OPERATIONS!$A53)</f>
        <v/>
      </c>
      <c r="D353" s="31" t="str">
        <f aca="false">IF($K353=0,"",OPERATIONS!$B53)</f>
        <v/>
      </c>
      <c r="E353" s="26" t="str">
        <f aca="false">IF($K353=0,"","ENTREE")</f>
        <v/>
      </c>
      <c r="F353" s="26" t="str">
        <f aca="false">IF($K353=0,"",OPERATIONS!$C53)</f>
        <v/>
      </c>
      <c r="G353" s="26" t="str">
        <f aca="false">IF($K353=0,"",OPERATIONS!$D53)</f>
        <v/>
      </c>
      <c r="H353" s="26" t="str">
        <f aca="false">IF($K353=0,"",OPERATIONS!$F53)</f>
        <v/>
      </c>
      <c r="I353" s="26" t="str">
        <f aca="false">IF($H353="","",IFERROR(INDEX(EMPL_CLASSE,MATCH($H353,EMPL_KEY,0)),""))</f>
        <v/>
      </c>
      <c r="J353" s="26" t="str">
        <f aca="false">IF($K353=0,"",OPERATIONS!$J53)</f>
        <v/>
      </c>
      <c r="K353" s="67" t="n">
        <f aca="false">IF(OR(OPERATIONS!$N53=0,OPERATIONS!$C53="CONSOMMATION"),0,OPERATIONS!$G53)</f>
        <v>0</v>
      </c>
      <c r="L353" s="67" t="n">
        <f aca="false">IF($K353=0,0,OPERATIONS!$Q53*$K353)</f>
        <v>0</v>
      </c>
      <c r="M353" s="26" t="str">
        <f aca="false">IF($K353=0,"",OPERATIONS!$P53)</f>
        <v/>
      </c>
      <c r="N353" s="26" t="str">
        <f aca="false">IF($G353="","",IF($G353=R_LOT,COUNTIF($G$5:$G353,R_LOT),""))</f>
        <v/>
      </c>
    </row>
    <row r="354" customFormat="false" ht="15" hidden="false" customHeight="false" outlineLevel="0" collapsed="false">
      <c r="A354" s="28" t="str">
        <f aca="false">IF($K354=0,"",ROW()-4)</f>
        <v/>
      </c>
      <c r="B354" s="26" t="str">
        <f aca="false">IF($K354=0,"","OPERATIONS")</f>
        <v/>
      </c>
      <c r="C354" s="26" t="str">
        <f aca="false">IF($K354=0,"",OPERATIONS!$A54)</f>
        <v/>
      </c>
      <c r="D354" s="31" t="str">
        <f aca="false">IF($K354=0,"",OPERATIONS!$B54)</f>
        <v/>
      </c>
      <c r="E354" s="26" t="str">
        <f aca="false">IF($K354=0,"","ENTREE")</f>
        <v/>
      </c>
      <c r="F354" s="26" t="str">
        <f aca="false">IF($K354=0,"",OPERATIONS!$C54)</f>
        <v/>
      </c>
      <c r="G354" s="26" t="str">
        <f aca="false">IF($K354=0,"",OPERATIONS!$D54)</f>
        <v/>
      </c>
      <c r="H354" s="26" t="str">
        <f aca="false">IF($K354=0,"",OPERATIONS!$F54)</f>
        <v/>
      </c>
      <c r="I354" s="26" t="str">
        <f aca="false">IF($H354="","",IFERROR(INDEX(EMPL_CLASSE,MATCH($H354,EMPL_KEY,0)),""))</f>
        <v/>
      </c>
      <c r="J354" s="26" t="str">
        <f aca="false">IF($K354=0,"",OPERATIONS!$J54)</f>
        <v/>
      </c>
      <c r="K354" s="67" t="n">
        <f aca="false">IF(OR(OPERATIONS!$N54=0,OPERATIONS!$C54="CONSOMMATION"),0,OPERATIONS!$G54)</f>
        <v>0</v>
      </c>
      <c r="L354" s="67" t="n">
        <f aca="false">IF($K354=0,0,OPERATIONS!$Q54*$K354)</f>
        <v>0</v>
      </c>
      <c r="M354" s="26" t="str">
        <f aca="false">IF($K354=0,"",OPERATIONS!$P54)</f>
        <v/>
      </c>
      <c r="N354" s="26" t="str">
        <f aca="false">IF($G354="","",IF($G354=R_LOT,COUNTIF($G$5:$G354,R_LOT),""))</f>
        <v/>
      </c>
    </row>
    <row r="355" customFormat="false" ht="15" hidden="false" customHeight="false" outlineLevel="0" collapsed="false">
      <c r="A355" s="28" t="str">
        <f aca="false">IF($K355=0,"",ROW()-4)</f>
        <v/>
      </c>
      <c r="B355" s="26" t="str">
        <f aca="false">IF($K355=0,"","OPERATIONS")</f>
        <v/>
      </c>
      <c r="C355" s="26" t="str">
        <f aca="false">IF($K355=0,"",OPERATIONS!$A55)</f>
        <v/>
      </c>
      <c r="D355" s="31" t="str">
        <f aca="false">IF($K355=0,"",OPERATIONS!$B55)</f>
        <v/>
      </c>
      <c r="E355" s="26" t="str">
        <f aca="false">IF($K355=0,"","ENTREE")</f>
        <v/>
      </c>
      <c r="F355" s="26" t="str">
        <f aca="false">IF($K355=0,"",OPERATIONS!$C55)</f>
        <v/>
      </c>
      <c r="G355" s="26" t="str">
        <f aca="false">IF($K355=0,"",OPERATIONS!$D55)</f>
        <v/>
      </c>
      <c r="H355" s="26" t="str">
        <f aca="false">IF($K355=0,"",OPERATIONS!$F55)</f>
        <v/>
      </c>
      <c r="I355" s="26" t="str">
        <f aca="false">IF($H355="","",IFERROR(INDEX(EMPL_CLASSE,MATCH($H355,EMPL_KEY,0)),""))</f>
        <v/>
      </c>
      <c r="J355" s="26" t="str">
        <f aca="false">IF($K355=0,"",OPERATIONS!$J55)</f>
        <v/>
      </c>
      <c r="K355" s="67" t="n">
        <f aca="false">IF(OR(OPERATIONS!$N55=0,OPERATIONS!$C55="CONSOMMATION"),0,OPERATIONS!$G55)</f>
        <v>0</v>
      </c>
      <c r="L355" s="67" t="n">
        <f aca="false">IF($K355=0,0,OPERATIONS!$Q55*$K355)</f>
        <v>0</v>
      </c>
      <c r="M355" s="26" t="str">
        <f aca="false">IF($K355=0,"",OPERATIONS!$P55)</f>
        <v/>
      </c>
      <c r="N355" s="26" t="str">
        <f aca="false">IF($G355="","",IF($G355=R_LOT,COUNTIF($G$5:$G355,R_LOT),""))</f>
        <v/>
      </c>
    </row>
    <row r="356" customFormat="false" ht="15" hidden="false" customHeight="false" outlineLevel="0" collapsed="false">
      <c r="A356" s="28" t="str">
        <f aca="false">IF($K356=0,"",ROW()-4)</f>
        <v/>
      </c>
      <c r="B356" s="26" t="str">
        <f aca="false">IF($K356=0,"","OPERATIONS")</f>
        <v/>
      </c>
      <c r="C356" s="26" t="str">
        <f aca="false">IF($K356=0,"",OPERATIONS!$A56)</f>
        <v/>
      </c>
      <c r="D356" s="31" t="str">
        <f aca="false">IF($K356=0,"",OPERATIONS!$B56)</f>
        <v/>
      </c>
      <c r="E356" s="26" t="str">
        <f aca="false">IF($K356=0,"","ENTREE")</f>
        <v/>
      </c>
      <c r="F356" s="26" t="str">
        <f aca="false">IF($K356=0,"",OPERATIONS!$C56)</f>
        <v/>
      </c>
      <c r="G356" s="26" t="str">
        <f aca="false">IF($K356=0,"",OPERATIONS!$D56)</f>
        <v/>
      </c>
      <c r="H356" s="26" t="str">
        <f aca="false">IF($K356=0,"",OPERATIONS!$F56)</f>
        <v/>
      </c>
      <c r="I356" s="26" t="str">
        <f aca="false">IF($H356="","",IFERROR(INDEX(EMPL_CLASSE,MATCH($H356,EMPL_KEY,0)),""))</f>
        <v/>
      </c>
      <c r="J356" s="26" t="str">
        <f aca="false">IF($K356=0,"",OPERATIONS!$J56)</f>
        <v/>
      </c>
      <c r="K356" s="67" t="n">
        <f aca="false">IF(OR(OPERATIONS!$N56=0,OPERATIONS!$C56="CONSOMMATION"),0,OPERATIONS!$G56)</f>
        <v>0</v>
      </c>
      <c r="L356" s="67" t="n">
        <f aca="false">IF($K356=0,0,OPERATIONS!$Q56*$K356)</f>
        <v>0</v>
      </c>
      <c r="M356" s="26" t="str">
        <f aca="false">IF($K356=0,"",OPERATIONS!$P56)</f>
        <v/>
      </c>
      <c r="N356" s="26" t="str">
        <f aca="false">IF($G356="","",IF($G356=R_LOT,COUNTIF($G$5:$G356,R_LOT),""))</f>
        <v/>
      </c>
    </row>
    <row r="357" customFormat="false" ht="15" hidden="false" customHeight="false" outlineLevel="0" collapsed="false">
      <c r="A357" s="28" t="str">
        <f aca="false">IF($K357=0,"",ROW()-4)</f>
        <v/>
      </c>
      <c r="B357" s="26" t="str">
        <f aca="false">IF($K357=0,"","OPERATIONS")</f>
        <v/>
      </c>
      <c r="C357" s="26" t="str">
        <f aca="false">IF($K357=0,"",OPERATIONS!$A57)</f>
        <v/>
      </c>
      <c r="D357" s="31" t="str">
        <f aca="false">IF($K357=0,"",OPERATIONS!$B57)</f>
        <v/>
      </c>
      <c r="E357" s="26" t="str">
        <f aca="false">IF($K357=0,"","ENTREE")</f>
        <v/>
      </c>
      <c r="F357" s="26" t="str">
        <f aca="false">IF($K357=0,"",OPERATIONS!$C57)</f>
        <v/>
      </c>
      <c r="G357" s="26" t="str">
        <f aca="false">IF($K357=0,"",OPERATIONS!$D57)</f>
        <v/>
      </c>
      <c r="H357" s="26" t="str">
        <f aca="false">IF($K357=0,"",OPERATIONS!$F57)</f>
        <v/>
      </c>
      <c r="I357" s="26" t="str">
        <f aca="false">IF($H357="","",IFERROR(INDEX(EMPL_CLASSE,MATCH($H357,EMPL_KEY,0)),""))</f>
        <v/>
      </c>
      <c r="J357" s="26" t="str">
        <f aca="false">IF($K357=0,"",OPERATIONS!$J57)</f>
        <v/>
      </c>
      <c r="K357" s="67" t="n">
        <f aca="false">IF(OR(OPERATIONS!$N57=0,OPERATIONS!$C57="CONSOMMATION"),0,OPERATIONS!$G57)</f>
        <v>0</v>
      </c>
      <c r="L357" s="67" t="n">
        <f aca="false">IF($K357=0,0,OPERATIONS!$Q57*$K357)</f>
        <v>0</v>
      </c>
      <c r="M357" s="26" t="str">
        <f aca="false">IF($K357=0,"",OPERATIONS!$P57)</f>
        <v/>
      </c>
      <c r="N357" s="26" t="str">
        <f aca="false">IF($G357="","",IF($G357=R_LOT,COUNTIF($G$5:$G357,R_LOT),""))</f>
        <v/>
      </c>
    </row>
    <row r="358" customFormat="false" ht="15" hidden="false" customHeight="false" outlineLevel="0" collapsed="false">
      <c r="A358" s="28" t="str">
        <f aca="false">IF($K358=0,"",ROW()-4)</f>
        <v/>
      </c>
      <c r="B358" s="26" t="str">
        <f aca="false">IF($K358=0,"","OPERATIONS")</f>
        <v/>
      </c>
      <c r="C358" s="26" t="str">
        <f aca="false">IF($K358=0,"",OPERATIONS!$A58)</f>
        <v/>
      </c>
      <c r="D358" s="31" t="str">
        <f aca="false">IF($K358=0,"",OPERATIONS!$B58)</f>
        <v/>
      </c>
      <c r="E358" s="26" t="str">
        <f aca="false">IF($K358=0,"","ENTREE")</f>
        <v/>
      </c>
      <c r="F358" s="26" t="str">
        <f aca="false">IF($K358=0,"",OPERATIONS!$C58)</f>
        <v/>
      </c>
      <c r="G358" s="26" t="str">
        <f aca="false">IF($K358=0,"",OPERATIONS!$D58)</f>
        <v/>
      </c>
      <c r="H358" s="26" t="str">
        <f aca="false">IF($K358=0,"",OPERATIONS!$F58)</f>
        <v/>
      </c>
      <c r="I358" s="26" t="str">
        <f aca="false">IF($H358="","",IFERROR(INDEX(EMPL_CLASSE,MATCH($H358,EMPL_KEY,0)),""))</f>
        <v/>
      </c>
      <c r="J358" s="26" t="str">
        <f aca="false">IF($K358=0,"",OPERATIONS!$J58)</f>
        <v/>
      </c>
      <c r="K358" s="67" t="n">
        <f aca="false">IF(OR(OPERATIONS!$N58=0,OPERATIONS!$C58="CONSOMMATION"),0,OPERATIONS!$G58)</f>
        <v>0</v>
      </c>
      <c r="L358" s="67" t="n">
        <f aca="false">IF($K358=0,0,OPERATIONS!$Q58*$K358)</f>
        <v>0</v>
      </c>
      <c r="M358" s="26" t="str">
        <f aca="false">IF($K358=0,"",OPERATIONS!$P58)</f>
        <v/>
      </c>
      <c r="N358" s="26" t="str">
        <f aca="false">IF($G358="","",IF($G358=R_LOT,COUNTIF($G$5:$G358,R_LOT),""))</f>
        <v/>
      </c>
    </row>
    <row r="359" customFormat="false" ht="15" hidden="false" customHeight="false" outlineLevel="0" collapsed="false">
      <c r="A359" s="28" t="str">
        <f aca="false">IF($K359=0,"",ROW()-4)</f>
        <v/>
      </c>
      <c r="B359" s="26" t="str">
        <f aca="false">IF($K359=0,"","OPERATIONS")</f>
        <v/>
      </c>
      <c r="C359" s="26" t="str">
        <f aca="false">IF($K359=0,"",OPERATIONS!$A59)</f>
        <v/>
      </c>
      <c r="D359" s="31" t="str">
        <f aca="false">IF($K359=0,"",OPERATIONS!$B59)</f>
        <v/>
      </c>
      <c r="E359" s="26" t="str">
        <f aca="false">IF($K359=0,"","ENTREE")</f>
        <v/>
      </c>
      <c r="F359" s="26" t="str">
        <f aca="false">IF($K359=0,"",OPERATIONS!$C59)</f>
        <v/>
      </c>
      <c r="G359" s="26" t="str">
        <f aca="false">IF($K359=0,"",OPERATIONS!$D59)</f>
        <v/>
      </c>
      <c r="H359" s="26" t="str">
        <f aca="false">IF($K359=0,"",OPERATIONS!$F59)</f>
        <v/>
      </c>
      <c r="I359" s="26" t="str">
        <f aca="false">IF($H359="","",IFERROR(INDEX(EMPL_CLASSE,MATCH($H359,EMPL_KEY,0)),""))</f>
        <v/>
      </c>
      <c r="J359" s="26" t="str">
        <f aca="false">IF($K359=0,"",OPERATIONS!$J59)</f>
        <v/>
      </c>
      <c r="K359" s="67" t="n">
        <f aca="false">IF(OR(OPERATIONS!$N59=0,OPERATIONS!$C59="CONSOMMATION"),0,OPERATIONS!$G59)</f>
        <v>0</v>
      </c>
      <c r="L359" s="67" t="n">
        <f aca="false">IF($K359=0,0,OPERATIONS!$Q59*$K359)</f>
        <v>0</v>
      </c>
      <c r="M359" s="26" t="str">
        <f aca="false">IF($K359=0,"",OPERATIONS!$P59)</f>
        <v/>
      </c>
      <c r="N359" s="26" t="str">
        <f aca="false">IF($G359="","",IF($G359=R_LOT,COUNTIF($G$5:$G359,R_LOT),""))</f>
        <v/>
      </c>
    </row>
    <row r="360" customFormat="false" ht="15" hidden="false" customHeight="false" outlineLevel="0" collapsed="false">
      <c r="A360" s="28" t="str">
        <f aca="false">IF($K360=0,"",ROW()-4)</f>
        <v/>
      </c>
      <c r="B360" s="26" t="str">
        <f aca="false">IF($K360=0,"","OPERATIONS")</f>
        <v/>
      </c>
      <c r="C360" s="26" t="str">
        <f aca="false">IF($K360=0,"",OPERATIONS!$A60)</f>
        <v/>
      </c>
      <c r="D360" s="31" t="str">
        <f aca="false">IF($K360=0,"",OPERATIONS!$B60)</f>
        <v/>
      </c>
      <c r="E360" s="26" t="str">
        <f aca="false">IF($K360=0,"","ENTREE")</f>
        <v/>
      </c>
      <c r="F360" s="26" t="str">
        <f aca="false">IF($K360=0,"",OPERATIONS!$C60)</f>
        <v/>
      </c>
      <c r="G360" s="26" t="str">
        <f aca="false">IF($K360=0,"",OPERATIONS!$D60)</f>
        <v/>
      </c>
      <c r="H360" s="26" t="str">
        <f aca="false">IF($K360=0,"",OPERATIONS!$F60)</f>
        <v/>
      </c>
      <c r="I360" s="26" t="str">
        <f aca="false">IF($H360="","",IFERROR(INDEX(EMPL_CLASSE,MATCH($H360,EMPL_KEY,0)),""))</f>
        <v/>
      </c>
      <c r="J360" s="26" t="str">
        <f aca="false">IF($K360=0,"",OPERATIONS!$J60)</f>
        <v/>
      </c>
      <c r="K360" s="67" t="n">
        <f aca="false">IF(OR(OPERATIONS!$N60=0,OPERATIONS!$C60="CONSOMMATION"),0,OPERATIONS!$G60)</f>
        <v>0</v>
      </c>
      <c r="L360" s="67" t="n">
        <f aca="false">IF($K360=0,0,OPERATIONS!$Q60*$K360)</f>
        <v>0</v>
      </c>
      <c r="M360" s="26" t="str">
        <f aca="false">IF($K360=0,"",OPERATIONS!$P60)</f>
        <v/>
      </c>
      <c r="N360" s="26" t="str">
        <f aca="false">IF($G360="","",IF($G360=R_LOT,COUNTIF($G$5:$G360,R_LOT),""))</f>
        <v/>
      </c>
    </row>
    <row r="361" customFormat="false" ht="15" hidden="false" customHeight="false" outlineLevel="0" collapsed="false">
      <c r="A361" s="28" t="str">
        <f aca="false">IF($K361=0,"",ROW()-4)</f>
        <v/>
      </c>
      <c r="B361" s="26" t="str">
        <f aca="false">IF($K361=0,"","OPERATIONS")</f>
        <v/>
      </c>
      <c r="C361" s="26" t="str">
        <f aca="false">IF($K361=0,"",OPERATIONS!$A61)</f>
        <v/>
      </c>
      <c r="D361" s="31" t="str">
        <f aca="false">IF($K361=0,"",OPERATIONS!$B61)</f>
        <v/>
      </c>
      <c r="E361" s="26" t="str">
        <f aca="false">IF($K361=0,"","ENTREE")</f>
        <v/>
      </c>
      <c r="F361" s="26" t="str">
        <f aca="false">IF($K361=0,"",OPERATIONS!$C61)</f>
        <v/>
      </c>
      <c r="G361" s="26" t="str">
        <f aca="false">IF($K361=0,"",OPERATIONS!$D61)</f>
        <v/>
      </c>
      <c r="H361" s="26" t="str">
        <f aca="false">IF($K361=0,"",OPERATIONS!$F61)</f>
        <v/>
      </c>
      <c r="I361" s="26" t="str">
        <f aca="false">IF($H361="","",IFERROR(INDEX(EMPL_CLASSE,MATCH($H361,EMPL_KEY,0)),""))</f>
        <v/>
      </c>
      <c r="J361" s="26" t="str">
        <f aca="false">IF($K361=0,"",OPERATIONS!$J61)</f>
        <v/>
      </c>
      <c r="K361" s="67" t="n">
        <f aca="false">IF(OR(OPERATIONS!$N61=0,OPERATIONS!$C61="CONSOMMATION"),0,OPERATIONS!$G61)</f>
        <v>0</v>
      </c>
      <c r="L361" s="67" t="n">
        <f aca="false">IF($K361=0,0,OPERATIONS!$Q61*$K361)</f>
        <v>0</v>
      </c>
      <c r="M361" s="26" t="str">
        <f aca="false">IF($K361=0,"",OPERATIONS!$P61)</f>
        <v/>
      </c>
      <c r="N361" s="26" t="str">
        <f aca="false">IF($G361="","",IF($G361=R_LOT,COUNTIF($G$5:$G361,R_LOT),""))</f>
        <v/>
      </c>
    </row>
    <row r="362" customFormat="false" ht="15" hidden="false" customHeight="false" outlineLevel="0" collapsed="false">
      <c r="A362" s="28" t="str">
        <f aca="false">IF($K362=0,"",ROW()-4)</f>
        <v/>
      </c>
      <c r="B362" s="26" t="str">
        <f aca="false">IF($K362=0,"","OPERATIONS")</f>
        <v/>
      </c>
      <c r="C362" s="26" t="str">
        <f aca="false">IF($K362=0,"",OPERATIONS!$A62)</f>
        <v/>
      </c>
      <c r="D362" s="31" t="str">
        <f aca="false">IF($K362=0,"",OPERATIONS!$B62)</f>
        <v/>
      </c>
      <c r="E362" s="26" t="str">
        <f aca="false">IF($K362=0,"","ENTREE")</f>
        <v/>
      </c>
      <c r="F362" s="26" t="str">
        <f aca="false">IF($K362=0,"",OPERATIONS!$C62)</f>
        <v/>
      </c>
      <c r="G362" s="26" t="str">
        <f aca="false">IF($K362=0,"",OPERATIONS!$D62)</f>
        <v/>
      </c>
      <c r="H362" s="26" t="str">
        <f aca="false">IF($K362=0,"",OPERATIONS!$F62)</f>
        <v/>
      </c>
      <c r="I362" s="26" t="str">
        <f aca="false">IF($H362="","",IFERROR(INDEX(EMPL_CLASSE,MATCH($H362,EMPL_KEY,0)),""))</f>
        <v/>
      </c>
      <c r="J362" s="26" t="str">
        <f aca="false">IF($K362=0,"",OPERATIONS!$J62)</f>
        <v/>
      </c>
      <c r="K362" s="67" t="n">
        <f aca="false">IF(OR(OPERATIONS!$N62=0,OPERATIONS!$C62="CONSOMMATION"),0,OPERATIONS!$G62)</f>
        <v>0</v>
      </c>
      <c r="L362" s="67" t="n">
        <f aca="false">IF($K362=0,0,OPERATIONS!$Q62*$K362)</f>
        <v>0</v>
      </c>
      <c r="M362" s="26" t="str">
        <f aca="false">IF($K362=0,"",OPERATIONS!$P62)</f>
        <v/>
      </c>
      <c r="N362" s="26" t="str">
        <f aca="false">IF($G362="","",IF($G362=R_LOT,COUNTIF($G$5:$G362,R_LOT),""))</f>
        <v/>
      </c>
    </row>
    <row r="363" customFormat="false" ht="15" hidden="false" customHeight="false" outlineLevel="0" collapsed="false">
      <c r="A363" s="28" t="str">
        <f aca="false">IF($K363=0,"",ROW()-4)</f>
        <v/>
      </c>
      <c r="B363" s="26" t="str">
        <f aca="false">IF($K363=0,"","OPERATIONS")</f>
        <v/>
      </c>
      <c r="C363" s="26" t="str">
        <f aca="false">IF($K363=0,"",OPERATIONS!$A63)</f>
        <v/>
      </c>
      <c r="D363" s="31" t="str">
        <f aca="false">IF($K363=0,"",OPERATIONS!$B63)</f>
        <v/>
      </c>
      <c r="E363" s="26" t="str">
        <f aca="false">IF($K363=0,"","ENTREE")</f>
        <v/>
      </c>
      <c r="F363" s="26" t="str">
        <f aca="false">IF($K363=0,"",OPERATIONS!$C63)</f>
        <v/>
      </c>
      <c r="G363" s="26" t="str">
        <f aca="false">IF($K363=0,"",OPERATIONS!$D63)</f>
        <v/>
      </c>
      <c r="H363" s="26" t="str">
        <f aca="false">IF($K363=0,"",OPERATIONS!$F63)</f>
        <v/>
      </c>
      <c r="I363" s="26" t="str">
        <f aca="false">IF($H363="","",IFERROR(INDEX(EMPL_CLASSE,MATCH($H363,EMPL_KEY,0)),""))</f>
        <v/>
      </c>
      <c r="J363" s="26" t="str">
        <f aca="false">IF($K363=0,"",OPERATIONS!$J63)</f>
        <v/>
      </c>
      <c r="K363" s="67" t="n">
        <f aca="false">IF(OR(OPERATIONS!$N63=0,OPERATIONS!$C63="CONSOMMATION"),0,OPERATIONS!$G63)</f>
        <v>0</v>
      </c>
      <c r="L363" s="67" t="n">
        <f aca="false">IF($K363=0,0,OPERATIONS!$Q63*$K363)</f>
        <v>0</v>
      </c>
      <c r="M363" s="26" t="str">
        <f aca="false">IF($K363=0,"",OPERATIONS!$P63)</f>
        <v/>
      </c>
      <c r="N363" s="26" t="str">
        <f aca="false">IF($G363="","",IF($G363=R_LOT,COUNTIF($G$5:$G363,R_LOT),""))</f>
        <v/>
      </c>
    </row>
    <row r="364" customFormat="false" ht="15" hidden="false" customHeight="false" outlineLevel="0" collapsed="false">
      <c r="A364" s="28" t="str">
        <f aca="false">IF($K364=0,"",ROW()-4)</f>
        <v/>
      </c>
      <c r="B364" s="26" t="str">
        <f aca="false">IF($K364=0,"","OPERATIONS")</f>
        <v/>
      </c>
      <c r="C364" s="26" t="str">
        <f aca="false">IF($K364=0,"",OPERATIONS!$A64)</f>
        <v/>
      </c>
      <c r="D364" s="31" t="str">
        <f aca="false">IF($K364=0,"",OPERATIONS!$B64)</f>
        <v/>
      </c>
      <c r="E364" s="26" t="str">
        <f aca="false">IF($K364=0,"","ENTREE")</f>
        <v/>
      </c>
      <c r="F364" s="26" t="str">
        <f aca="false">IF($K364=0,"",OPERATIONS!$C64)</f>
        <v/>
      </c>
      <c r="G364" s="26" t="str">
        <f aca="false">IF($K364=0,"",OPERATIONS!$D64)</f>
        <v/>
      </c>
      <c r="H364" s="26" t="str">
        <f aca="false">IF($K364=0,"",OPERATIONS!$F64)</f>
        <v/>
      </c>
      <c r="I364" s="26" t="str">
        <f aca="false">IF($H364="","",IFERROR(INDEX(EMPL_CLASSE,MATCH($H364,EMPL_KEY,0)),""))</f>
        <v/>
      </c>
      <c r="J364" s="26" t="str">
        <f aca="false">IF($K364=0,"",OPERATIONS!$J64)</f>
        <v/>
      </c>
      <c r="K364" s="67" t="n">
        <f aca="false">IF(OR(OPERATIONS!$N64=0,OPERATIONS!$C64="CONSOMMATION"),0,OPERATIONS!$G64)</f>
        <v>0</v>
      </c>
      <c r="L364" s="67" t="n">
        <f aca="false">IF($K364=0,0,OPERATIONS!$Q64*$K364)</f>
        <v>0</v>
      </c>
      <c r="M364" s="26" t="str">
        <f aca="false">IF($K364=0,"",OPERATIONS!$P64)</f>
        <v/>
      </c>
      <c r="N364" s="26" t="str">
        <f aca="false">IF($G364="","",IF($G364=R_LOT,COUNTIF($G$5:$G364,R_LOT),""))</f>
        <v/>
      </c>
    </row>
    <row r="365" customFormat="false" ht="15" hidden="false" customHeight="false" outlineLevel="0" collapsed="false">
      <c r="A365" s="28" t="str">
        <f aca="false">IF($K365=0,"",ROW()-4)</f>
        <v/>
      </c>
      <c r="B365" s="26" t="str">
        <f aca="false">IF($K365=0,"","OPERATIONS")</f>
        <v/>
      </c>
      <c r="C365" s="26" t="str">
        <f aca="false">IF($K365=0,"",OPERATIONS!$A65)</f>
        <v/>
      </c>
      <c r="D365" s="31" t="str">
        <f aca="false">IF($K365=0,"",OPERATIONS!$B65)</f>
        <v/>
      </c>
      <c r="E365" s="26" t="str">
        <f aca="false">IF($K365=0,"","ENTREE")</f>
        <v/>
      </c>
      <c r="F365" s="26" t="str">
        <f aca="false">IF($K365=0,"",OPERATIONS!$C65)</f>
        <v/>
      </c>
      <c r="G365" s="26" t="str">
        <f aca="false">IF($K365=0,"",OPERATIONS!$D65)</f>
        <v/>
      </c>
      <c r="H365" s="26" t="str">
        <f aca="false">IF($K365=0,"",OPERATIONS!$F65)</f>
        <v/>
      </c>
      <c r="I365" s="26" t="str">
        <f aca="false">IF($H365="","",IFERROR(INDEX(EMPL_CLASSE,MATCH($H365,EMPL_KEY,0)),""))</f>
        <v/>
      </c>
      <c r="J365" s="26" t="str">
        <f aca="false">IF($K365=0,"",OPERATIONS!$J65)</f>
        <v/>
      </c>
      <c r="K365" s="67" t="n">
        <f aca="false">IF(OR(OPERATIONS!$N65=0,OPERATIONS!$C65="CONSOMMATION"),0,OPERATIONS!$G65)</f>
        <v>0</v>
      </c>
      <c r="L365" s="67" t="n">
        <f aca="false">IF($K365=0,0,OPERATIONS!$Q65*$K365)</f>
        <v>0</v>
      </c>
      <c r="M365" s="26" t="str">
        <f aca="false">IF($K365=0,"",OPERATIONS!$P65)</f>
        <v/>
      </c>
      <c r="N365" s="26" t="str">
        <f aca="false">IF($G365="","",IF($G365=R_LOT,COUNTIF($G$5:$G365,R_LOT),""))</f>
        <v/>
      </c>
    </row>
    <row r="366" customFormat="false" ht="15" hidden="false" customHeight="false" outlineLevel="0" collapsed="false">
      <c r="A366" s="28" t="str">
        <f aca="false">IF($K366=0,"",ROW()-4)</f>
        <v/>
      </c>
      <c r="B366" s="26" t="str">
        <f aca="false">IF($K366=0,"","OPERATIONS")</f>
        <v/>
      </c>
      <c r="C366" s="26" t="str">
        <f aca="false">IF($K366=0,"",OPERATIONS!$A66)</f>
        <v/>
      </c>
      <c r="D366" s="31" t="str">
        <f aca="false">IF($K366=0,"",OPERATIONS!$B66)</f>
        <v/>
      </c>
      <c r="E366" s="26" t="str">
        <f aca="false">IF($K366=0,"","ENTREE")</f>
        <v/>
      </c>
      <c r="F366" s="26" t="str">
        <f aca="false">IF($K366=0,"",OPERATIONS!$C66)</f>
        <v/>
      </c>
      <c r="G366" s="26" t="str">
        <f aca="false">IF($K366=0,"",OPERATIONS!$D66)</f>
        <v/>
      </c>
      <c r="H366" s="26" t="str">
        <f aca="false">IF($K366=0,"",OPERATIONS!$F66)</f>
        <v/>
      </c>
      <c r="I366" s="26" t="str">
        <f aca="false">IF($H366="","",IFERROR(INDEX(EMPL_CLASSE,MATCH($H366,EMPL_KEY,0)),""))</f>
        <v/>
      </c>
      <c r="J366" s="26" t="str">
        <f aca="false">IF($K366=0,"",OPERATIONS!$J66)</f>
        <v/>
      </c>
      <c r="K366" s="67" t="n">
        <f aca="false">IF(OR(OPERATIONS!$N66=0,OPERATIONS!$C66="CONSOMMATION"),0,OPERATIONS!$G66)</f>
        <v>0</v>
      </c>
      <c r="L366" s="67" t="n">
        <f aca="false">IF($K366=0,0,OPERATIONS!$Q66*$K366)</f>
        <v>0</v>
      </c>
      <c r="M366" s="26" t="str">
        <f aca="false">IF($K366=0,"",OPERATIONS!$P66)</f>
        <v/>
      </c>
      <c r="N366" s="26" t="str">
        <f aca="false">IF($G366="","",IF($G366=R_LOT,COUNTIF($G$5:$G366,R_LOT),""))</f>
        <v/>
      </c>
    </row>
    <row r="367" customFormat="false" ht="15" hidden="false" customHeight="false" outlineLevel="0" collapsed="false">
      <c r="A367" s="28" t="str">
        <f aca="false">IF($K367=0,"",ROW()-4)</f>
        <v/>
      </c>
      <c r="B367" s="26" t="str">
        <f aca="false">IF($K367=0,"","OPERATIONS")</f>
        <v/>
      </c>
      <c r="C367" s="26" t="str">
        <f aca="false">IF($K367=0,"",OPERATIONS!$A67)</f>
        <v/>
      </c>
      <c r="D367" s="31" t="str">
        <f aca="false">IF($K367=0,"",OPERATIONS!$B67)</f>
        <v/>
      </c>
      <c r="E367" s="26" t="str">
        <f aca="false">IF($K367=0,"","ENTREE")</f>
        <v/>
      </c>
      <c r="F367" s="26" t="str">
        <f aca="false">IF($K367=0,"",OPERATIONS!$C67)</f>
        <v/>
      </c>
      <c r="G367" s="26" t="str">
        <f aca="false">IF($K367=0,"",OPERATIONS!$D67)</f>
        <v/>
      </c>
      <c r="H367" s="26" t="str">
        <f aca="false">IF($K367=0,"",OPERATIONS!$F67)</f>
        <v/>
      </c>
      <c r="I367" s="26" t="str">
        <f aca="false">IF($H367="","",IFERROR(INDEX(EMPL_CLASSE,MATCH($H367,EMPL_KEY,0)),""))</f>
        <v/>
      </c>
      <c r="J367" s="26" t="str">
        <f aca="false">IF($K367=0,"",OPERATIONS!$J67)</f>
        <v/>
      </c>
      <c r="K367" s="67" t="n">
        <f aca="false">IF(OR(OPERATIONS!$N67=0,OPERATIONS!$C67="CONSOMMATION"),0,OPERATIONS!$G67)</f>
        <v>0</v>
      </c>
      <c r="L367" s="67" t="n">
        <f aca="false">IF($K367=0,0,OPERATIONS!$Q67*$K367)</f>
        <v>0</v>
      </c>
      <c r="M367" s="26" t="str">
        <f aca="false">IF($K367=0,"",OPERATIONS!$P67)</f>
        <v/>
      </c>
      <c r="N367" s="26" t="str">
        <f aca="false">IF($G367="","",IF($G367=R_LOT,COUNTIF($G$5:$G367,R_LOT),""))</f>
        <v/>
      </c>
    </row>
    <row r="368" customFormat="false" ht="15" hidden="false" customHeight="false" outlineLevel="0" collapsed="false">
      <c r="A368" s="28" t="str">
        <f aca="false">IF($K368=0,"",ROW()-4)</f>
        <v/>
      </c>
      <c r="B368" s="26" t="str">
        <f aca="false">IF($K368=0,"","OPERATIONS")</f>
        <v/>
      </c>
      <c r="C368" s="26" t="str">
        <f aca="false">IF($K368=0,"",OPERATIONS!$A68)</f>
        <v/>
      </c>
      <c r="D368" s="31" t="str">
        <f aca="false">IF($K368=0,"",OPERATIONS!$B68)</f>
        <v/>
      </c>
      <c r="E368" s="26" t="str">
        <f aca="false">IF($K368=0,"","ENTREE")</f>
        <v/>
      </c>
      <c r="F368" s="26" t="str">
        <f aca="false">IF($K368=0,"",OPERATIONS!$C68)</f>
        <v/>
      </c>
      <c r="G368" s="26" t="str">
        <f aca="false">IF($K368=0,"",OPERATIONS!$D68)</f>
        <v/>
      </c>
      <c r="H368" s="26" t="str">
        <f aca="false">IF($K368=0,"",OPERATIONS!$F68)</f>
        <v/>
      </c>
      <c r="I368" s="26" t="str">
        <f aca="false">IF($H368="","",IFERROR(INDEX(EMPL_CLASSE,MATCH($H368,EMPL_KEY,0)),""))</f>
        <v/>
      </c>
      <c r="J368" s="26" t="str">
        <f aca="false">IF($K368=0,"",OPERATIONS!$J68)</f>
        <v/>
      </c>
      <c r="K368" s="67" t="n">
        <f aca="false">IF(OR(OPERATIONS!$N68=0,OPERATIONS!$C68="CONSOMMATION"),0,OPERATIONS!$G68)</f>
        <v>0</v>
      </c>
      <c r="L368" s="67" t="n">
        <f aca="false">IF($K368=0,0,OPERATIONS!$Q68*$K368)</f>
        <v>0</v>
      </c>
      <c r="M368" s="26" t="str">
        <f aca="false">IF($K368=0,"",OPERATIONS!$P68)</f>
        <v/>
      </c>
      <c r="N368" s="26" t="str">
        <f aca="false">IF($G368="","",IF($G368=R_LOT,COUNTIF($G$5:$G368,R_LOT),""))</f>
        <v/>
      </c>
    </row>
    <row r="369" customFormat="false" ht="15" hidden="false" customHeight="false" outlineLevel="0" collapsed="false">
      <c r="A369" s="28" t="str">
        <f aca="false">IF($K369=0,"",ROW()-4)</f>
        <v/>
      </c>
      <c r="B369" s="26" t="str">
        <f aca="false">IF($K369=0,"","OPERATIONS")</f>
        <v/>
      </c>
      <c r="C369" s="26" t="str">
        <f aca="false">IF($K369=0,"",OPERATIONS!$A69)</f>
        <v/>
      </c>
      <c r="D369" s="31" t="str">
        <f aca="false">IF($K369=0,"",OPERATIONS!$B69)</f>
        <v/>
      </c>
      <c r="E369" s="26" t="str">
        <f aca="false">IF($K369=0,"","ENTREE")</f>
        <v/>
      </c>
      <c r="F369" s="26" t="str">
        <f aca="false">IF($K369=0,"",OPERATIONS!$C69)</f>
        <v/>
      </c>
      <c r="G369" s="26" t="str">
        <f aca="false">IF($K369=0,"",OPERATIONS!$D69)</f>
        <v/>
      </c>
      <c r="H369" s="26" t="str">
        <f aca="false">IF($K369=0,"",OPERATIONS!$F69)</f>
        <v/>
      </c>
      <c r="I369" s="26" t="str">
        <f aca="false">IF($H369="","",IFERROR(INDEX(EMPL_CLASSE,MATCH($H369,EMPL_KEY,0)),""))</f>
        <v/>
      </c>
      <c r="J369" s="26" t="str">
        <f aca="false">IF($K369=0,"",OPERATIONS!$J69)</f>
        <v/>
      </c>
      <c r="K369" s="67" t="n">
        <f aca="false">IF(OR(OPERATIONS!$N69=0,OPERATIONS!$C69="CONSOMMATION"),0,OPERATIONS!$G69)</f>
        <v>0</v>
      </c>
      <c r="L369" s="67" t="n">
        <f aca="false">IF($K369=0,0,OPERATIONS!$Q69*$K369)</f>
        <v>0</v>
      </c>
      <c r="M369" s="26" t="str">
        <f aca="false">IF($K369=0,"",OPERATIONS!$P69)</f>
        <v/>
      </c>
      <c r="N369" s="26" t="str">
        <f aca="false">IF($G369="","",IF($G369=R_LOT,COUNTIF($G$5:$G369,R_LOT),""))</f>
        <v/>
      </c>
    </row>
    <row r="370" customFormat="false" ht="15" hidden="false" customHeight="false" outlineLevel="0" collapsed="false">
      <c r="A370" s="28" t="str">
        <f aca="false">IF($K370=0,"",ROW()-4)</f>
        <v/>
      </c>
      <c r="B370" s="26" t="str">
        <f aca="false">IF($K370=0,"","OPERATIONS")</f>
        <v/>
      </c>
      <c r="C370" s="26" t="str">
        <f aca="false">IF($K370=0,"",OPERATIONS!$A70)</f>
        <v/>
      </c>
      <c r="D370" s="31" t="str">
        <f aca="false">IF($K370=0,"",OPERATIONS!$B70)</f>
        <v/>
      </c>
      <c r="E370" s="26" t="str">
        <f aca="false">IF($K370=0,"","ENTREE")</f>
        <v/>
      </c>
      <c r="F370" s="26" t="str">
        <f aca="false">IF($K370=0,"",OPERATIONS!$C70)</f>
        <v/>
      </c>
      <c r="G370" s="26" t="str">
        <f aca="false">IF($K370=0,"",OPERATIONS!$D70)</f>
        <v/>
      </c>
      <c r="H370" s="26" t="str">
        <f aca="false">IF($K370=0,"",OPERATIONS!$F70)</f>
        <v/>
      </c>
      <c r="I370" s="26" t="str">
        <f aca="false">IF($H370="","",IFERROR(INDEX(EMPL_CLASSE,MATCH($H370,EMPL_KEY,0)),""))</f>
        <v/>
      </c>
      <c r="J370" s="26" t="str">
        <f aca="false">IF($K370=0,"",OPERATIONS!$J70)</f>
        <v/>
      </c>
      <c r="K370" s="67" t="n">
        <f aca="false">IF(OR(OPERATIONS!$N70=0,OPERATIONS!$C70="CONSOMMATION"),0,OPERATIONS!$G70)</f>
        <v>0</v>
      </c>
      <c r="L370" s="67" t="n">
        <f aca="false">IF($K370=0,0,OPERATIONS!$Q70*$K370)</f>
        <v>0</v>
      </c>
      <c r="M370" s="26" t="str">
        <f aca="false">IF($K370=0,"",OPERATIONS!$P70)</f>
        <v/>
      </c>
      <c r="N370" s="26" t="str">
        <f aca="false">IF($G370="","",IF($G370=R_LOT,COUNTIF($G$5:$G370,R_LOT),""))</f>
        <v/>
      </c>
    </row>
    <row r="371" customFormat="false" ht="15" hidden="false" customHeight="false" outlineLevel="0" collapsed="false">
      <c r="A371" s="28" t="str">
        <f aca="false">IF($K371=0,"",ROW()-4)</f>
        <v/>
      </c>
      <c r="B371" s="26" t="str">
        <f aca="false">IF($K371=0,"","OPERATIONS")</f>
        <v/>
      </c>
      <c r="C371" s="26" t="str">
        <f aca="false">IF($K371=0,"",OPERATIONS!$A71)</f>
        <v/>
      </c>
      <c r="D371" s="31" t="str">
        <f aca="false">IF($K371=0,"",OPERATIONS!$B71)</f>
        <v/>
      </c>
      <c r="E371" s="26" t="str">
        <f aca="false">IF($K371=0,"","ENTREE")</f>
        <v/>
      </c>
      <c r="F371" s="26" t="str">
        <f aca="false">IF($K371=0,"",OPERATIONS!$C71)</f>
        <v/>
      </c>
      <c r="G371" s="26" t="str">
        <f aca="false">IF($K371=0,"",OPERATIONS!$D71)</f>
        <v/>
      </c>
      <c r="H371" s="26" t="str">
        <f aca="false">IF($K371=0,"",OPERATIONS!$F71)</f>
        <v/>
      </c>
      <c r="I371" s="26" t="str">
        <f aca="false">IF($H371="","",IFERROR(INDEX(EMPL_CLASSE,MATCH($H371,EMPL_KEY,0)),""))</f>
        <v/>
      </c>
      <c r="J371" s="26" t="str">
        <f aca="false">IF($K371=0,"",OPERATIONS!$J71)</f>
        <v/>
      </c>
      <c r="K371" s="67" t="n">
        <f aca="false">IF(OR(OPERATIONS!$N71=0,OPERATIONS!$C71="CONSOMMATION"),0,OPERATIONS!$G71)</f>
        <v>0</v>
      </c>
      <c r="L371" s="67" t="n">
        <f aca="false">IF($K371=0,0,OPERATIONS!$Q71*$K371)</f>
        <v>0</v>
      </c>
      <c r="M371" s="26" t="str">
        <f aca="false">IF($K371=0,"",OPERATIONS!$P71)</f>
        <v/>
      </c>
      <c r="N371" s="26" t="str">
        <f aca="false">IF($G371="","",IF($G371=R_LOT,COUNTIF($G$5:$G371,R_LOT),""))</f>
        <v/>
      </c>
    </row>
    <row r="372" customFormat="false" ht="15" hidden="false" customHeight="false" outlineLevel="0" collapsed="false">
      <c r="A372" s="28" t="str">
        <f aca="false">IF($K372=0,"",ROW()-4)</f>
        <v/>
      </c>
      <c r="B372" s="26" t="str">
        <f aca="false">IF($K372=0,"","OPERATIONS")</f>
        <v/>
      </c>
      <c r="C372" s="26" t="str">
        <f aca="false">IF($K372=0,"",OPERATIONS!$A72)</f>
        <v/>
      </c>
      <c r="D372" s="31" t="str">
        <f aca="false">IF($K372=0,"",OPERATIONS!$B72)</f>
        <v/>
      </c>
      <c r="E372" s="26" t="str">
        <f aca="false">IF($K372=0,"","ENTREE")</f>
        <v/>
      </c>
      <c r="F372" s="26" t="str">
        <f aca="false">IF($K372=0,"",OPERATIONS!$C72)</f>
        <v/>
      </c>
      <c r="G372" s="26" t="str">
        <f aca="false">IF($K372=0,"",OPERATIONS!$D72)</f>
        <v/>
      </c>
      <c r="H372" s="26" t="str">
        <f aca="false">IF($K372=0,"",OPERATIONS!$F72)</f>
        <v/>
      </c>
      <c r="I372" s="26" t="str">
        <f aca="false">IF($H372="","",IFERROR(INDEX(EMPL_CLASSE,MATCH($H372,EMPL_KEY,0)),""))</f>
        <v/>
      </c>
      <c r="J372" s="26" t="str">
        <f aca="false">IF($K372=0,"",OPERATIONS!$J72)</f>
        <v/>
      </c>
      <c r="K372" s="67" t="n">
        <f aca="false">IF(OR(OPERATIONS!$N72=0,OPERATIONS!$C72="CONSOMMATION"),0,OPERATIONS!$G72)</f>
        <v>0</v>
      </c>
      <c r="L372" s="67" t="n">
        <f aca="false">IF($K372=0,0,OPERATIONS!$Q72*$K372)</f>
        <v>0</v>
      </c>
      <c r="M372" s="26" t="str">
        <f aca="false">IF($K372=0,"",OPERATIONS!$P72)</f>
        <v/>
      </c>
      <c r="N372" s="26" t="str">
        <f aca="false">IF($G372="","",IF($G372=R_LOT,COUNTIF($G$5:$G372,R_LOT),""))</f>
        <v/>
      </c>
    </row>
    <row r="373" customFormat="false" ht="15" hidden="false" customHeight="false" outlineLevel="0" collapsed="false">
      <c r="A373" s="28" t="str">
        <f aca="false">IF($K373=0,"",ROW()-4)</f>
        <v/>
      </c>
      <c r="B373" s="26" t="str">
        <f aca="false">IF($K373=0,"","OPERATIONS")</f>
        <v/>
      </c>
      <c r="C373" s="26" t="str">
        <f aca="false">IF($K373=0,"",OPERATIONS!$A73)</f>
        <v/>
      </c>
      <c r="D373" s="31" t="str">
        <f aca="false">IF($K373=0,"",OPERATIONS!$B73)</f>
        <v/>
      </c>
      <c r="E373" s="26" t="str">
        <f aca="false">IF($K373=0,"","ENTREE")</f>
        <v/>
      </c>
      <c r="F373" s="26" t="str">
        <f aca="false">IF($K373=0,"",OPERATIONS!$C73)</f>
        <v/>
      </c>
      <c r="G373" s="26" t="str">
        <f aca="false">IF($K373=0,"",OPERATIONS!$D73)</f>
        <v/>
      </c>
      <c r="H373" s="26" t="str">
        <f aca="false">IF($K373=0,"",OPERATIONS!$F73)</f>
        <v/>
      </c>
      <c r="I373" s="26" t="str">
        <f aca="false">IF($H373="","",IFERROR(INDEX(EMPL_CLASSE,MATCH($H373,EMPL_KEY,0)),""))</f>
        <v/>
      </c>
      <c r="J373" s="26" t="str">
        <f aca="false">IF($K373=0,"",OPERATIONS!$J73)</f>
        <v/>
      </c>
      <c r="K373" s="67" t="n">
        <f aca="false">IF(OR(OPERATIONS!$N73=0,OPERATIONS!$C73="CONSOMMATION"),0,OPERATIONS!$G73)</f>
        <v>0</v>
      </c>
      <c r="L373" s="67" t="n">
        <f aca="false">IF($K373=0,0,OPERATIONS!$Q73*$K373)</f>
        <v>0</v>
      </c>
      <c r="M373" s="26" t="str">
        <f aca="false">IF($K373=0,"",OPERATIONS!$P73)</f>
        <v/>
      </c>
      <c r="N373" s="26" t="str">
        <f aca="false">IF($G373="","",IF($G373=R_LOT,COUNTIF($G$5:$G373,R_LOT),""))</f>
        <v/>
      </c>
    </row>
    <row r="374" customFormat="false" ht="15" hidden="false" customHeight="false" outlineLevel="0" collapsed="false">
      <c r="A374" s="28" t="str">
        <f aca="false">IF($K374=0,"",ROW()-4)</f>
        <v/>
      </c>
      <c r="B374" s="26" t="str">
        <f aca="false">IF($K374=0,"","OPERATIONS")</f>
        <v/>
      </c>
      <c r="C374" s="26" t="str">
        <f aca="false">IF($K374=0,"",OPERATIONS!$A74)</f>
        <v/>
      </c>
      <c r="D374" s="31" t="str">
        <f aca="false">IF($K374=0,"",OPERATIONS!$B74)</f>
        <v/>
      </c>
      <c r="E374" s="26" t="str">
        <f aca="false">IF($K374=0,"","ENTREE")</f>
        <v/>
      </c>
      <c r="F374" s="26" t="str">
        <f aca="false">IF($K374=0,"",OPERATIONS!$C74)</f>
        <v/>
      </c>
      <c r="G374" s="26" t="str">
        <f aca="false">IF($K374=0,"",OPERATIONS!$D74)</f>
        <v/>
      </c>
      <c r="H374" s="26" t="str">
        <f aca="false">IF($K374=0,"",OPERATIONS!$F74)</f>
        <v/>
      </c>
      <c r="I374" s="26" t="str">
        <f aca="false">IF($H374="","",IFERROR(INDEX(EMPL_CLASSE,MATCH($H374,EMPL_KEY,0)),""))</f>
        <v/>
      </c>
      <c r="J374" s="26" t="str">
        <f aca="false">IF($K374=0,"",OPERATIONS!$J74)</f>
        <v/>
      </c>
      <c r="K374" s="67" t="n">
        <f aca="false">IF(OR(OPERATIONS!$N74=0,OPERATIONS!$C74="CONSOMMATION"),0,OPERATIONS!$G74)</f>
        <v>0</v>
      </c>
      <c r="L374" s="67" t="n">
        <f aca="false">IF($K374=0,0,OPERATIONS!$Q74*$K374)</f>
        <v>0</v>
      </c>
      <c r="M374" s="26" t="str">
        <f aca="false">IF($K374=0,"",OPERATIONS!$P74)</f>
        <v/>
      </c>
      <c r="N374" s="26" t="str">
        <f aca="false">IF($G374="","",IF($G374=R_LOT,COUNTIF($G$5:$G374,R_LOT),""))</f>
        <v/>
      </c>
    </row>
    <row r="375" customFormat="false" ht="15" hidden="false" customHeight="false" outlineLevel="0" collapsed="false">
      <c r="A375" s="28" t="str">
        <f aca="false">IF($K375=0,"",ROW()-4)</f>
        <v/>
      </c>
      <c r="B375" s="26" t="str">
        <f aca="false">IF($K375=0,"","OPERATIONS")</f>
        <v/>
      </c>
      <c r="C375" s="26" t="str">
        <f aca="false">IF($K375=0,"",OPERATIONS!$A75)</f>
        <v/>
      </c>
      <c r="D375" s="31" t="str">
        <f aca="false">IF($K375=0,"",OPERATIONS!$B75)</f>
        <v/>
      </c>
      <c r="E375" s="26" t="str">
        <f aca="false">IF($K375=0,"","ENTREE")</f>
        <v/>
      </c>
      <c r="F375" s="26" t="str">
        <f aca="false">IF($K375=0,"",OPERATIONS!$C75)</f>
        <v/>
      </c>
      <c r="G375" s="26" t="str">
        <f aca="false">IF($K375=0,"",OPERATIONS!$D75)</f>
        <v/>
      </c>
      <c r="H375" s="26" t="str">
        <f aca="false">IF($K375=0,"",OPERATIONS!$F75)</f>
        <v/>
      </c>
      <c r="I375" s="26" t="str">
        <f aca="false">IF($H375="","",IFERROR(INDEX(EMPL_CLASSE,MATCH($H375,EMPL_KEY,0)),""))</f>
        <v/>
      </c>
      <c r="J375" s="26" t="str">
        <f aca="false">IF($K375=0,"",OPERATIONS!$J75)</f>
        <v/>
      </c>
      <c r="K375" s="67" t="n">
        <f aca="false">IF(OR(OPERATIONS!$N75=0,OPERATIONS!$C75="CONSOMMATION"),0,OPERATIONS!$G75)</f>
        <v>0</v>
      </c>
      <c r="L375" s="67" t="n">
        <f aca="false">IF($K375=0,0,OPERATIONS!$Q75*$K375)</f>
        <v>0</v>
      </c>
      <c r="M375" s="26" t="str">
        <f aca="false">IF($K375=0,"",OPERATIONS!$P75)</f>
        <v/>
      </c>
      <c r="N375" s="26" t="str">
        <f aca="false">IF($G375="","",IF($G375=R_LOT,COUNTIF($G$5:$G375,R_LOT),""))</f>
        <v/>
      </c>
    </row>
    <row r="376" customFormat="false" ht="15" hidden="false" customHeight="false" outlineLevel="0" collapsed="false">
      <c r="A376" s="28" t="str">
        <f aca="false">IF($K376=0,"",ROW()-4)</f>
        <v/>
      </c>
      <c r="B376" s="26" t="str">
        <f aca="false">IF($K376=0,"","OPERATIONS")</f>
        <v/>
      </c>
      <c r="C376" s="26" t="str">
        <f aca="false">IF($K376=0,"",OPERATIONS!$A76)</f>
        <v/>
      </c>
      <c r="D376" s="31" t="str">
        <f aca="false">IF($K376=0,"",OPERATIONS!$B76)</f>
        <v/>
      </c>
      <c r="E376" s="26" t="str">
        <f aca="false">IF($K376=0,"","ENTREE")</f>
        <v/>
      </c>
      <c r="F376" s="26" t="str">
        <f aca="false">IF($K376=0,"",OPERATIONS!$C76)</f>
        <v/>
      </c>
      <c r="G376" s="26" t="str">
        <f aca="false">IF($K376=0,"",OPERATIONS!$D76)</f>
        <v/>
      </c>
      <c r="H376" s="26" t="str">
        <f aca="false">IF($K376=0,"",OPERATIONS!$F76)</f>
        <v/>
      </c>
      <c r="I376" s="26" t="str">
        <f aca="false">IF($H376="","",IFERROR(INDEX(EMPL_CLASSE,MATCH($H376,EMPL_KEY,0)),""))</f>
        <v/>
      </c>
      <c r="J376" s="26" t="str">
        <f aca="false">IF($K376=0,"",OPERATIONS!$J76)</f>
        <v/>
      </c>
      <c r="K376" s="67" t="n">
        <f aca="false">IF(OR(OPERATIONS!$N76=0,OPERATIONS!$C76="CONSOMMATION"),0,OPERATIONS!$G76)</f>
        <v>0</v>
      </c>
      <c r="L376" s="67" t="n">
        <f aca="false">IF($K376=0,0,OPERATIONS!$Q76*$K376)</f>
        <v>0</v>
      </c>
      <c r="M376" s="26" t="str">
        <f aca="false">IF($K376=0,"",OPERATIONS!$P76)</f>
        <v/>
      </c>
      <c r="N376" s="26" t="str">
        <f aca="false">IF($G376="","",IF($G376=R_LOT,COUNTIF($G$5:$G376,R_LOT),""))</f>
        <v/>
      </c>
    </row>
    <row r="377" customFormat="false" ht="15" hidden="false" customHeight="false" outlineLevel="0" collapsed="false">
      <c r="A377" s="28" t="str">
        <f aca="false">IF($K377=0,"",ROW()-4)</f>
        <v/>
      </c>
      <c r="B377" s="26" t="str">
        <f aca="false">IF($K377=0,"","OPERATIONS")</f>
        <v/>
      </c>
      <c r="C377" s="26" t="str">
        <f aca="false">IF($K377=0,"",OPERATIONS!$A77)</f>
        <v/>
      </c>
      <c r="D377" s="31" t="str">
        <f aca="false">IF($K377=0,"",OPERATIONS!$B77)</f>
        <v/>
      </c>
      <c r="E377" s="26" t="str">
        <f aca="false">IF($K377=0,"","ENTREE")</f>
        <v/>
      </c>
      <c r="F377" s="26" t="str">
        <f aca="false">IF($K377=0,"",OPERATIONS!$C77)</f>
        <v/>
      </c>
      <c r="G377" s="26" t="str">
        <f aca="false">IF($K377=0,"",OPERATIONS!$D77)</f>
        <v/>
      </c>
      <c r="H377" s="26" t="str">
        <f aca="false">IF($K377=0,"",OPERATIONS!$F77)</f>
        <v/>
      </c>
      <c r="I377" s="26" t="str">
        <f aca="false">IF($H377="","",IFERROR(INDEX(EMPL_CLASSE,MATCH($H377,EMPL_KEY,0)),""))</f>
        <v/>
      </c>
      <c r="J377" s="26" t="str">
        <f aca="false">IF($K377=0,"",OPERATIONS!$J77)</f>
        <v/>
      </c>
      <c r="K377" s="67" t="n">
        <f aca="false">IF(OR(OPERATIONS!$N77=0,OPERATIONS!$C77="CONSOMMATION"),0,OPERATIONS!$G77)</f>
        <v>0</v>
      </c>
      <c r="L377" s="67" t="n">
        <f aca="false">IF($K377=0,0,OPERATIONS!$Q77*$K377)</f>
        <v>0</v>
      </c>
      <c r="M377" s="26" t="str">
        <f aca="false">IF($K377=0,"",OPERATIONS!$P77)</f>
        <v/>
      </c>
      <c r="N377" s="26" t="str">
        <f aca="false">IF($G377="","",IF($G377=R_LOT,COUNTIF($G$5:$G377,R_LOT),""))</f>
        <v/>
      </c>
    </row>
    <row r="378" customFormat="false" ht="15" hidden="false" customHeight="false" outlineLevel="0" collapsed="false">
      <c r="A378" s="28" t="str">
        <f aca="false">IF($K378=0,"",ROW()-4)</f>
        <v/>
      </c>
      <c r="B378" s="26" t="str">
        <f aca="false">IF($K378=0,"","OPERATIONS")</f>
        <v/>
      </c>
      <c r="C378" s="26" t="str">
        <f aca="false">IF($K378=0,"",OPERATIONS!$A78)</f>
        <v/>
      </c>
      <c r="D378" s="31" t="str">
        <f aca="false">IF($K378=0,"",OPERATIONS!$B78)</f>
        <v/>
      </c>
      <c r="E378" s="26" t="str">
        <f aca="false">IF($K378=0,"","ENTREE")</f>
        <v/>
      </c>
      <c r="F378" s="26" t="str">
        <f aca="false">IF($K378=0,"",OPERATIONS!$C78)</f>
        <v/>
      </c>
      <c r="G378" s="26" t="str">
        <f aca="false">IF($K378=0,"",OPERATIONS!$D78)</f>
        <v/>
      </c>
      <c r="H378" s="26" t="str">
        <f aca="false">IF($K378=0,"",OPERATIONS!$F78)</f>
        <v/>
      </c>
      <c r="I378" s="26" t="str">
        <f aca="false">IF($H378="","",IFERROR(INDEX(EMPL_CLASSE,MATCH($H378,EMPL_KEY,0)),""))</f>
        <v/>
      </c>
      <c r="J378" s="26" t="str">
        <f aca="false">IF($K378=0,"",OPERATIONS!$J78)</f>
        <v/>
      </c>
      <c r="K378" s="67" t="n">
        <f aca="false">IF(OR(OPERATIONS!$N78=0,OPERATIONS!$C78="CONSOMMATION"),0,OPERATIONS!$G78)</f>
        <v>0</v>
      </c>
      <c r="L378" s="67" t="n">
        <f aca="false">IF($K378=0,0,OPERATIONS!$Q78*$K378)</f>
        <v>0</v>
      </c>
      <c r="M378" s="26" t="str">
        <f aca="false">IF($K378=0,"",OPERATIONS!$P78)</f>
        <v/>
      </c>
      <c r="N378" s="26" t="str">
        <f aca="false">IF($G378="","",IF($G378=R_LOT,COUNTIF($G$5:$G378,R_LOT),""))</f>
        <v/>
      </c>
    </row>
    <row r="379" customFormat="false" ht="15" hidden="false" customHeight="false" outlineLevel="0" collapsed="false">
      <c r="A379" s="28" t="str">
        <f aca="false">IF($K379=0,"",ROW()-4)</f>
        <v/>
      </c>
      <c r="B379" s="26" t="str">
        <f aca="false">IF($K379=0,"","OPERATIONS")</f>
        <v/>
      </c>
      <c r="C379" s="26" t="str">
        <f aca="false">IF($K379=0,"",OPERATIONS!$A79)</f>
        <v/>
      </c>
      <c r="D379" s="31" t="str">
        <f aca="false">IF($K379=0,"",OPERATIONS!$B79)</f>
        <v/>
      </c>
      <c r="E379" s="26" t="str">
        <f aca="false">IF($K379=0,"","ENTREE")</f>
        <v/>
      </c>
      <c r="F379" s="26" t="str">
        <f aca="false">IF($K379=0,"",OPERATIONS!$C79)</f>
        <v/>
      </c>
      <c r="G379" s="26" t="str">
        <f aca="false">IF($K379=0,"",OPERATIONS!$D79)</f>
        <v/>
      </c>
      <c r="H379" s="26" t="str">
        <f aca="false">IF($K379=0,"",OPERATIONS!$F79)</f>
        <v/>
      </c>
      <c r="I379" s="26" t="str">
        <f aca="false">IF($H379="","",IFERROR(INDEX(EMPL_CLASSE,MATCH($H379,EMPL_KEY,0)),""))</f>
        <v/>
      </c>
      <c r="J379" s="26" t="str">
        <f aca="false">IF($K379=0,"",OPERATIONS!$J79)</f>
        <v/>
      </c>
      <c r="K379" s="67" t="n">
        <f aca="false">IF(OR(OPERATIONS!$N79=0,OPERATIONS!$C79="CONSOMMATION"),0,OPERATIONS!$G79)</f>
        <v>0</v>
      </c>
      <c r="L379" s="67" t="n">
        <f aca="false">IF($K379=0,0,OPERATIONS!$Q79*$K379)</f>
        <v>0</v>
      </c>
      <c r="M379" s="26" t="str">
        <f aca="false">IF($K379=0,"",OPERATIONS!$P79)</f>
        <v/>
      </c>
      <c r="N379" s="26" t="str">
        <f aca="false">IF($G379="","",IF($G379=R_LOT,COUNTIF($G$5:$G379,R_LOT),""))</f>
        <v/>
      </c>
    </row>
    <row r="380" customFormat="false" ht="15" hidden="false" customHeight="false" outlineLevel="0" collapsed="false">
      <c r="A380" s="28" t="str">
        <f aca="false">IF($K380=0,"",ROW()-4)</f>
        <v/>
      </c>
      <c r="B380" s="26" t="str">
        <f aca="false">IF($K380=0,"","OPERATIONS")</f>
        <v/>
      </c>
      <c r="C380" s="26" t="str">
        <f aca="false">IF($K380=0,"",OPERATIONS!$A80)</f>
        <v/>
      </c>
      <c r="D380" s="31" t="str">
        <f aca="false">IF($K380=0,"",OPERATIONS!$B80)</f>
        <v/>
      </c>
      <c r="E380" s="26" t="str">
        <f aca="false">IF($K380=0,"","ENTREE")</f>
        <v/>
      </c>
      <c r="F380" s="26" t="str">
        <f aca="false">IF($K380=0,"",OPERATIONS!$C80)</f>
        <v/>
      </c>
      <c r="G380" s="26" t="str">
        <f aca="false">IF($K380=0,"",OPERATIONS!$D80)</f>
        <v/>
      </c>
      <c r="H380" s="26" t="str">
        <f aca="false">IF($K380=0,"",OPERATIONS!$F80)</f>
        <v/>
      </c>
      <c r="I380" s="26" t="str">
        <f aca="false">IF($H380="","",IFERROR(INDEX(EMPL_CLASSE,MATCH($H380,EMPL_KEY,0)),""))</f>
        <v/>
      </c>
      <c r="J380" s="26" t="str">
        <f aca="false">IF($K380=0,"",OPERATIONS!$J80)</f>
        <v/>
      </c>
      <c r="K380" s="67" t="n">
        <f aca="false">IF(OR(OPERATIONS!$N80=0,OPERATIONS!$C80="CONSOMMATION"),0,OPERATIONS!$G80)</f>
        <v>0</v>
      </c>
      <c r="L380" s="67" t="n">
        <f aca="false">IF($K380=0,0,OPERATIONS!$Q80*$K380)</f>
        <v>0</v>
      </c>
      <c r="M380" s="26" t="str">
        <f aca="false">IF($K380=0,"",OPERATIONS!$P80)</f>
        <v/>
      </c>
      <c r="N380" s="26" t="str">
        <f aca="false">IF($G380="","",IF($G380=R_LOT,COUNTIF($G$5:$G380,R_LOT),""))</f>
        <v/>
      </c>
    </row>
    <row r="381" customFormat="false" ht="15" hidden="false" customHeight="false" outlineLevel="0" collapsed="false">
      <c r="A381" s="28" t="str">
        <f aca="false">IF($K381=0,"",ROW()-4)</f>
        <v/>
      </c>
      <c r="B381" s="26" t="str">
        <f aca="false">IF($K381=0,"","OPERATIONS")</f>
        <v/>
      </c>
      <c r="C381" s="26" t="str">
        <f aca="false">IF($K381=0,"",OPERATIONS!$A81)</f>
        <v/>
      </c>
      <c r="D381" s="31" t="str">
        <f aca="false">IF($K381=0,"",OPERATIONS!$B81)</f>
        <v/>
      </c>
      <c r="E381" s="26" t="str">
        <f aca="false">IF($K381=0,"","ENTREE")</f>
        <v/>
      </c>
      <c r="F381" s="26" t="str">
        <f aca="false">IF($K381=0,"",OPERATIONS!$C81)</f>
        <v/>
      </c>
      <c r="G381" s="26" t="str">
        <f aca="false">IF($K381=0,"",OPERATIONS!$D81)</f>
        <v/>
      </c>
      <c r="H381" s="26" t="str">
        <f aca="false">IF($K381=0,"",OPERATIONS!$F81)</f>
        <v/>
      </c>
      <c r="I381" s="26" t="str">
        <f aca="false">IF($H381="","",IFERROR(INDEX(EMPL_CLASSE,MATCH($H381,EMPL_KEY,0)),""))</f>
        <v/>
      </c>
      <c r="J381" s="26" t="str">
        <f aca="false">IF($K381=0,"",OPERATIONS!$J81)</f>
        <v/>
      </c>
      <c r="K381" s="67" t="n">
        <f aca="false">IF(OR(OPERATIONS!$N81=0,OPERATIONS!$C81="CONSOMMATION"),0,OPERATIONS!$G81)</f>
        <v>0</v>
      </c>
      <c r="L381" s="67" t="n">
        <f aca="false">IF($K381=0,0,OPERATIONS!$Q81*$K381)</f>
        <v>0</v>
      </c>
      <c r="M381" s="26" t="str">
        <f aca="false">IF($K381=0,"",OPERATIONS!$P81)</f>
        <v/>
      </c>
      <c r="N381" s="26" t="str">
        <f aca="false">IF($G381="","",IF($G381=R_LOT,COUNTIF($G$5:$G381,R_LOT),""))</f>
        <v/>
      </c>
    </row>
    <row r="382" customFormat="false" ht="15" hidden="false" customHeight="false" outlineLevel="0" collapsed="false">
      <c r="A382" s="28" t="str">
        <f aca="false">IF($K382=0,"",ROW()-4)</f>
        <v/>
      </c>
      <c r="B382" s="26" t="str">
        <f aca="false">IF($K382=0,"","OPERATIONS")</f>
        <v/>
      </c>
      <c r="C382" s="26" t="str">
        <f aca="false">IF($K382=0,"",OPERATIONS!$A82)</f>
        <v/>
      </c>
      <c r="D382" s="31" t="str">
        <f aca="false">IF($K382=0,"",OPERATIONS!$B82)</f>
        <v/>
      </c>
      <c r="E382" s="26" t="str">
        <f aca="false">IF($K382=0,"","ENTREE")</f>
        <v/>
      </c>
      <c r="F382" s="26" t="str">
        <f aca="false">IF($K382=0,"",OPERATIONS!$C82)</f>
        <v/>
      </c>
      <c r="G382" s="26" t="str">
        <f aca="false">IF($K382=0,"",OPERATIONS!$D82)</f>
        <v/>
      </c>
      <c r="H382" s="26" t="str">
        <f aca="false">IF($K382=0,"",OPERATIONS!$F82)</f>
        <v/>
      </c>
      <c r="I382" s="26" t="str">
        <f aca="false">IF($H382="","",IFERROR(INDEX(EMPL_CLASSE,MATCH($H382,EMPL_KEY,0)),""))</f>
        <v/>
      </c>
      <c r="J382" s="26" t="str">
        <f aca="false">IF($K382=0,"",OPERATIONS!$J82)</f>
        <v/>
      </c>
      <c r="K382" s="67" t="n">
        <f aca="false">IF(OR(OPERATIONS!$N82=0,OPERATIONS!$C82="CONSOMMATION"),0,OPERATIONS!$G82)</f>
        <v>0</v>
      </c>
      <c r="L382" s="67" t="n">
        <f aca="false">IF($K382=0,0,OPERATIONS!$Q82*$K382)</f>
        <v>0</v>
      </c>
      <c r="M382" s="26" t="str">
        <f aca="false">IF($K382=0,"",OPERATIONS!$P82)</f>
        <v/>
      </c>
      <c r="N382" s="26" t="str">
        <f aca="false">IF($G382="","",IF($G382=R_LOT,COUNTIF($G$5:$G382,R_LOT),""))</f>
        <v/>
      </c>
    </row>
    <row r="383" customFormat="false" ht="15" hidden="false" customHeight="false" outlineLevel="0" collapsed="false">
      <c r="A383" s="28" t="str">
        <f aca="false">IF($K383=0,"",ROW()-4)</f>
        <v/>
      </c>
      <c r="B383" s="26" t="str">
        <f aca="false">IF($K383=0,"","OPERATIONS")</f>
        <v/>
      </c>
      <c r="C383" s="26" t="str">
        <f aca="false">IF($K383=0,"",OPERATIONS!$A83)</f>
        <v/>
      </c>
      <c r="D383" s="31" t="str">
        <f aca="false">IF($K383=0,"",OPERATIONS!$B83)</f>
        <v/>
      </c>
      <c r="E383" s="26" t="str">
        <f aca="false">IF($K383=0,"","ENTREE")</f>
        <v/>
      </c>
      <c r="F383" s="26" t="str">
        <f aca="false">IF($K383=0,"",OPERATIONS!$C83)</f>
        <v/>
      </c>
      <c r="G383" s="26" t="str">
        <f aca="false">IF($K383=0,"",OPERATIONS!$D83)</f>
        <v/>
      </c>
      <c r="H383" s="26" t="str">
        <f aca="false">IF($K383=0,"",OPERATIONS!$F83)</f>
        <v/>
      </c>
      <c r="I383" s="26" t="str">
        <f aca="false">IF($H383="","",IFERROR(INDEX(EMPL_CLASSE,MATCH($H383,EMPL_KEY,0)),""))</f>
        <v/>
      </c>
      <c r="J383" s="26" t="str">
        <f aca="false">IF($K383=0,"",OPERATIONS!$J83)</f>
        <v/>
      </c>
      <c r="K383" s="67" t="n">
        <f aca="false">IF(OR(OPERATIONS!$N83=0,OPERATIONS!$C83="CONSOMMATION"),0,OPERATIONS!$G83)</f>
        <v>0</v>
      </c>
      <c r="L383" s="67" t="n">
        <f aca="false">IF($K383=0,0,OPERATIONS!$Q83*$K383)</f>
        <v>0</v>
      </c>
      <c r="M383" s="26" t="str">
        <f aca="false">IF($K383=0,"",OPERATIONS!$P83)</f>
        <v/>
      </c>
      <c r="N383" s="26" t="str">
        <f aca="false">IF($G383="","",IF($G383=R_LOT,COUNTIF($G$5:$G383,R_LOT),""))</f>
        <v/>
      </c>
    </row>
    <row r="384" customFormat="false" ht="15" hidden="false" customHeight="false" outlineLevel="0" collapsed="false">
      <c r="A384" s="28" t="str">
        <f aca="false">IF($K384=0,"",ROW()-4)</f>
        <v/>
      </c>
      <c r="B384" s="26" t="str">
        <f aca="false">IF($K384=0,"","OPERATIONS")</f>
        <v/>
      </c>
      <c r="C384" s="26" t="str">
        <f aca="false">IF($K384=0,"",OPERATIONS!$A84)</f>
        <v/>
      </c>
      <c r="D384" s="31" t="str">
        <f aca="false">IF($K384=0,"",OPERATIONS!$B84)</f>
        <v/>
      </c>
      <c r="E384" s="26" t="str">
        <f aca="false">IF($K384=0,"","ENTREE")</f>
        <v/>
      </c>
      <c r="F384" s="26" t="str">
        <f aca="false">IF($K384=0,"",OPERATIONS!$C84)</f>
        <v/>
      </c>
      <c r="G384" s="26" t="str">
        <f aca="false">IF($K384=0,"",OPERATIONS!$D84)</f>
        <v/>
      </c>
      <c r="H384" s="26" t="str">
        <f aca="false">IF($K384=0,"",OPERATIONS!$F84)</f>
        <v/>
      </c>
      <c r="I384" s="26" t="str">
        <f aca="false">IF($H384="","",IFERROR(INDEX(EMPL_CLASSE,MATCH($H384,EMPL_KEY,0)),""))</f>
        <v/>
      </c>
      <c r="J384" s="26" t="str">
        <f aca="false">IF($K384=0,"",OPERATIONS!$J84)</f>
        <v/>
      </c>
      <c r="K384" s="67" t="n">
        <f aca="false">IF(OR(OPERATIONS!$N84=0,OPERATIONS!$C84="CONSOMMATION"),0,OPERATIONS!$G84)</f>
        <v>0</v>
      </c>
      <c r="L384" s="67" t="n">
        <f aca="false">IF($K384=0,0,OPERATIONS!$Q84*$K384)</f>
        <v>0</v>
      </c>
      <c r="M384" s="26" t="str">
        <f aca="false">IF($K384=0,"",OPERATIONS!$P84)</f>
        <v/>
      </c>
      <c r="N384" s="26" t="str">
        <f aca="false">IF($G384="","",IF($G384=R_LOT,COUNTIF($G$5:$G384,R_LOT),""))</f>
        <v/>
      </c>
    </row>
    <row r="385" customFormat="false" ht="15" hidden="false" customHeight="false" outlineLevel="0" collapsed="false">
      <c r="A385" s="28" t="str">
        <f aca="false">IF($K385=0,"",ROW()-4)</f>
        <v/>
      </c>
      <c r="B385" s="26" t="str">
        <f aca="false">IF($K385=0,"","OPERATIONS")</f>
        <v/>
      </c>
      <c r="C385" s="26" t="str">
        <f aca="false">IF($K385=0,"",OPERATIONS!$A85)</f>
        <v/>
      </c>
      <c r="D385" s="31" t="str">
        <f aca="false">IF($K385=0,"",OPERATIONS!$B85)</f>
        <v/>
      </c>
      <c r="E385" s="26" t="str">
        <f aca="false">IF($K385=0,"","ENTREE")</f>
        <v/>
      </c>
      <c r="F385" s="26" t="str">
        <f aca="false">IF($K385=0,"",OPERATIONS!$C85)</f>
        <v/>
      </c>
      <c r="G385" s="26" t="str">
        <f aca="false">IF($K385=0,"",OPERATIONS!$D85)</f>
        <v/>
      </c>
      <c r="H385" s="26" t="str">
        <f aca="false">IF($K385=0,"",OPERATIONS!$F85)</f>
        <v/>
      </c>
      <c r="I385" s="26" t="str">
        <f aca="false">IF($H385="","",IFERROR(INDEX(EMPL_CLASSE,MATCH($H385,EMPL_KEY,0)),""))</f>
        <v/>
      </c>
      <c r="J385" s="26" t="str">
        <f aca="false">IF($K385=0,"",OPERATIONS!$J85)</f>
        <v/>
      </c>
      <c r="K385" s="67" t="n">
        <f aca="false">IF(OR(OPERATIONS!$N85=0,OPERATIONS!$C85="CONSOMMATION"),0,OPERATIONS!$G85)</f>
        <v>0</v>
      </c>
      <c r="L385" s="67" t="n">
        <f aca="false">IF($K385=0,0,OPERATIONS!$Q85*$K385)</f>
        <v>0</v>
      </c>
      <c r="M385" s="26" t="str">
        <f aca="false">IF($K385=0,"",OPERATIONS!$P85)</f>
        <v/>
      </c>
      <c r="N385" s="26" t="str">
        <f aca="false">IF($G385="","",IF($G385=R_LOT,COUNTIF($G$5:$G385,R_LOT),""))</f>
        <v/>
      </c>
    </row>
    <row r="386" customFormat="false" ht="15" hidden="false" customHeight="false" outlineLevel="0" collapsed="false">
      <c r="A386" s="28" t="str">
        <f aca="false">IF($K386=0,"",ROW()-4)</f>
        <v/>
      </c>
      <c r="B386" s="26" t="str">
        <f aca="false">IF($K386=0,"","OPERATIONS")</f>
        <v/>
      </c>
      <c r="C386" s="26" t="str">
        <f aca="false">IF($K386=0,"",OPERATIONS!$A86)</f>
        <v/>
      </c>
      <c r="D386" s="31" t="str">
        <f aca="false">IF($K386=0,"",OPERATIONS!$B86)</f>
        <v/>
      </c>
      <c r="E386" s="26" t="str">
        <f aca="false">IF($K386=0,"","ENTREE")</f>
        <v/>
      </c>
      <c r="F386" s="26" t="str">
        <f aca="false">IF($K386=0,"",OPERATIONS!$C86)</f>
        <v/>
      </c>
      <c r="G386" s="26" t="str">
        <f aca="false">IF($K386=0,"",OPERATIONS!$D86)</f>
        <v/>
      </c>
      <c r="H386" s="26" t="str">
        <f aca="false">IF($K386=0,"",OPERATIONS!$F86)</f>
        <v/>
      </c>
      <c r="I386" s="26" t="str">
        <f aca="false">IF($H386="","",IFERROR(INDEX(EMPL_CLASSE,MATCH($H386,EMPL_KEY,0)),""))</f>
        <v/>
      </c>
      <c r="J386" s="26" t="str">
        <f aca="false">IF($K386=0,"",OPERATIONS!$J86)</f>
        <v/>
      </c>
      <c r="K386" s="67" t="n">
        <f aca="false">IF(OR(OPERATIONS!$N86=0,OPERATIONS!$C86="CONSOMMATION"),0,OPERATIONS!$G86)</f>
        <v>0</v>
      </c>
      <c r="L386" s="67" t="n">
        <f aca="false">IF($K386=0,0,OPERATIONS!$Q86*$K386)</f>
        <v>0</v>
      </c>
      <c r="M386" s="26" t="str">
        <f aca="false">IF($K386=0,"",OPERATIONS!$P86)</f>
        <v/>
      </c>
      <c r="N386" s="26" t="str">
        <f aca="false">IF($G386="","",IF($G386=R_LOT,COUNTIF($G$5:$G386,R_LOT),""))</f>
        <v/>
      </c>
    </row>
    <row r="387" customFormat="false" ht="15" hidden="false" customHeight="false" outlineLevel="0" collapsed="false">
      <c r="A387" s="28" t="str">
        <f aca="false">IF($K387=0,"",ROW()-4)</f>
        <v/>
      </c>
      <c r="B387" s="26" t="str">
        <f aca="false">IF($K387=0,"","OPERATIONS")</f>
        <v/>
      </c>
      <c r="C387" s="26" t="str">
        <f aca="false">IF($K387=0,"",OPERATIONS!$A87)</f>
        <v/>
      </c>
      <c r="D387" s="31" t="str">
        <f aca="false">IF($K387=0,"",OPERATIONS!$B87)</f>
        <v/>
      </c>
      <c r="E387" s="26" t="str">
        <f aca="false">IF($K387=0,"","ENTREE")</f>
        <v/>
      </c>
      <c r="F387" s="26" t="str">
        <f aca="false">IF($K387=0,"",OPERATIONS!$C87)</f>
        <v/>
      </c>
      <c r="G387" s="26" t="str">
        <f aca="false">IF($K387=0,"",OPERATIONS!$D87)</f>
        <v/>
      </c>
      <c r="H387" s="26" t="str">
        <f aca="false">IF($K387=0,"",OPERATIONS!$F87)</f>
        <v/>
      </c>
      <c r="I387" s="26" t="str">
        <f aca="false">IF($H387="","",IFERROR(INDEX(EMPL_CLASSE,MATCH($H387,EMPL_KEY,0)),""))</f>
        <v/>
      </c>
      <c r="J387" s="26" t="str">
        <f aca="false">IF($K387=0,"",OPERATIONS!$J87)</f>
        <v/>
      </c>
      <c r="K387" s="67" t="n">
        <f aca="false">IF(OR(OPERATIONS!$N87=0,OPERATIONS!$C87="CONSOMMATION"),0,OPERATIONS!$G87)</f>
        <v>0</v>
      </c>
      <c r="L387" s="67" t="n">
        <f aca="false">IF($K387=0,0,OPERATIONS!$Q87*$K387)</f>
        <v>0</v>
      </c>
      <c r="M387" s="26" t="str">
        <f aca="false">IF($K387=0,"",OPERATIONS!$P87)</f>
        <v/>
      </c>
      <c r="N387" s="26" t="str">
        <f aca="false">IF($G387="","",IF($G387=R_LOT,COUNTIF($G$5:$G387,R_LOT),""))</f>
        <v/>
      </c>
    </row>
    <row r="388" customFormat="false" ht="15" hidden="false" customHeight="false" outlineLevel="0" collapsed="false">
      <c r="A388" s="28" t="str">
        <f aca="false">IF($K388=0,"",ROW()-4)</f>
        <v/>
      </c>
      <c r="B388" s="26" t="str">
        <f aca="false">IF($K388=0,"","OPERATIONS")</f>
        <v/>
      </c>
      <c r="C388" s="26" t="str">
        <f aca="false">IF($K388=0,"",OPERATIONS!$A88)</f>
        <v/>
      </c>
      <c r="D388" s="31" t="str">
        <f aca="false">IF($K388=0,"",OPERATIONS!$B88)</f>
        <v/>
      </c>
      <c r="E388" s="26" t="str">
        <f aca="false">IF($K388=0,"","ENTREE")</f>
        <v/>
      </c>
      <c r="F388" s="26" t="str">
        <f aca="false">IF($K388=0,"",OPERATIONS!$C88)</f>
        <v/>
      </c>
      <c r="G388" s="26" t="str">
        <f aca="false">IF($K388=0,"",OPERATIONS!$D88)</f>
        <v/>
      </c>
      <c r="H388" s="26" t="str">
        <f aca="false">IF($K388=0,"",OPERATIONS!$F88)</f>
        <v/>
      </c>
      <c r="I388" s="26" t="str">
        <f aca="false">IF($H388="","",IFERROR(INDEX(EMPL_CLASSE,MATCH($H388,EMPL_KEY,0)),""))</f>
        <v/>
      </c>
      <c r="J388" s="26" t="str">
        <f aca="false">IF($K388=0,"",OPERATIONS!$J88)</f>
        <v/>
      </c>
      <c r="K388" s="67" t="n">
        <f aca="false">IF(OR(OPERATIONS!$N88=0,OPERATIONS!$C88="CONSOMMATION"),0,OPERATIONS!$G88)</f>
        <v>0</v>
      </c>
      <c r="L388" s="67" t="n">
        <f aca="false">IF($K388=0,0,OPERATIONS!$Q88*$K388)</f>
        <v>0</v>
      </c>
      <c r="M388" s="26" t="str">
        <f aca="false">IF($K388=0,"",OPERATIONS!$P88)</f>
        <v/>
      </c>
      <c r="N388" s="26" t="str">
        <f aca="false">IF($G388="","",IF($G388=R_LOT,COUNTIF($G$5:$G388,R_LOT),""))</f>
        <v/>
      </c>
    </row>
    <row r="389" customFormat="false" ht="15" hidden="false" customHeight="false" outlineLevel="0" collapsed="false">
      <c r="A389" s="28" t="str">
        <f aca="false">IF($K389=0,"",ROW()-4)</f>
        <v/>
      </c>
      <c r="B389" s="26" t="str">
        <f aca="false">IF($K389=0,"","OPERATIONS")</f>
        <v/>
      </c>
      <c r="C389" s="26" t="str">
        <f aca="false">IF($K389=0,"",OPERATIONS!$A89)</f>
        <v/>
      </c>
      <c r="D389" s="31" t="str">
        <f aca="false">IF($K389=0,"",OPERATIONS!$B89)</f>
        <v/>
      </c>
      <c r="E389" s="26" t="str">
        <f aca="false">IF($K389=0,"","ENTREE")</f>
        <v/>
      </c>
      <c r="F389" s="26" t="str">
        <f aca="false">IF($K389=0,"",OPERATIONS!$C89)</f>
        <v/>
      </c>
      <c r="G389" s="26" t="str">
        <f aca="false">IF($K389=0,"",OPERATIONS!$D89)</f>
        <v/>
      </c>
      <c r="H389" s="26" t="str">
        <f aca="false">IF($K389=0,"",OPERATIONS!$F89)</f>
        <v/>
      </c>
      <c r="I389" s="26" t="str">
        <f aca="false">IF($H389="","",IFERROR(INDEX(EMPL_CLASSE,MATCH($H389,EMPL_KEY,0)),""))</f>
        <v/>
      </c>
      <c r="J389" s="26" t="str">
        <f aca="false">IF($K389=0,"",OPERATIONS!$J89)</f>
        <v/>
      </c>
      <c r="K389" s="67" t="n">
        <f aca="false">IF(OR(OPERATIONS!$N89=0,OPERATIONS!$C89="CONSOMMATION"),0,OPERATIONS!$G89)</f>
        <v>0</v>
      </c>
      <c r="L389" s="67" t="n">
        <f aca="false">IF($K389=0,0,OPERATIONS!$Q89*$K389)</f>
        <v>0</v>
      </c>
      <c r="M389" s="26" t="str">
        <f aca="false">IF($K389=0,"",OPERATIONS!$P89)</f>
        <v/>
      </c>
      <c r="N389" s="26" t="str">
        <f aca="false">IF($G389="","",IF($G389=R_LOT,COUNTIF($G$5:$G389,R_LOT),""))</f>
        <v/>
      </c>
    </row>
    <row r="390" customFormat="false" ht="15" hidden="false" customHeight="false" outlineLevel="0" collapsed="false">
      <c r="A390" s="28" t="str">
        <f aca="false">IF($K390=0,"",ROW()-4)</f>
        <v/>
      </c>
      <c r="B390" s="26" t="str">
        <f aca="false">IF($K390=0,"","OPERATIONS")</f>
        <v/>
      </c>
      <c r="C390" s="26" t="str">
        <f aca="false">IF($K390=0,"",OPERATIONS!$A90)</f>
        <v/>
      </c>
      <c r="D390" s="31" t="str">
        <f aca="false">IF($K390=0,"",OPERATIONS!$B90)</f>
        <v/>
      </c>
      <c r="E390" s="26" t="str">
        <f aca="false">IF($K390=0,"","ENTREE")</f>
        <v/>
      </c>
      <c r="F390" s="26" t="str">
        <f aca="false">IF($K390=0,"",OPERATIONS!$C90)</f>
        <v/>
      </c>
      <c r="G390" s="26" t="str">
        <f aca="false">IF($K390=0,"",OPERATIONS!$D90)</f>
        <v/>
      </c>
      <c r="H390" s="26" t="str">
        <f aca="false">IF($K390=0,"",OPERATIONS!$F90)</f>
        <v/>
      </c>
      <c r="I390" s="26" t="str">
        <f aca="false">IF($H390="","",IFERROR(INDEX(EMPL_CLASSE,MATCH($H390,EMPL_KEY,0)),""))</f>
        <v/>
      </c>
      <c r="J390" s="26" t="str">
        <f aca="false">IF($K390=0,"",OPERATIONS!$J90)</f>
        <v/>
      </c>
      <c r="K390" s="67" t="n">
        <f aca="false">IF(OR(OPERATIONS!$N90=0,OPERATIONS!$C90="CONSOMMATION"),0,OPERATIONS!$G90)</f>
        <v>0</v>
      </c>
      <c r="L390" s="67" t="n">
        <f aca="false">IF($K390=0,0,OPERATIONS!$Q90*$K390)</f>
        <v>0</v>
      </c>
      <c r="M390" s="26" t="str">
        <f aca="false">IF($K390=0,"",OPERATIONS!$P90)</f>
        <v/>
      </c>
      <c r="N390" s="26" t="str">
        <f aca="false">IF($G390="","",IF($G390=R_LOT,COUNTIF($G$5:$G390,R_LOT),""))</f>
        <v/>
      </c>
    </row>
    <row r="391" customFormat="false" ht="15" hidden="false" customHeight="false" outlineLevel="0" collapsed="false">
      <c r="A391" s="28" t="str">
        <f aca="false">IF($K391=0,"",ROW()-4)</f>
        <v/>
      </c>
      <c r="B391" s="26" t="str">
        <f aca="false">IF($K391=0,"","OPERATIONS")</f>
        <v/>
      </c>
      <c r="C391" s="26" t="str">
        <f aca="false">IF($K391=0,"",OPERATIONS!$A91)</f>
        <v/>
      </c>
      <c r="D391" s="31" t="str">
        <f aca="false">IF($K391=0,"",OPERATIONS!$B91)</f>
        <v/>
      </c>
      <c r="E391" s="26" t="str">
        <f aca="false">IF($K391=0,"","ENTREE")</f>
        <v/>
      </c>
      <c r="F391" s="26" t="str">
        <f aca="false">IF($K391=0,"",OPERATIONS!$C91)</f>
        <v/>
      </c>
      <c r="G391" s="26" t="str">
        <f aca="false">IF($K391=0,"",OPERATIONS!$D91)</f>
        <v/>
      </c>
      <c r="H391" s="26" t="str">
        <f aca="false">IF($K391=0,"",OPERATIONS!$F91)</f>
        <v/>
      </c>
      <c r="I391" s="26" t="str">
        <f aca="false">IF($H391="","",IFERROR(INDEX(EMPL_CLASSE,MATCH($H391,EMPL_KEY,0)),""))</f>
        <v/>
      </c>
      <c r="J391" s="26" t="str">
        <f aca="false">IF($K391=0,"",OPERATIONS!$J91)</f>
        <v/>
      </c>
      <c r="K391" s="67" t="n">
        <f aca="false">IF(OR(OPERATIONS!$N91=0,OPERATIONS!$C91="CONSOMMATION"),0,OPERATIONS!$G91)</f>
        <v>0</v>
      </c>
      <c r="L391" s="67" t="n">
        <f aca="false">IF($K391=0,0,OPERATIONS!$Q91*$K391)</f>
        <v>0</v>
      </c>
      <c r="M391" s="26" t="str">
        <f aca="false">IF($K391=0,"",OPERATIONS!$P91)</f>
        <v/>
      </c>
      <c r="N391" s="26" t="str">
        <f aca="false">IF($G391="","",IF($G391=R_LOT,COUNTIF($G$5:$G391,R_LOT),""))</f>
        <v/>
      </c>
    </row>
    <row r="392" customFormat="false" ht="15" hidden="false" customHeight="false" outlineLevel="0" collapsed="false">
      <c r="A392" s="28" t="str">
        <f aca="false">IF($K392=0,"",ROW()-4)</f>
        <v/>
      </c>
      <c r="B392" s="26" t="str">
        <f aca="false">IF($K392=0,"","OPERATIONS")</f>
        <v/>
      </c>
      <c r="C392" s="26" t="str">
        <f aca="false">IF($K392=0,"",OPERATIONS!$A92)</f>
        <v/>
      </c>
      <c r="D392" s="31" t="str">
        <f aca="false">IF($K392=0,"",OPERATIONS!$B92)</f>
        <v/>
      </c>
      <c r="E392" s="26" t="str">
        <f aca="false">IF($K392=0,"","ENTREE")</f>
        <v/>
      </c>
      <c r="F392" s="26" t="str">
        <f aca="false">IF($K392=0,"",OPERATIONS!$C92)</f>
        <v/>
      </c>
      <c r="G392" s="26" t="str">
        <f aca="false">IF($K392=0,"",OPERATIONS!$D92)</f>
        <v/>
      </c>
      <c r="H392" s="26" t="str">
        <f aca="false">IF($K392=0,"",OPERATIONS!$F92)</f>
        <v/>
      </c>
      <c r="I392" s="26" t="str">
        <f aca="false">IF($H392="","",IFERROR(INDEX(EMPL_CLASSE,MATCH($H392,EMPL_KEY,0)),""))</f>
        <v/>
      </c>
      <c r="J392" s="26" t="str">
        <f aca="false">IF($K392=0,"",OPERATIONS!$J92)</f>
        <v/>
      </c>
      <c r="K392" s="67" t="n">
        <f aca="false">IF(OR(OPERATIONS!$N92=0,OPERATIONS!$C92="CONSOMMATION"),0,OPERATIONS!$G92)</f>
        <v>0</v>
      </c>
      <c r="L392" s="67" t="n">
        <f aca="false">IF($K392=0,0,OPERATIONS!$Q92*$K392)</f>
        <v>0</v>
      </c>
      <c r="M392" s="26" t="str">
        <f aca="false">IF($K392=0,"",OPERATIONS!$P92)</f>
        <v/>
      </c>
      <c r="N392" s="26" t="str">
        <f aca="false">IF($G392="","",IF($G392=R_LOT,COUNTIF($G$5:$G392,R_LOT),""))</f>
        <v/>
      </c>
    </row>
    <row r="393" customFormat="false" ht="15" hidden="false" customHeight="false" outlineLevel="0" collapsed="false">
      <c r="A393" s="28" t="str">
        <f aca="false">IF($K393=0,"",ROW()-4)</f>
        <v/>
      </c>
      <c r="B393" s="26" t="str">
        <f aca="false">IF($K393=0,"","OPERATIONS")</f>
        <v/>
      </c>
      <c r="C393" s="26" t="str">
        <f aca="false">IF($K393=0,"",OPERATIONS!$A93)</f>
        <v/>
      </c>
      <c r="D393" s="31" t="str">
        <f aca="false">IF($K393=0,"",OPERATIONS!$B93)</f>
        <v/>
      </c>
      <c r="E393" s="26" t="str">
        <f aca="false">IF($K393=0,"","ENTREE")</f>
        <v/>
      </c>
      <c r="F393" s="26" t="str">
        <f aca="false">IF($K393=0,"",OPERATIONS!$C93)</f>
        <v/>
      </c>
      <c r="G393" s="26" t="str">
        <f aca="false">IF($K393=0,"",OPERATIONS!$D93)</f>
        <v/>
      </c>
      <c r="H393" s="26" t="str">
        <f aca="false">IF($K393=0,"",OPERATIONS!$F93)</f>
        <v/>
      </c>
      <c r="I393" s="26" t="str">
        <f aca="false">IF($H393="","",IFERROR(INDEX(EMPL_CLASSE,MATCH($H393,EMPL_KEY,0)),""))</f>
        <v/>
      </c>
      <c r="J393" s="26" t="str">
        <f aca="false">IF($K393=0,"",OPERATIONS!$J93)</f>
        <v/>
      </c>
      <c r="K393" s="67" t="n">
        <f aca="false">IF(OR(OPERATIONS!$N93=0,OPERATIONS!$C93="CONSOMMATION"),0,OPERATIONS!$G93)</f>
        <v>0</v>
      </c>
      <c r="L393" s="67" t="n">
        <f aca="false">IF($K393=0,0,OPERATIONS!$Q93*$K393)</f>
        <v>0</v>
      </c>
      <c r="M393" s="26" t="str">
        <f aca="false">IF($K393=0,"",OPERATIONS!$P93)</f>
        <v/>
      </c>
      <c r="N393" s="26" t="str">
        <f aca="false">IF($G393="","",IF($G393=R_LOT,COUNTIF($G$5:$G393,R_LOT),""))</f>
        <v/>
      </c>
    </row>
    <row r="394" customFormat="false" ht="15" hidden="false" customHeight="false" outlineLevel="0" collapsed="false">
      <c r="A394" s="28" t="str">
        <f aca="false">IF($K394=0,"",ROW()-4)</f>
        <v/>
      </c>
      <c r="B394" s="26" t="str">
        <f aca="false">IF($K394=0,"","OPERATIONS")</f>
        <v/>
      </c>
      <c r="C394" s="26" t="str">
        <f aca="false">IF($K394=0,"",OPERATIONS!$A94)</f>
        <v/>
      </c>
      <c r="D394" s="31" t="str">
        <f aca="false">IF($K394=0,"",OPERATIONS!$B94)</f>
        <v/>
      </c>
      <c r="E394" s="26" t="str">
        <f aca="false">IF($K394=0,"","ENTREE")</f>
        <v/>
      </c>
      <c r="F394" s="26" t="str">
        <f aca="false">IF($K394=0,"",OPERATIONS!$C94)</f>
        <v/>
      </c>
      <c r="G394" s="26" t="str">
        <f aca="false">IF($K394=0,"",OPERATIONS!$D94)</f>
        <v/>
      </c>
      <c r="H394" s="26" t="str">
        <f aca="false">IF($K394=0,"",OPERATIONS!$F94)</f>
        <v/>
      </c>
      <c r="I394" s="26" t="str">
        <f aca="false">IF($H394="","",IFERROR(INDEX(EMPL_CLASSE,MATCH($H394,EMPL_KEY,0)),""))</f>
        <v/>
      </c>
      <c r="J394" s="26" t="str">
        <f aca="false">IF($K394=0,"",OPERATIONS!$J94)</f>
        <v/>
      </c>
      <c r="K394" s="67" t="n">
        <f aca="false">IF(OR(OPERATIONS!$N94=0,OPERATIONS!$C94="CONSOMMATION"),0,OPERATIONS!$G94)</f>
        <v>0</v>
      </c>
      <c r="L394" s="67" t="n">
        <f aca="false">IF($K394=0,0,OPERATIONS!$Q94*$K394)</f>
        <v>0</v>
      </c>
      <c r="M394" s="26" t="str">
        <f aca="false">IF($K394=0,"",OPERATIONS!$P94)</f>
        <v/>
      </c>
      <c r="N394" s="26" t="str">
        <f aca="false">IF($G394="","",IF($G394=R_LOT,COUNTIF($G$5:$G394,R_LOT),""))</f>
        <v/>
      </c>
    </row>
    <row r="395" customFormat="false" ht="15" hidden="false" customHeight="false" outlineLevel="0" collapsed="false">
      <c r="A395" s="28" t="str">
        <f aca="false">IF($K395=0,"",ROW()-4)</f>
        <v/>
      </c>
      <c r="B395" s="26" t="str">
        <f aca="false">IF($K395=0,"","OPERATIONS")</f>
        <v/>
      </c>
      <c r="C395" s="26" t="str">
        <f aca="false">IF($K395=0,"",OPERATIONS!$A95)</f>
        <v/>
      </c>
      <c r="D395" s="31" t="str">
        <f aca="false">IF($K395=0,"",OPERATIONS!$B95)</f>
        <v/>
      </c>
      <c r="E395" s="26" t="str">
        <f aca="false">IF($K395=0,"","ENTREE")</f>
        <v/>
      </c>
      <c r="F395" s="26" t="str">
        <f aca="false">IF($K395=0,"",OPERATIONS!$C95)</f>
        <v/>
      </c>
      <c r="G395" s="26" t="str">
        <f aca="false">IF($K395=0,"",OPERATIONS!$D95)</f>
        <v/>
      </c>
      <c r="H395" s="26" t="str">
        <f aca="false">IF($K395=0,"",OPERATIONS!$F95)</f>
        <v/>
      </c>
      <c r="I395" s="26" t="str">
        <f aca="false">IF($H395="","",IFERROR(INDEX(EMPL_CLASSE,MATCH($H395,EMPL_KEY,0)),""))</f>
        <v/>
      </c>
      <c r="J395" s="26" t="str">
        <f aca="false">IF($K395=0,"",OPERATIONS!$J95)</f>
        <v/>
      </c>
      <c r="K395" s="67" t="n">
        <f aca="false">IF(OR(OPERATIONS!$N95=0,OPERATIONS!$C95="CONSOMMATION"),0,OPERATIONS!$G95)</f>
        <v>0</v>
      </c>
      <c r="L395" s="67" t="n">
        <f aca="false">IF($K395=0,0,OPERATIONS!$Q95*$K395)</f>
        <v>0</v>
      </c>
      <c r="M395" s="26" t="str">
        <f aca="false">IF($K395=0,"",OPERATIONS!$P95)</f>
        <v/>
      </c>
      <c r="N395" s="26" t="str">
        <f aca="false">IF($G395="","",IF($G395=R_LOT,COUNTIF($G$5:$G395,R_LOT),""))</f>
        <v/>
      </c>
    </row>
    <row r="396" customFormat="false" ht="15" hidden="false" customHeight="false" outlineLevel="0" collapsed="false">
      <c r="A396" s="28" t="str">
        <f aca="false">IF($K396=0,"",ROW()-4)</f>
        <v/>
      </c>
      <c r="B396" s="26" t="str">
        <f aca="false">IF($K396=0,"","OPERATIONS")</f>
        <v/>
      </c>
      <c r="C396" s="26" t="str">
        <f aca="false">IF($K396=0,"",OPERATIONS!$A96)</f>
        <v/>
      </c>
      <c r="D396" s="31" t="str">
        <f aca="false">IF($K396=0,"",OPERATIONS!$B96)</f>
        <v/>
      </c>
      <c r="E396" s="26" t="str">
        <f aca="false">IF($K396=0,"","ENTREE")</f>
        <v/>
      </c>
      <c r="F396" s="26" t="str">
        <f aca="false">IF($K396=0,"",OPERATIONS!$C96)</f>
        <v/>
      </c>
      <c r="G396" s="26" t="str">
        <f aca="false">IF($K396=0,"",OPERATIONS!$D96)</f>
        <v/>
      </c>
      <c r="H396" s="26" t="str">
        <f aca="false">IF($K396=0,"",OPERATIONS!$F96)</f>
        <v/>
      </c>
      <c r="I396" s="26" t="str">
        <f aca="false">IF($H396="","",IFERROR(INDEX(EMPL_CLASSE,MATCH($H396,EMPL_KEY,0)),""))</f>
        <v/>
      </c>
      <c r="J396" s="26" t="str">
        <f aca="false">IF($K396=0,"",OPERATIONS!$J96)</f>
        <v/>
      </c>
      <c r="K396" s="67" t="n">
        <f aca="false">IF(OR(OPERATIONS!$N96=0,OPERATIONS!$C96="CONSOMMATION"),0,OPERATIONS!$G96)</f>
        <v>0</v>
      </c>
      <c r="L396" s="67" t="n">
        <f aca="false">IF($K396=0,0,OPERATIONS!$Q96*$K396)</f>
        <v>0</v>
      </c>
      <c r="M396" s="26" t="str">
        <f aca="false">IF($K396=0,"",OPERATIONS!$P96)</f>
        <v/>
      </c>
      <c r="N396" s="26" t="str">
        <f aca="false">IF($G396="","",IF($G396=R_LOT,COUNTIF($G$5:$G396,R_LOT),""))</f>
        <v/>
      </c>
    </row>
    <row r="397" customFormat="false" ht="15" hidden="false" customHeight="false" outlineLevel="0" collapsed="false">
      <c r="A397" s="28" t="str">
        <f aca="false">IF($K397=0,"",ROW()-4)</f>
        <v/>
      </c>
      <c r="B397" s="26" t="str">
        <f aca="false">IF($K397=0,"","OPERATIONS")</f>
        <v/>
      </c>
      <c r="C397" s="26" t="str">
        <f aca="false">IF($K397=0,"",OPERATIONS!$A97)</f>
        <v/>
      </c>
      <c r="D397" s="31" t="str">
        <f aca="false">IF($K397=0,"",OPERATIONS!$B97)</f>
        <v/>
      </c>
      <c r="E397" s="26" t="str">
        <f aca="false">IF($K397=0,"","ENTREE")</f>
        <v/>
      </c>
      <c r="F397" s="26" t="str">
        <f aca="false">IF($K397=0,"",OPERATIONS!$C97)</f>
        <v/>
      </c>
      <c r="G397" s="26" t="str">
        <f aca="false">IF($K397=0,"",OPERATIONS!$D97)</f>
        <v/>
      </c>
      <c r="H397" s="26" t="str">
        <f aca="false">IF($K397=0,"",OPERATIONS!$F97)</f>
        <v/>
      </c>
      <c r="I397" s="26" t="str">
        <f aca="false">IF($H397="","",IFERROR(INDEX(EMPL_CLASSE,MATCH($H397,EMPL_KEY,0)),""))</f>
        <v/>
      </c>
      <c r="J397" s="26" t="str">
        <f aca="false">IF($K397=0,"",OPERATIONS!$J97)</f>
        <v/>
      </c>
      <c r="K397" s="67" t="n">
        <f aca="false">IF(OR(OPERATIONS!$N97=0,OPERATIONS!$C97="CONSOMMATION"),0,OPERATIONS!$G97)</f>
        <v>0</v>
      </c>
      <c r="L397" s="67" t="n">
        <f aca="false">IF($K397=0,0,OPERATIONS!$Q97*$K397)</f>
        <v>0</v>
      </c>
      <c r="M397" s="26" t="str">
        <f aca="false">IF($K397=0,"",OPERATIONS!$P97)</f>
        <v/>
      </c>
      <c r="N397" s="26" t="str">
        <f aca="false">IF($G397="","",IF($G397=R_LOT,COUNTIF($G$5:$G397,R_LOT),""))</f>
        <v/>
      </c>
    </row>
    <row r="398" customFormat="false" ht="15" hidden="false" customHeight="false" outlineLevel="0" collapsed="false">
      <c r="A398" s="28" t="str">
        <f aca="false">IF($K398=0,"",ROW()-4)</f>
        <v/>
      </c>
      <c r="B398" s="26" t="str">
        <f aca="false">IF($K398=0,"","OPERATIONS")</f>
        <v/>
      </c>
      <c r="C398" s="26" t="str">
        <f aca="false">IF($K398=0,"",OPERATIONS!$A98)</f>
        <v/>
      </c>
      <c r="D398" s="31" t="str">
        <f aca="false">IF($K398=0,"",OPERATIONS!$B98)</f>
        <v/>
      </c>
      <c r="E398" s="26" t="str">
        <f aca="false">IF($K398=0,"","ENTREE")</f>
        <v/>
      </c>
      <c r="F398" s="26" t="str">
        <f aca="false">IF($K398=0,"",OPERATIONS!$C98)</f>
        <v/>
      </c>
      <c r="G398" s="26" t="str">
        <f aca="false">IF($K398=0,"",OPERATIONS!$D98)</f>
        <v/>
      </c>
      <c r="H398" s="26" t="str">
        <f aca="false">IF($K398=0,"",OPERATIONS!$F98)</f>
        <v/>
      </c>
      <c r="I398" s="26" t="str">
        <f aca="false">IF($H398="","",IFERROR(INDEX(EMPL_CLASSE,MATCH($H398,EMPL_KEY,0)),""))</f>
        <v/>
      </c>
      <c r="J398" s="26" t="str">
        <f aca="false">IF($K398=0,"",OPERATIONS!$J98)</f>
        <v/>
      </c>
      <c r="K398" s="67" t="n">
        <f aca="false">IF(OR(OPERATIONS!$N98=0,OPERATIONS!$C98="CONSOMMATION"),0,OPERATIONS!$G98)</f>
        <v>0</v>
      </c>
      <c r="L398" s="67" t="n">
        <f aca="false">IF($K398=0,0,OPERATIONS!$Q98*$K398)</f>
        <v>0</v>
      </c>
      <c r="M398" s="26" t="str">
        <f aca="false">IF($K398=0,"",OPERATIONS!$P98)</f>
        <v/>
      </c>
      <c r="N398" s="26" t="str">
        <f aca="false">IF($G398="","",IF($G398=R_LOT,COUNTIF($G$5:$G398,R_LOT),""))</f>
        <v/>
      </c>
    </row>
    <row r="399" customFormat="false" ht="15" hidden="false" customHeight="false" outlineLevel="0" collapsed="false">
      <c r="A399" s="28" t="str">
        <f aca="false">IF($K399=0,"",ROW()-4)</f>
        <v/>
      </c>
      <c r="B399" s="26" t="str">
        <f aca="false">IF($K399=0,"","OPERATIONS")</f>
        <v/>
      </c>
      <c r="C399" s="26" t="str">
        <f aca="false">IF($K399=0,"",OPERATIONS!$A99)</f>
        <v/>
      </c>
      <c r="D399" s="31" t="str">
        <f aca="false">IF($K399=0,"",OPERATIONS!$B99)</f>
        <v/>
      </c>
      <c r="E399" s="26" t="str">
        <f aca="false">IF($K399=0,"","ENTREE")</f>
        <v/>
      </c>
      <c r="F399" s="26" t="str">
        <f aca="false">IF($K399=0,"",OPERATIONS!$C99)</f>
        <v/>
      </c>
      <c r="G399" s="26" t="str">
        <f aca="false">IF($K399=0,"",OPERATIONS!$D99)</f>
        <v/>
      </c>
      <c r="H399" s="26" t="str">
        <f aca="false">IF($K399=0,"",OPERATIONS!$F99)</f>
        <v/>
      </c>
      <c r="I399" s="26" t="str">
        <f aca="false">IF($H399="","",IFERROR(INDEX(EMPL_CLASSE,MATCH($H399,EMPL_KEY,0)),""))</f>
        <v/>
      </c>
      <c r="J399" s="26" t="str">
        <f aca="false">IF($K399=0,"",OPERATIONS!$J99)</f>
        <v/>
      </c>
      <c r="K399" s="67" t="n">
        <f aca="false">IF(OR(OPERATIONS!$N99=0,OPERATIONS!$C99="CONSOMMATION"),0,OPERATIONS!$G99)</f>
        <v>0</v>
      </c>
      <c r="L399" s="67" t="n">
        <f aca="false">IF($K399=0,0,OPERATIONS!$Q99*$K399)</f>
        <v>0</v>
      </c>
      <c r="M399" s="26" t="str">
        <f aca="false">IF($K399=0,"",OPERATIONS!$P99)</f>
        <v/>
      </c>
      <c r="N399" s="26" t="str">
        <f aca="false">IF($G399="","",IF($G399=R_LOT,COUNTIF($G$5:$G399,R_LOT),""))</f>
        <v/>
      </c>
    </row>
    <row r="400" customFormat="false" ht="15" hidden="false" customHeight="false" outlineLevel="0" collapsed="false">
      <c r="A400" s="28" t="str">
        <f aca="false">IF($K400=0,"",ROW()-4)</f>
        <v/>
      </c>
      <c r="B400" s="26" t="str">
        <f aca="false">IF($K400=0,"","OPERATIONS")</f>
        <v/>
      </c>
      <c r="C400" s="26" t="str">
        <f aca="false">IF($K400=0,"",OPERATIONS!$A100)</f>
        <v/>
      </c>
      <c r="D400" s="31" t="str">
        <f aca="false">IF($K400=0,"",OPERATIONS!$B100)</f>
        <v/>
      </c>
      <c r="E400" s="26" t="str">
        <f aca="false">IF($K400=0,"","ENTREE")</f>
        <v/>
      </c>
      <c r="F400" s="26" t="str">
        <f aca="false">IF($K400=0,"",OPERATIONS!$C100)</f>
        <v/>
      </c>
      <c r="G400" s="26" t="str">
        <f aca="false">IF($K400=0,"",OPERATIONS!$D100)</f>
        <v/>
      </c>
      <c r="H400" s="26" t="str">
        <f aca="false">IF($K400=0,"",OPERATIONS!$F100)</f>
        <v/>
      </c>
      <c r="I400" s="26" t="str">
        <f aca="false">IF($H400="","",IFERROR(INDEX(EMPL_CLASSE,MATCH($H400,EMPL_KEY,0)),""))</f>
        <v/>
      </c>
      <c r="J400" s="26" t="str">
        <f aca="false">IF($K400=0,"",OPERATIONS!$J100)</f>
        <v/>
      </c>
      <c r="K400" s="67" t="n">
        <f aca="false">IF(OR(OPERATIONS!$N100=0,OPERATIONS!$C100="CONSOMMATION"),0,OPERATIONS!$G100)</f>
        <v>0</v>
      </c>
      <c r="L400" s="67" t="n">
        <f aca="false">IF($K400=0,0,OPERATIONS!$Q100*$K400)</f>
        <v>0</v>
      </c>
      <c r="M400" s="26" t="str">
        <f aca="false">IF($K400=0,"",OPERATIONS!$P100)</f>
        <v/>
      </c>
      <c r="N400" s="26" t="str">
        <f aca="false">IF($G400="","",IF($G400=R_LOT,COUNTIF($G$5:$G400,R_LOT),""))</f>
        <v/>
      </c>
    </row>
    <row r="401" customFormat="false" ht="15" hidden="false" customHeight="false" outlineLevel="0" collapsed="false">
      <c r="A401" s="28" t="str">
        <f aca="false">IF($K401=0,"",ROW()-4)</f>
        <v/>
      </c>
      <c r="B401" s="26" t="str">
        <f aca="false">IF($K401=0,"","OPERATIONS")</f>
        <v/>
      </c>
      <c r="C401" s="26" t="str">
        <f aca="false">IF($K401=0,"",OPERATIONS!$A101)</f>
        <v/>
      </c>
      <c r="D401" s="31" t="str">
        <f aca="false">IF($K401=0,"",OPERATIONS!$B101)</f>
        <v/>
      </c>
      <c r="E401" s="26" t="str">
        <f aca="false">IF($K401=0,"","ENTREE")</f>
        <v/>
      </c>
      <c r="F401" s="26" t="str">
        <f aca="false">IF($K401=0,"",OPERATIONS!$C101)</f>
        <v/>
      </c>
      <c r="G401" s="26" t="str">
        <f aca="false">IF($K401=0,"",OPERATIONS!$D101)</f>
        <v/>
      </c>
      <c r="H401" s="26" t="str">
        <f aca="false">IF($K401=0,"",OPERATIONS!$F101)</f>
        <v/>
      </c>
      <c r="I401" s="26" t="str">
        <f aca="false">IF($H401="","",IFERROR(INDEX(EMPL_CLASSE,MATCH($H401,EMPL_KEY,0)),""))</f>
        <v/>
      </c>
      <c r="J401" s="26" t="str">
        <f aca="false">IF($K401=0,"",OPERATIONS!$J101)</f>
        <v/>
      </c>
      <c r="K401" s="67" t="n">
        <f aca="false">IF(OR(OPERATIONS!$N101=0,OPERATIONS!$C101="CONSOMMATION"),0,OPERATIONS!$G101)</f>
        <v>0</v>
      </c>
      <c r="L401" s="67" t="n">
        <f aca="false">IF($K401=0,0,OPERATIONS!$Q101*$K401)</f>
        <v>0</v>
      </c>
      <c r="M401" s="26" t="str">
        <f aca="false">IF($K401=0,"",OPERATIONS!$P101)</f>
        <v/>
      </c>
      <c r="N401" s="26" t="str">
        <f aca="false">IF($G401="","",IF($G401=R_LOT,COUNTIF($G$5:$G401,R_LOT),""))</f>
        <v/>
      </c>
    </row>
    <row r="402" customFormat="false" ht="15" hidden="false" customHeight="false" outlineLevel="0" collapsed="false">
      <c r="A402" s="28" t="str">
        <f aca="false">IF($K402=0,"",ROW()-4)</f>
        <v/>
      </c>
      <c r="B402" s="26" t="str">
        <f aca="false">IF($K402=0,"","OPERATIONS")</f>
        <v/>
      </c>
      <c r="C402" s="26" t="str">
        <f aca="false">IF($K402=0,"",OPERATIONS!$A102)</f>
        <v/>
      </c>
      <c r="D402" s="31" t="str">
        <f aca="false">IF($K402=0,"",OPERATIONS!$B102)</f>
        <v/>
      </c>
      <c r="E402" s="26" t="str">
        <f aca="false">IF($K402=0,"","ENTREE")</f>
        <v/>
      </c>
      <c r="F402" s="26" t="str">
        <f aca="false">IF($K402=0,"",OPERATIONS!$C102)</f>
        <v/>
      </c>
      <c r="G402" s="26" t="str">
        <f aca="false">IF($K402=0,"",OPERATIONS!$D102)</f>
        <v/>
      </c>
      <c r="H402" s="26" t="str">
        <f aca="false">IF($K402=0,"",OPERATIONS!$F102)</f>
        <v/>
      </c>
      <c r="I402" s="26" t="str">
        <f aca="false">IF($H402="","",IFERROR(INDEX(EMPL_CLASSE,MATCH($H402,EMPL_KEY,0)),""))</f>
        <v/>
      </c>
      <c r="J402" s="26" t="str">
        <f aca="false">IF($K402=0,"",OPERATIONS!$J102)</f>
        <v/>
      </c>
      <c r="K402" s="67" t="n">
        <f aca="false">IF(OR(OPERATIONS!$N102=0,OPERATIONS!$C102="CONSOMMATION"),0,OPERATIONS!$G102)</f>
        <v>0</v>
      </c>
      <c r="L402" s="67" t="n">
        <f aca="false">IF($K402=0,0,OPERATIONS!$Q102*$K402)</f>
        <v>0</v>
      </c>
      <c r="M402" s="26" t="str">
        <f aca="false">IF($K402=0,"",OPERATIONS!$P102)</f>
        <v/>
      </c>
      <c r="N402" s="26" t="str">
        <f aca="false">IF($G402="","",IF($G402=R_LOT,COUNTIF($G$5:$G402,R_LOT),""))</f>
        <v/>
      </c>
    </row>
    <row r="403" customFormat="false" ht="15" hidden="false" customHeight="false" outlineLevel="0" collapsed="false">
      <c r="A403" s="28" t="str">
        <f aca="false">IF($K403=0,"",ROW()-4)</f>
        <v/>
      </c>
      <c r="B403" s="26" t="str">
        <f aca="false">IF($K403=0,"","OPERATIONS")</f>
        <v/>
      </c>
      <c r="C403" s="26" t="str">
        <f aca="false">IF($K403=0,"",OPERATIONS!$A103)</f>
        <v/>
      </c>
      <c r="D403" s="31" t="str">
        <f aca="false">IF($K403=0,"",OPERATIONS!$B103)</f>
        <v/>
      </c>
      <c r="E403" s="26" t="str">
        <f aca="false">IF($K403=0,"","ENTREE")</f>
        <v/>
      </c>
      <c r="F403" s="26" t="str">
        <f aca="false">IF($K403=0,"",OPERATIONS!$C103)</f>
        <v/>
      </c>
      <c r="G403" s="26" t="str">
        <f aca="false">IF($K403=0,"",OPERATIONS!$D103)</f>
        <v/>
      </c>
      <c r="H403" s="26" t="str">
        <f aca="false">IF($K403=0,"",OPERATIONS!$F103)</f>
        <v/>
      </c>
      <c r="I403" s="26" t="str">
        <f aca="false">IF($H403="","",IFERROR(INDEX(EMPL_CLASSE,MATCH($H403,EMPL_KEY,0)),""))</f>
        <v/>
      </c>
      <c r="J403" s="26" t="str">
        <f aca="false">IF($K403=0,"",OPERATIONS!$J103)</f>
        <v/>
      </c>
      <c r="K403" s="67" t="n">
        <f aca="false">IF(OR(OPERATIONS!$N103=0,OPERATIONS!$C103="CONSOMMATION"),0,OPERATIONS!$G103)</f>
        <v>0</v>
      </c>
      <c r="L403" s="67" t="n">
        <f aca="false">IF($K403=0,0,OPERATIONS!$Q103*$K403)</f>
        <v>0</v>
      </c>
      <c r="M403" s="26" t="str">
        <f aca="false">IF($K403=0,"",OPERATIONS!$P103)</f>
        <v/>
      </c>
      <c r="N403" s="26" t="str">
        <f aca="false">IF($G403="","",IF($G403=R_LOT,COUNTIF($G$5:$G403,R_LOT),""))</f>
        <v/>
      </c>
    </row>
    <row r="404" customFormat="false" ht="15" hidden="false" customHeight="false" outlineLevel="0" collapsed="false">
      <c r="A404" s="28" t="str">
        <f aca="false">IF($K404=0,"",ROW()-4)</f>
        <v/>
      </c>
      <c r="B404" s="26" t="str">
        <f aca="false">IF($K404=0,"","OPERATIONS")</f>
        <v/>
      </c>
      <c r="C404" s="26" t="str">
        <f aca="false">IF($K404=0,"",OPERATIONS!$A104)</f>
        <v/>
      </c>
      <c r="D404" s="31" t="str">
        <f aca="false">IF($K404=0,"",OPERATIONS!$B104)</f>
        <v/>
      </c>
      <c r="E404" s="26" t="str">
        <f aca="false">IF($K404=0,"","ENTREE")</f>
        <v/>
      </c>
      <c r="F404" s="26" t="str">
        <f aca="false">IF($K404=0,"",OPERATIONS!$C104)</f>
        <v/>
      </c>
      <c r="G404" s="26" t="str">
        <f aca="false">IF($K404=0,"",OPERATIONS!$D104)</f>
        <v/>
      </c>
      <c r="H404" s="26" t="str">
        <f aca="false">IF($K404=0,"",OPERATIONS!$F104)</f>
        <v/>
      </c>
      <c r="I404" s="26" t="str">
        <f aca="false">IF($H404="","",IFERROR(INDEX(EMPL_CLASSE,MATCH($H404,EMPL_KEY,0)),""))</f>
        <v/>
      </c>
      <c r="J404" s="26" t="str">
        <f aca="false">IF($K404=0,"",OPERATIONS!$J104)</f>
        <v/>
      </c>
      <c r="K404" s="67" t="n">
        <f aca="false">IF(OR(OPERATIONS!$N104=0,OPERATIONS!$C104="CONSOMMATION"),0,OPERATIONS!$G104)</f>
        <v>0</v>
      </c>
      <c r="L404" s="67" t="n">
        <f aca="false">IF($K404=0,0,OPERATIONS!$Q104*$K404)</f>
        <v>0</v>
      </c>
      <c r="M404" s="26" t="str">
        <f aca="false">IF($K404=0,"",OPERATIONS!$P104)</f>
        <v/>
      </c>
      <c r="N404" s="26" t="str">
        <f aca="false">IF($G404="","",IF($G404=R_LOT,COUNTIF($G$5:$G404,R_LOT),""))</f>
        <v/>
      </c>
    </row>
    <row r="405" customFormat="false" ht="15" hidden="false" customHeight="false" outlineLevel="0" collapsed="false">
      <c r="A405" s="28" t="str">
        <f aca="false">IF($K405=0,"",ROW()-4)</f>
        <v/>
      </c>
      <c r="B405" s="26" t="str">
        <f aca="false">IF($K405=0,"","OPERATIONS")</f>
        <v/>
      </c>
      <c r="C405" s="26" t="str">
        <f aca="false">IF($K405=0,"",OPERATIONS!$A105)</f>
        <v/>
      </c>
      <c r="D405" s="31" t="str">
        <f aca="false">IF($K405=0,"",OPERATIONS!$B105)</f>
        <v/>
      </c>
      <c r="E405" s="26" t="str">
        <f aca="false">IF($K405=0,"","ENTREE")</f>
        <v/>
      </c>
      <c r="F405" s="26" t="str">
        <f aca="false">IF($K405=0,"",OPERATIONS!$C105)</f>
        <v/>
      </c>
      <c r="G405" s="26" t="str">
        <f aca="false">IF($K405=0,"",OPERATIONS!$D105)</f>
        <v/>
      </c>
      <c r="H405" s="26" t="str">
        <f aca="false">IF($K405=0,"",OPERATIONS!$F105)</f>
        <v/>
      </c>
      <c r="I405" s="26" t="str">
        <f aca="false">IF($H405="","",IFERROR(INDEX(EMPL_CLASSE,MATCH($H405,EMPL_KEY,0)),""))</f>
        <v/>
      </c>
      <c r="J405" s="26" t="str">
        <f aca="false">IF($K405=0,"",OPERATIONS!$J105)</f>
        <v/>
      </c>
      <c r="K405" s="67" t="n">
        <f aca="false">IF(OR(OPERATIONS!$N105=0,OPERATIONS!$C105="CONSOMMATION"),0,OPERATIONS!$G105)</f>
        <v>0</v>
      </c>
      <c r="L405" s="67" t="n">
        <f aca="false">IF($K405=0,0,OPERATIONS!$Q105*$K405)</f>
        <v>0</v>
      </c>
      <c r="M405" s="26" t="str">
        <f aca="false">IF($K405=0,"",OPERATIONS!$P105)</f>
        <v/>
      </c>
      <c r="N405" s="26" t="str">
        <f aca="false">IF($G405="","",IF($G405=R_LOT,COUNTIF($G$5:$G405,R_LOT),""))</f>
        <v/>
      </c>
    </row>
    <row r="406" customFormat="false" ht="15" hidden="false" customHeight="false" outlineLevel="0" collapsed="false">
      <c r="A406" s="28" t="str">
        <f aca="false">IF($K406=0,"",ROW()-4)</f>
        <v/>
      </c>
      <c r="B406" s="26" t="str">
        <f aca="false">IF($K406=0,"","OPERATIONS")</f>
        <v/>
      </c>
      <c r="C406" s="26" t="str">
        <f aca="false">IF($K406=0,"",OPERATIONS!$A106)</f>
        <v/>
      </c>
      <c r="D406" s="31" t="str">
        <f aca="false">IF($K406=0,"",OPERATIONS!$B106)</f>
        <v/>
      </c>
      <c r="E406" s="26" t="str">
        <f aca="false">IF($K406=0,"","ENTREE")</f>
        <v/>
      </c>
      <c r="F406" s="26" t="str">
        <f aca="false">IF($K406=0,"",OPERATIONS!$C106)</f>
        <v/>
      </c>
      <c r="G406" s="26" t="str">
        <f aca="false">IF($K406=0,"",OPERATIONS!$D106)</f>
        <v/>
      </c>
      <c r="H406" s="26" t="str">
        <f aca="false">IF($K406=0,"",OPERATIONS!$F106)</f>
        <v/>
      </c>
      <c r="I406" s="26" t="str">
        <f aca="false">IF($H406="","",IFERROR(INDEX(EMPL_CLASSE,MATCH($H406,EMPL_KEY,0)),""))</f>
        <v/>
      </c>
      <c r="J406" s="26" t="str">
        <f aca="false">IF($K406=0,"",OPERATIONS!$J106)</f>
        <v/>
      </c>
      <c r="K406" s="67" t="n">
        <f aca="false">IF(OR(OPERATIONS!$N106=0,OPERATIONS!$C106="CONSOMMATION"),0,OPERATIONS!$G106)</f>
        <v>0</v>
      </c>
      <c r="L406" s="67" t="n">
        <f aca="false">IF($K406=0,0,OPERATIONS!$Q106*$K406)</f>
        <v>0</v>
      </c>
      <c r="M406" s="26" t="str">
        <f aca="false">IF($K406=0,"",OPERATIONS!$P106)</f>
        <v/>
      </c>
      <c r="N406" s="26" t="str">
        <f aca="false">IF($G406="","",IF($G406=R_LOT,COUNTIF($G$5:$G406,R_LOT),""))</f>
        <v/>
      </c>
    </row>
    <row r="407" customFormat="false" ht="15" hidden="false" customHeight="false" outlineLevel="0" collapsed="false">
      <c r="A407" s="28" t="str">
        <f aca="false">IF($K407=0,"",ROW()-4)</f>
        <v/>
      </c>
      <c r="B407" s="26" t="str">
        <f aca="false">IF($K407=0,"","OPERATIONS")</f>
        <v/>
      </c>
      <c r="C407" s="26" t="str">
        <f aca="false">IF($K407=0,"",OPERATIONS!$A107)</f>
        <v/>
      </c>
      <c r="D407" s="31" t="str">
        <f aca="false">IF($K407=0,"",OPERATIONS!$B107)</f>
        <v/>
      </c>
      <c r="E407" s="26" t="str">
        <f aca="false">IF($K407=0,"","ENTREE")</f>
        <v/>
      </c>
      <c r="F407" s="26" t="str">
        <f aca="false">IF($K407=0,"",OPERATIONS!$C107)</f>
        <v/>
      </c>
      <c r="G407" s="26" t="str">
        <f aca="false">IF($K407=0,"",OPERATIONS!$D107)</f>
        <v/>
      </c>
      <c r="H407" s="26" t="str">
        <f aca="false">IF($K407=0,"",OPERATIONS!$F107)</f>
        <v/>
      </c>
      <c r="I407" s="26" t="str">
        <f aca="false">IF($H407="","",IFERROR(INDEX(EMPL_CLASSE,MATCH($H407,EMPL_KEY,0)),""))</f>
        <v/>
      </c>
      <c r="J407" s="26" t="str">
        <f aca="false">IF($K407=0,"",OPERATIONS!$J107)</f>
        <v/>
      </c>
      <c r="K407" s="67" t="n">
        <f aca="false">IF(OR(OPERATIONS!$N107=0,OPERATIONS!$C107="CONSOMMATION"),0,OPERATIONS!$G107)</f>
        <v>0</v>
      </c>
      <c r="L407" s="67" t="n">
        <f aca="false">IF($K407=0,0,OPERATIONS!$Q107*$K407)</f>
        <v>0</v>
      </c>
      <c r="M407" s="26" t="str">
        <f aca="false">IF($K407=0,"",OPERATIONS!$P107)</f>
        <v/>
      </c>
      <c r="N407" s="26" t="str">
        <f aca="false">IF($G407="","",IF($G407=R_LOT,COUNTIF($G$5:$G407,R_LOT),""))</f>
        <v/>
      </c>
    </row>
    <row r="408" customFormat="false" ht="15" hidden="false" customHeight="false" outlineLevel="0" collapsed="false">
      <c r="A408" s="28" t="str">
        <f aca="false">IF($K408=0,"",ROW()-4)</f>
        <v/>
      </c>
      <c r="B408" s="26" t="str">
        <f aca="false">IF($K408=0,"","OPERATIONS")</f>
        <v/>
      </c>
      <c r="C408" s="26" t="str">
        <f aca="false">IF($K408=0,"",OPERATIONS!$A108)</f>
        <v/>
      </c>
      <c r="D408" s="31" t="str">
        <f aca="false">IF($K408=0,"",OPERATIONS!$B108)</f>
        <v/>
      </c>
      <c r="E408" s="26" t="str">
        <f aca="false">IF($K408=0,"","ENTREE")</f>
        <v/>
      </c>
      <c r="F408" s="26" t="str">
        <f aca="false">IF($K408=0,"",OPERATIONS!$C108)</f>
        <v/>
      </c>
      <c r="G408" s="26" t="str">
        <f aca="false">IF($K408=0,"",OPERATIONS!$D108)</f>
        <v/>
      </c>
      <c r="H408" s="26" t="str">
        <f aca="false">IF($K408=0,"",OPERATIONS!$F108)</f>
        <v/>
      </c>
      <c r="I408" s="26" t="str">
        <f aca="false">IF($H408="","",IFERROR(INDEX(EMPL_CLASSE,MATCH($H408,EMPL_KEY,0)),""))</f>
        <v/>
      </c>
      <c r="J408" s="26" t="str">
        <f aca="false">IF($K408=0,"",OPERATIONS!$J108)</f>
        <v/>
      </c>
      <c r="K408" s="67" t="n">
        <f aca="false">IF(OR(OPERATIONS!$N108=0,OPERATIONS!$C108="CONSOMMATION"),0,OPERATIONS!$G108)</f>
        <v>0</v>
      </c>
      <c r="L408" s="67" t="n">
        <f aca="false">IF($K408=0,0,OPERATIONS!$Q108*$K408)</f>
        <v>0</v>
      </c>
      <c r="M408" s="26" t="str">
        <f aca="false">IF($K408=0,"",OPERATIONS!$P108)</f>
        <v/>
      </c>
      <c r="N408" s="26" t="str">
        <f aca="false">IF($G408="","",IF($G408=R_LOT,COUNTIF($G$5:$G408,R_LOT),""))</f>
        <v/>
      </c>
    </row>
    <row r="409" customFormat="false" ht="15" hidden="false" customHeight="false" outlineLevel="0" collapsed="false">
      <c r="A409" s="28" t="str">
        <f aca="false">IF($K409=0,"",ROW()-4)</f>
        <v/>
      </c>
      <c r="B409" s="26" t="str">
        <f aca="false">IF($K409=0,"","OPERATIONS")</f>
        <v/>
      </c>
      <c r="C409" s="26" t="str">
        <f aca="false">IF($K409=0,"",OPERATIONS!$A109)</f>
        <v/>
      </c>
      <c r="D409" s="31" t="str">
        <f aca="false">IF($K409=0,"",OPERATIONS!$B109)</f>
        <v/>
      </c>
      <c r="E409" s="26" t="str">
        <f aca="false">IF($K409=0,"","ENTREE")</f>
        <v/>
      </c>
      <c r="F409" s="26" t="str">
        <f aca="false">IF($K409=0,"",OPERATIONS!$C109)</f>
        <v/>
      </c>
      <c r="G409" s="26" t="str">
        <f aca="false">IF($K409=0,"",OPERATIONS!$D109)</f>
        <v/>
      </c>
      <c r="H409" s="26" t="str">
        <f aca="false">IF($K409=0,"",OPERATIONS!$F109)</f>
        <v/>
      </c>
      <c r="I409" s="26" t="str">
        <f aca="false">IF($H409="","",IFERROR(INDEX(EMPL_CLASSE,MATCH($H409,EMPL_KEY,0)),""))</f>
        <v/>
      </c>
      <c r="J409" s="26" t="str">
        <f aca="false">IF($K409=0,"",OPERATIONS!$J109)</f>
        <v/>
      </c>
      <c r="K409" s="67" t="n">
        <f aca="false">IF(OR(OPERATIONS!$N109=0,OPERATIONS!$C109="CONSOMMATION"),0,OPERATIONS!$G109)</f>
        <v>0</v>
      </c>
      <c r="L409" s="67" t="n">
        <f aca="false">IF($K409=0,0,OPERATIONS!$Q109*$K409)</f>
        <v>0</v>
      </c>
      <c r="M409" s="26" t="str">
        <f aca="false">IF($K409=0,"",OPERATIONS!$P109)</f>
        <v/>
      </c>
      <c r="N409" s="26" t="str">
        <f aca="false">IF($G409="","",IF($G409=R_LOT,COUNTIF($G$5:$G409,R_LOT),""))</f>
        <v/>
      </c>
    </row>
    <row r="410" customFormat="false" ht="15" hidden="false" customHeight="false" outlineLevel="0" collapsed="false">
      <c r="A410" s="28" t="str">
        <f aca="false">IF($K410=0,"",ROW()-4)</f>
        <v/>
      </c>
      <c r="B410" s="26" t="str">
        <f aca="false">IF($K410=0,"","OPERATIONS")</f>
        <v/>
      </c>
      <c r="C410" s="26" t="str">
        <f aca="false">IF($K410=0,"",OPERATIONS!$A110)</f>
        <v/>
      </c>
      <c r="D410" s="31" t="str">
        <f aca="false">IF($K410=0,"",OPERATIONS!$B110)</f>
        <v/>
      </c>
      <c r="E410" s="26" t="str">
        <f aca="false">IF($K410=0,"","ENTREE")</f>
        <v/>
      </c>
      <c r="F410" s="26" t="str">
        <f aca="false">IF($K410=0,"",OPERATIONS!$C110)</f>
        <v/>
      </c>
      <c r="G410" s="26" t="str">
        <f aca="false">IF($K410=0,"",OPERATIONS!$D110)</f>
        <v/>
      </c>
      <c r="H410" s="26" t="str">
        <f aca="false">IF($K410=0,"",OPERATIONS!$F110)</f>
        <v/>
      </c>
      <c r="I410" s="26" t="str">
        <f aca="false">IF($H410="","",IFERROR(INDEX(EMPL_CLASSE,MATCH($H410,EMPL_KEY,0)),""))</f>
        <v/>
      </c>
      <c r="J410" s="26" t="str">
        <f aca="false">IF($K410=0,"",OPERATIONS!$J110)</f>
        <v/>
      </c>
      <c r="K410" s="67" t="n">
        <f aca="false">IF(OR(OPERATIONS!$N110=0,OPERATIONS!$C110="CONSOMMATION"),0,OPERATIONS!$G110)</f>
        <v>0</v>
      </c>
      <c r="L410" s="67" t="n">
        <f aca="false">IF($K410=0,0,OPERATIONS!$Q110*$K410)</f>
        <v>0</v>
      </c>
      <c r="M410" s="26" t="str">
        <f aca="false">IF($K410=0,"",OPERATIONS!$P110)</f>
        <v/>
      </c>
      <c r="N410" s="26" t="str">
        <f aca="false">IF($G410="","",IF($G410=R_LOT,COUNTIF($G$5:$G410,R_LOT),""))</f>
        <v/>
      </c>
    </row>
    <row r="411" customFormat="false" ht="15" hidden="false" customHeight="false" outlineLevel="0" collapsed="false">
      <c r="A411" s="28" t="str">
        <f aca="false">IF($K411=0,"",ROW()-4)</f>
        <v/>
      </c>
      <c r="B411" s="26" t="str">
        <f aca="false">IF($K411=0,"","OPERATIONS")</f>
        <v/>
      </c>
      <c r="C411" s="26" t="str">
        <f aca="false">IF($K411=0,"",OPERATIONS!$A111)</f>
        <v/>
      </c>
      <c r="D411" s="31" t="str">
        <f aca="false">IF($K411=0,"",OPERATIONS!$B111)</f>
        <v/>
      </c>
      <c r="E411" s="26" t="str">
        <f aca="false">IF($K411=0,"","ENTREE")</f>
        <v/>
      </c>
      <c r="F411" s="26" t="str">
        <f aca="false">IF($K411=0,"",OPERATIONS!$C111)</f>
        <v/>
      </c>
      <c r="G411" s="26" t="str">
        <f aca="false">IF($K411=0,"",OPERATIONS!$D111)</f>
        <v/>
      </c>
      <c r="H411" s="26" t="str">
        <f aca="false">IF($K411=0,"",OPERATIONS!$F111)</f>
        <v/>
      </c>
      <c r="I411" s="26" t="str">
        <f aca="false">IF($H411="","",IFERROR(INDEX(EMPL_CLASSE,MATCH($H411,EMPL_KEY,0)),""))</f>
        <v/>
      </c>
      <c r="J411" s="26" t="str">
        <f aca="false">IF($K411=0,"",OPERATIONS!$J111)</f>
        <v/>
      </c>
      <c r="K411" s="67" t="n">
        <f aca="false">IF(OR(OPERATIONS!$N111=0,OPERATIONS!$C111="CONSOMMATION"),0,OPERATIONS!$G111)</f>
        <v>0</v>
      </c>
      <c r="L411" s="67" t="n">
        <f aca="false">IF($K411=0,0,OPERATIONS!$Q111*$K411)</f>
        <v>0</v>
      </c>
      <c r="M411" s="26" t="str">
        <f aca="false">IF($K411=0,"",OPERATIONS!$P111)</f>
        <v/>
      </c>
      <c r="N411" s="26" t="str">
        <f aca="false">IF($G411="","",IF($G411=R_LOT,COUNTIF($G$5:$G411,R_LOT),""))</f>
        <v/>
      </c>
    </row>
    <row r="412" customFormat="false" ht="15" hidden="false" customHeight="false" outlineLevel="0" collapsed="false">
      <c r="A412" s="28" t="str">
        <f aca="false">IF($K412=0,"",ROW()-4)</f>
        <v/>
      </c>
      <c r="B412" s="26" t="str">
        <f aca="false">IF($K412=0,"","OPERATIONS")</f>
        <v/>
      </c>
      <c r="C412" s="26" t="str">
        <f aca="false">IF($K412=0,"",OPERATIONS!$A112)</f>
        <v/>
      </c>
      <c r="D412" s="31" t="str">
        <f aca="false">IF($K412=0,"",OPERATIONS!$B112)</f>
        <v/>
      </c>
      <c r="E412" s="26" t="str">
        <f aca="false">IF($K412=0,"","ENTREE")</f>
        <v/>
      </c>
      <c r="F412" s="26" t="str">
        <f aca="false">IF($K412=0,"",OPERATIONS!$C112)</f>
        <v/>
      </c>
      <c r="G412" s="26" t="str">
        <f aca="false">IF($K412=0,"",OPERATIONS!$D112)</f>
        <v/>
      </c>
      <c r="H412" s="26" t="str">
        <f aca="false">IF($K412=0,"",OPERATIONS!$F112)</f>
        <v/>
      </c>
      <c r="I412" s="26" t="str">
        <f aca="false">IF($H412="","",IFERROR(INDEX(EMPL_CLASSE,MATCH($H412,EMPL_KEY,0)),""))</f>
        <v/>
      </c>
      <c r="J412" s="26" t="str">
        <f aca="false">IF($K412=0,"",OPERATIONS!$J112)</f>
        <v/>
      </c>
      <c r="K412" s="67" t="n">
        <f aca="false">IF(OR(OPERATIONS!$N112=0,OPERATIONS!$C112="CONSOMMATION"),0,OPERATIONS!$G112)</f>
        <v>0</v>
      </c>
      <c r="L412" s="67" t="n">
        <f aca="false">IF($K412=0,0,OPERATIONS!$Q112*$K412)</f>
        <v>0</v>
      </c>
      <c r="M412" s="26" t="str">
        <f aca="false">IF($K412=0,"",OPERATIONS!$P112)</f>
        <v/>
      </c>
      <c r="N412" s="26" t="str">
        <f aca="false">IF($G412="","",IF($G412=R_LOT,COUNTIF($G$5:$G412,R_LOT),""))</f>
        <v/>
      </c>
    </row>
    <row r="413" customFormat="false" ht="15" hidden="false" customHeight="false" outlineLevel="0" collapsed="false">
      <c r="A413" s="28" t="str">
        <f aca="false">IF($K413=0,"",ROW()-4)</f>
        <v/>
      </c>
      <c r="B413" s="26" t="str">
        <f aca="false">IF($K413=0,"","OPERATIONS")</f>
        <v/>
      </c>
      <c r="C413" s="26" t="str">
        <f aca="false">IF($K413=0,"",OPERATIONS!$A113)</f>
        <v/>
      </c>
      <c r="D413" s="31" t="str">
        <f aca="false">IF($K413=0,"",OPERATIONS!$B113)</f>
        <v/>
      </c>
      <c r="E413" s="26" t="str">
        <f aca="false">IF($K413=0,"","ENTREE")</f>
        <v/>
      </c>
      <c r="F413" s="26" t="str">
        <f aca="false">IF($K413=0,"",OPERATIONS!$C113)</f>
        <v/>
      </c>
      <c r="G413" s="26" t="str">
        <f aca="false">IF($K413=0,"",OPERATIONS!$D113)</f>
        <v/>
      </c>
      <c r="H413" s="26" t="str">
        <f aca="false">IF($K413=0,"",OPERATIONS!$F113)</f>
        <v/>
      </c>
      <c r="I413" s="26" t="str">
        <f aca="false">IF($H413="","",IFERROR(INDEX(EMPL_CLASSE,MATCH($H413,EMPL_KEY,0)),""))</f>
        <v/>
      </c>
      <c r="J413" s="26" t="str">
        <f aca="false">IF($K413=0,"",OPERATIONS!$J113)</f>
        <v/>
      </c>
      <c r="K413" s="67" t="n">
        <f aca="false">IF(OR(OPERATIONS!$N113=0,OPERATIONS!$C113="CONSOMMATION"),0,OPERATIONS!$G113)</f>
        <v>0</v>
      </c>
      <c r="L413" s="67" t="n">
        <f aca="false">IF($K413=0,0,OPERATIONS!$Q113*$K413)</f>
        <v>0</v>
      </c>
      <c r="M413" s="26" t="str">
        <f aca="false">IF($K413=0,"",OPERATIONS!$P113)</f>
        <v/>
      </c>
      <c r="N413" s="26" t="str">
        <f aca="false">IF($G413="","",IF($G413=R_LOT,COUNTIF($G$5:$G413,R_LOT),""))</f>
        <v/>
      </c>
    </row>
    <row r="414" customFormat="false" ht="15" hidden="false" customHeight="false" outlineLevel="0" collapsed="false">
      <c r="A414" s="28" t="str">
        <f aca="false">IF($K414=0,"",ROW()-4)</f>
        <v/>
      </c>
      <c r="B414" s="26" t="str">
        <f aca="false">IF($K414=0,"","OPERATIONS")</f>
        <v/>
      </c>
      <c r="C414" s="26" t="str">
        <f aca="false">IF($K414=0,"",OPERATIONS!$A114)</f>
        <v/>
      </c>
      <c r="D414" s="31" t="str">
        <f aca="false">IF($K414=0,"",OPERATIONS!$B114)</f>
        <v/>
      </c>
      <c r="E414" s="26" t="str">
        <f aca="false">IF($K414=0,"","ENTREE")</f>
        <v/>
      </c>
      <c r="F414" s="26" t="str">
        <f aca="false">IF($K414=0,"",OPERATIONS!$C114)</f>
        <v/>
      </c>
      <c r="G414" s="26" t="str">
        <f aca="false">IF($K414=0,"",OPERATIONS!$D114)</f>
        <v/>
      </c>
      <c r="H414" s="26" t="str">
        <f aca="false">IF($K414=0,"",OPERATIONS!$F114)</f>
        <v/>
      </c>
      <c r="I414" s="26" t="str">
        <f aca="false">IF($H414="","",IFERROR(INDEX(EMPL_CLASSE,MATCH($H414,EMPL_KEY,0)),""))</f>
        <v/>
      </c>
      <c r="J414" s="26" t="str">
        <f aca="false">IF($K414=0,"",OPERATIONS!$J114)</f>
        <v/>
      </c>
      <c r="K414" s="67" t="n">
        <f aca="false">IF(OR(OPERATIONS!$N114=0,OPERATIONS!$C114="CONSOMMATION"),0,OPERATIONS!$G114)</f>
        <v>0</v>
      </c>
      <c r="L414" s="67" t="n">
        <f aca="false">IF($K414=0,0,OPERATIONS!$Q114*$K414)</f>
        <v>0</v>
      </c>
      <c r="M414" s="26" t="str">
        <f aca="false">IF($K414=0,"",OPERATIONS!$P114)</f>
        <v/>
      </c>
      <c r="N414" s="26" t="str">
        <f aca="false">IF($G414="","",IF($G414=R_LOT,COUNTIF($G$5:$G414,R_LOT),""))</f>
        <v/>
      </c>
    </row>
    <row r="415" customFormat="false" ht="15" hidden="false" customHeight="false" outlineLevel="0" collapsed="false">
      <c r="A415" s="28" t="str">
        <f aca="false">IF($K415=0,"",ROW()-4)</f>
        <v/>
      </c>
      <c r="B415" s="26" t="str">
        <f aca="false">IF($K415=0,"","OPERATIONS")</f>
        <v/>
      </c>
      <c r="C415" s="26" t="str">
        <f aca="false">IF($K415=0,"",OPERATIONS!$A115)</f>
        <v/>
      </c>
      <c r="D415" s="31" t="str">
        <f aca="false">IF($K415=0,"",OPERATIONS!$B115)</f>
        <v/>
      </c>
      <c r="E415" s="26" t="str">
        <f aca="false">IF($K415=0,"","ENTREE")</f>
        <v/>
      </c>
      <c r="F415" s="26" t="str">
        <f aca="false">IF($K415=0,"",OPERATIONS!$C115)</f>
        <v/>
      </c>
      <c r="G415" s="26" t="str">
        <f aca="false">IF($K415=0,"",OPERATIONS!$D115)</f>
        <v/>
      </c>
      <c r="H415" s="26" t="str">
        <f aca="false">IF($K415=0,"",OPERATIONS!$F115)</f>
        <v/>
      </c>
      <c r="I415" s="26" t="str">
        <f aca="false">IF($H415="","",IFERROR(INDEX(EMPL_CLASSE,MATCH($H415,EMPL_KEY,0)),""))</f>
        <v/>
      </c>
      <c r="J415" s="26" t="str">
        <f aca="false">IF($K415=0,"",OPERATIONS!$J115)</f>
        <v/>
      </c>
      <c r="K415" s="67" t="n">
        <f aca="false">IF(OR(OPERATIONS!$N115=0,OPERATIONS!$C115="CONSOMMATION"),0,OPERATIONS!$G115)</f>
        <v>0</v>
      </c>
      <c r="L415" s="67" t="n">
        <f aca="false">IF($K415=0,0,OPERATIONS!$Q115*$K415)</f>
        <v>0</v>
      </c>
      <c r="M415" s="26" t="str">
        <f aca="false">IF($K415=0,"",OPERATIONS!$P115)</f>
        <v/>
      </c>
      <c r="N415" s="26" t="str">
        <f aca="false">IF($G415="","",IF($G415=R_LOT,COUNTIF($G$5:$G415,R_LOT),""))</f>
        <v/>
      </c>
    </row>
    <row r="416" customFormat="false" ht="15" hidden="false" customHeight="false" outlineLevel="0" collapsed="false">
      <c r="A416" s="28" t="str">
        <f aca="false">IF($K416=0,"",ROW()-4)</f>
        <v/>
      </c>
      <c r="B416" s="26" t="str">
        <f aca="false">IF($K416=0,"","OPERATIONS")</f>
        <v/>
      </c>
      <c r="C416" s="26" t="str">
        <f aca="false">IF($K416=0,"",OPERATIONS!$A116)</f>
        <v/>
      </c>
      <c r="D416" s="31" t="str">
        <f aca="false">IF($K416=0,"",OPERATIONS!$B116)</f>
        <v/>
      </c>
      <c r="E416" s="26" t="str">
        <f aca="false">IF($K416=0,"","ENTREE")</f>
        <v/>
      </c>
      <c r="F416" s="26" t="str">
        <f aca="false">IF($K416=0,"",OPERATIONS!$C116)</f>
        <v/>
      </c>
      <c r="G416" s="26" t="str">
        <f aca="false">IF($K416=0,"",OPERATIONS!$D116)</f>
        <v/>
      </c>
      <c r="H416" s="26" t="str">
        <f aca="false">IF($K416=0,"",OPERATIONS!$F116)</f>
        <v/>
      </c>
      <c r="I416" s="26" t="str">
        <f aca="false">IF($H416="","",IFERROR(INDEX(EMPL_CLASSE,MATCH($H416,EMPL_KEY,0)),""))</f>
        <v/>
      </c>
      <c r="J416" s="26" t="str">
        <f aca="false">IF($K416=0,"",OPERATIONS!$J116)</f>
        <v/>
      </c>
      <c r="K416" s="67" t="n">
        <f aca="false">IF(OR(OPERATIONS!$N116=0,OPERATIONS!$C116="CONSOMMATION"),0,OPERATIONS!$G116)</f>
        <v>0</v>
      </c>
      <c r="L416" s="67" t="n">
        <f aca="false">IF($K416=0,0,OPERATIONS!$Q116*$K416)</f>
        <v>0</v>
      </c>
      <c r="M416" s="26" t="str">
        <f aca="false">IF($K416=0,"",OPERATIONS!$P116)</f>
        <v/>
      </c>
      <c r="N416" s="26" t="str">
        <f aca="false">IF($G416="","",IF($G416=R_LOT,COUNTIF($G$5:$G416,R_LOT),""))</f>
        <v/>
      </c>
    </row>
    <row r="417" customFormat="false" ht="15" hidden="false" customHeight="false" outlineLevel="0" collapsed="false">
      <c r="A417" s="28" t="str">
        <f aca="false">IF($K417=0,"",ROW()-4)</f>
        <v/>
      </c>
      <c r="B417" s="26" t="str">
        <f aca="false">IF($K417=0,"","OPERATIONS")</f>
        <v/>
      </c>
      <c r="C417" s="26" t="str">
        <f aca="false">IF($K417=0,"",OPERATIONS!$A117)</f>
        <v/>
      </c>
      <c r="D417" s="31" t="str">
        <f aca="false">IF($K417=0,"",OPERATIONS!$B117)</f>
        <v/>
      </c>
      <c r="E417" s="26" t="str">
        <f aca="false">IF($K417=0,"","ENTREE")</f>
        <v/>
      </c>
      <c r="F417" s="26" t="str">
        <f aca="false">IF($K417=0,"",OPERATIONS!$C117)</f>
        <v/>
      </c>
      <c r="G417" s="26" t="str">
        <f aca="false">IF($K417=0,"",OPERATIONS!$D117)</f>
        <v/>
      </c>
      <c r="H417" s="26" t="str">
        <f aca="false">IF($K417=0,"",OPERATIONS!$F117)</f>
        <v/>
      </c>
      <c r="I417" s="26" t="str">
        <f aca="false">IF($H417="","",IFERROR(INDEX(EMPL_CLASSE,MATCH($H417,EMPL_KEY,0)),""))</f>
        <v/>
      </c>
      <c r="J417" s="26" t="str">
        <f aca="false">IF($K417=0,"",OPERATIONS!$J117)</f>
        <v/>
      </c>
      <c r="K417" s="67" t="n">
        <f aca="false">IF(OR(OPERATIONS!$N117=0,OPERATIONS!$C117="CONSOMMATION"),0,OPERATIONS!$G117)</f>
        <v>0</v>
      </c>
      <c r="L417" s="67" t="n">
        <f aca="false">IF($K417=0,0,OPERATIONS!$Q117*$K417)</f>
        <v>0</v>
      </c>
      <c r="M417" s="26" t="str">
        <f aca="false">IF($K417=0,"",OPERATIONS!$P117)</f>
        <v/>
      </c>
      <c r="N417" s="26" t="str">
        <f aca="false">IF($G417="","",IF($G417=R_LOT,COUNTIF($G$5:$G417,R_LOT),""))</f>
        <v/>
      </c>
    </row>
    <row r="418" customFormat="false" ht="15" hidden="false" customHeight="false" outlineLevel="0" collapsed="false">
      <c r="A418" s="28" t="str">
        <f aca="false">IF($K418=0,"",ROW()-4)</f>
        <v/>
      </c>
      <c r="B418" s="26" t="str">
        <f aca="false">IF($K418=0,"","OPERATIONS")</f>
        <v/>
      </c>
      <c r="C418" s="26" t="str">
        <f aca="false">IF($K418=0,"",OPERATIONS!$A118)</f>
        <v/>
      </c>
      <c r="D418" s="31" t="str">
        <f aca="false">IF($K418=0,"",OPERATIONS!$B118)</f>
        <v/>
      </c>
      <c r="E418" s="26" t="str">
        <f aca="false">IF($K418=0,"","ENTREE")</f>
        <v/>
      </c>
      <c r="F418" s="26" t="str">
        <f aca="false">IF($K418=0,"",OPERATIONS!$C118)</f>
        <v/>
      </c>
      <c r="G418" s="26" t="str">
        <f aca="false">IF($K418=0,"",OPERATIONS!$D118)</f>
        <v/>
      </c>
      <c r="H418" s="26" t="str">
        <f aca="false">IF($K418=0,"",OPERATIONS!$F118)</f>
        <v/>
      </c>
      <c r="I418" s="26" t="str">
        <f aca="false">IF($H418="","",IFERROR(INDEX(EMPL_CLASSE,MATCH($H418,EMPL_KEY,0)),""))</f>
        <v/>
      </c>
      <c r="J418" s="26" t="str">
        <f aca="false">IF($K418=0,"",OPERATIONS!$J118)</f>
        <v/>
      </c>
      <c r="K418" s="67" t="n">
        <f aca="false">IF(OR(OPERATIONS!$N118=0,OPERATIONS!$C118="CONSOMMATION"),0,OPERATIONS!$G118)</f>
        <v>0</v>
      </c>
      <c r="L418" s="67" t="n">
        <f aca="false">IF($K418=0,0,OPERATIONS!$Q118*$K418)</f>
        <v>0</v>
      </c>
      <c r="M418" s="26" t="str">
        <f aca="false">IF($K418=0,"",OPERATIONS!$P118)</f>
        <v/>
      </c>
      <c r="N418" s="26" t="str">
        <f aca="false">IF($G418="","",IF($G418=R_LOT,COUNTIF($G$5:$G418,R_LOT),""))</f>
        <v/>
      </c>
    </row>
    <row r="419" customFormat="false" ht="15" hidden="false" customHeight="false" outlineLevel="0" collapsed="false">
      <c r="A419" s="28" t="str">
        <f aca="false">IF($K419=0,"",ROW()-4)</f>
        <v/>
      </c>
      <c r="B419" s="26" t="str">
        <f aca="false">IF($K419=0,"","OPERATIONS")</f>
        <v/>
      </c>
      <c r="C419" s="26" t="str">
        <f aca="false">IF($K419=0,"",OPERATIONS!$A119)</f>
        <v/>
      </c>
      <c r="D419" s="31" t="str">
        <f aca="false">IF($K419=0,"",OPERATIONS!$B119)</f>
        <v/>
      </c>
      <c r="E419" s="26" t="str">
        <f aca="false">IF($K419=0,"","ENTREE")</f>
        <v/>
      </c>
      <c r="F419" s="26" t="str">
        <f aca="false">IF($K419=0,"",OPERATIONS!$C119)</f>
        <v/>
      </c>
      <c r="G419" s="26" t="str">
        <f aca="false">IF($K419=0,"",OPERATIONS!$D119)</f>
        <v/>
      </c>
      <c r="H419" s="26" t="str">
        <f aca="false">IF($K419=0,"",OPERATIONS!$F119)</f>
        <v/>
      </c>
      <c r="I419" s="26" t="str">
        <f aca="false">IF($H419="","",IFERROR(INDEX(EMPL_CLASSE,MATCH($H419,EMPL_KEY,0)),""))</f>
        <v/>
      </c>
      <c r="J419" s="26" t="str">
        <f aca="false">IF($K419=0,"",OPERATIONS!$J119)</f>
        <v/>
      </c>
      <c r="K419" s="67" t="n">
        <f aca="false">IF(OR(OPERATIONS!$N119=0,OPERATIONS!$C119="CONSOMMATION"),0,OPERATIONS!$G119)</f>
        <v>0</v>
      </c>
      <c r="L419" s="67" t="n">
        <f aca="false">IF($K419=0,0,OPERATIONS!$Q119*$K419)</f>
        <v>0</v>
      </c>
      <c r="M419" s="26" t="str">
        <f aca="false">IF($K419=0,"",OPERATIONS!$P119)</f>
        <v/>
      </c>
      <c r="N419" s="26" t="str">
        <f aca="false">IF($G419="","",IF($G419=R_LOT,COUNTIF($G$5:$G419,R_LOT),""))</f>
        <v/>
      </c>
    </row>
    <row r="420" customFormat="false" ht="15" hidden="false" customHeight="false" outlineLevel="0" collapsed="false">
      <c r="A420" s="28" t="str">
        <f aca="false">IF($K420=0,"",ROW()-4)</f>
        <v/>
      </c>
      <c r="B420" s="26" t="str">
        <f aca="false">IF($K420=0,"","OPERATIONS")</f>
        <v/>
      </c>
      <c r="C420" s="26" t="str">
        <f aca="false">IF($K420=0,"",OPERATIONS!$A120)</f>
        <v/>
      </c>
      <c r="D420" s="31" t="str">
        <f aca="false">IF($K420=0,"",OPERATIONS!$B120)</f>
        <v/>
      </c>
      <c r="E420" s="26" t="str">
        <f aca="false">IF($K420=0,"","ENTREE")</f>
        <v/>
      </c>
      <c r="F420" s="26" t="str">
        <f aca="false">IF($K420=0,"",OPERATIONS!$C120)</f>
        <v/>
      </c>
      <c r="G420" s="26" t="str">
        <f aca="false">IF($K420=0,"",OPERATIONS!$D120)</f>
        <v/>
      </c>
      <c r="H420" s="26" t="str">
        <f aca="false">IF($K420=0,"",OPERATIONS!$F120)</f>
        <v/>
      </c>
      <c r="I420" s="26" t="str">
        <f aca="false">IF($H420="","",IFERROR(INDEX(EMPL_CLASSE,MATCH($H420,EMPL_KEY,0)),""))</f>
        <v/>
      </c>
      <c r="J420" s="26" t="str">
        <f aca="false">IF($K420=0,"",OPERATIONS!$J120)</f>
        <v/>
      </c>
      <c r="K420" s="67" t="n">
        <f aca="false">IF(OR(OPERATIONS!$N120=0,OPERATIONS!$C120="CONSOMMATION"),0,OPERATIONS!$G120)</f>
        <v>0</v>
      </c>
      <c r="L420" s="67" t="n">
        <f aca="false">IF($K420=0,0,OPERATIONS!$Q120*$K420)</f>
        <v>0</v>
      </c>
      <c r="M420" s="26" t="str">
        <f aca="false">IF($K420=0,"",OPERATIONS!$P120)</f>
        <v/>
      </c>
      <c r="N420" s="26" t="str">
        <f aca="false">IF($G420="","",IF($G420=R_LOT,COUNTIF($G$5:$G420,R_LOT),""))</f>
        <v/>
      </c>
    </row>
    <row r="421" customFormat="false" ht="15" hidden="false" customHeight="false" outlineLevel="0" collapsed="false">
      <c r="A421" s="28" t="str">
        <f aca="false">IF($K421=0,"",ROW()-4)</f>
        <v/>
      </c>
      <c r="B421" s="26" t="str">
        <f aca="false">IF($K421=0,"","OPERATIONS")</f>
        <v/>
      </c>
      <c r="C421" s="26" t="str">
        <f aca="false">IF($K421=0,"",OPERATIONS!$A121)</f>
        <v/>
      </c>
      <c r="D421" s="31" t="str">
        <f aca="false">IF($K421=0,"",OPERATIONS!$B121)</f>
        <v/>
      </c>
      <c r="E421" s="26" t="str">
        <f aca="false">IF($K421=0,"","ENTREE")</f>
        <v/>
      </c>
      <c r="F421" s="26" t="str">
        <f aca="false">IF($K421=0,"",OPERATIONS!$C121)</f>
        <v/>
      </c>
      <c r="G421" s="26" t="str">
        <f aca="false">IF($K421=0,"",OPERATIONS!$D121)</f>
        <v/>
      </c>
      <c r="H421" s="26" t="str">
        <f aca="false">IF($K421=0,"",OPERATIONS!$F121)</f>
        <v/>
      </c>
      <c r="I421" s="26" t="str">
        <f aca="false">IF($H421="","",IFERROR(INDEX(EMPL_CLASSE,MATCH($H421,EMPL_KEY,0)),""))</f>
        <v/>
      </c>
      <c r="J421" s="26" t="str">
        <f aca="false">IF($K421=0,"",OPERATIONS!$J121)</f>
        <v/>
      </c>
      <c r="K421" s="67" t="n">
        <f aca="false">IF(OR(OPERATIONS!$N121=0,OPERATIONS!$C121="CONSOMMATION"),0,OPERATIONS!$G121)</f>
        <v>0</v>
      </c>
      <c r="L421" s="67" t="n">
        <f aca="false">IF($K421=0,0,OPERATIONS!$Q121*$K421)</f>
        <v>0</v>
      </c>
      <c r="M421" s="26" t="str">
        <f aca="false">IF($K421=0,"",OPERATIONS!$P121)</f>
        <v/>
      </c>
      <c r="N421" s="26" t="str">
        <f aca="false">IF($G421="","",IF($G421=R_LOT,COUNTIF($G$5:$G421,R_LOT),""))</f>
        <v/>
      </c>
    </row>
    <row r="422" customFormat="false" ht="15" hidden="false" customHeight="false" outlineLevel="0" collapsed="false">
      <c r="A422" s="28" t="str">
        <f aca="false">IF($K422=0,"",ROW()-4)</f>
        <v/>
      </c>
      <c r="B422" s="26" t="str">
        <f aca="false">IF($K422=0,"","OPERATIONS")</f>
        <v/>
      </c>
      <c r="C422" s="26" t="str">
        <f aca="false">IF($K422=0,"",OPERATIONS!$A122)</f>
        <v/>
      </c>
      <c r="D422" s="31" t="str">
        <f aca="false">IF($K422=0,"",OPERATIONS!$B122)</f>
        <v/>
      </c>
      <c r="E422" s="26" t="str">
        <f aca="false">IF($K422=0,"","ENTREE")</f>
        <v/>
      </c>
      <c r="F422" s="26" t="str">
        <f aca="false">IF($K422=0,"",OPERATIONS!$C122)</f>
        <v/>
      </c>
      <c r="G422" s="26" t="str">
        <f aca="false">IF($K422=0,"",OPERATIONS!$D122)</f>
        <v/>
      </c>
      <c r="H422" s="26" t="str">
        <f aca="false">IF($K422=0,"",OPERATIONS!$F122)</f>
        <v/>
      </c>
      <c r="I422" s="26" t="str">
        <f aca="false">IF($H422="","",IFERROR(INDEX(EMPL_CLASSE,MATCH($H422,EMPL_KEY,0)),""))</f>
        <v/>
      </c>
      <c r="J422" s="26" t="str">
        <f aca="false">IF($K422=0,"",OPERATIONS!$J122)</f>
        <v/>
      </c>
      <c r="K422" s="67" t="n">
        <f aca="false">IF(OR(OPERATIONS!$N122=0,OPERATIONS!$C122="CONSOMMATION"),0,OPERATIONS!$G122)</f>
        <v>0</v>
      </c>
      <c r="L422" s="67" t="n">
        <f aca="false">IF($K422=0,0,OPERATIONS!$Q122*$K422)</f>
        <v>0</v>
      </c>
      <c r="M422" s="26" t="str">
        <f aca="false">IF($K422=0,"",OPERATIONS!$P122)</f>
        <v/>
      </c>
      <c r="N422" s="26" t="str">
        <f aca="false">IF($G422="","",IF($G422=R_LOT,COUNTIF($G$5:$G422,R_LOT),""))</f>
        <v/>
      </c>
    </row>
    <row r="423" customFormat="false" ht="15" hidden="false" customHeight="false" outlineLevel="0" collapsed="false">
      <c r="A423" s="28" t="str">
        <f aca="false">IF($K423=0,"",ROW()-4)</f>
        <v/>
      </c>
      <c r="B423" s="26" t="str">
        <f aca="false">IF($K423=0,"","OPERATIONS")</f>
        <v/>
      </c>
      <c r="C423" s="26" t="str">
        <f aca="false">IF($K423=0,"",OPERATIONS!$A123)</f>
        <v/>
      </c>
      <c r="D423" s="31" t="str">
        <f aca="false">IF($K423=0,"",OPERATIONS!$B123)</f>
        <v/>
      </c>
      <c r="E423" s="26" t="str">
        <f aca="false">IF($K423=0,"","ENTREE")</f>
        <v/>
      </c>
      <c r="F423" s="26" t="str">
        <f aca="false">IF($K423=0,"",OPERATIONS!$C123)</f>
        <v/>
      </c>
      <c r="G423" s="26" t="str">
        <f aca="false">IF($K423=0,"",OPERATIONS!$D123)</f>
        <v/>
      </c>
      <c r="H423" s="26" t="str">
        <f aca="false">IF($K423=0,"",OPERATIONS!$F123)</f>
        <v/>
      </c>
      <c r="I423" s="26" t="str">
        <f aca="false">IF($H423="","",IFERROR(INDEX(EMPL_CLASSE,MATCH($H423,EMPL_KEY,0)),""))</f>
        <v/>
      </c>
      <c r="J423" s="26" t="str">
        <f aca="false">IF($K423=0,"",OPERATIONS!$J123)</f>
        <v/>
      </c>
      <c r="K423" s="67" t="n">
        <f aca="false">IF(OR(OPERATIONS!$N123=0,OPERATIONS!$C123="CONSOMMATION"),0,OPERATIONS!$G123)</f>
        <v>0</v>
      </c>
      <c r="L423" s="67" t="n">
        <f aca="false">IF($K423=0,0,OPERATIONS!$Q123*$K423)</f>
        <v>0</v>
      </c>
      <c r="M423" s="26" t="str">
        <f aca="false">IF($K423=0,"",OPERATIONS!$P123)</f>
        <v/>
      </c>
      <c r="N423" s="26" t="str">
        <f aca="false">IF($G423="","",IF($G423=R_LOT,COUNTIF($G$5:$G423,R_LOT),""))</f>
        <v/>
      </c>
    </row>
    <row r="424" customFormat="false" ht="15" hidden="false" customHeight="false" outlineLevel="0" collapsed="false">
      <c r="A424" s="28" t="str">
        <f aca="false">IF($K424=0,"",ROW()-4)</f>
        <v/>
      </c>
      <c r="B424" s="26" t="str">
        <f aca="false">IF($K424=0,"","OPERATIONS")</f>
        <v/>
      </c>
      <c r="C424" s="26" t="str">
        <f aca="false">IF($K424=0,"",OPERATIONS!$A124)</f>
        <v/>
      </c>
      <c r="D424" s="31" t="str">
        <f aca="false">IF($K424=0,"",OPERATIONS!$B124)</f>
        <v/>
      </c>
      <c r="E424" s="26" t="str">
        <f aca="false">IF($K424=0,"","ENTREE")</f>
        <v/>
      </c>
      <c r="F424" s="26" t="str">
        <f aca="false">IF($K424=0,"",OPERATIONS!$C124)</f>
        <v/>
      </c>
      <c r="G424" s="26" t="str">
        <f aca="false">IF($K424=0,"",OPERATIONS!$D124)</f>
        <v/>
      </c>
      <c r="H424" s="26" t="str">
        <f aca="false">IF($K424=0,"",OPERATIONS!$F124)</f>
        <v/>
      </c>
      <c r="I424" s="26" t="str">
        <f aca="false">IF($H424="","",IFERROR(INDEX(EMPL_CLASSE,MATCH($H424,EMPL_KEY,0)),""))</f>
        <v/>
      </c>
      <c r="J424" s="26" t="str">
        <f aca="false">IF($K424=0,"",OPERATIONS!$J124)</f>
        <v/>
      </c>
      <c r="K424" s="67" t="n">
        <f aca="false">IF(OR(OPERATIONS!$N124=0,OPERATIONS!$C124="CONSOMMATION"),0,OPERATIONS!$G124)</f>
        <v>0</v>
      </c>
      <c r="L424" s="67" t="n">
        <f aca="false">IF($K424=0,0,OPERATIONS!$Q124*$K424)</f>
        <v>0</v>
      </c>
      <c r="M424" s="26" t="str">
        <f aca="false">IF($K424=0,"",OPERATIONS!$P124)</f>
        <v/>
      </c>
      <c r="N424" s="26" t="str">
        <f aca="false">IF($G424="","",IF($G424=R_LOT,COUNTIF($G$5:$G424,R_LOT),""))</f>
        <v/>
      </c>
    </row>
    <row r="425" customFormat="false" ht="15" hidden="false" customHeight="false" outlineLevel="0" collapsed="false">
      <c r="A425" s="28" t="str">
        <f aca="false">IF($K425=0,"",ROW()-4)</f>
        <v/>
      </c>
      <c r="B425" s="26" t="str">
        <f aca="false">IF($K425=0,"","OPERATIONS")</f>
        <v/>
      </c>
      <c r="C425" s="26" t="str">
        <f aca="false">IF($K425=0,"",OPERATIONS!$A125)</f>
        <v/>
      </c>
      <c r="D425" s="31" t="str">
        <f aca="false">IF($K425=0,"",OPERATIONS!$B125)</f>
        <v/>
      </c>
      <c r="E425" s="26" t="str">
        <f aca="false">IF($K425=0,"","ENTREE")</f>
        <v/>
      </c>
      <c r="F425" s="26" t="str">
        <f aca="false">IF($K425=0,"",OPERATIONS!$C125)</f>
        <v/>
      </c>
      <c r="G425" s="26" t="str">
        <f aca="false">IF($K425=0,"",OPERATIONS!$D125)</f>
        <v/>
      </c>
      <c r="H425" s="26" t="str">
        <f aca="false">IF($K425=0,"",OPERATIONS!$F125)</f>
        <v/>
      </c>
      <c r="I425" s="26" t="str">
        <f aca="false">IF($H425="","",IFERROR(INDEX(EMPL_CLASSE,MATCH($H425,EMPL_KEY,0)),""))</f>
        <v/>
      </c>
      <c r="J425" s="26" t="str">
        <f aca="false">IF($K425=0,"",OPERATIONS!$J125)</f>
        <v/>
      </c>
      <c r="K425" s="67" t="n">
        <f aca="false">IF(OR(OPERATIONS!$N125=0,OPERATIONS!$C125="CONSOMMATION"),0,OPERATIONS!$G125)</f>
        <v>0</v>
      </c>
      <c r="L425" s="67" t="n">
        <f aca="false">IF($K425=0,0,OPERATIONS!$Q125*$K425)</f>
        <v>0</v>
      </c>
      <c r="M425" s="26" t="str">
        <f aca="false">IF($K425=0,"",OPERATIONS!$P125)</f>
        <v/>
      </c>
      <c r="N425" s="26" t="str">
        <f aca="false">IF($G425="","",IF($G425=R_LOT,COUNTIF($G$5:$G425,R_LOT),""))</f>
        <v/>
      </c>
    </row>
    <row r="426" customFormat="false" ht="15" hidden="false" customHeight="false" outlineLevel="0" collapsed="false">
      <c r="A426" s="28" t="str">
        <f aca="false">IF($K426=0,"",ROW()-4)</f>
        <v/>
      </c>
      <c r="B426" s="26" t="str">
        <f aca="false">IF($K426=0,"","OPERATIONS")</f>
        <v/>
      </c>
      <c r="C426" s="26" t="str">
        <f aca="false">IF($K426=0,"",OPERATIONS!$A126)</f>
        <v/>
      </c>
      <c r="D426" s="31" t="str">
        <f aca="false">IF($K426=0,"",OPERATIONS!$B126)</f>
        <v/>
      </c>
      <c r="E426" s="26" t="str">
        <f aca="false">IF($K426=0,"","ENTREE")</f>
        <v/>
      </c>
      <c r="F426" s="26" t="str">
        <f aca="false">IF($K426=0,"",OPERATIONS!$C126)</f>
        <v/>
      </c>
      <c r="G426" s="26" t="str">
        <f aca="false">IF($K426=0,"",OPERATIONS!$D126)</f>
        <v/>
      </c>
      <c r="H426" s="26" t="str">
        <f aca="false">IF($K426=0,"",OPERATIONS!$F126)</f>
        <v/>
      </c>
      <c r="I426" s="26" t="str">
        <f aca="false">IF($H426="","",IFERROR(INDEX(EMPL_CLASSE,MATCH($H426,EMPL_KEY,0)),""))</f>
        <v/>
      </c>
      <c r="J426" s="26" t="str">
        <f aca="false">IF($K426=0,"",OPERATIONS!$J126)</f>
        <v/>
      </c>
      <c r="K426" s="67" t="n">
        <f aca="false">IF(OR(OPERATIONS!$N126=0,OPERATIONS!$C126="CONSOMMATION"),0,OPERATIONS!$G126)</f>
        <v>0</v>
      </c>
      <c r="L426" s="67" t="n">
        <f aca="false">IF($K426=0,0,OPERATIONS!$Q126*$K426)</f>
        <v>0</v>
      </c>
      <c r="M426" s="26" t="str">
        <f aca="false">IF($K426=0,"",OPERATIONS!$P126)</f>
        <v/>
      </c>
      <c r="N426" s="26" t="str">
        <f aca="false">IF($G426="","",IF($G426=R_LOT,COUNTIF($G$5:$G426,R_LOT),""))</f>
        <v/>
      </c>
    </row>
    <row r="427" customFormat="false" ht="15" hidden="false" customHeight="false" outlineLevel="0" collapsed="false">
      <c r="A427" s="28" t="str">
        <f aca="false">IF($K427=0,"",ROW()-4)</f>
        <v/>
      </c>
      <c r="B427" s="26" t="str">
        <f aca="false">IF($K427=0,"","OPERATIONS")</f>
        <v/>
      </c>
      <c r="C427" s="26" t="str">
        <f aca="false">IF($K427=0,"",OPERATIONS!$A127)</f>
        <v/>
      </c>
      <c r="D427" s="31" t="str">
        <f aca="false">IF($K427=0,"",OPERATIONS!$B127)</f>
        <v/>
      </c>
      <c r="E427" s="26" t="str">
        <f aca="false">IF($K427=0,"","ENTREE")</f>
        <v/>
      </c>
      <c r="F427" s="26" t="str">
        <f aca="false">IF($K427=0,"",OPERATIONS!$C127)</f>
        <v/>
      </c>
      <c r="G427" s="26" t="str">
        <f aca="false">IF($K427=0,"",OPERATIONS!$D127)</f>
        <v/>
      </c>
      <c r="H427" s="26" t="str">
        <f aca="false">IF($K427=0,"",OPERATIONS!$F127)</f>
        <v/>
      </c>
      <c r="I427" s="26" t="str">
        <f aca="false">IF($H427="","",IFERROR(INDEX(EMPL_CLASSE,MATCH($H427,EMPL_KEY,0)),""))</f>
        <v/>
      </c>
      <c r="J427" s="26" t="str">
        <f aca="false">IF($K427=0,"",OPERATIONS!$J127)</f>
        <v/>
      </c>
      <c r="K427" s="67" t="n">
        <f aca="false">IF(OR(OPERATIONS!$N127=0,OPERATIONS!$C127="CONSOMMATION"),0,OPERATIONS!$G127)</f>
        <v>0</v>
      </c>
      <c r="L427" s="67" t="n">
        <f aca="false">IF($K427=0,0,OPERATIONS!$Q127*$K427)</f>
        <v>0</v>
      </c>
      <c r="M427" s="26" t="str">
        <f aca="false">IF($K427=0,"",OPERATIONS!$P127)</f>
        <v/>
      </c>
      <c r="N427" s="26" t="str">
        <f aca="false">IF($G427="","",IF($G427=R_LOT,COUNTIF($G$5:$G427,R_LOT),""))</f>
        <v/>
      </c>
    </row>
    <row r="428" customFormat="false" ht="15" hidden="false" customHeight="false" outlineLevel="0" collapsed="false">
      <c r="A428" s="28" t="str">
        <f aca="false">IF($K428=0,"",ROW()-4)</f>
        <v/>
      </c>
      <c r="B428" s="26" t="str">
        <f aca="false">IF($K428=0,"","OPERATIONS")</f>
        <v/>
      </c>
      <c r="C428" s="26" t="str">
        <f aca="false">IF($K428=0,"",OPERATIONS!$A128)</f>
        <v/>
      </c>
      <c r="D428" s="31" t="str">
        <f aca="false">IF($K428=0,"",OPERATIONS!$B128)</f>
        <v/>
      </c>
      <c r="E428" s="26" t="str">
        <f aca="false">IF($K428=0,"","ENTREE")</f>
        <v/>
      </c>
      <c r="F428" s="26" t="str">
        <f aca="false">IF($K428=0,"",OPERATIONS!$C128)</f>
        <v/>
      </c>
      <c r="G428" s="26" t="str">
        <f aca="false">IF($K428=0,"",OPERATIONS!$D128)</f>
        <v/>
      </c>
      <c r="H428" s="26" t="str">
        <f aca="false">IF($K428=0,"",OPERATIONS!$F128)</f>
        <v/>
      </c>
      <c r="I428" s="26" t="str">
        <f aca="false">IF($H428="","",IFERROR(INDEX(EMPL_CLASSE,MATCH($H428,EMPL_KEY,0)),""))</f>
        <v/>
      </c>
      <c r="J428" s="26" t="str">
        <f aca="false">IF($K428=0,"",OPERATIONS!$J128)</f>
        <v/>
      </c>
      <c r="K428" s="67" t="n">
        <f aca="false">IF(OR(OPERATIONS!$N128=0,OPERATIONS!$C128="CONSOMMATION"),0,OPERATIONS!$G128)</f>
        <v>0</v>
      </c>
      <c r="L428" s="67" t="n">
        <f aca="false">IF($K428=0,0,OPERATIONS!$Q128*$K428)</f>
        <v>0</v>
      </c>
      <c r="M428" s="26" t="str">
        <f aca="false">IF($K428=0,"",OPERATIONS!$P128)</f>
        <v/>
      </c>
      <c r="N428" s="26" t="str">
        <f aca="false">IF($G428="","",IF($G428=R_LOT,COUNTIF($G$5:$G428,R_LOT),""))</f>
        <v/>
      </c>
    </row>
    <row r="429" customFormat="false" ht="15" hidden="false" customHeight="false" outlineLevel="0" collapsed="false">
      <c r="A429" s="28" t="str">
        <f aca="false">IF($K429=0,"",ROW()-4)</f>
        <v/>
      </c>
      <c r="B429" s="26" t="str">
        <f aca="false">IF($K429=0,"","OPERATIONS")</f>
        <v/>
      </c>
      <c r="C429" s="26" t="str">
        <f aca="false">IF($K429=0,"",OPERATIONS!$A129)</f>
        <v/>
      </c>
      <c r="D429" s="31" t="str">
        <f aca="false">IF($K429=0,"",OPERATIONS!$B129)</f>
        <v/>
      </c>
      <c r="E429" s="26" t="str">
        <f aca="false">IF($K429=0,"","ENTREE")</f>
        <v/>
      </c>
      <c r="F429" s="26" t="str">
        <f aca="false">IF($K429=0,"",OPERATIONS!$C129)</f>
        <v/>
      </c>
      <c r="G429" s="26" t="str">
        <f aca="false">IF($K429=0,"",OPERATIONS!$D129)</f>
        <v/>
      </c>
      <c r="H429" s="26" t="str">
        <f aca="false">IF($K429=0,"",OPERATIONS!$F129)</f>
        <v/>
      </c>
      <c r="I429" s="26" t="str">
        <f aca="false">IF($H429="","",IFERROR(INDEX(EMPL_CLASSE,MATCH($H429,EMPL_KEY,0)),""))</f>
        <v/>
      </c>
      <c r="J429" s="26" t="str">
        <f aca="false">IF($K429=0,"",OPERATIONS!$J129)</f>
        <v/>
      </c>
      <c r="K429" s="67" t="n">
        <f aca="false">IF(OR(OPERATIONS!$N129=0,OPERATIONS!$C129="CONSOMMATION"),0,OPERATIONS!$G129)</f>
        <v>0</v>
      </c>
      <c r="L429" s="67" t="n">
        <f aca="false">IF($K429=0,0,OPERATIONS!$Q129*$K429)</f>
        <v>0</v>
      </c>
      <c r="M429" s="26" t="str">
        <f aca="false">IF($K429=0,"",OPERATIONS!$P129)</f>
        <v/>
      </c>
      <c r="N429" s="26" t="str">
        <f aca="false">IF($G429="","",IF($G429=R_LOT,COUNTIF($G$5:$G429,R_LOT),""))</f>
        <v/>
      </c>
    </row>
    <row r="430" customFormat="false" ht="15" hidden="false" customHeight="false" outlineLevel="0" collapsed="false">
      <c r="A430" s="28" t="str">
        <f aca="false">IF($K430=0,"",ROW()-4)</f>
        <v/>
      </c>
      <c r="B430" s="26" t="str">
        <f aca="false">IF($K430=0,"","OPERATIONS")</f>
        <v/>
      </c>
      <c r="C430" s="26" t="str">
        <f aca="false">IF($K430=0,"",OPERATIONS!$A130)</f>
        <v/>
      </c>
      <c r="D430" s="31" t="str">
        <f aca="false">IF($K430=0,"",OPERATIONS!$B130)</f>
        <v/>
      </c>
      <c r="E430" s="26" t="str">
        <f aca="false">IF($K430=0,"","ENTREE")</f>
        <v/>
      </c>
      <c r="F430" s="26" t="str">
        <f aca="false">IF($K430=0,"",OPERATIONS!$C130)</f>
        <v/>
      </c>
      <c r="G430" s="26" t="str">
        <f aca="false">IF($K430=0,"",OPERATIONS!$D130)</f>
        <v/>
      </c>
      <c r="H430" s="26" t="str">
        <f aca="false">IF($K430=0,"",OPERATIONS!$F130)</f>
        <v/>
      </c>
      <c r="I430" s="26" t="str">
        <f aca="false">IF($H430="","",IFERROR(INDEX(EMPL_CLASSE,MATCH($H430,EMPL_KEY,0)),""))</f>
        <v/>
      </c>
      <c r="J430" s="26" t="str">
        <f aca="false">IF($K430=0,"",OPERATIONS!$J130)</f>
        <v/>
      </c>
      <c r="K430" s="67" t="n">
        <f aca="false">IF(OR(OPERATIONS!$N130=0,OPERATIONS!$C130="CONSOMMATION"),0,OPERATIONS!$G130)</f>
        <v>0</v>
      </c>
      <c r="L430" s="67" t="n">
        <f aca="false">IF($K430=0,0,OPERATIONS!$Q130*$K430)</f>
        <v>0</v>
      </c>
      <c r="M430" s="26" t="str">
        <f aca="false">IF($K430=0,"",OPERATIONS!$P130)</f>
        <v/>
      </c>
      <c r="N430" s="26" t="str">
        <f aca="false">IF($G430="","",IF($G430=R_LOT,COUNTIF($G$5:$G430,R_LOT),""))</f>
        <v/>
      </c>
    </row>
    <row r="431" customFormat="false" ht="15" hidden="false" customHeight="false" outlineLevel="0" collapsed="false">
      <c r="A431" s="28" t="str">
        <f aca="false">IF($K431=0,"",ROW()-4)</f>
        <v/>
      </c>
      <c r="B431" s="26" t="str">
        <f aca="false">IF($K431=0,"","OPERATIONS")</f>
        <v/>
      </c>
      <c r="C431" s="26" t="str">
        <f aca="false">IF($K431=0,"",OPERATIONS!$A131)</f>
        <v/>
      </c>
      <c r="D431" s="31" t="str">
        <f aca="false">IF($K431=0,"",OPERATIONS!$B131)</f>
        <v/>
      </c>
      <c r="E431" s="26" t="str">
        <f aca="false">IF($K431=0,"","ENTREE")</f>
        <v/>
      </c>
      <c r="F431" s="26" t="str">
        <f aca="false">IF($K431=0,"",OPERATIONS!$C131)</f>
        <v/>
      </c>
      <c r="G431" s="26" t="str">
        <f aca="false">IF($K431=0,"",OPERATIONS!$D131)</f>
        <v/>
      </c>
      <c r="H431" s="26" t="str">
        <f aca="false">IF($K431=0,"",OPERATIONS!$F131)</f>
        <v/>
      </c>
      <c r="I431" s="26" t="str">
        <f aca="false">IF($H431="","",IFERROR(INDEX(EMPL_CLASSE,MATCH($H431,EMPL_KEY,0)),""))</f>
        <v/>
      </c>
      <c r="J431" s="26" t="str">
        <f aca="false">IF($K431=0,"",OPERATIONS!$J131)</f>
        <v/>
      </c>
      <c r="K431" s="67" t="n">
        <f aca="false">IF(OR(OPERATIONS!$N131=0,OPERATIONS!$C131="CONSOMMATION"),0,OPERATIONS!$G131)</f>
        <v>0</v>
      </c>
      <c r="L431" s="67" t="n">
        <f aca="false">IF($K431=0,0,OPERATIONS!$Q131*$K431)</f>
        <v>0</v>
      </c>
      <c r="M431" s="26" t="str">
        <f aca="false">IF($K431=0,"",OPERATIONS!$P131)</f>
        <v/>
      </c>
      <c r="N431" s="26" t="str">
        <f aca="false">IF($G431="","",IF($G431=R_LOT,COUNTIF($G$5:$G431,R_LOT),""))</f>
        <v/>
      </c>
    </row>
    <row r="432" customFormat="false" ht="15" hidden="false" customHeight="false" outlineLevel="0" collapsed="false">
      <c r="A432" s="28" t="str">
        <f aca="false">IF($K432=0,"",ROW()-4)</f>
        <v/>
      </c>
      <c r="B432" s="26" t="str">
        <f aca="false">IF($K432=0,"","OPERATIONS")</f>
        <v/>
      </c>
      <c r="C432" s="26" t="str">
        <f aca="false">IF($K432=0,"",OPERATIONS!$A132)</f>
        <v/>
      </c>
      <c r="D432" s="31" t="str">
        <f aca="false">IF($K432=0,"",OPERATIONS!$B132)</f>
        <v/>
      </c>
      <c r="E432" s="26" t="str">
        <f aca="false">IF($K432=0,"","ENTREE")</f>
        <v/>
      </c>
      <c r="F432" s="26" t="str">
        <f aca="false">IF($K432=0,"",OPERATIONS!$C132)</f>
        <v/>
      </c>
      <c r="G432" s="26" t="str">
        <f aca="false">IF($K432=0,"",OPERATIONS!$D132)</f>
        <v/>
      </c>
      <c r="H432" s="26" t="str">
        <f aca="false">IF($K432=0,"",OPERATIONS!$F132)</f>
        <v/>
      </c>
      <c r="I432" s="26" t="str">
        <f aca="false">IF($H432="","",IFERROR(INDEX(EMPL_CLASSE,MATCH($H432,EMPL_KEY,0)),""))</f>
        <v/>
      </c>
      <c r="J432" s="26" t="str">
        <f aca="false">IF($K432=0,"",OPERATIONS!$J132)</f>
        <v/>
      </c>
      <c r="K432" s="67" t="n">
        <f aca="false">IF(OR(OPERATIONS!$N132=0,OPERATIONS!$C132="CONSOMMATION"),0,OPERATIONS!$G132)</f>
        <v>0</v>
      </c>
      <c r="L432" s="67" t="n">
        <f aca="false">IF($K432=0,0,OPERATIONS!$Q132*$K432)</f>
        <v>0</v>
      </c>
      <c r="M432" s="26" t="str">
        <f aca="false">IF($K432=0,"",OPERATIONS!$P132)</f>
        <v/>
      </c>
      <c r="N432" s="26" t="str">
        <f aca="false">IF($G432="","",IF($G432=R_LOT,COUNTIF($G$5:$G432,R_LOT),""))</f>
        <v/>
      </c>
    </row>
    <row r="433" customFormat="false" ht="15" hidden="false" customHeight="false" outlineLevel="0" collapsed="false">
      <c r="A433" s="28" t="str">
        <f aca="false">IF($K433=0,"",ROW()-4)</f>
        <v/>
      </c>
      <c r="B433" s="26" t="str">
        <f aca="false">IF($K433=0,"","OPERATIONS")</f>
        <v/>
      </c>
      <c r="C433" s="26" t="str">
        <f aca="false">IF($K433=0,"",OPERATIONS!$A133)</f>
        <v/>
      </c>
      <c r="D433" s="31" t="str">
        <f aca="false">IF($K433=0,"",OPERATIONS!$B133)</f>
        <v/>
      </c>
      <c r="E433" s="26" t="str">
        <f aca="false">IF($K433=0,"","ENTREE")</f>
        <v/>
      </c>
      <c r="F433" s="26" t="str">
        <f aca="false">IF($K433=0,"",OPERATIONS!$C133)</f>
        <v/>
      </c>
      <c r="G433" s="26" t="str">
        <f aca="false">IF($K433=0,"",OPERATIONS!$D133)</f>
        <v/>
      </c>
      <c r="H433" s="26" t="str">
        <f aca="false">IF($K433=0,"",OPERATIONS!$F133)</f>
        <v/>
      </c>
      <c r="I433" s="26" t="str">
        <f aca="false">IF($H433="","",IFERROR(INDEX(EMPL_CLASSE,MATCH($H433,EMPL_KEY,0)),""))</f>
        <v/>
      </c>
      <c r="J433" s="26" t="str">
        <f aca="false">IF($K433=0,"",OPERATIONS!$J133)</f>
        <v/>
      </c>
      <c r="K433" s="67" t="n">
        <f aca="false">IF(OR(OPERATIONS!$N133=0,OPERATIONS!$C133="CONSOMMATION"),0,OPERATIONS!$G133)</f>
        <v>0</v>
      </c>
      <c r="L433" s="67" t="n">
        <f aca="false">IF($K433=0,0,OPERATIONS!$Q133*$K433)</f>
        <v>0</v>
      </c>
      <c r="M433" s="26" t="str">
        <f aca="false">IF($K433=0,"",OPERATIONS!$P133)</f>
        <v/>
      </c>
      <c r="N433" s="26" t="str">
        <f aca="false">IF($G433="","",IF($G433=R_LOT,COUNTIF($G$5:$G433,R_LOT),""))</f>
        <v/>
      </c>
    </row>
    <row r="434" customFormat="false" ht="15" hidden="false" customHeight="false" outlineLevel="0" collapsed="false">
      <c r="A434" s="28" t="str">
        <f aca="false">IF($K434=0,"",ROW()-4)</f>
        <v/>
      </c>
      <c r="B434" s="26" t="str">
        <f aca="false">IF($K434=0,"","OPERATIONS")</f>
        <v/>
      </c>
      <c r="C434" s="26" t="str">
        <f aca="false">IF($K434=0,"",OPERATIONS!$A134)</f>
        <v/>
      </c>
      <c r="D434" s="31" t="str">
        <f aca="false">IF($K434=0,"",OPERATIONS!$B134)</f>
        <v/>
      </c>
      <c r="E434" s="26" t="str">
        <f aca="false">IF($K434=0,"","ENTREE")</f>
        <v/>
      </c>
      <c r="F434" s="26" t="str">
        <f aca="false">IF($K434=0,"",OPERATIONS!$C134)</f>
        <v/>
      </c>
      <c r="G434" s="26" t="str">
        <f aca="false">IF($K434=0,"",OPERATIONS!$D134)</f>
        <v/>
      </c>
      <c r="H434" s="26" t="str">
        <f aca="false">IF($K434=0,"",OPERATIONS!$F134)</f>
        <v/>
      </c>
      <c r="I434" s="26" t="str">
        <f aca="false">IF($H434="","",IFERROR(INDEX(EMPL_CLASSE,MATCH($H434,EMPL_KEY,0)),""))</f>
        <v/>
      </c>
      <c r="J434" s="26" t="str">
        <f aca="false">IF($K434=0,"",OPERATIONS!$J134)</f>
        <v/>
      </c>
      <c r="K434" s="67" t="n">
        <f aca="false">IF(OR(OPERATIONS!$N134=0,OPERATIONS!$C134="CONSOMMATION"),0,OPERATIONS!$G134)</f>
        <v>0</v>
      </c>
      <c r="L434" s="67" t="n">
        <f aca="false">IF($K434=0,0,OPERATIONS!$Q134*$K434)</f>
        <v>0</v>
      </c>
      <c r="M434" s="26" t="str">
        <f aca="false">IF($K434=0,"",OPERATIONS!$P134)</f>
        <v/>
      </c>
      <c r="N434" s="26" t="str">
        <f aca="false">IF($G434="","",IF($G434=R_LOT,COUNTIF($G$5:$G434,R_LOT),""))</f>
        <v/>
      </c>
    </row>
    <row r="435" customFormat="false" ht="15" hidden="false" customHeight="false" outlineLevel="0" collapsed="false">
      <c r="A435" s="28" t="str">
        <f aca="false">IF($K435=0,"",ROW()-4)</f>
        <v/>
      </c>
      <c r="B435" s="26" t="str">
        <f aca="false">IF($K435=0,"","OPERATIONS")</f>
        <v/>
      </c>
      <c r="C435" s="26" t="str">
        <f aca="false">IF($K435=0,"",OPERATIONS!$A135)</f>
        <v/>
      </c>
      <c r="D435" s="31" t="str">
        <f aca="false">IF($K435=0,"",OPERATIONS!$B135)</f>
        <v/>
      </c>
      <c r="E435" s="26" t="str">
        <f aca="false">IF($K435=0,"","ENTREE")</f>
        <v/>
      </c>
      <c r="F435" s="26" t="str">
        <f aca="false">IF($K435=0,"",OPERATIONS!$C135)</f>
        <v/>
      </c>
      <c r="G435" s="26" t="str">
        <f aca="false">IF($K435=0,"",OPERATIONS!$D135)</f>
        <v/>
      </c>
      <c r="H435" s="26" t="str">
        <f aca="false">IF($K435=0,"",OPERATIONS!$F135)</f>
        <v/>
      </c>
      <c r="I435" s="26" t="str">
        <f aca="false">IF($H435="","",IFERROR(INDEX(EMPL_CLASSE,MATCH($H435,EMPL_KEY,0)),""))</f>
        <v/>
      </c>
      <c r="J435" s="26" t="str">
        <f aca="false">IF($K435=0,"",OPERATIONS!$J135)</f>
        <v/>
      </c>
      <c r="K435" s="67" t="n">
        <f aca="false">IF(OR(OPERATIONS!$N135=0,OPERATIONS!$C135="CONSOMMATION"),0,OPERATIONS!$G135)</f>
        <v>0</v>
      </c>
      <c r="L435" s="67" t="n">
        <f aca="false">IF($K435=0,0,OPERATIONS!$Q135*$K435)</f>
        <v>0</v>
      </c>
      <c r="M435" s="26" t="str">
        <f aca="false">IF($K435=0,"",OPERATIONS!$P135)</f>
        <v/>
      </c>
      <c r="N435" s="26" t="str">
        <f aca="false">IF($G435="","",IF($G435=R_LOT,COUNTIF($G$5:$G435,R_LOT),""))</f>
        <v/>
      </c>
    </row>
    <row r="436" customFormat="false" ht="15" hidden="false" customHeight="false" outlineLevel="0" collapsed="false">
      <c r="A436" s="28" t="str">
        <f aca="false">IF($K436=0,"",ROW()-4)</f>
        <v/>
      </c>
      <c r="B436" s="26" t="str">
        <f aca="false">IF($K436=0,"","OPERATIONS")</f>
        <v/>
      </c>
      <c r="C436" s="26" t="str">
        <f aca="false">IF($K436=0,"",OPERATIONS!$A136)</f>
        <v/>
      </c>
      <c r="D436" s="31" t="str">
        <f aca="false">IF($K436=0,"",OPERATIONS!$B136)</f>
        <v/>
      </c>
      <c r="E436" s="26" t="str">
        <f aca="false">IF($K436=0,"","ENTREE")</f>
        <v/>
      </c>
      <c r="F436" s="26" t="str">
        <f aca="false">IF($K436=0,"",OPERATIONS!$C136)</f>
        <v/>
      </c>
      <c r="G436" s="26" t="str">
        <f aca="false">IF($K436=0,"",OPERATIONS!$D136)</f>
        <v/>
      </c>
      <c r="H436" s="26" t="str">
        <f aca="false">IF($K436=0,"",OPERATIONS!$F136)</f>
        <v/>
      </c>
      <c r="I436" s="26" t="str">
        <f aca="false">IF($H436="","",IFERROR(INDEX(EMPL_CLASSE,MATCH($H436,EMPL_KEY,0)),""))</f>
        <v/>
      </c>
      <c r="J436" s="26" t="str">
        <f aca="false">IF($K436=0,"",OPERATIONS!$J136)</f>
        <v/>
      </c>
      <c r="K436" s="67" t="n">
        <f aca="false">IF(OR(OPERATIONS!$N136=0,OPERATIONS!$C136="CONSOMMATION"),0,OPERATIONS!$G136)</f>
        <v>0</v>
      </c>
      <c r="L436" s="67" t="n">
        <f aca="false">IF($K436=0,0,OPERATIONS!$Q136*$K436)</f>
        <v>0</v>
      </c>
      <c r="M436" s="26" t="str">
        <f aca="false">IF($K436=0,"",OPERATIONS!$P136)</f>
        <v/>
      </c>
      <c r="N436" s="26" t="str">
        <f aca="false">IF($G436="","",IF($G436=R_LOT,COUNTIF($G$5:$G436,R_LOT),""))</f>
        <v/>
      </c>
    </row>
    <row r="437" customFormat="false" ht="15" hidden="false" customHeight="false" outlineLevel="0" collapsed="false">
      <c r="A437" s="28" t="str">
        <f aca="false">IF($K437=0,"",ROW()-4)</f>
        <v/>
      </c>
      <c r="B437" s="26" t="str">
        <f aca="false">IF($K437=0,"","OPERATIONS")</f>
        <v/>
      </c>
      <c r="C437" s="26" t="str">
        <f aca="false">IF($K437=0,"",OPERATIONS!$A137)</f>
        <v/>
      </c>
      <c r="D437" s="31" t="str">
        <f aca="false">IF($K437=0,"",OPERATIONS!$B137)</f>
        <v/>
      </c>
      <c r="E437" s="26" t="str">
        <f aca="false">IF($K437=0,"","ENTREE")</f>
        <v/>
      </c>
      <c r="F437" s="26" t="str">
        <f aca="false">IF($K437=0,"",OPERATIONS!$C137)</f>
        <v/>
      </c>
      <c r="G437" s="26" t="str">
        <f aca="false">IF($K437=0,"",OPERATIONS!$D137)</f>
        <v/>
      </c>
      <c r="H437" s="26" t="str">
        <f aca="false">IF($K437=0,"",OPERATIONS!$F137)</f>
        <v/>
      </c>
      <c r="I437" s="26" t="str">
        <f aca="false">IF($H437="","",IFERROR(INDEX(EMPL_CLASSE,MATCH($H437,EMPL_KEY,0)),""))</f>
        <v/>
      </c>
      <c r="J437" s="26" t="str">
        <f aca="false">IF($K437=0,"",OPERATIONS!$J137)</f>
        <v/>
      </c>
      <c r="K437" s="67" t="n">
        <f aca="false">IF(OR(OPERATIONS!$N137=0,OPERATIONS!$C137="CONSOMMATION"),0,OPERATIONS!$G137)</f>
        <v>0</v>
      </c>
      <c r="L437" s="67" t="n">
        <f aca="false">IF($K437=0,0,OPERATIONS!$Q137*$K437)</f>
        <v>0</v>
      </c>
      <c r="M437" s="26" t="str">
        <f aca="false">IF($K437=0,"",OPERATIONS!$P137)</f>
        <v/>
      </c>
      <c r="N437" s="26" t="str">
        <f aca="false">IF($G437="","",IF($G437=R_LOT,COUNTIF($G$5:$G437,R_LOT),""))</f>
        <v/>
      </c>
    </row>
    <row r="438" customFormat="false" ht="15" hidden="false" customHeight="false" outlineLevel="0" collapsed="false">
      <c r="A438" s="28" t="str">
        <f aca="false">IF($K438=0,"",ROW()-4)</f>
        <v/>
      </c>
      <c r="B438" s="26" t="str">
        <f aca="false">IF($K438=0,"","OPERATIONS")</f>
        <v/>
      </c>
      <c r="C438" s="26" t="str">
        <f aca="false">IF($K438=0,"",OPERATIONS!$A138)</f>
        <v/>
      </c>
      <c r="D438" s="31" t="str">
        <f aca="false">IF($K438=0,"",OPERATIONS!$B138)</f>
        <v/>
      </c>
      <c r="E438" s="26" t="str">
        <f aca="false">IF($K438=0,"","ENTREE")</f>
        <v/>
      </c>
      <c r="F438" s="26" t="str">
        <f aca="false">IF($K438=0,"",OPERATIONS!$C138)</f>
        <v/>
      </c>
      <c r="G438" s="26" t="str">
        <f aca="false">IF($K438=0,"",OPERATIONS!$D138)</f>
        <v/>
      </c>
      <c r="H438" s="26" t="str">
        <f aca="false">IF($K438=0,"",OPERATIONS!$F138)</f>
        <v/>
      </c>
      <c r="I438" s="26" t="str">
        <f aca="false">IF($H438="","",IFERROR(INDEX(EMPL_CLASSE,MATCH($H438,EMPL_KEY,0)),""))</f>
        <v/>
      </c>
      <c r="J438" s="26" t="str">
        <f aca="false">IF($K438=0,"",OPERATIONS!$J138)</f>
        <v/>
      </c>
      <c r="K438" s="67" t="n">
        <f aca="false">IF(OR(OPERATIONS!$N138=0,OPERATIONS!$C138="CONSOMMATION"),0,OPERATIONS!$G138)</f>
        <v>0</v>
      </c>
      <c r="L438" s="67" t="n">
        <f aca="false">IF($K438=0,0,OPERATIONS!$Q138*$K438)</f>
        <v>0</v>
      </c>
      <c r="M438" s="26" t="str">
        <f aca="false">IF($K438=0,"",OPERATIONS!$P138)</f>
        <v/>
      </c>
      <c r="N438" s="26" t="str">
        <f aca="false">IF($G438="","",IF($G438=R_LOT,COUNTIF($G$5:$G438,R_LOT),""))</f>
        <v/>
      </c>
    </row>
    <row r="439" customFormat="false" ht="15" hidden="false" customHeight="false" outlineLevel="0" collapsed="false">
      <c r="A439" s="28" t="str">
        <f aca="false">IF($K439=0,"",ROW()-4)</f>
        <v/>
      </c>
      <c r="B439" s="26" t="str">
        <f aca="false">IF($K439=0,"","OPERATIONS")</f>
        <v/>
      </c>
      <c r="C439" s="26" t="str">
        <f aca="false">IF($K439=0,"",OPERATIONS!$A139)</f>
        <v/>
      </c>
      <c r="D439" s="31" t="str">
        <f aca="false">IF($K439=0,"",OPERATIONS!$B139)</f>
        <v/>
      </c>
      <c r="E439" s="26" t="str">
        <f aca="false">IF($K439=0,"","ENTREE")</f>
        <v/>
      </c>
      <c r="F439" s="26" t="str">
        <f aca="false">IF($K439=0,"",OPERATIONS!$C139)</f>
        <v/>
      </c>
      <c r="G439" s="26" t="str">
        <f aca="false">IF($K439=0,"",OPERATIONS!$D139)</f>
        <v/>
      </c>
      <c r="H439" s="26" t="str">
        <f aca="false">IF($K439=0,"",OPERATIONS!$F139)</f>
        <v/>
      </c>
      <c r="I439" s="26" t="str">
        <f aca="false">IF($H439="","",IFERROR(INDEX(EMPL_CLASSE,MATCH($H439,EMPL_KEY,0)),""))</f>
        <v/>
      </c>
      <c r="J439" s="26" t="str">
        <f aca="false">IF($K439=0,"",OPERATIONS!$J139)</f>
        <v/>
      </c>
      <c r="K439" s="67" t="n">
        <f aca="false">IF(OR(OPERATIONS!$N139=0,OPERATIONS!$C139="CONSOMMATION"),0,OPERATIONS!$G139)</f>
        <v>0</v>
      </c>
      <c r="L439" s="67" t="n">
        <f aca="false">IF($K439=0,0,OPERATIONS!$Q139*$K439)</f>
        <v>0</v>
      </c>
      <c r="M439" s="26" t="str">
        <f aca="false">IF($K439=0,"",OPERATIONS!$P139)</f>
        <v/>
      </c>
      <c r="N439" s="26" t="str">
        <f aca="false">IF($G439="","",IF($G439=R_LOT,COUNTIF($G$5:$G439,R_LOT),""))</f>
        <v/>
      </c>
    </row>
    <row r="440" customFormat="false" ht="15" hidden="false" customHeight="false" outlineLevel="0" collapsed="false">
      <c r="A440" s="28" t="str">
        <f aca="false">IF($K440=0,"",ROW()-4)</f>
        <v/>
      </c>
      <c r="B440" s="26" t="str">
        <f aca="false">IF($K440=0,"","OPERATIONS")</f>
        <v/>
      </c>
      <c r="C440" s="26" t="str">
        <f aca="false">IF($K440=0,"",OPERATIONS!$A140)</f>
        <v/>
      </c>
      <c r="D440" s="31" t="str">
        <f aca="false">IF($K440=0,"",OPERATIONS!$B140)</f>
        <v/>
      </c>
      <c r="E440" s="26" t="str">
        <f aca="false">IF($K440=0,"","ENTREE")</f>
        <v/>
      </c>
      <c r="F440" s="26" t="str">
        <f aca="false">IF($K440=0,"",OPERATIONS!$C140)</f>
        <v/>
      </c>
      <c r="G440" s="26" t="str">
        <f aca="false">IF($K440=0,"",OPERATIONS!$D140)</f>
        <v/>
      </c>
      <c r="H440" s="26" t="str">
        <f aca="false">IF($K440=0,"",OPERATIONS!$F140)</f>
        <v/>
      </c>
      <c r="I440" s="26" t="str">
        <f aca="false">IF($H440="","",IFERROR(INDEX(EMPL_CLASSE,MATCH($H440,EMPL_KEY,0)),""))</f>
        <v/>
      </c>
      <c r="J440" s="26" t="str">
        <f aca="false">IF($K440=0,"",OPERATIONS!$J140)</f>
        <v/>
      </c>
      <c r="K440" s="67" t="n">
        <f aca="false">IF(OR(OPERATIONS!$N140=0,OPERATIONS!$C140="CONSOMMATION"),0,OPERATIONS!$G140)</f>
        <v>0</v>
      </c>
      <c r="L440" s="67" t="n">
        <f aca="false">IF($K440=0,0,OPERATIONS!$Q140*$K440)</f>
        <v>0</v>
      </c>
      <c r="M440" s="26" t="str">
        <f aca="false">IF($K440=0,"",OPERATIONS!$P140)</f>
        <v/>
      </c>
      <c r="N440" s="26" t="str">
        <f aca="false">IF($G440="","",IF($G440=R_LOT,COUNTIF($G$5:$G440,R_LOT),""))</f>
        <v/>
      </c>
    </row>
    <row r="441" customFormat="false" ht="15" hidden="false" customHeight="false" outlineLevel="0" collapsed="false">
      <c r="A441" s="28" t="str">
        <f aca="false">IF($K441=0,"",ROW()-4)</f>
        <v/>
      </c>
      <c r="B441" s="26" t="str">
        <f aca="false">IF($K441=0,"","OPERATIONS")</f>
        <v/>
      </c>
      <c r="C441" s="26" t="str">
        <f aca="false">IF($K441=0,"",OPERATIONS!$A141)</f>
        <v/>
      </c>
      <c r="D441" s="31" t="str">
        <f aca="false">IF($K441=0,"",OPERATIONS!$B141)</f>
        <v/>
      </c>
      <c r="E441" s="26" t="str">
        <f aca="false">IF($K441=0,"","ENTREE")</f>
        <v/>
      </c>
      <c r="F441" s="26" t="str">
        <f aca="false">IF($K441=0,"",OPERATIONS!$C141)</f>
        <v/>
      </c>
      <c r="G441" s="26" t="str">
        <f aca="false">IF($K441=0,"",OPERATIONS!$D141)</f>
        <v/>
      </c>
      <c r="H441" s="26" t="str">
        <f aca="false">IF($K441=0,"",OPERATIONS!$F141)</f>
        <v/>
      </c>
      <c r="I441" s="26" t="str">
        <f aca="false">IF($H441="","",IFERROR(INDEX(EMPL_CLASSE,MATCH($H441,EMPL_KEY,0)),""))</f>
        <v/>
      </c>
      <c r="J441" s="26" t="str">
        <f aca="false">IF($K441=0,"",OPERATIONS!$J141)</f>
        <v/>
      </c>
      <c r="K441" s="67" t="n">
        <f aca="false">IF(OR(OPERATIONS!$N141=0,OPERATIONS!$C141="CONSOMMATION"),0,OPERATIONS!$G141)</f>
        <v>0</v>
      </c>
      <c r="L441" s="67" t="n">
        <f aca="false">IF($K441=0,0,OPERATIONS!$Q141*$K441)</f>
        <v>0</v>
      </c>
      <c r="M441" s="26" t="str">
        <f aca="false">IF($K441=0,"",OPERATIONS!$P141)</f>
        <v/>
      </c>
      <c r="N441" s="26" t="str">
        <f aca="false">IF($G441="","",IF($G441=R_LOT,COUNTIF($G$5:$G441,R_LOT),""))</f>
        <v/>
      </c>
    </row>
    <row r="442" customFormat="false" ht="15" hidden="false" customHeight="false" outlineLevel="0" collapsed="false">
      <c r="A442" s="28" t="str">
        <f aca="false">IF($K442=0,"",ROW()-4)</f>
        <v/>
      </c>
      <c r="B442" s="26" t="str">
        <f aca="false">IF($K442=0,"","OPERATIONS")</f>
        <v/>
      </c>
      <c r="C442" s="26" t="str">
        <f aca="false">IF($K442=0,"",OPERATIONS!$A142)</f>
        <v/>
      </c>
      <c r="D442" s="31" t="str">
        <f aca="false">IF($K442=0,"",OPERATIONS!$B142)</f>
        <v/>
      </c>
      <c r="E442" s="26" t="str">
        <f aca="false">IF($K442=0,"","ENTREE")</f>
        <v/>
      </c>
      <c r="F442" s="26" t="str">
        <f aca="false">IF($K442=0,"",OPERATIONS!$C142)</f>
        <v/>
      </c>
      <c r="G442" s="26" t="str">
        <f aca="false">IF($K442=0,"",OPERATIONS!$D142)</f>
        <v/>
      </c>
      <c r="H442" s="26" t="str">
        <f aca="false">IF($K442=0,"",OPERATIONS!$F142)</f>
        <v/>
      </c>
      <c r="I442" s="26" t="str">
        <f aca="false">IF($H442="","",IFERROR(INDEX(EMPL_CLASSE,MATCH($H442,EMPL_KEY,0)),""))</f>
        <v/>
      </c>
      <c r="J442" s="26" t="str">
        <f aca="false">IF($K442=0,"",OPERATIONS!$J142)</f>
        <v/>
      </c>
      <c r="K442" s="67" t="n">
        <f aca="false">IF(OR(OPERATIONS!$N142=0,OPERATIONS!$C142="CONSOMMATION"),0,OPERATIONS!$G142)</f>
        <v>0</v>
      </c>
      <c r="L442" s="67" t="n">
        <f aca="false">IF($K442=0,0,OPERATIONS!$Q142*$K442)</f>
        <v>0</v>
      </c>
      <c r="M442" s="26" t="str">
        <f aca="false">IF($K442=0,"",OPERATIONS!$P142)</f>
        <v/>
      </c>
      <c r="N442" s="26" t="str">
        <f aca="false">IF($G442="","",IF($G442=R_LOT,COUNTIF($G$5:$G442,R_LOT),""))</f>
        <v/>
      </c>
    </row>
    <row r="443" customFormat="false" ht="15" hidden="false" customHeight="false" outlineLevel="0" collapsed="false">
      <c r="A443" s="28" t="str">
        <f aca="false">IF($K443=0,"",ROW()-4)</f>
        <v/>
      </c>
      <c r="B443" s="26" t="str">
        <f aca="false">IF($K443=0,"","OPERATIONS")</f>
        <v/>
      </c>
      <c r="C443" s="26" t="str">
        <f aca="false">IF($K443=0,"",OPERATIONS!$A143)</f>
        <v/>
      </c>
      <c r="D443" s="31" t="str">
        <f aca="false">IF($K443=0,"",OPERATIONS!$B143)</f>
        <v/>
      </c>
      <c r="E443" s="26" t="str">
        <f aca="false">IF($K443=0,"","ENTREE")</f>
        <v/>
      </c>
      <c r="F443" s="26" t="str">
        <f aca="false">IF($K443=0,"",OPERATIONS!$C143)</f>
        <v/>
      </c>
      <c r="G443" s="26" t="str">
        <f aca="false">IF($K443=0,"",OPERATIONS!$D143)</f>
        <v/>
      </c>
      <c r="H443" s="26" t="str">
        <f aca="false">IF($K443=0,"",OPERATIONS!$F143)</f>
        <v/>
      </c>
      <c r="I443" s="26" t="str">
        <f aca="false">IF($H443="","",IFERROR(INDEX(EMPL_CLASSE,MATCH($H443,EMPL_KEY,0)),""))</f>
        <v/>
      </c>
      <c r="J443" s="26" t="str">
        <f aca="false">IF($K443=0,"",OPERATIONS!$J143)</f>
        <v/>
      </c>
      <c r="K443" s="67" t="n">
        <f aca="false">IF(OR(OPERATIONS!$N143=0,OPERATIONS!$C143="CONSOMMATION"),0,OPERATIONS!$G143)</f>
        <v>0</v>
      </c>
      <c r="L443" s="67" t="n">
        <f aca="false">IF($K443=0,0,OPERATIONS!$Q143*$K443)</f>
        <v>0</v>
      </c>
      <c r="M443" s="26" t="str">
        <f aca="false">IF($K443=0,"",OPERATIONS!$P143)</f>
        <v/>
      </c>
      <c r="N443" s="26" t="str">
        <f aca="false">IF($G443="","",IF($G443=R_LOT,COUNTIF($G$5:$G443,R_LOT),""))</f>
        <v/>
      </c>
    </row>
    <row r="444" customFormat="false" ht="15" hidden="false" customHeight="false" outlineLevel="0" collapsed="false">
      <c r="A444" s="28" t="str">
        <f aca="false">IF($K444=0,"",ROW()-4)</f>
        <v/>
      </c>
      <c r="B444" s="26" t="str">
        <f aca="false">IF($K444=0,"","OPERATIONS")</f>
        <v/>
      </c>
      <c r="C444" s="26" t="str">
        <f aca="false">IF($K444=0,"",OPERATIONS!$A144)</f>
        <v/>
      </c>
      <c r="D444" s="31" t="str">
        <f aca="false">IF($K444=0,"",OPERATIONS!$B144)</f>
        <v/>
      </c>
      <c r="E444" s="26" t="str">
        <f aca="false">IF($K444=0,"","ENTREE")</f>
        <v/>
      </c>
      <c r="F444" s="26" t="str">
        <f aca="false">IF($K444=0,"",OPERATIONS!$C144)</f>
        <v/>
      </c>
      <c r="G444" s="26" t="str">
        <f aca="false">IF($K444=0,"",OPERATIONS!$D144)</f>
        <v/>
      </c>
      <c r="H444" s="26" t="str">
        <f aca="false">IF($K444=0,"",OPERATIONS!$F144)</f>
        <v/>
      </c>
      <c r="I444" s="26" t="str">
        <f aca="false">IF($H444="","",IFERROR(INDEX(EMPL_CLASSE,MATCH($H444,EMPL_KEY,0)),""))</f>
        <v/>
      </c>
      <c r="J444" s="26" t="str">
        <f aca="false">IF($K444=0,"",OPERATIONS!$J144)</f>
        <v/>
      </c>
      <c r="K444" s="67" t="n">
        <f aca="false">IF(OR(OPERATIONS!$N144=0,OPERATIONS!$C144="CONSOMMATION"),0,OPERATIONS!$G144)</f>
        <v>0</v>
      </c>
      <c r="L444" s="67" t="n">
        <f aca="false">IF($K444=0,0,OPERATIONS!$Q144*$K444)</f>
        <v>0</v>
      </c>
      <c r="M444" s="26" t="str">
        <f aca="false">IF($K444=0,"",OPERATIONS!$P144)</f>
        <v/>
      </c>
      <c r="N444" s="26" t="str">
        <f aca="false">IF($G444="","",IF($G444=R_LOT,COUNTIF($G$5:$G444,R_LOT),""))</f>
        <v/>
      </c>
    </row>
    <row r="445" customFormat="false" ht="15" hidden="false" customHeight="false" outlineLevel="0" collapsed="false">
      <c r="A445" s="28" t="str">
        <f aca="false">IF($K445=0,"",ROW()-4)</f>
        <v/>
      </c>
      <c r="B445" s="26" t="str">
        <f aca="false">IF($K445=0,"","OPERATIONS")</f>
        <v/>
      </c>
      <c r="C445" s="26" t="str">
        <f aca="false">IF($K445=0,"",OPERATIONS!$A145)</f>
        <v/>
      </c>
      <c r="D445" s="31" t="str">
        <f aca="false">IF($K445=0,"",OPERATIONS!$B145)</f>
        <v/>
      </c>
      <c r="E445" s="26" t="str">
        <f aca="false">IF($K445=0,"","ENTREE")</f>
        <v/>
      </c>
      <c r="F445" s="26" t="str">
        <f aca="false">IF($K445=0,"",OPERATIONS!$C145)</f>
        <v/>
      </c>
      <c r="G445" s="26" t="str">
        <f aca="false">IF($K445=0,"",OPERATIONS!$D145)</f>
        <v/>
      </c>
      <c r="H445" s="26" t="str">
        <f aca="false">IF($K445=0,"",OPERATIONS!$F145)</f>
        <v/>
      </c>
      <c r="I445" s="26" t="str">
        <f aca="false">IF($H445="","",IFERROR(INDEX(EMPL_CLASSE,MATCH($H445,EMPL_KEY,0)),""))</f>
        <v/>
      </c>
      <c r="J445" s="26" t="str">
        <f aca="false">IF($K445=0,"",OPERATIONS!$J145)</f>
        <v/>
      </c>
      <c r="K445" s="67" t="n">
        <f aca="false">IF(OR(OPERATIONS!$N145=0,OPERATIONS!$C145="CONSOMMATION"),0,OPERATIONS!$G145)</f>
        <v>0</v>
      </c>
      <c r="L445" s="67" t="n">
        <f aca="false">IF($K445=0,0,OPERATIONS!$Q145*$K445)</f>
        <v>0</v>
      </c>
      <c r="M445" s="26" t="str">
        <f aca="false">IF($K445=0,"",OPERATIONS!$P145)</f>
        <v/>
      </c>
      <c r="N445" s="26" t="str">
        <f aca="false">IF($G445="","",IF($G445=R_LOT,COUNTIF($G$5:$G445,R_LOT),""))</f>
        <v/>
      </c>
    </row>
    <row r="446" customFormat="false" ht="15" hidden="false" customHeight="false" outlineLevel="0" collapsed="false">
      <c r="A446" s="28" t="str">
        <f aca="false">IF($K446=0,"",ROW()-4)</f>
        <v/>
      </c>
      <c r="B446" s="26" t="str">
        <f aca="false">IF($K446=0,"","OPERATIONS")</f>
        <v/>
      </c>
      <c r="C446" s="26" t="str">
        <f aca="false">IF($K446=0,"",OPERATIONS!$A146)</f>
        <v/>
      </c>
      <c r="D446" s="31" t="str">
        <f aca="false">IF($K446=0,"",OPERATIONS!$B146)</f>
        <v/>
      </c>
      <c r="E446" s="26" t="str">
        <f aca="false">IF($K446=0,"","ENTREE")</f>
        <v/>
      </c>
      <c r="F446" s="26" t="str">
        <f aca="false">IF($K446=0,"",OPERATIONS!$C146)</f>
        <v/>
      </c>
      <c r="G446" s="26" t="str">
        <f aca="false">IF($K446=0,"",OPERATIONS!$D146)</f>
        <v/>
      </c>
      <c r="H446" s="26" t="str">
        <f aca="false">IF($K446=0,"",OPERATIONS!$F146)</f>
        <v/>
      </c>
      <c r="I446" s="26" t="str">
        <f aca="false">IF($H446="","",IFERROR(INDEX(EMPL_CLASSE,MATCH($H446,EMPL_KEY,0)),""))</f>
        <v/>
      </c>
      <c r="J446" s="26" t="str">
        <f aca="false">IF($K446=0,"",OPERATIONS!$J146)</f>
        <v/>
      </c>
      <c r="K446" s="67" t="n">
        <f aca="false">IF(OR(OPERATIONS!$N146=0,OPERATIONS!$C146="CONSOMMATION"),0,OPERATIONS!$G146)</f>
        <v>0</v>
      </c>
      <c r="L446" s="67" t="n">
        <f aca="false">IF($K446=0,0,OPERATIONS!$Q146*$K446)</f>
        <v>0</v>
      </c>
      <c r="M446" s="26" t="str">
        <f aca="false">IF($K446=0,"",OPERATIONS!$P146)</f>
        <v/>
      </c>
      <c r="N446" s="26" t="str">
        <f aca="false">IF($G446="","",IF($G446=R_LOT,COUNTIF($G$5:$G446,R_LOT),""))</f>
        <v/>
      </c>
    </row>
    <row r="447" customFormat="false" ht="15" hidden="false" customHeight="false" outlineLevel="0" collapsed="false">
      <c r="A447" s="28" t="str">
        <f aca="false">IF($K447=0,"",ROW()-4)</f>
        <v/>
      </c>
      <c r="B447" s="26" t="str">
        <f aca="false">IF($K447=0,"","OPERATIONS")</f>
        <v/>
      </c>
      <c r="C447" s="26" t="str">
        <f aca="false">IF($K447=0,"",OPERATIONS!$A147)</f>
        <v/>
      </c>
      <c r="D447" s="31" t="str">
        <f aca="false">IF($K447=0,"",OPERATIONS!$B147)</f>
        <v/>
      </c>
      <c r="E447" s="26" t="str">
        <f aca="false">IF($K447=0,"","ENTREE")</f>
        <v/>
      </c>
      <c r="F447" s="26" t="str">
        <f aca="false">IF($K447=0,"",OPERATIONS!$C147)</f>
        <v/>
      </c>
      <c r="G447" s="26" t="str">
        <f aca="false">IF($K447=0,"",OPERATIONS!$D147)</f>
        <v/>
      </c>
      <c r="H447" s="26" t="str">
        <f aca="false">IF($K447=0,"",OPERATIONS!$F147)</f>
        <v/>
      </c>
      <c r="I447" s="26" t="str">
        <f aca="false">IF($H447="","",IFERROR(INDEX(EMPL_CLASSE,MATCH($H447,EMPL_KEY,0)),""))</f>
        <v/>
      </c>
      <c r="J447" s="26" t="str">
        <f aca="false">IF($K447=0,"",OPERATIONS!$J147)</f>
        <v/>
      </c>
      <c r="K447" s="67" t="n">
        <f aca="false">IF(OR(OPERATIONS!$N147=0,OPERATIONS!$C147="CONSOMMATION"),0,OPERATIONS!$G147)</f>
        <v>0</v>
      </c>
      <c r="L447" s="67" t="n">
        <f aca="false">IF($K447=0,0,OPERATIONS!$Q147*$K447)</f>
        <v>0</v>
      </c>
      <c r="M447" s="26" t="str">
        <f aca="false">IF($K447=0,"",OPERATIONS!$P147)</f>
        <v/>
      </c>
      <c r="N447" s="26" t="str">
        <f aca="false">IF($G447="","",IF($G447=R_LOT,COUNTIF($G$5:$G447,R_LOT),""))</f>
        <v/>
      </c>
    </row>
    <row r="448" customFormat="false" ht="15" hidden="false" customHeight="false" outlineLevel="0" collapsed="false">
      <c r="A448" s="28" t="str">
        <f aca="false">IF($K448=0,"",ROW()-4)</f>
        <v/>
      </c>
      <c r="B448" s="26" t="str">
        <f aca="false">IF($K448=0,"","OPERATIONS")</f>
        <v/>
      </c>
      <c r="C448" s="26" t="str">
        <f aca="false">IF($K448=0,"",OPERATIONS!$A148)</f>
        <v/>
      </c>
      <c r="D448" s="31" t="str">
        <f aca="false">IF($K448=0,"",OPERATIONS!$B148)</f>
        <v/>
      </c>
      <c r="E448" s="26" t="str">
        <f aca="false">IF($K448=0,"","ENTREE")</f>
        <v/>
      </c>
      <c r="F448" s="26" t="str">
        <f aca="false">IF($K448=0,"",OPERATIONS!$C148)</f>
        <v/>
      </c>
      <c r="G448" s="26" t="str">
        <f aca="false">IF($K448=0,"",OPERATIONS!$D148)</f>
        <v/>
      </c>
      <c r="H448" s="26" t="str">
        <f aca="false">IF($K448=0,"",OPERATIONS!$F148)</f>
        <v/>
      </c>
      <c r="I448" s="26" t="str">
        <f aca="false">IF($H448="","",IFERROR(INDEX(EMPL_CLASSE,MATCH($H448,EMPL_KEY,0)),""))</f>
        <v/>
      </c>
      <c r="J448" s="26" t="str">
        <f aca="false">IF($K448=0,"",OPERATIONS!$J148)</f>
        <v/>
      </c>
      <c r="K448" s="67" t="n">
        <f aca="false">IF(OR(OPERATIONS!$N148=0,OPERATIONS!$C148="CONSOMMATION"),0,OPERATIONS!$G148)</f>
        <v>0</v>
      </c>
      <c r="L448" s="67" t="n">
        <f aca="false">IF($K448=0,0,OPERATIONS!$Q148*$K448)</f>
        <v>0</v>
      </c>
      <c r="M448" s="26" t="str">
        <f aca="false">IF($K448=0,"",OPERATIONS!$P148)</f>
        <v/>
      </c>
      <c r="N448" s="26" t="str">
        <f aca="false">IF($G448="","",IF($G448=R_LOT,COUNTIF($G$5:$G448,R_LOT),""))</f>
        <v/>
      </c>
    </row>
    <row r="449" customFormat="false" ht="15" hidden="false" customHeight="false" outlineLevel="0" collapsed="false">
      <c r="A449" s="28" t="str">
        <f aca="false">IF($K449=0,"",ROW()-4)</f>
        <v/>
      </c>
      <c r="B449" s="26" t="str">
        <f aca="false">IF($K449=0,"","OPERATIONS")</f>
        <v/>
      </c>
      <c r="C449" s="26" t="str">
        <f aca="false">IF($K449=0,"",OPERATIONS!$A149)</f>
        <v/>
      </c>
      <c r="D449" s="31" t="str">
        <f aca="false">IF($K449=0,"",OPERATIONS!$B149)</f>
        <v/>
      </c>
      <c r="E449" s="26" t="str">
        <f aca="false">IF($K449=0,"","ENTREE")</f>
        <v/>
      </c>
      <c r="F449" s="26" t="str">
        <f aca="false">IF($K449=0,"",OPERATIONS!$C149)</f>
        <v/>
      </c>
      <c r="G449" s="26" t="str">
        <f aca="false">IF($K449=0,"",OPERATIONS!$D149)</f>
        <v/>
      </c>
      <c r="H449" s="26" t="str">
        <f aca="false">IF($K449=0,"",OPERATIONS!$F149)</f>
        <v/>
      </c>
      <c r="I449" s="26" t="str">
        <f aca="false">IF($H449="","",IFERROR(INDEX(EMPL_CLASSE,MATCH($H449,EMPL_KEY,0)),""))</f>
        <v/>
      </c>
      <c r="J449" s="26" t="str">
        <f aca="false">IF($K449=0,"",OPERATIONS!$J149)</f>
        <v/>
      </c>
      <c r="K449" s="67" t="n">
        <f aca="false">IF(OR(OPERATIONS!$N149=0,OPERATIONS!$C149="CONSOMMATION"),0,OPERATIONS!$G149)</f>
        <v>0</v>
      </c>
      <c r="L449" s="67" t="n">
        <f aca="false">IF($K449=0,0,OPERATIONS!$Q149*$K449)</f>
        <v>0</v>
      </c>
      <c r="M449" s="26" t="str">
        <f aca="false">IF($K449=0,"",OPERATIONS!$P149)</f>
        <v/>
      </c>
      <c r="N449" s="26" t="str">
        <f aca="false">IF($G449="","",IF($G449=R_LOT,COUNTIF($G$5:$G449,R_LOT),""))</f>
        <v/>
      </c>
    </row>
    <row r="450" customFormat="false" ht="15" hidden="false" customHeight="false" outlineLevel="0" collapsed="false">
      <c r="A450" s="28" t="str">
        <f aca="false">IF($K450=0,"",ROW()-4)</f>
        <v/>
      </c>
      <c r="B450" s="26" t="str">
        <f aca="false">IF($K450=0,"","OPERATIONS")</f>
        <v/>
      </c>
      <c r="C450" s="26" t="str">
        <f aca="false">IF($K450=0,"",OPERATIONS!$A150)</f>
        <v/>
      </c>
      <c r="D450" s="31" t="str">
        <f aca="false">IF($K450=0,"",OPERATIONS!$B150)</f>
        <v/>
      </c>
      <c r="E450" s="26" t="str">
        <f aca="false">IF($K450=0,"","ENTREE")</f>
        <v/>
      </c>
      <c r="F450" s="26" t="str">
        <f aca="false">IF($K450=0,"",OPERATIONS!$C150)</f>
        <v/>
      </c>
      <c r="G450" s="26" t="str">
        <f aca="false">IF($K450=0,"",OPERATIONS!$D150)</f>
        <v/>
      </c>
      <c r="H450" s="26" t="str">
        <f aca="false">IF($K450=0,"",OPERATIONS!$F150)</f>
        <v/>
      </c>
      <c r="I450" s="26" t="str">
        <f aca="false">IF($H450="","",IFERROR(INDEX(EMPL_CLASSE,MATCH($H450,EMPL_KEY,0)),""))</f>
        <v/>
      </c>
      <c r="J450" s="26" t="str">
        <f aca="false">IF($K450=0,"",OPERATIONS!$J150)</f>
        <v/>
      </c>
      <c r="K450" s="67" t="n">
        <f aca="false">IF(OR(OPERATIONS!$N150=0,OPERATIONS!$C150="CONSOMMATION"),0,OPERATIONS!$G150)</f>
        <v>0</v>
      </c>
      <c r="L450" s="67" t="n">
        <f aca="false">IF($K450=0,0,OPERATIONS!$Q150*$K450)</f>
        <v>0</v>
      </c>
      <c r="M450" s="26" t="str">
        <f aca="false">IF($K450=0,"",OPERATIONS!$P150)</f>
        <v/>
      </c>
      <c r="N450" s="26" t="str">
        <f aca="false">IF($G450="","",IF($G450=R_LOT,COUNTIF($G$5:$G450,R_LOT),""))</f>
        <v/>
      </c>
    </row>
    <row r="451" customFormat="false" ht="15" hidden="false" customHeight="false" outlineLevel="0" collapsed="false">
      <c r="A451" s="28" t="str">
        <f aca="false">IF($K451=0,"",ROW()-4)</f>
        <v/>
      </c>
      <c r="B451" s="26" t="str">
        <f aca="false">IF($K451=0,"","OPERATIONS")</f>
        <v/>
      </c>
      <c r="C451" s="26" t="str">
        <f aca="false">IF($K451=0,"",OPERATIONS!$A151)</f>
        <v/>
      </c>
      <c r="D451" s="31" t="str">
        <f aca="false">IF($K451=0,"",OPERATIONS!$B151)</f>
        <v/>
      </c>
      <c r="E451" s="26" t="str">
        <f aca="false">IF($K451=0,"","ENTREE")</f>
        <v/>
      </c>
      <c r="F451" s="26" t="str">
        <f aca="false">IF($K451=0,"",OPERATIONS!$C151)</f>
        <v/>
      </c>
      <c r="G451" s="26" t="str">
        <f aca="false">IF($K451=0,"",OPERATIONS!$D151)</f>
        <v/>
      </c>
      <c r="H451" s="26" t="str">
        <f aca="false">IF($K451=0,"",OPERATIONS!$F151)</f>
        <v/>
      </c>
      <c r="I451" s="26" t="str">
        <f aca="false">IF($H451="","",IFERROR(INDEX(EMPL_CLASSE,MATCH($H451,EMPL_KEY,0)),""))</f>
        <v/>
      </c>
      <c r="J451" s="26" t="str">
        <f aca="false">IF($K451=0,"",OPERATIONS!$J151)</f>
        <v/>
      </c>
      <c r="K451" s="67" t="n">
        <f aca="false">IF(OR(OPERATIONS!$N151=0,OPERATIONS!$C151="CONSOMMATION"),0,OPERATIONS!$G151)</f>
        <v>0</v>
      </c>
      <c r="L451" s="67" t="n">
        <f aca="false">IF($K451=0,0,OPERATIONS!$Q151*$K451)</f>
        <v>0</v>
      </c>
      <c r="M451" s="26" t="str">
        <f aca="false">IF($K451=0,"",OPERATIONS!$P151)</f>
        <v/>
      </c>
      <c r="N451" s="26" t="str">
        <f aca="false">IF($G451="","",IF($G451=R_LOT,COUNTIF($G$5:$G451,R_LOT),""))</f>
        <v/>
      </c>
    </row>
    <row r="452" customFormat="false" ht="15" hidden="false" customHeight="false" outlineLevel="0" collapsed="false">
      <c r="A452" s="28" t="str">
        <f aca="false">IF($K452=0,"",ROW()-4)</f>
        <v/>
      </c>
      <c r="B452" s="26" t="str">
        <f aca="false">IF($K452=0,"","OPERATIONS")</f>
        <v/>
      </c>
      <c r="C452" s="26" t="str">
        <f aca="false">IF($K452=0,"",OPERATIONS!$A152)</f>
        <v/>
      </c>
      <c r="D452" s="31" t="str">
        <f aca="false">IF($K452=0,"",OPERATIONS!$B152)</f>
        <v/>
      </c>
      <c r="E452" s="26" t="str">
        <f aca="false">IF($K452=0,"","ENTREE")</f>
        <v/>
      </c>
      <c r="F452" s="26" t="str">
        <f aca="false">IF($K452=0,"",OPERATIONS!$C152)</f>
        <v/>
      </c>
      <c r="G452" s="26" t="str">
        <f aca="false">IF($K452=0,"",OPERATIONS!$D152)</f>
        <v/>
      </c>
      <c r="H452" s="26" t="str">
        <f aca="false">IF($K452=0,"",OPERATIONS!$F152)</f>
        <v/>
      </c>
      <c r="I452" s="26" t="str">
        <f aca="false">IF($H452="","",IFERROR(INDEX(EMPL_CLASSE,MATCH($H452,EMPL_KEY,0)),""))</f>
        <v/>
      </c>
      <c r="J452" s="26" t="str">
        <f aca="false">IF($K452=0,"",OPERATIONS!$J152)</f>
        <v/>
      </c>
      <c r="K452" s="67" t="n">
        <f aca="false">IF(OR(OPERATIONS!$N152=0,OPERATIONS!$C152="CONSOMMATION"),0,OPERATIONS!$G152)</f>
        <v>0</v>
      </c>
      <c r="L452" s="67" t="n">
        <f aca="false">IF($K452=0,0,OPERATIONS!$Q152*$K452)</f>
        <v>0</v>
      </c>
      <c r="M452" s="26" t="str">
        <f aca="false">IF($K452=0,"",OPERATIONS!$P152)</f>
        <v/>
      </c>
      <c r="N452" s="26" t="str">
        <f aca="false">IF($G452="","",IF($G452=R_LOT,COUNTIF($G$5:$G452,R_LOT),""))</f>
        <v/>
      </c>
    </row>
    <row r="453" customFormat="false" ht="15" hidden="false" customHeight="false" outlineLevel="0" collapsed="false">
      <c r="A453" s="28" t="str">
        <f aca="false">IF($K453=0,"",ROW()-4)</f>
        <v/>
      </c>
      <c r="B453" s="26" t="str">
        <f aca="false">IF($K453=0,"","OPERATIONS")</f>
        <v/>
      </c>
      <c r="C453" s="26" t="str">
        <f aca="false">IF($K453=0,"",OPERATIONS!$A153)</f>
        <v/>
      </c>
      <c r="D453" s="31" t="str">
        <f aca="false">IF($K453=0,"",OPERATIONS!$B153)</f>
        <v/>
      </c>
      <c r="E453" s="26" t="str">
        <f aca="false">IF($K453=0,"","ENTREE")</f>
        <v/>
      </c>
      <c r="F453" s="26" t="str">
        <f aca="false">IF($K453=0,"",OPERATIONS!$C153)</f>
        <v/>
      </c>
      <c r="G453" s="26" t="str">
        <f aca="false">IF($K453=0,"",OPERATIONS!$D153)</f>
        <v/>
      </c>
      <c r="H453" s="26" t="str">
        <f aca="false">IF($K453=0,"",OPERATIONS!$F153)</f>
        <v/>
      </c>
      <c r="I453" s="26" t="str">
        <f aca="false">IF($H453="","",IFERROR(INDEX(EMPL_CLASSE,MATCH($H453,EMPL_KEY,0)),""))</f>
        <v/>
      </c>
      <c r="J453" s="26" t="str">
        <f aca="false">IF($K453=0,"",OPERATIONS!$J153)</f>
        <v/>
      </c>
      <c r="K453" s="67" t="n">
        <f aca="false">IF(OR(OPERATIONS!$N153=0,OPERATIONS!$C153="CONSOMMATION"),0,OPERATIONS!$G153)</f>
        <v>0</v>
      </c>
      <c r="L453" s="67" t="n">
        <f aca="false">IF($K453=0,0,OPERATIONS!$Q153*$K453)</f>
        <v>0</v>
      </c>
      <c r="M453" s="26" t="str">
        <f aca="false">IF($K453=0,"",OPERATIONS!$P153)</f>
        <v/>
      </c>
      <c r="N453" s="26" t="str">
        <f aca="false">IF($G453="","",IF($G453=R_LOT,COUNTIF($G$5:$G453,R_LOT),""))</f>
        <v/>
      </c>
    </row>
    <row r="454" customFormat="false" ht="15" hidden="false" customHeight="false" outlineLevel="0" collapsed="false">
      <c r="A454" s="28" t="str">
        <f aca="false">IF($K454=0,"",ROW()-4)</f>
        <v/>
      </c>
      <c r="B454" s="26" t="str">
        <f aca="false">IF($K454=0,"","OPERATIONS")</f>
        <v/>
      </c>
      <c r="C454" s="26" t="str">
        <f aca="false">IF($K454=0,"",OPERATIONS!$A154)</f>
        <v/>
      </c>
      <c r="D454" s="31" t="str">
        <f aca="false">IF($K454=0,"",OPERATIONS!$B154)</f>
        <v/>
      </c>
      <c r="E454" s="26" t="str">
        <f aca="false">IF($K454=0,"","ENTREE")</f>
        <v/>
      </c>
      <c r="F454" s="26" t="str">
        <f aca="false">IF($K454=0,"",OPERATIONS!$C154)</f>
        <v/>
      </c>
      <c r="G454" s="26" t="str">
        <f aca="false">IF($K454=0,"",OPERATIONS!$D154)</f>
        <v/>
      </c>
      <c r="H454" s="26" t="str">
        <f aca="false">IF($K454=0,"",OPERATIONS!$F154)</f>
        <v/>
      </c>
      <c r="I454" s="26" t="str">
        <f aca="false">IF($H454="","",IFERROR(INDEX(EMPL_CLASSE,MATCH($H454,EMPL_KEY,0)),""))</f>
        <v/>
      </c>
      <c r="J454" s="26" t="str">
        <f aca="false">IF($K454=0,"",OPERATIONS!$J154)</f>
        <v/>
      </c>
      <c r="K454" s="67" t="n">
        <f aca="false">IF(OR(OPERATIONS!$N154=0,OPERATIONS!$C154="CONSOMMATION"),0,OPERATIONS!$G154)</f>
        <v>0</v>
      </c>
      <c r="L454" s="67" t="n">
        <f aca="false">IF($K454=0,0,OPERATIONS!$Q154*$K454)</f>
        <v>0</v>
      </c>
      <c r="M454" s="26" t="str">
        <f aca="false">IF($K454=0,"",OPERATIONS!$P154)</f>
        <v/>
      </c>
      <c r="N454" s="26" t="str">
        <f aca="false">IF($G454="","",IF($G454=R_LOT,COUNTIF($G$5:$G454,R_LOT),""))</f>
        <v/>
      </c>
    </row>
    <row r="455" customFormat="false" ht="15" hidden="false" customHeight="false" outlineLevel="0" collapsed="false">
      <c r="A455" s="28" t="str">
        <f aca="false">IF($K455=0,"",ROW()-4)</f>
        <v/>
      </c>
      <c r="B455" s="26" t="str">
        <f aca="false">IF($K455=0,"","OPERATIONS")</f>
        <v/>
      </c>
      <c r="C455" s="26" t="str">
        <f aca="false">IF($K455=0,"",OPERATIONS!$A155)</f>
        <v/>
      </c>
      <c r="D455" s="31" t="str">
        <f aca="false">IF($K455=0,"",OPERATIONS!$B155)</f>
        <v/>
      </c>
      <c r="E455" s="26" t="str">
        <f aca="false">IF($K455=0,"","ENTREE")</f>
        <v/>
      </c>
      <c r="F455" s="26" t="str">
        <f aca="false">IF($K455=0,"",OPERATIONS!$C155)</f>
        <v/>
      </c>
      <c r="G455" s="26" t="str">
        <f aca="false">IF($K455=0,"",OPERATIONS!$D155)</f>
        <v/>
      </c>
      <c r="H455" s="26" t="str">
        <f aca="false">IF($K455=0,"",OPERATIONS!$F155)</f>
        <v/>
      </c>
      <c r="I455" s="26" t="str">
        <f aca="false">IF($H455="","",IFERROR(INDEX(EMPL_CLASSE,MATCH($H455,EMPL_KEY,0)),""))</f>
        <v/>
      </c>
      <c r="J455" s="26" t="str">
        <f aca="false">IF($K455=0,"",OPERATIONS!$J155)</f>
        <v/>
      </c>
      <c r="K455" s="67" t="n">
        <f aca="false">IF(OR(OPERATIONS!$N155=0,OPERATIONS!$C155="CONSOMMATION"),0,OPERATIONS!$G155)</f>
        <v>0</v>
      </c>
      <c r="L455" s="67" t="n">
        <f aca="false">IF($K455=0,0,OPERATIONS!$Q155*$K455)</f>
        <v>0</v>
      </c>
      <c r="M455" s="26" t="str">
        <f aca="false">IF($K455=0,"",OPERATIONS!$P155)</f>
        <v/>
      </c>
      <c r="N455" s="26" t="str">
        <f aca="false">IF($G455="","",IF($G455=R_LOT,COUNTIF($G$5:$G455,R_LOT),""))</f>
        <v/>
      </c>
    </row>
    <row r="456" customFormat="false" ht="15" hidden="false" customHeight="false" outlineLevel="0" collapsed="false">
      <c r="A456" s="28" t="str">
        <f aca="false">IF($K456=0,"",ROW()-4)</f>
        <v/>
      </c>
      <c r="B456" s="26" t="str">
        <f aca="false">IF($K456=0,"","OPERATIONS")</f>
        <v/>
      </c>
      <c r="C456" s="26" t="str">
        <f aca="false">IF($K456=0,"",OPERATIONS!$A156)</f>
        <v/>
      </c>
      <c r="D456" s="31" t="str">
        <f aca="false">IF($K456=0,"",OPERATIONS!$B156)</f>
        <v/>
      </c>
      <c r="E456" s="26" t="str">
        <f aca="false">IF($K456=0,"","ENTREE")</f>
        <v/>
      </c>
      <c r="F456" s="26" t="str">
        <f aca="false">IF($K456=0,"",OPERATIONS!$C156)</f>
        <v/>
      </c>
      <c r="G456" s="26" t="str">
        <f aca="false">IF($K456=0,"",OPERATIONS!$D156)</f>
        <v/>
      </c>
      <c r="H456" s="26" t="str">
        <f aca="false">IF($K456=0,"",OPERATIONS!$F156)</f>
        <v/>
      </c>
      <c r="I456" s="26" t="str">
        <f aca="false">IF($H456="","",IFERROR(INDEX(EMPL_CLASSE,MATCH($H456,EMPL_KEY,0)),""))</f>
        <v/>
      </c>
      <c r="J456" s="26" t="str">
        <f aca="false">IF($K456=0,"",OPERATIONS!$J156)</f>
        <v/>
      </c>
      <c r="K456" s="67" t="n">
        <f aca="false">IF(OR(OPERATIONS!$N156=0,OPERATIONS!$C156="CONSOMMATION"),0,OPERATIONS!$G156)</f>
        <v>0</v>
      </c>
      <c r="L456" s="67" t="n">
        <f aca="false">IF($K456=0,0,OPERATIONS!$Q156*$K456)</f>
        <v>0</v>
      </c>
      <c r="M456" s="26" t="str">
        <f aca="false">IF($K456=0,"",OPERATIONS!$P156)</f>
        <v/>
      </c>
      <c r="N456" s="26" t="str">
        <f aca="false">IF($G456="","",IF($G456=R_LOT,COUNTIF($G$5:$G456,R_LOT),""))</f>
        <v/>
      </c>
    </row>
    <row r="457" customFormat="false" ht="15" hidden="false" customHeight="false" outlineLevel="0" collapsed="false">
      <c r="A457" s="28" t="str">
        <f aca="false">IF($K457=0,"",ROW()-4)</f>
        <v/>
      </c>
      <c r="B457" s="26" t="str">
        <f aca="false">IF($K457=0,"","OPERATIONS")</f>
        <v/>
      </c>
      <c r="C457" s="26" t="str">
        <f aca="false">IF($K457=0,"",OPERATIONS!$A157)</f>
        <v/>
      </c>
      <c r="D457" s="31" t="str">
        <f aca="false">IF($K457=0,"",OPERATIONS!$B157)</f>
        <v/>
      </c>
      <c r="E457" s="26" t="str">
        <f aca="false">IF($K457=0,"","ENTREE")</f>
        <v/>
      </c>
      <c r="F457" s="26" t="str">
        <f aca="false">IF($K457=0,"",OPERATIONS!$C157)</f>
        <v/>
      </c>
      <c r="G457" s="26" t="str">
        <f aca="false">IF($K457=0,"",OPERATIONS!$D157)</f>
        <v/>
      </c>
      <c r="H457" s="26" t="str">
        <f aca="false">IF($K457=0,"",OPERATIONS!$F157)</f>
        <v/>
      </c>
      <c r="I457" s="26" t="str">
        <f aca="false">IF($H457="","",IFERROR(INDEX(EMPL_CLASSE,MATCH($H457,EMPL_KEY,0)),""))</f>
        <v/>
      </c>
      <c r="J457" s="26" t="str">
        <f aca="false">IF($K457=0,"",OPERATIONS!$J157)</f>
        <v/>
      </c>
      <c r="K457" s="67" t="n">
        <f aca="false">IF(OR(OPERATIONS!$N157=0,OPERATIONS!$C157="CONSOMMATION"),0,OPERATIONS!$G157)</f>
        <v>0</v>
      </c>
      <c r="L457" s="67" t="n">
        <f aca="false">IF($K457=0,0,OPERATIONS!$Q157*$K457)</f>
        <v>0</v>
      </c>
      <c r="M457" s="26" t="str">
        <f aca="false">IF($K457=0,"",OPERATIONS!$P157)</f>
        <v/>
      </c>
      <c r="N457" s="26" t="str">
        <f aca="false">IF($G457="","",IF($G457=R_LOT,COUNTIF($G$5:$G457,R_LOT),""))</f>
        <v/>
      </c>
    </row>
    <row r="458" customFormat="false" ht="15" hidden="false" customHeight="false" outlineLevel="0" collapsed="false">
      <c r="A458" s="28" t="str">
        <f aca="false">IF($K458=0,"",ROW()-4)</f>
        <v/>
      </c>
      <c r="B458" s="26" t="str">
        <f aca="false">IF($K458=0,"","OPERATIONS")</f>
        <v/>
      </c>
      <c r="C458" s="26" t="str">
        <f aca="false">IF($K458=0,"",OPERATIONS!$A158)</f>
        <v/>
      </c>
      <c r="D458" s="31" t="str">
        <f aca="false">IF($K458=0,"",OPERATIONS!$B158)</f>
        <v/>
      </c>
      <c r="E458" s="26" t="str">
        <f aca="false">IF($K458=0,"","ENTREE")</f>
        <v/>
      </c>
      <c r="F458" s="26" t="str">
        <f aca="false">IF($K458=0,"",OPERATIONS!$C158)</f>
        <v/>
      </c>
      <c r="G458" s="26" t="str">
        <f aca="false">IF($K458=0,"",OPERATIONS!$D158)</f>
        <v/>
      </c>
      <c r="H458" s="26" t="str">
        <f aca="false">IF($K458=0,"",OPERATIONS!$F158)</f>
        <v/>
      </c>
      <c r="I458" s="26" t="str">
        <f aca="false">IF($H458="","",IFERROR(INDEX(EMPL_CLASSE,MATCH($H458,EMPL_KEY,0)),""))</f>
        <v/>
      </c>
      <c r="J458" s="26" t="str">
        <f aca="false">IF($K458=0,"",OPERATIONS!$J158)</f>
        <v/>
      </c>
      <c r="K458" s="67" t="n">
        <f aca="false">IF(OR(OPERATIONS!$N158=0,OPERATIONS!$C158="CONSOMMATION"),0,OPERATIONS!$G158)</f>
        <v>0</v>
      </c>
      <c r="L458" s="67" t="n">
        <f aca="false">IF($K458=0,0,OPERATIONS!$Q158*$K458)</f>
        <v>0</v>
      </c>
      <c r="M458" s="26" t="str">
        <f aca="false">IF($K458=0,"",OPERATIONS!$P158)</f>
        <v/>
      </c>
      <c r="N458" s="26" t="str">
        <f aca="false">IF($G458="","",IF($G458=R_LOT,COUNTIF($G$5:$G458,R_LOT),""))</f>
        <v/>
      </c>
    </row>
    <row r="459" customFormat="false" ht="15" hidden="false" customHeight="false" outlineLevel="0" collapsed="false">
      <c r="A459" s="28" t="str">
        <f aca="false">IF($K459=0,"",ROW()-4)</f>
        <v/>
      </c>
      <c r="B459" s="26" t="str">
        <f aca="false">IF($K459=0,"","OPERATIONS")</f>
        <v/>
      </c>
      <c r="C459" s="26" t="str">
        <f aca="false">IF($K459=0,"",OPERATIONS!$A159)</f>
        <v/>
      </c>
      <c r="D459" s="31" t="str">
        <f aca="false">IF($K459=0,"",OPERATIONS!$B159)</f>
        <v/>
      </c>
      <c r="E459" s="26" t="str">
        <f aca="false">IF($K459=0,"","ENTREE")</f>
        <v/>
      </c>
      <c r="F459" s="26" t="str">
        <f aca="false">IF($K459=0,"",OPERATIONS!$C159)</f>
        <v/>
      </c>
      <c r="G459" s="26" t="str">
        <f aca="false">IF($K459=0,"",OPERATIONS!$D159)</f>
        <v/>
      </c>
      <c r="H459" s="26" t="str">
        <f aca="false">IF($K459=0,"",OPERATIONS!$F159)</f>
        <v/>
      </c>
      <c r="I459" s="26" t="str">
        <f aca="false">IF($H459="","",IFERROR(INDEX(EMPL_CLASSE,MATCH($H459,EMPL_KEY,0)),""))</f>
        <v/>
      </c>
      <c r="J459" s="26" t="str">
        <f aca="false">IF($K459=0,"",OPERATIONS!$J159)</f>
        <v/>
      </c>
      <c r="K459" s="67" t="n">
        <f aca="false">IF(OR(OPERATIONS!$N159=0,OPERATIONS!$C159="CONSOMMATION"),0,OPERATIONS!$G159)</f>
        <v>0</v>
      </c>
      <c r="L459" s="67" t="n">
        <f aca="false">IF($K459=0,0,OPERATIONS!$Q159*$K459)</f>
        <v>0</v>
      </c>
      <c r="M459" s="26" t="str">
        <f aca="false">IF($K459=0,"",OPERATIONS!$P159)</f>
        <v/>
      </c>
      <c r="N459" s="26" t="str">
        <f aca="false">IF($G459="","",IF($G459=R_LOT,COUNTIF($G$5:$G459,R_LOT),""))</f>
        <v/>
      </c>
    </row>
    <row r="460" customFormat="false" ht="15" hidden="false" customHeight="false" outlineLevel="0" collapsed="false">
      <c r="A460" s="28" t="str">
        <f aca="false">IF($K460=0,"",ROW()-4)</f>
        <v/>
      </c>
      <c r="B460" s="26" t="str">
        <f aca="false">IF($K460=0,"","OPERATIONS")</f>
        <v/>
      </c>
      <c r="C460" s="26" t="str">
        <f aca="false">IF($K460=0,"",OPERATIONS!$A160)</f>
        <v/>
      </c>
      <c r="D460" s="31" t="str">
        <f aca="false">IF($K460=0,"",OPERATIONS!$B160)</f>
        <v/>
      </c>
      <c r="E460" s="26" t="str">
        <f aca="false">IF($K460=0,"","ENTREE")</f>
        <v/>
      </c>
      <c r="F460" s="26" t="str">
        <f aca="false">IF($K460=0,"",OPERATIONS!$C160)</f>
        <v/>
      </c>
      <c r="G460" s="26" t="str">
        <f aca="false">IF($K460=0,"",OPERATIONS!$D160)</f>
        <v/>
      </c>
      <c r="H460" s="26" t="str">
        <f aca="false">IF($K460=0,"",OPERATIONS!$F160)</f>
        <v/>
      </c>
      <c r="I460" s="26" t="str">
        <f aca="false">IF($H460="","",IFERROR(INDEX(EMPL_CLASSE,MATCH($H460,EMPL_KEY,0)),""))</f>
        <v/>
      </c>
      <c r="J460" s="26" t="str">
        <f aca="false">IF($K460=0,"",OPERATIONS!$J160)</f>
        <v/>
      </c>
      <c r="K460" s="67" t="n">
        <f aca="false">IF(OR(OPERATIONS!$N160=0,OPERATIONS!$C160="CONSOMMATION"),0,OPERATIONS!$G160)</f>
        <v>0</v>
      </c>
      <c r="L460" s="67" t="n">
        <f aca="false">IF($K460=0,0,OPERATIONS!$Q160*$K460)</f>
        <v>0</v>
      </c>
      <c r="M460" s="26" t="str">
        <f aca="false">IF($K460=0,"",OPERATIONS!$P160)</f>
        <v/>
      </c>
      <c r="N460" s="26" t="str">
        <f aca="false">IF($G460="","",IF($G460=R_LOT,COUNTIF($G$5:$G460,R_LOT),""))</f>
        <v/>
      </c>
    </row>
    <row r="461" customFormat="false" ht="15" hidden="false" customHeight="false" outlineLevel="0" collapsed="false">
      <c r="A461" s="28" t="str">
        <f aca="false">IF($K461=0,"",ROW()-4)</f>
        <v/>
      </c>
      <c r="B461" s="26" t="str">
        <f aca="false">IF($K461=0,"","OPERATIONS")</f>
        <v/>
      </c>
      <c r="C461" s="26" t="str">
        <f aca="false">IF($K461=0,"",OPERATIONS!$A161)</f>
        <v/>
      </c>
      <c r="D461" s="31" t="str">
        <f aca="false">IF($K461=0,"",OPERATIONS!$B161)</f>
        <v/>
      </c>
      <c r="E461" s="26" t="str">
        <f aca="false">IF($K461=0,"","ENTREE")</f>
        <v/>
      </c>
      <c r="F461" s="26" t="str">
        <f aca="false">IF($K461=0,"",OPERATIONS!$C161)</f>
        <v/>
      </c>
      <c r="G461" s="26" t="str">
        <f aca="false">IF($K461=0,"",OPERATIONS!$D161)</f>
        <v/>
      </c>
      <c r="H461" s="26" t="str">
        <f aca="false">IF($K461=0,"",OPERATIONS!$F161)</f>
        <v/>
      </c>
      <c r="I461" s="26" t="str">
        <f aca="false">IF($H461="","",IFERROR(INDEX(EMPL_CLASSE,MATCH($H461,EMPL_KEY,0)),""))</f>
        <v/>
      </c>
      <c r="J461" s="26" t="str">
        <f aca="false">IF($K461=0,"",OPERATIONS!$J161)</f>
        <v/>
      </c>
      <c r="K461" s="67" t="n">
        <f aca="false">IF(OR(OPERATIONS!$N161=0,OPERATIONS!$C161="CONSOMMATION"),0,OPERATIONS!$G161)</f>
        <v>0</v>
      </c>
      <c r="L461" s="67" t="n">
        <f aca="false">IF($K461=0,0,OPERATIONS!$Q161*$K461)</f>
        <v>0</v>
      </c>
      <c r="M461" s="26" t="str">
        <f aca="false">IF($K461=0,"",OPERATIONS!$P161)</f>
        <v/>
      </c>
      <c r="N461" s="26" t="str">
        <f aca="false">IF($G461="","",IF($G461=R_LOT,COUNTIF($G$5:$G461,R_LOT),""))</f>
        <v/>
      </c>
    </row>
    <row r="462" customFormat="false" ht="15" hidden="false" customHeight="false" outlineLevel="0" collapsed="false">
      <c r="A462" s="28" t="str">
        <f aca="false">IF($K462=0,"",ROW()-4)</f>
        <v/>
      </c>
      <c r="B462" s="26" t="str">
        <f aca="false">IF($K462=0,"","OPERATIONS")</f>
        <v/>
      </c>
      <c r="C462" s="26" t="str">
        <f aca="false">IF($K462=0,"",OPERATIONS!$A162)</f>
        <v/>
      </c>
      <c r="D462" s="31" t="str">
        <f aca="false">IF($K462=0,"",OPERATIONS!$B162)</f>
        <v/>
      </c>
      <c r="E462" s="26" t="str">
        <f aca="false">IF($K462=0,"","ENTREE")</f>
        <v/>
      </c>
      <c r="F462" s="26" t="str">
        <f aca="false">IF($K462=0,"",OPERATIONS!$C162)</f>
        <v/>
      </c>
      <c r="G462" s="26" t="str">
        <f aca="false">IF($K462=0,"",OPERATIONS!$D162)</f>
        <v/>
      </c>
      <c r="H462" s="26" t="str">
        <f aca="false">IF($K462=0,"",OPERATIONS!$F162)</f>
        <v/>
      </c>
      <c r="I462" s="26" t="str">
        <f aca="false">IF($H462="","",IFERROR(INDEX(EMPL_CLASSE,MATCH($H462,EMPL_KEY,0)),""))</f>
        <v/>
      </c>
      <c r="J462" s="26" t="str">
        <f aca="false">IF($K462=0,"",OPERATIONS!$J162)</f>
        <v/>
      </c>
      <c r="K462" s="67" t="n">
        <f aca="false">IF(OR(OPERATIONS!$N162=0,OPERATIONS!$C162="CONSOMMATION"),0,OPERATIONS!$G162)</f>
        <v>0</v>
      </c>
      <c r="L462" s="67" t="n">
        <f aca="false">IF($K462=0,0,OPERATIONS!$Q162*$K462)</f>
        <v>0</v>
      </c>
      <c r="M462" s="26" t="str">
        <f aca="false">IF($K462=0,"",OPERATIONS!$P162)</f>
        <v/>
      </c>
      <c r="N462" s="26" t="str">
        <f aca="false">IF($G462="","",IF($G462=R_LOT,COUNTIF($G$5:$G462,R_LOT),""))</f>
        <v/>
      </c>
    </row>
    <row r="463" customFormat="false" ht="15" hidden="false" customHeight="false" outlineLevel="0" collapsed="false">
      <c r="A463" s="28" t="str">
        <f aca="false">IF($K463=0,"",ROW()-4)</f>
        <v/>
      </c>
      <c r="B463" s="26" t="str">
        <f aca="false">IF($K463=0,"","OPERATIONS")</f>
        <v/>
      </c>
      <c r="C463" s="26" t="str">
        <f aca="false">IF($K463=0,"",OPERATIONS!$A163)</f>
        <v/>
      </c>
      <c r="D463" s="31" t="str">
        <f aca="false">IF($K463=0,"",OPERATIONS!$B163)</f>
        <v/>
      </c>
      <c r="E463" s="26" t="str">
        <f aca="false">IF($K463=0,"","ENTREE")</f>
        <v/>
      </c>
      <c r="F463" s="26" t="str">
        <f aca="false">IF($K463=0,"",OPERATIONS!$C163)</f>
        <v/>
      </c>
      <c r="G463" s="26" t="str">
        <f aca="false">IF($K463=0,"",OPERATIONS!$D163)</f>
        <v/>
      </c>
      <c r="H463" s="26" t="str">
        <f aca="false">IF($K463=0,"",OPERATIONS!$F163)</f>
        <v/>
      </c>
      <c r="I463" s="26" t="str">
        <f aca="false">IF($H463="","",IFERROR(INDEX(EMPL_CLASSE,MATCH($H463,EMPL_KEY,0)),""))</f>
        <v/>
      </c>
      <c r="J463" s="26" t="str">
        <f aca="false">IF($K463=0,"",OPERATIONS!$J163)</f>
        <v/>
      </c>
      <c r="K463" s="67" t="n">
        <f aca="false">IF(OR(OPERATIONS!$N163=0,OPERATIONS!$C163="CONSOMMATION"),0,OPERATIONS!$G163)</f>
        <v>0</v>
      </c>
      <c r="L463" s="67" t="n">
        <f aca="false">IF($K463=0,0,OPERATIONS!$Q163*$K463)</f>
        <v>0</v>
      </c>
      <c r="M463" s="26" t="str">
        <f aca="false">IF($K463=0,"",OPERATIONS!$P163)</f>
        <v/>
      </c>
      <c r="N463" s="26" t="str">
        <f aca="false">IF($G463="","",IF($G463=R_LOT,COUNTIF($G$5:$G463,R_LOT),""))</f>
        <v/>
      </c>
    </row>
    <row r="464" customFormat="false" ht="15" hidden="false" customHeight="false" outlineLevel="0" collapsed="false">
      <c r="A464" s="28" t="str">
        <f aca="false">IF($K464=0,"",ROW()-4)</f>
        <v/>
      </c>
      <c r="B464" s="26" t="str">
        <f aca="false">IF($K464=0,"","OPERATIONS")</f>
        <v/>
      </c>
      <c r="C464" s="26" t="str">
        <f aca="false">IF($K464=0,"",OPERATIONS!$A164)</f>
        <v/>
      </c>
      <c r="D464" s="31" t="str">
        <f aca="false">IF($K464=0,"",OPERATIONS!$B164)</f>
        <v/>
      </c>
      <c r="E464" s="26" t="str">
        <f aca="false">IF($K464=0,"","ENTREE")</f>
        <v/>
      </c>
      <c r="F464" s="26" t="str">
        <f aca="false">IF($K464=0,"",OPERATIONS!$C164)</f>
        <v/>
      </c>
      <c r="G464" s="26" t="str">
        <f aca="false">IF($K464=0,"",OPERATIONS!$D164)</f>
        <v/>
      </c>
      <c r="H464" s="26" t="str">
        <f aca="false">IF($K464=0,"",OPERATIONS!$F164)</f>
        <v/>
      </c>
      <c r="I464" s="26" t="str">
        <f aca="false">IF($H464="","",IFERROR(INDEX(EMPL_CLASSE,MATCH($H464,EMPL_KEY,0)),""))</f>
        <v/>
      </c>
      <c r="J464" s="26" t="str">
        <f aca="false">IF($K464=0,"",OPERATIONS!$J164)</f>
        <v/>
      </c>
      <c r="K464" s="67" t="n">
        <f aca="false">IF(OR(OPERATIONS!$N164=0,OPERATIONS!$C164="CONSOMMATION"),0,OPERATIONS!$G164)</f>
        <v>0</v>
      </c>
      <c r="L464" s="67" t="n">
        <f aca="false">IF($K464=0,0,OPERATIONS!$Q164*$K464)</f>
        <v>0</v>
      </c>
      <c r="M464" s="26" t="str">
        <f aca="false">IF($K464=0,"",OPERATIONS!$P164)</f>
        <v/>
      </c>
      <c r="N464" s="26" t="str">
        <f aca="false">IF($G464="","",IF($G464=R_LOT,COUNTIF($G$5:$G464,R_LOT),""))</f>
        <v/>
      </c>
    </row>
    <row r="465" customFormat="false" ht="15" hidden="false" customHeight="false" outlineLevel="0" collapsed="false">
      <c r="A465" s="28" t="str">
        <f aca="false">IF($K465=0,"",ROW()-4)</f>
        <v/>
      </c>
      <c r="B465" s="26" t="str">
        <f aca="false">IF($K465=0,"","OPERATIONS")</f>
        <v/>
      </c>
      <c r="C465" s="26" t="str">
        <f aca="false">IF($K465=0,"",OPERATIONS!$A165)</f>
        <v/>
      </c>
      <c r="D465" s="31" t="str">
        <f aca="false">IF($K465=0,"",OPERATIONS!$B165)</f>
        <v/>
      </c>
      <c r="E465" s="26" t="str">
        <f aca="false">IF($K465=0,"","ENTREE")</f>
        <v/>
      </c>
      <c r="F465" s="26" t="str">
        <f aca="false">IF($K465=0,"",OPERATIONS!$C165)</f>
        <v/>
      </c>
      <c r="G465" s="26" t="str">
        <f aca="false">IF($K465=0,"",OPERATIONS!$D165)</f>
        <v/>
      </c>
      <c r="H465" s="26" t="str">
        <f aca="false">IF($K465=0,"",OPERATIONS!$F165)</f>
        <v/>
      </c>
      <c r="I465" s="26" t="str">
        <f aca="false">IF($H465="","",IFERROR(INDEX(EMPL_CLASSE,MATCH($H465,EMPL_KEY,0)),""))</f>
        <v/>
      </c>
      <c r="J465" s="26" t="str">
        <f aca="false">IF($K465=0,"",OPERATIONS!$J165)</f>
        <v/>
      </c>
      <c r="K465" s="67" t="n">
        <f aca="false">IF(OR(OPERATIONS!$N165=0,OPERATIONS!$C165="CONSOMMATION"),0,OPERATIONS!$G165)</f>
        <v>0</v>
      </c>
      <c r="L465" s="67" t="n">
        <f aca="false">IF($K465=0,0,OPERATIONS!$Q165*$K465)</f>
        <v>0</v>
      </c>
      <c r="M465" s="26" t="str">
        <f aca="false">IF($K465=0,"",OPERATIONS!$P165)</f>
        <v/>
      </c>
      <c r="N465" s="26" t="str">
        <f aca="false">IF($G465="","",IF($G465=R_LOT,COUNTIF($G$5:$G465,R_LOT),""))</f>
        <v/>
      </c>
    </row>
    <row r="466" customFormat="false" ht="15" hidden="false" customHeight="false" outlineLevel="0" collapsed="false">
      <c r="A466" s="28" t="str">
        <f aca="false">IF($K466=0,"",ROW()-4)</f>
        <v/>
      </c>
      <c r="B466" s="26" t="str">
        <f aca="false">IF($K466=0,"","OPERATIONS")</f>
        <v/>
      </c>
      <c r="C466" s="26" t="str">
        <f aca="false">IF($K466=0,"",OPERATIONS!$A166)</f>
        <v/>
      </c>
      <c r="D466" s="31" t="str">
        <f aca="false">IF($K466=0,"",OPERATIONS!$B166)</f>
        <v/>
      </c>
      <c r="E466" s="26" t="str">
        <f aca="false">IF($K466=0,"","ENTREE")</f>
        <v/>
      </c>
      <c r="F466" s="26" t="str">
        <f aca="false">IF($K466=0,"",OPERATIONS!$C166)</f>
        <v/>
      </c>
      <c r="G466" s="26" t="str">
        <f aca="false">IF($K466=0,"",OPERATIONS!$D166)</f>
        <v/>
      </c>
      <c r="H466" s="26" t="str">
        <f aca="false">IF($K466=0,"",OPERATIONS!$F166)</f>
        <v/>
      </c>
      <c r="I466" s="26" t="str">
        <f aca="false">IF($H466="","",IFERROR(INDEX(EMPL_CLASSE,MATCH($H466,EMPL_KEY,0)),""))</f>
        <v/>
      </c>
      <c r="J466" s="26" t="str">
        <f aca="false">IF($K466=0,"",OPERATIONS!$J166)</f>
        <v/>
      </c>
      <c r="K466" s="67" t="n">
        <f aca="false">IF(OR(OPERATIONS!$N166=0,OPERATIONS!$C166="CONSOMMATION"),0,OPERATIONS!$G166)</f>
        <v>0</v>
      </c>
      <c r="L466" s="67" t="n">
        <f aca="false">IF($K466=0,0,OPERATIONS!$Q166*$K466)</f>
        <v>0</v>
      </c>
      <c r="M466" s="26" t="str">
        <f aca="false">IF($K466=0,"",OPERATIONS!$P166)</f>
        <v/>
      </c>
      <c r="N466" s="26" t="str">
        <f aca="false">IF($G466="","",IF($G466=R_LOT,COUNTIF($G$5:$G466,R_LOT),""))</f>
        <v/>
      </c>
    </row>
    <row r="467" customFormat="false" ht="15" hidden="false" customHeight="false" outlineLevel="0" collapsed="false">
      <c r="A467" s="28" t="str">
        <f aca="false">IF($K467=0,"",ROW()-4)</f>
        <v/>
      </c>
      <c r="B467" s="26" t="str">
        <f aca="false">IF($K467=0,"","OPERATIONS")</f>
        <v/>
      </c>
      <c r="C467" s="26" t="str">
        <f aca="false">IF($K467=0,"",OPERATIONS!$A167)</f>
        <v/>
      </c>
      <c r="D467" s="31" t="str">
        <f aca="false">IF($K467=0,"",OPERATIONS!$B167)</f>
        <v/>
      </c>
      <c r="E467" s="26" t="str">
        <f aca="false">IF($K467=0,"","ENTREE")</f>
        <v/>
      </c>
      <c r="F467" s="26" t="str">
        <f aca="false">IF($K467=0,"",OPERATIONS!$C167)</f>
        <v/>
      </c>
      <c r="G467" s="26" t="str">
        <f aca="false">IF($K467=0,"",OPERATIONS!$D167)</f>
        <v/>
      </c>
      <c r="H467" s="26" t="str">
        <f aca="false">IF($K467=0,"",OPERATIONS!$F167)</f>
        <v/>
      </c>
      <c r="I467" s="26" t="str">
        <f aca="false">IF($H467="","",IFERROR(INDEX(EMPL_CLASSE,MATCH($H467,EMPL_KEY,0)),""))</f>
        <v/>
      </c>
      <c r="J467" s="26" t="str">
        <f aca="false">IF($K467=0,"",OPERATIONS!$J167)</f>
        <v/>
      </c>
      <c r="K467" s="67" t="n">
        <f aca="false">IF(OR(OPERATIONS!$N167=0,OPERATIONS!$C167="CONSOMMATION"),0,OPERATIONS!$G167)</f>
        <v>0</v>
      </c>
      <c r="L467" s="67" t="n">
        <f aca="false">IF($K467=0,0,OPERATIONS!$Q167*$K467)</f>
        <v>0</v>
      </c>
      <c r="M467" s="26" t="str">
        <f aca="false">IF($K467=0,"",OPERATIONS!$P167)</f>
        <v/>
      </c>
      <c r="N467" s="26" t="str">
        <f aca="false">IF($G467="","",IF($G467=R_LOT,COUNTIF($G$5:$G467,R_LOT),""))</f>
        <v/>
      </c>
    </row>
    <row r="468" customFormat="false" ht="15" hidden="false" customHeight="false" outlineLevel="0" collapsed="false">
      <c r="A468" s="28" t="str">
        <f aca="false">IF($K468=0,"",ROW()-4)</f>
        <v/>
      </c>
      <c r="B468" s="26" t="str">
        <f aca="false">IF($K468=0,"","OPERATIONS")</f>
        <v/>
      </c>
      <c r="C468" s="26" t="str">
        <f aca="false">IF($K468=0,"",OPERATIONS!$A168)</f>
        <v/>
      </c>
      <c r="D468" s="31" t="str">
        <f aca="false">IF($K468=0,"",OPERATIONS!$B168)</f>
        <v/>
      </c>
      <c r="E468" s="26" t="str">
        <f aca="false">IF($K468=0,"","ENTREE")</f>
        <v/>
      </c>
      <c r="F468" s="26" t="str">
        <f aca="false">IF($K468=0,"",OPERATIONS!$C168)</f>
        <v/>
      </c>
      <c r="G468" s="26" t="str">
        <f aca="false">IF($K468=0,"",OPERATIONS!$D168)</f>
        <v/>
      </c>
      <c r="H468" s="26" t="str">
        <f aca="false">IF($K468=0,"",OPERATIONS!$F168)</f>
        <v/>
      </c>
      <c r="I468" s="26" t="str">
        <f aca="false">IF($H468="","",IFERROR(INDEX(EMPL_CLASSE,MATCH($H468,EMPL_KEY,0)),""))</f>
        <v/>
      </c>
      <c r="J468" s="26" t="str">
        <f aca="false">IF($K468=0,"",OPERATIONS!$J168)</f>
        <v/>
      </c>
      <c r="K468" s="67" t="n">
        <f aca="false">IF(OR(OPERATIONS!$N168=0,OPERATIONS!$C168="CONSOMMATION"),0,OPERATIONS!$G168)</f>
        <v>0</v>
      </c>
      <c r="L468" s="67" t="n">
        <f aca="false">IF($K468=0,0,OPERATIONS!$Q168*$K468)</f>
        <v>0</v>
      </c>
      <c r="M468" s="26" t="str">
        <f aca="false">IF($K468=0,"",OPERATIONS!$P168)</f>
        <v/>
      </c>
      <c r="N468" s="26" t="str">
        <f aca="false">IF($G468="","",IF($G468=R_LOT,COUNTIF($G$5:$G468,R_LOT),""))</f>
        <v/>
      </c>
    </row>
    <row r="469" customFormat="false" ht="15" hidden="false" customHeight="false" outlineLevel="0" collapsed="false">
      <c r="A469" s="28" t="str">
        <f aca="false">IF($K469=0,"",ROW()-4)</f>
        <v/>
      </c>
      <c r="B469" s="26" t="str">
        <f aca="false">IF($K469=0,"","OPERATIONS")</f>
        <v/>
      </c>
      <c r="C469" s="26" t="str">
        <f aca="false">IF($K469=0,"",OPERATIONS!$A169)</f>
        <v/>
      </c>
      <c r="D469" s="31" t="str">
        <f aca="false">IF($K469=0,"",OPERATIONS!$B169)</f>
        <v/>
      </c>
      <c r="E469" s="26" t="str">
        <f aca="false">IF($K469=0,"","ENTREE")</f>
        <v/>
      </c>
      <c r="F469" s="26" t="str">
        <f aca="false">IF($K469=0,"",OPERATIONS!$C169)</f>
        <v/>
      </c>
      <c r="G469" s="26" t="str">
        <f aca="false">IF($K469=0,"",OPERATIONS!$D169)</f>
        <v/>
      </c>
      <c r="H469" s="26" t="str">
        <f aca="false">IF($K469=0,"",OPERATIONS!$F169)</f>
        <v/>
      </c>
      <c r="I469" s="26" t="str">
        <f aca="false">IF($H469="","",IFERROR(INDEX(EMPL_CLASSE,MATCH($H469,EMPL_KEY,0)),""))</f>
        <v/>
      </c>
      <c r="J469" s="26" t="str">
        <f aca="false">IF($K469=0,"",OPERATIONS!$J169)</f>
        <v/>
      </c>
      <c r="K469" s="67" t="n">
        <f aca="false">IF(OR(OPERATIONS!$N169=0,OPERATIONS!$C169="CONSOMMATION"),0,OPERATIONS!$G169)</f>
        <v>0</v>
      </c>
      <c r="L469" s="67" t="n">
        <f aca="false">IF($K469=0,0,OPERATIONS!$Q169*$K469)</f>
        <v>0</v>
      </c>
      <c r="M469" s="26" t="str">
        <f aca="false">IF($K469=0,"",OPERATIONS!$P169)</f>
        <v/>
      </c>
      <c r="N469" s="26" t="str">
        <f aca="false">IF($G469="","",IF($G469=R_LOT,COUNTIF($G$5:$G469,R_LOT),""))</f>
        <v/>
      </c>
    </row>
    <row r="470" customFormat="false" ht="15" hidden="false" customHeight="false" outlineLevel="0" collapsed="false">
      <c r="A470" s="28" t="str">
        <f aca="false">IF($K470=0,"",ROW()-4)</f>
        <v/>
      </c>
      <c r="B470" s="26" t="str">
        <f aca="false">IF($K470=0,"","OPERATIONS")</f>
        <v/>
      </c>
      <c r="C470" s="26" t="str">
        <f aca="false">IF($K470=0,"",OPERATIONS!$A170)</f>
        <v/>
      </c>
      <c r="D470" s="31" t="str">
        <f aca="false">IF($K470=0,"",OPERATIONS!$B170)</f>
        <v/>
      </c>
      <c r="E470" s="26" t="str">
        <f aca="false">IF($K470=0,"","ENTREE")</f>
        <v/>
      </c>
      <c r="F470" s="26" t="str">
        <f aca="false">IF($K470=0,"",OPERATIONS!$C170)</f>
        <v/>
      </c>
      <c r="G470" s="26" t="str">
        <f aca="false">IF($K470=0,"",OPERATIONS!$D170)</f>
        <v/>
      </c>
      <c r="H470" s="26" t="str">
        <f aca="false">IF($K470=0,"",OPERATIONS!$F170)</f>
        <v/>
      </c>
      <c r="I470" s="26" t="str">
        <f aca="false">IF($H470="","",IFERROR(INDEX(EMPL_CLASSE,MATCH($H470,EMPL_KEY,0)),""))</f>
        <v/>
      </c>
      <c r="J470" s="26" t="str">
        <f aca="false">IF($K470=0,"",OPERATIONS!$J170)</f>
        <v/>
      </c>
      <c r="K470" s="67" t="n">
        <f aca="false">IF(OR(OPERATIONS!$N170=0,OPERATIONS!$C170="CONSOMMATION"),0,OPERATIONS!$G170)</f>
        <v>0</v>
      </c>
      <c r="L470" s="67" t="n">
        <f aca="false">IF($K470=0,0,OPERATIONS!$Q170*$K470)</f>
        <v>0</v>
      </c>
      <c r="M470" s="26" t="str">
        <f aca="false">IF($K470=0,"",OPERATIONS!$P170)</f>
        <v/>
      </c>
      <c r="N470" s="26" t="str">
        <f aca="false">IF($G470="","",IF($G470=R_LOT,COUNTIF($G$5:$G470,R_LOT),""))</f>
        <v/>
      </c>
    </row>
    <row r="471" customFormat="false" ht="15" hidden="false" customHeight="false" outlineLevel="0" collapsed="false">
      <c r="A471" s="28" t="str">
        <f aca="false">IF($K471=0,"",ROW()-4)</f>
        <v/>
      </c>
      <c r="B471" s="26" t="str">
        <f aca="false">IF($K471=0,"","OPERATIONS")</f>
        <v/>
      </c>
      <c r="C471" s="26" t="str">
        <f aca="false">IF($K471=0,"",OPERATIONS!$A171)</f>
        <v/>
      </c>
      <c r="D471" s="31" t="str">
        <f aca="false">IF($K471=0,"",OPERATIONS!$B171)</f>
        <v/>
      </c>
      <c r="E471" s="26" t="str">
        <f aca="false">IF($K471=0,"","ENTREE")</f>
        <v/>
      </c>
      <c r="F471" s="26" t="str">
        <f aca="false">IF($K471=0,"",OPERATIONS!$C171)</f>
        <v/>
      </c>
      <c r="G471" s="26" t="str">
        <f aca="false">IF($K471=0,"",OPERATIONS!$D171)</f>
        <v/>
      </c>
      <c r="H471" s="26" t="str">
        <f aca="false">IF($K471=0,"",OPERATIONS!$F171)</f>
        <v/>
      </c>
      <c r="I471" s="26" t="str">
        <f aca="false">IF($H471="","",IFERROR(INDEX(EMPL_CLASSE,MATCH($H471,EMPL_KEY,0)),""))</f>
        <v/>
      </c>
      <c r="J471" s="26" t="str">
        <f aca="false">IF($K471=0,"",OPERATIONS!$J171)</f>
        <v/>
      </c>
      <c r="K471" s="67" t="n">
        <f aca="false">IF(OR(OPERATIONS!$N171=0,OPERATIONS!$C171="CONSOMMATION"),0,OPERATIONS!$G171)</f>
        <v>0</v>
      </c>
      <c r="L471" s="67" t="n">
        <f aca="false">IF($K471=0,0,OPERATIONS!$Q171*$K471)</f>
        <v>0</v>
      </c>
      <c r="M471" s="26" t="str">
        <f aca="false">IF($K471=0,"",OPERATIONS!$P171)</f>
        <v/>
      </c>
      <c r="N471" s="26" t="str">
        <f aca="false">IF($G471="","",IF($G471=R_LOT,COUNTIF($G$5:$G471,R_LOT),""))</f>
        <v/>
      </c>
    </row>
    <row r="472" customFormat="false" ht="15" hidden="false" customHeight="false" outlineLevel="0" collapsed="false">
      <c r="A472" s="28" t="str">
        <f aca="false">IF($K472=0,"",ROW()-4)</f>
        <v/>
      </c>
      <c r="B472" s="26" t="str">
        <f aca="false">IF($K472=0,"","OPERATIONS")</f>
        <v/>
      </c>
      <c r="C472" s="26" t="str">
        <f aca="false">IF($K472=0,"",OPERATIONS!$A172)</f>
        <v/>
      </c>
      <c r="D472" s="31" t="str">
        <f aca="false">IF($K472=0,"",OPERATIONS!$B172)</f>
        <v/>
      </c>
      <c r="E472" s="26" t="str">
        <f aca="false">IF($K472=0,"","ENTREE")</f>
        <v/>
      </c>
      <c r="F472" s="26" t="str">
        <f aca="false">IF($K472=0,"",OPERATIONS!$C172)</f>
        <v/>
      </c>
      <c r="G472" s="26" t="str">
        <f aca="false">IF($K472=0,"",OPERATIONS!$D172)</f>
        <v/>
      </c>
      <c r="H472" s="26" t="str">
        <f aca="false">IF($K472=0,"",OPERATIONS!$F172)</f>
        <v/>
      </c>
      <c r="I472" s="26" t="str">
        <f aca="false">IF($H472="","",IFERROR(INDEX(EMPL_CLASSE,MATCH($H472,EMPL_KEY,0)),""))</f>
        <v/>
      </c>
      <c r="J472" s="26" t="str">
        <f aca="false">IF($K472=0,"",OPERATIONS!$J172)</f>
        <v/>
      </c>
      <c r="K472" s="67" t="n">
        <f aca="false">IF(OR(OPERATIONS!$N172=0,OPERATIONS!$C172="CONSOMMATION"),0,OPERATIONS!$G172)</f>
        <v>0</v>
      </c>
      <c r="L472" s="67" t="n">
        <f aca="false">IF($K472=0,0,OPERATIONS!$Q172*$K472)</f>
        <v>0</v>
      </c>
      <c r="M472" s="26" t="str">
        <f aca="false">IF($K472=0,"",OPERATIONS!$P172)</f>
        <v/>
      </c>
      <c r="N472" s="26" t="str">
        <f aca="false">IF($G472="","",IF($G472=R_LOT,COUNTIF($G$5:$G472,R_LOT),""))</f>
        <v/>
      </c>
    </row>
    <row r="473" customFormat="false" ht="15" hidden="false" customHeight="false" outlineLevel="0" collapsed="false">
      <c r="A473" s="28" t="str">
        <f aca="false">IF($K473=0,"",ROW()-4)</f>
        <v/>
      </c>
      <c r="B473" s="26" t="str">
        <f aca="false">IF($K473=0,"","OPERATIONS")</f>
        <v/>
      </c>
      <c r="C473" s="26" t="str">
        <f aca="false">IF($K473=0,"",OPERATIONS!$A173)</f>
        <v/>
      </c>
      <c r="D473" s="31" t="str">
        <f aca="false">IF($K473=0,"",OPERATIONS!$B173)</f>
        <v/>
      </c>
      <c r="E473" s="26" t="str">
        <f aca="false">IF($K473=0,"","ENTREE")</f>
        <v/>
      </c>
      <c r="F473" s="26" t="str">
        <f aca="false">IF($K473=0,"",OPERATIONS!$C173)</f>
        <v/>
      </c>
      <c r="G473" s="26" t="str">
        <f aca="false">IF($K473=0,"",OPERATIONS!$D173)</f>
        <v/>
      </c>
      <c r="H473" s="26" t="str">
        <f aca="false">IF($K473=0,"",OPERATIONS!$F173)</f>
        <v/>
      </c>
      <c r="I473" s="26" t="str">
        <f aca="false">IF($H473="","",IFERROR(INDEX(EMPL_CLASSE,MATCH($H473,EMPL_KEY,0)),""))</f>
        <v/>
      </c>
      <c r="J473" s="26" t="str">
        <f aca="false">IF($K473=0,"",OPERATIONS!$J173)</f>
        <v/>
      </c>
      <c r="K473" s="67" t="n">
        <f aca="false">IF(OR(OPERATIONS!$N173=0,OPERATIONS!$C173="CONSOMMATION"),0,OPERATIONS!$G173)</f>
        <v>0</v>
      </c>
      <c r="L473" s="67" t="n">
        <f aca="false">IF($K473=0,0,OPERATIONS!$Q173*$K473)</f>
        <v>0</v>
      </c>
      <c r="M473" s="26" t="str">
        <f aca="false">IF($K473=0,"",OPERATIONS!$P173)</f>
        <v/>
      </c>
      <c r="N473" s="26" t="str">
        <f aca="false">IF($G473="","",IF($G473=R_LOT,COUNTIF($G$5:$G473,R_LOT),""))</f>
        <v/>
      </c>
    </row>
    <row r="474" customFormat="false" ht="15" hidden="false" customHeight="false" outlineLevel="0" collapsed="false">
      <c r="A474" s="28" t="str">
        <f aca="false">IF($K474=0,"",ROW()-4)</f>
        <v/>
      </c>
      <c r="B474" s="26" t="str">
        <f aca="false">IF($K474=0,"","OPERATIONS")</f>
        <v/>
      </c>
      <c r="C474" s="26" t="str">
        <f aca="false">IF($K474=0,"",OPERATIONS!$A174)</f>
        <v/>
      </c>
      <c r="D474" s="31" t="str">
        <f aca="false">IF($K474=0,"",OPERATIONS!$B174)</f>
        <v/>
      </c>
      <c r="E474" s="26" t="str">
        <f aca="false">IF($K474=0,"","ENTREE")</f>
        <v/>
      </c>
      <c r="F474" s="26" t="str">
        <f aca="false">IF($K474=0,"",OPERATIONS!$C174)</f>
        <v/>
      </c>
      <c r="G474" s="26" t="str">
        <f aca="false">IF($K474=0,"",OPERATIONS!$D174)</f>
        <v/>
      </c>
      <c r="H474" s="26" t="str">
        <f aca="false">IF($K474=0,"",OPERATIONS!$F174)</f>
        <v/>
      </c>
      <c r="I474" s="26" t="str">
        <f aca="false">IF($H474="","",IFERROR(INDEX(EMPL_CLASSE,MATCH($H474,EMPL_KEY,0)),""))</f>
        <v/>
      </c>
      <c r="J474" s="26" t="str">
        <f aca="false">IF($K474=0,"",OPERATIONS!$J174)</f>
        <v/>
      </c>
      <c r="K474" s="67" t="n">
        <f aca="false">IF(OR(OPERATIONS!$N174=0,OPERATIONS!$C174="CONSOMMATION"),0,OPERATIONS!$G174)</f>
        <v>0</v>
      </c>
      <c r="L474" s="67" t="n">
        <f aca="false">IF($K474=0,0,OPERATIONS!$Q174*$K474)</f>
        <v>0</v>
      </c>
      <c r="M474" s="26" t="str">
        <f aca="false">IF($K474=0,"",OPERATIONS!$P174)</f>
        <v/>
      </c>
      <c r="N474" s="26" t="str">
        <f aca="false">IF($G474="","",IF($G474=R_LOT,COUNTIF($G$5:$G474,R_LOT),""))</f>
        <v/>
      </c>
    </row>
    <row r="475" customFormat="false" ht="15" hidden="false" customHeight="false" outlineLevel="0" collapsed="false">
      <c r="A475" s="28" t="str">
        <f aca="false">IF($K475=0,"",ROW()-4)</f>
        <v/>
      </c>
      <c r="B475" s="26" t="str">
        <f aca="false">IF($K475=0,"","OPERATIONS")</f>
        <v/>
      </c>
      <c r="C475" s="26" t="str">
        <f aca="false">IF($K475=0,"",OPERATIONS!$A175)</f>
        <v/>
      </c>
      <c r="D475" s="31" t="str">
        <f aca="false">IF($K475=0,"",OPERATIONS!$B175)</f>
        <v/>
      </c>
      <c r="E475" s="26" t="str">
        <f aca="false">IF($K475=0,"","ENTREE")</f>
        <v/>
      </c>
      <c r="F475" s="26" t="str">
        <f aca="false">IF($K475=0,"",OPERATIONS!$C175)</f>
        <v/>
      </c>
      <c r="G475" s="26" t="str">
        <f aca="false">IF($K475=0,"",OPERATIONS!$D175)</f>
        <v/>
      </c>
      <c r="H475" s="26" t="str">
        <f aca="false">IF($K475=0,"",OPERATIONS!$F175)</f>
        <v/>
      </c>
      <c r="I475" s="26" t="str">
        <f aca="false">IF($H475="","",IFERROR(INDEX(EMPL_CLASSE,MATCH($H475,EMPL_KEY,0)),""))</f>
        <v/>
      </c>
      <c r="J475" s="26" t="str">
        <f aca="false">IF($K475=0,"",OPERATIONS!$J175)</f>
        <v/>
      </c>
      <c r="K475" s="67" t="n">
        <f aca="false">IF(OR(OPERATIONS!$N175=0,OPERATIONS!$C175="CONSOMMATION"),0,OPERATIONS!$G175)</f>
        <v>0</v>
      </c>
      <c r="L475" s="67" t="n">
        <f aca="false">IF($K475=0,0,OPERATIONS!$Q175*$K475)</f>
        <v>0</v>
      </c>
      <c r="M475" s="26" t="str">
        <f aca="false">IF($K475=0,"",OPERATIONS!$P175)</f>
        <v/>
      </c>
      <c r="N475" s="26" t="str">
        <f aca="false">IF($G475="","",IF($G475=R_LOT,COUNTIF($G$5:$G475,R_LOT),""))</f>
        <v/>
      </c>
    </row>
    <row r="476" customFormat="false" ht="15" hidden="false" customHeight="false" outlineLevel="0" collapsed="false">
      <c r="A476" s="28" t="str">
        <f aca="false">IF($K476=0,"",ROW()-4)</f>
        <v/>
      </c>
      <c r="B476" s="26" t="str">
        <f aca="false">IF($K476=0,"","OPERATIONS")</f>
        <v/>
      </c>
      <c r="C476" s="26" t="str">
        <f aca="false">IF($K476=0,"",OPERATIONS!$A176)</f>
        <v/>
      </c>
      <c r="D476" s="31" t="str">
        <f aca="false">IF($K476=0,"",OPERATIONS!$B176)</f>
        <v/>
      </c>
      <c r="E476" s="26" t="str">
        <f aca="false">IF($K476=0,"","ENTREE")</f>
        <v/>
      </c>
      <c r="F476" s="26" t="str">
        <f aca="false">IF($K476=0,"",OPERATIONS!$C176)</f>
        <v/>
      </c>
      <c r="G476" s="26" t="str">
        <f aca="false">IF($K476=0,"",OPERATIONS!$D176)</f>
        <v/>
      </c>
      <c r="H476" s="26" t="str">
        <f aca="false">IF($K476=0,"",OPERATIONS!$F176)</f>
        <v/>
      </c>
      <c r="I476" s="26" t="str">
        <f aca="false">IF($H476="","",IFERROR(INDEX(EMPL_CLASSE,MATCH($H476,EMPL_KEY,0)),""))</f>
        <v/>
      </c>
      <c r="J476" s="26" t="str">
        <f aca="false">IF($K476=0,"",OPERATIONS!$J176)</f>
        <v/>
      </c>
      <c r="K476" s="67" t="n">
        <f aca="false">IF(OR(OPERATIONS!$N176=0,OPERATIONS!$C176="CONSOMMATION"),0,OPERATIONS!$G176)</f>
        <v>0</v>
      </c>
      <c r="L476" s="67" t="n">
        <f aca="false">IF($K476=0,0,OPERATIONS!$Q176*$K476)</f>
        <v>0</v>
      </c>
      <c r="M476" s="26" t="str">
        <f aca="false">IF($K476=0,"",OPERATIONS!$P176)</f>
        <v/>
      </c>
      <c r="N476" s="26" t="str">
        <f aca="false">IF($G476="","",IF($G476=R_LOT,COUNTIF($G$5:$G476,R_LOT),""))</f>
        <v/>
      </c>
    </row>
    <row r="477" customFormat="false" ht="15" hidden="false" customHeight="false" outlineLevel="0" collapsed="false">
      <c r="A477" s="28" t="str">
        <f aca="false">IF($K477=0,"",ROW()-4)</f>
        <v/>
      </c>
      <c r="B477" s="26" t="str">
        <f aca="false">IF($K477=0,"","OPERATIONS")</f>
        <v/>
      </c>
      <c r="C477" s="26" t="str">
        <f aca="false">IF($K477=0,"",OPERATIONS!$A177)</f>
        <v/>
      </c>
      <c r="D477" s="31" t="str">
        <f aca="false">IF($K477=0,"",OPERATIONS!$B177)</f>
        <v/>
      </c>
      <c r="E477" s="26" t="str">
        <f aca="false">IF($K477=0,"","ENTREE")</f>
        <v/>
      </c>
      <c r="F477" s="26" t="str">
        <f aca="false">IF($K477=0,"",OPERATIONS!$C177)</f>
        <v/>
      </c>
      <c r="G477" s="26" t="str">
        <f aca="false">IF($K477=0,"",OPERATIONS!$D177)</f>
        <v/>
      </c>
      <c r="H477" s="26" t="str">
        <f aca="false">IF($K477=0,"",OPERATIONS!$F177)</f>
        <v/>
      </c>
      <c r="I477" s="26" t="str">
        <f aca="false">IF($H477="","",IFERROR(INDEX(EMPL_CLASSE,MATCH($H477,EMPL_KEY,0)),""))</f>
        <v/>
      </c>
      <c r="J477" s="26" t="str">
        <f aca="false">IF($K477=0,"",OPERATIONS!$J177)</f>
        <v/>
      </c>
      <c r="K477" s="67" t="n">
        <f aca="false">IF(OR(OPERATIONS!$N177=0,OPERATIONS!$C177="CONSOMMATION"),0,OPERATIONS!$G177)</f>
        <v>0</v>
      </c>
      <c r="L477" s="67" t="n">
        <f aca="false">IF($K477=0,0,OPERATIONS!$Q177*$K477)</f>
        <v>0</v>
      </c>
      <c r="M477" s="26" t="str">
        <f aca="false">IF($K477=0,"",OPERATIONS!$P177)</f>
        <v/>
      </c>
      <c r="N477" s="26" t="str">
        <f aca="false">IF($G477="","",IF($G477=R_LOT,COUNTIF($G$5:$G477,R_LOT),""))</f>
        <v/>
      </c>
    </row>
    <row r="478" customFormat="false" ht="15" hidden="false" customHeight="false" outlineLevel="0" collapsed="false">
      <c r="A478" s="28" t="str">
        <f aca="false">IF($K478=0,"",ROW()-4)</f>
        <v/>
      </c>
      <c r="B478" s="26" t="str">
        <f aca="false">IF($K478=0,"","OPERATIONS")</f>
        <v/>
      </c>
      <c r="C478" s="26" t="str">
        <f aca="false">IF($K478=0,"",OPERATIONS!$A178)</f>
        <v/>
      </c>
      <c r="D478" s="31" t="str">
        <f aca="false">IF($K478=0,"",OPERATIONS!$B178)</f>
        <v/>
      </c>
      <c r="E478" s="26" t="str">
        <f aca="false">IF($K478=0,"","ENTREE")</f>
        <v/>
      </c>
      <c r="F478" s="26" t="str">
        <f aca="false">IF($K478=0,"",OPERATIONS!$C178)</f>
        <v/>
      </c>
      <c r="G478" s="26" t="str">
        <f aca="false">IF($K478=0,"",OPERATIONS!$D178)</f>
        <v/>
      </c>
      <c r="H478" s="26" t="str">
        <f aca="false">IF($K478=0,"",OPERATIONS!$F178)</f>
        <v/>
      </c>
      <c r="I478" s="26" t="str">
        <f aca="false">IF($H478="","",IFERROR(INDEX(EMPL_CLASSE,MATCH($H478,EMPL_KEY,0)),""))</f>
        <v/>
      </c>
      <c r="J478" s="26" t="str">
        <f aca="false">IF($K478=0,"",OPERATIONS!$J178)</f>
        <v/>
      </c>
      <c r="K478" s="67" t="n">
        <f aca="false">IF(OR(OPERATIONS!$N178=0,OPERATIONS!$C178="CONSOMMATION"),0,OPERATIONS!$G178)</f>
        <v>0</v>
      </c>
      <c r="L478" s="67" t="n">
        <f aca="false">IF($K478=0,0,OPERATIONS!$Q178*$K478)</f>
        <v>0</v>
      </c>
      <c r="M478" s="26" t="str">
        <f aca="false">IF($K478=0,"",OPERATIONS!$P178)</f>
        <v/>
      </c>
      <c r="N478" s="26" t="str">
        <f aca="false">IF($G478="","",IF($G478=R_LOT,COUNTIF($G$5:$G478,R_LOT),""))</f>
        <v/>
      </c>
    </row>
    <row r="479" customFormat="false" ht="15" hidden="false" customHeight="false" outlineLevel="0" collapsed="false">
      <c r="A479" s="28" t="str">
        <f aca="false">IF($K479=0,"",ROW()-4)</f>
        <v/>
      </c>
      <c r="B479" s="26" t="str">
        <f aca="false">IF($K479=0,"","OPERATIONS")</f>
        <v/>
      </c>
      <c r="C479" s="26" t="str">
        <f aca="false">IF($K479=0,"",OPERATIONS!$A179)</f>
        <v/>
      </c>
      <c r="D479" s="31" t="str">
        <f aca="false">IF($K479=0,"",OPERATIONS!$B179)</f>
        <v/>
      </c>
      <c r="E479" s="26" t="str">
        <f aca="false">IF($K479=0,"","ENTREE")</f>
        <v/>
      </c>
      <c r="F479" s="26" t="str">
        <f aca="false">IF($K479=0,"",OPERATIONS!$C179)</f>
        <v/>
      </c>
      <c r="G479" s="26" t="str">
        <f aca="false">IF($K479=0,"",OPERATIONS!$D179)</f>
        <v/>
      </c>
      <c r="H479" s="26" t="str">
        <f aca="false">IF($K479=0,"",OPERATIONS!$F179)</f>
        <v/>
      </c>
      <c r="I479" s="26" t="str">
        <f aca="false">IF($H479="","",IFERROR(INDEX(EMPL_CLASSE,MATCH($H479,EMPL_KEY,0)),""))</f>
        <v/>
      </c>
      <c r="J479" s="26" t="str">
        <f aca="false">IF($K479=0,"",OPERATIONS!$J179)</f>
        <v/>
      </c>
      <c r="K479" s="67" t="n">
        <f aca="false">IF(OR(OPERATIONS!$N179=0,OPERATIONS!$C179="CONSOMMATION"),0,OPERATIONS!$G179)</f>
        <v>0</v>
      </c>
      <c r="L479" s="67" t="n">
        <f aca="false">IF($K479=0,0,OPERATIONS!$Q179*$K479)</f>
        <v>0</v>
      </c>
      <c r="M479" s="26" t="str">
        <f aca="false">IF($K479=0,"",OPERATIONS!$P179)</f>
        <v/>
      </c>
      <c r="N479" s="26" t="str">
        <f aca="false">IF($G479="","",IF($G479=R_LOT,COUNTIF($G$5:$G479,R_LOT),""))</f>
        <v/>
      </c>
    </row>
    <row r="480" customFormat="false" ht="15" hidden="false" customHeight="false" outlineLevel="0" collapsed="false">
      <c r="A480" s="28" t="str">
        <f aca="false">IF($K480=0,"",ROW()-4)</f>
        <v/>
      </c>
      <c r="B480" s="26" t="str">
        <f aca="false">IF($K480=0,"","OPERATIONS")</f>
        <v/>
      </c>
      <c r="C480" s="26" t="str">
        <f aca="false">IF($K480=0,"",OPERATIONS!$A180)</f>
        <v/>
      </c>
      <c r="D480" s="31" t="str">
        <f aca="false">IF($K480=0,"",OPERATIONS!$B180)</f>
        <v/>
      </c>
      <c r="E480" s="26" t="str">
        <f aca="false">IF($K480=0,"","ENTREE")</f>
        <v/>
      </c>
      <c r="F480" s="26" t="str">
        <f aca="false">IF($K480=0,"",OPERATIONS!$C180)</f>
        <v/>
      </c>
      <c r="G480" s="26" t="str">
        <f aca="false">IF($K480=0,"",OPERATIONS!$D180)</f>
        <v/>
      </c>
      <c r="H480" s="26" t="str">
        <f aca="false">IF($K480=0,"",OPERATIONS!$F180)</f>
        <v/>
      </c>
      <c r="I480" s="26" t="str">
        <f aca="false">IF($H480="","",IFERROR(INDEX(EMPL_CLASSE,MATCH($H480,EMPL_KEY,0)),""))</f>
        <v/>
      </c>
      <c r="J480" s="26" t="str">
        <f aca="false">IF($K480=0,"",OPERATIONS!$J180)</f>
        <v/>
      </c>
      <c r="K480" s="67" t="n">
        <f aca="false">IF(OR(OPERATIONS!$N180=0,OPERATIONS!$C180="CONSOMMATION"),0,OPERATIONS!$G180)</f>
        <v>0</v>
      </c>
      <c r="L480" s="67" t="n">
        <f aca="false">IF($K480=0,0,OPERATIONS!$Q180*$K480)</f>
        <v>0</v>
      </c>
      <c r="M480" s="26" t="str">
        <f aca="false">IF($K480=0,"",OPERATIONS!$P180)</f>
        <v/>
      </c>
      <c r="N480" s="26" t="str">
        <f aca="false">IF($G480="","",IF($G480=R_LOT,COUNTIF($G$5:$G480,R_LOT),""))</f>
        <v/>
      </c>
    </row>
    <row r="481" customFormat="false" ht="15" hidden="false" customHeight="false" outlineLevel="0" collapsed="false">
      <c r="A481" s="28" t="str">
        <f aca="false">IF($K481=0,"",ROW()-4)</f>
        <v/>
      </c>
      <c r="B481" s="26" t="str">
        <f aca="false">IF($K481=0,"","OPERATIONS")</f>
        <v/>
      </c>
      <c r="C481" s="26" t="str">
        <f aca="false">IF($K481=0,"",OPERATIONS!$A181)</f>
        <v/>
      </c>
      <c r="D481" s="31" t="str">
        <f aca="false">IF($K481=0,"",OPERATIONS!$B181)</f>
        <v/>
      </c>
      <c r="E481" s="26" t="str">
        <f aca="false">IF($K481=0,"","ENTREE")</f>
        <v/>
      </c>
      <c r="F481" s="26" t="str">
        <f aca="false">IF($K481=0,"",OPERATIONS!$C181)</f>
        <v/>
      </c>
      <c r="G481" s="26" t="str">
        <f aca="false">IF($K481=0,"",OPERATIONS!$D181)</f>
        <v/>
      </c>
      <c r="H481" s="26" t="str">
        <f aca="false">IF($K481=0,"",OPERATIONS!$F181)</f>
        <v/>
      </c>
      <c r="I481" s="26" t="str">
        <f aca="false">IF($H481="","",IFERROR(INDEX(EMPL_CLASSE,MATCH($H481,EMPL_KEY,0)),""))</f>
        <v/>
      </c>
      <c r="J481" s="26" t="str">
        <f aca="false">IF($K481=0,"",OPERATIONS!$J181)</f>
        <v/>
      </c>
      <c r="K481" s="67" t="n">
        <f aca="false">IF(OR(OPERATIONS!$N181=0,OPERATIONS!$C181="CONSOMMATION"),0,OPERATIONS!$G181)</f>
        <v>0</v>
      </c>
      <c r="L481" s="67" t="n">
        <f aca="false">IF($K481=0,0,OPERATIONS!$Q181*$K481)</f>
        <v>0</v>
      </c>
      <c r="M481" s="26" t="str">
        <f aca="false">IF($K481=0,"",OPERATIONS!$P181)</f>
        <v/>
      </c>
      <c r="N481" s="26" t="str">
        <f aca="false">IF($G481="","",IF($G481=R_LOT,COUNTIF($G$5:$G481,R_LOT),""))</f>
        <v/>
      </c>
    </row>
    <row r="482" customFormat="false" ht="15" hidden="false" customHeight="false" outlineLevel="0" collapsed="false">
      <c r="A482" s="28" t="str">
        <f aca="false">IF($K482=0,"",ROW()-4)</f>
        <v/>
      </c>
      <c r="B482" s="26" t="str">
        <f aca="false">IF($K482=0,"","OPERATIONS")</f>
        <v/>
      </c>
      <c r="C482" s="26" t="str">
        <f aca="false">IF($K482=0,"",OPERATIONS!$A182)</f>
        <v/>
      </c>
      <c r="D482" s="31" t="str">
        <f aca="false">IF($K482=0,"",OPERATIONS!$B182)</f>
        <v/>
      </c>
      <c r="E482" s="26" t="str">
        <f aca="false">IF($K482=0,"","ENTREE")</f>
        <v/>
      </c>
      <c r="F482" s="26" t="str">
        <f aca="false">IF($K482=0,"",OPERATIONS!$C182)</f>
        <v/>
      </c>
      <c r="G482" s="26" t="str">
        <f aca="false">IF($K482=0,"",OPERATIONS!$D182)</f>
        <v/>
      </c>
      <c r="H482" s="26" t="str">
        <f aca="false">IF($K482=0,"",OPERATIONS!$F182)</f>
        <v/>
      </c>
      <c r="I482" s="26" t="str">
        <f aca="false">IF($H482="","",IFERROR(INDEX(EMPL_CLASSE,MATCH($H482,EMPL_KEY,0)),""))</f>
        <v/>
      </c>
      <c r="J482" s="26" t="str">
        <f aca="false">IF($K482=0,"",OPERATIONS!$J182)</f>
        <v/>
      </c>
      <c r="K482" s="67" t="n">
        <f aca="false">IF(OR(OPERATIONS!$N182=0,OPERATIONS!$C182="CONSOMMATION"),0,OPERATIONS!$G182)</f>
        <v>0</v>
      </c>
      <c r="L482" s="67" t="n">
        <f aca="false">IF($K482=0,0,OPERATIONS!$Q182*$K482)</f>
        <v>0</v>
      </c>
      <c r="M482" s="26" t="str">
        <f aca="false">IF($K482=0,"",OPERATIONS!$P182)</f>
        <v/>
      </c>
      <c r="N482" s="26" t="str">
        <f aca="false">IF($G482="","",IF($G482=R_LOT,COUNTIF($G$5:$G482,R_LOT),""))</f>
        <v/>
      </c>
    </row>
    <row r="483" customFormat="false" ht="15" hidden="false" customHeight="false" outlineLevel="0" collapsed="false">
      <c r="A483" s="28" t="str">
        <f aca="false">IF($K483=0,"",ROW()-4)</f>
        <v/>
      </c>
      <c r="B483" s="26" t="str">
        <f aca="false">IF($K483=0,"","OPERATIONS")</f>
        <v/>
      </c>
      <c r="C483" s="26" t="str">
        <f aca="false">IF($K483=0,"",OPERATIONS!$A183)</f>
        <v/>
      </c>
      <c r="D483" s="31" t="str">
        <f aca="false">IF($K483=0,"",OPERATIONS!$B183)</f>
        <v/>
      </c>
      <c r="E483" s="26" t="str">
        <f aca="false">IF($K483=0,"","ENTREE")</f>
        <v/>
      </c>
      <c r="F483" s="26" t="str">
        <f aca="false">IF($K483=0,"",OPERATIONS!$C183)</f>
        <v/>
      </c>
      <c r="G483" s="26" t="str">
        <f aca="false">IF($K483=0,"",OPERATIONS!$D183)</f>
        <v/>
      </c>
      <c r="H483" s="26" t="str">
        <f aca="false">IF($K483=0,"",OPERATIONS!$F183)</f>
        <v/>
      </c>
      <c r="I483" s="26" t="str">
        <f aca="false">IF($H483="","",IFERROR(INDEX(EMPL_CLASSE,MATCH($H483,EMPL_KEY,0)),""))</f>
        <v/>
      </c>
      <c r="J483" s="26" t="str">
        <f aca="false">IF($K483=0,"",OPERATIONS!$J183)</f>
        <v/>
      </c>
      <c r="K483" s="67" t="n">
        <f aca="false">IF(OR(OPERATIONS!$N183=0,OPERATIONS!$C183="CONSOMMATION"),0,OPERATIONS!$G183)</f>
        <v>0</v>
      </c>
      <c r="L483" s="67" t="n">
        <f aca="false">IF($K483=0,0,OPERATIONS!$Q183*$K483)</f>
        <v>0</v>
      </c>
      <c r="M483" s="26" t="str">
        <f aca="false">IF($K483=0,"",OPERATIONS!$P183)</f>
        <v/>
      </c>
      <c r="N483" s="26" t="str">
        <f aca="false">IF($G483="","",IF($G483=R_LOT,COUNTIF($G$5:$G483,R_LOT),""))</f>
        <v/>
      </c>
    </row>
    <row r="484" customFormat="false" ht="15" hidden="false" customHeight="false" outlineLevel="0" collapsed="false">
      <c r="A484" s="28" t="str">
        <f aca="false">IF($K484=0,"",ROW()-4)</f>
        <v/>
      </c>
      <c r="B484" s="26" t="str">
        <f aca="false">IF($K484=0,"","OPERATIONS")</f>
        <v/>
      </c>
      <c r="C484" s="26" t="str">
        <f aca="false">IF($K484=0,"",OPERATIONS!$A184)</f>
        <v/>
      </c>
      <c r="D484" s="31" t="str">
        <f aca="false">IF($K484=0,"",OPERATIONS!$B184)</f>
        <v/>
      </c>
      <c r="E484" s="26" t="str">
        <f aca="false">IF($K484=0,"","ENTREE")</f>
        <v/>
      </c>
      <c r="F484" s="26" t="str">
        <f aca="false">IF($K484=0,"",OPERATIONS!$C184)</f>
        <v/>
      </c>
      <c r="G484" s="26" t="str">
        <f aca="false">IF($K484=0,"",OPERATIONS!$D184)</f>
        <v/>
      </c>
      <c r="H484" s="26" t="str">
        <f aca="false">IF($K484=0,"",OPERATIONS!$F184)</f>
        <v/>
      </c>
      <c r="I484" s="26" t="str">
        <f aca="false">IF($H484="","",IFERROR(INDEX(EMPL_CLASSE,MATCH($H484,EMPL_KEY,0)),""))</f>
        <v/>
      </c>
      <c r="J484" s="26" t="str">
        <f aca="false">IF($K484=0,"",OPERATIONS!$J184)</f>
        <v/>
      </c>
      <c r="K484" s="67" t="n">
        <f aca="false">IF(OR(OPERATIONS!$N184=0,OPERATIONS!$C184="CONSOMMATION"),0,OPERATIONS!$G184)</f>
        <v>0</v>
      </c>
      <c r="L484" s="67" t="n">
        <f aca="false">IF($K484=0,0,OPERATIONS!$Q184*$K484)</f>
        <v>0</v>
      </c>
      <c r="M484" s="26" t="str">
        <f aca="false">IF($K484=0,"",OPERATIONS!$P184)</f>
        <v/>
      </c>
      <c r="N484" s="26" t="str">
        <f aca="false">IF($G484="","",IF($G484=R_LOT,COUNTIF($G$5:$G484,R_LOT),""))</f>
        <v/>
      </c>
    </row>
    <row r="485" customFormat="false" ht="15" hidden="false" customHeight="false" outlineLevel="0" collapsed="false">
      <c r="A485" s="28" t="str">
        <f aca="false">IF($K485=0,"",ROW()-4)</f>
        <v/>
      </c>
      <c r="B485" s="26" t="str">
        <f aca="false">IF($K485=0,"","OPERATIONS")</f>
        <v/>
      </c>
      <c r="C485" s="26" t="str">
        <f aca="false">IF($K485=0,"",OPERATIONS!$A185)</f>
        <v/>
      </c>
      <c r="D485" s="31" t="str">
        <f aca="false">IF($K485=0,"",OPERATIONS!$B185)</f>
        <v/>
      </c>
      <c r="E485" s="26" t="str">
        <f aca="false">IF($K485=0,"","ENTREE")</f>
        <v/>
      </c>
      <c r="F485" s="26" t="str">
        <f aca="false">IF($K485=0,"",OPERATIONS!$C185)</f>
        <v/>
      </c>
      <c r="G485" s="26" t="str">
        <f aca="false">IF($K485=0,"",OPERATIONS!$D185)</f>
        <v/>
      </c>
      <c r="H485" s="26" t="str">
        <f aca="false">IF($K485=0,"",OPERATIONS!$F185)</f>
        <v/>
      </c>
      <c r="I485" s="26" t="str">
        <f aca="false">IF($H485="","",IFERROR(INDEX(EMPL_CLASSE,MATCH($H485,EMPL_KEY,0)),""))</f>
        <v/>
      </c>
      <c r="J485" s="26" t="str">
        <f aca="false">IF($K485=0,"",OPERATIONS!$J185)</f>
        <v/>
      </c>
      <c r="K485" s="67" t="n">
        <f aca="false">IF(OR(OPERATIONS!$N185=0,OPERATIONS!$C185="CONSOMMATION"),0,OPERATIONS!$G185)</f>
        <v>0</v>
      </c>
      <c r="L485" s="67" t="n">
        <f aca="false">IF($K485=0,0,OPERATIONS!$Q185*$K485)</f>
        <v>0</v>
      </c>
      <c r="M485" s="26" t="str">
        <f aca="false">IF($K485=0,"",OPERATIONS!$P185)</f>
        <v/>
      </c>
      <c r="N485" s="26" t="str">
        <f aca="false">IF($G485="","",IF($G485=R_LOT,COUNTIF($G$5:$G485,R_LOT),""))</f>
        <v/>
      </c>
    </row>
    <row r="486" customFormat="false" ht="15" hidden="false" customHeight="false" outlineLevel="0" collapsed="false">
      <c r="A486" s="28" t="str">
        <f aca="false">IF($K486=0,"",ROW()-4)</f>
        <v/>
      </c>
      <c r="B486" s="26" t="str">
        <f aca="false">IF($K486=0,"","OPERATIONS")</f>
        <v/>
      </c>
      <c r="C486" s="26" t="str">
        <f aca="false">IF($K486=0,"",OPERATIONS!$A186)</f>
        <v/>
      </c>
      <c r="D486" s="31" t="str">
        <f aca="false">IF($K486=0,"",OPERATIONS!$B186)</f>
        <v/>
      </c>
      <c r="E486" s="26" t="str">
        <f aca="false">IF($K486=0,"","ENTREE")</f>
        <v/>
      </c>
      <c r="F486" s="26" t="str">
        <f aca="false">IF($K486=0,"",OPERATIONS!$C186)</f>
        <v/>
      </c>
      <c r="G486" s="26" t="str">
        <f aca="false">IF($K486=0,"",OPERATIONS!$D186)</f>
        <v/>
      </c>
      <c r="H486" s="26" t="str">
        <f aca="false">IF($K486=0,"",OPERATIONS!$F186)</f>
        <v/>
      </c>
      <c r="I486" s="26" t="str">
        <f aca="false">IF($H486="","",IFERROR(INDEX(EMPL_CLASSE,MATCH($H486,EMPL_KEY,0)),""))</f>
        <v/>
      </c>
      <c r="J486" s="26" t="str">
        <f aca="false">IF($K486=0,"",OPERATIONS!$J186)</f>
        <v/>
      </c>
      <c r="K486" s="67" t="n">
        <f aca="false">IF(OR(OPERATIONS!$N186=0,OPERATIONS!$C186="CONSOMMATION"),0,OPERATIONS!$G186)</f>
        <v>0</v>
      </c>
      <c r="L486" s="67" t="n">
        <f aca="false">IF($K486=0,0,OPERATIONS!$Q186*$K486)</f>
        <v>0</v>
      </c>
      <c r="M486" s="26" t="str">
        <f aca="false">IF($K486=0,"",OPERATIONS!$P186)</f>
        <v/>
      </c>
      <c r="N486" s="26" t="str">
        <f aca="false">IF($G486="","",IF($G486=R_LOT,COUNTIF($G$5:$G486,R_LOT),""))</f>
        <v/>
      </c>
    </row>
    <row r="487" customFormat="false" ht="15" hidden="false" customHeight="false" outlineLevel="0" collapsed="false">
      <c r="A487" s="28" t="str">
        <f aca="false">IF($K487=0,"",ROW()-4)</f>
        <v/>
      </c>
      <c r="B487" s="26" t="str">
        <f aca="false">IF($K487=0,"","OPERATIONS")</f>
        <v/>
      </c>
      <c r="C487" s="26" t="str">
        <f aca="false">IF($K487=0,"",OPERATIONS!$A187)</f>
        <v/>
      </c>
      <c r="D487" s="31" t="str">
        <f aca="false">IF($K487=0,"",OPERATIONS!$B187)</f>
        <v/>
      </c>
      <c r="E487" s="26" t="str">
        <f aca="false">IF($K487=0,"","ENTREE")</f>
        <v/>
      </c>
      <c r="F487" s="26" t="str">
        <f aca="false">IF($K487=0,"",OPERATIONS!$C187)</f>
        <v/>
      </c>
      <c r="G487" s="26" t="str">
        <f aca="false">IF($K487=0,"",OPERATIONS!$D187)</f>
        <v/>
      </c>
      <c r="H487" s="26" t="str">
        <f aca="false">IF($K487=0,"",OPERATIONS!$F187)</f>
        <v/>
      </c>
      <c r="I487" s="26" t="str">
        <f aca="false">IF($H487="","",IFERROR(INDEX(EMPL_CLASSE,MATCH($H487,EMPL_KEY,0)),""))</f>
        <v/>
      </c>
      <c r="J487" s="26" t="str">
        <f aca="false">IF($K487=0,"",OPERATIONS!$J187)</f>
        <v/>
      </c>
      <c r="K487" s="67" t="n">
        <f aca="false">IF(OR(OPERATIONS!$N187=0,OPERATIONS!$C187="CONSOMMATION"),0,OPERATIONS!$G187)</f>
        <v>0</v>
      </c>
      <c r="L487" s="67" t="n">
        <f aca="false">IF($K487=0,0,OPERATIONS!$Q187*$K487)</f>
        <v>0</v>
      </c>
      <c r="M487" s="26" t="str">
        <f aca="false">IF($K487=0,"",OPERATIONS!$P187)</f>
        <v/>
      </c>
      <c r="N487" s="26" t="str">
        <f aca="false">IF($G487="","",IF($G487=R_LOT,COUNTIF($G$5:$G487,R_LOT),""))</f>
        <v/>
      </c>
    </row>
    <row r="488" customFormat="false" ht="15" hidden="false" customHeight="false" outlineLevel="0" collapsed="false">
      <c r="A488" s="28" t="str">
        <f aca="false">IF($K488=0,"",ROW()-4)</f>
        <v/>
      </c>
      <c r="B488" s="26" t="str">
        <f aca="false">IF($K488=0,"","OPERATIONS")</f>
        <v/>
      </c>
      <c r="C488" s="26" t="str">
        <f aca="false">IF($K488=0,"",OPERATIONS!$A188)</f>
        <v/>
      </c>
      <c r="D488" s="31" t="str">
        <f aca="false">IF($K488=0,"",OPERATIONS!$B188)</f>
        <v/>
      </c>
      <c r="E488" s="26" t="str">
        <f aca="false">IF($K488=0,"","ENTREE")</f>
        <v/>
      </c>
      <c r="F488" s="26" t="str">
        <f aca="false">IF($K488=0,"",OPERATIONS!$C188)</f>
        <v/>
      </c>
      <c r="G488" s="26" t="str">
        <f aca="false">IF($K488=0,"",OPERATIONS!$D188)</f>
        <v/>
      </c>
      <c r="H488" s="26" t="str">
        <f aca="false">IF($K488=0,"",OPERATIONS!$F188)</f>
        <v/>
      </c>
      <c r="I488" s="26" t="str">
        <f aca="false">IF($H488="","",IFERROR(INDEX(EMPL_CLASSE,MATCH($H488,EMPL_KEY,0)),""))</f>
        <v/>
      </c>
      <c r="J488" s="26" t="str">
        <f aca="false">IF($K488=0,"",OPERATIONS!$J188)</f>
        <v/>
      </c>
      <c r="K488" s="67" t="n">
        <f aca="false">IF(OR(OPERATIONS!$N188=0,OPERATIONS!$C188="CONSOMMATION"),0,OPERATIONS!$G188)</f>
        <v>0</v>
      </c>
      <c r="L488" s="67" t="n">
        <f aca="false">IF($K488=0,0,OPERATIONS!$Q188*$K488)</f>
        <v>0</v>
      </c>
      <c r="M488" s="26" t="str">
        <f aca="false">IF($K488=0,"",OPERATIONS!$P188)</f>
        <v/>
      </c>
      <c r="N488" s="26" t="str">
        <f aca="false">IF($G488="","",IF($G488=R_LOT,COUNTIF($G$5:$G488,R_LOT),""))</f>
        <v/>
      </c>
    </row>
    <row r="489" customFormat="false" ht="15" hidden="false" customHeight="false" outlineLevel="0" collapsed="false">
      <c r="A489" s="28" t="str">
        <f aca="false">IF($K489=0,"",ROW()-4)</f>
        <v/>
      </c>
      <c r="B489" s="26" t="str">
        <f aca="false">IF($K489=0,"","OPERATIONS")</f>
        <v/>
      </c>
      <c r="C489" s="26" t="str">
        <f aca="false">IF($K489=0,"",OPERATIONS!$A189)</f>
        <v/>
      </c>
      <c r="D489" s="31" t="str">
        <f aca="false">IF($K489=0,"",OPERATIONS!$B189)</f>
        <v/>
      </c>
      <c r="E489" s="26" t="str">
        <f aca="false">IF($K489=0,"","ENTREE")</f>
        <v/>
      </c>
      <c r="F489" s="26" t="str">
        <f aca="false">IF($K489=0,"",OPERATIONS!$C189)</f>
        <v/>
      </c>
      <c r="G489" s="26" t="str">
        <f aca="false">IF($K489=0,"",OPERATIONS!$D189)</f>
        <v/>
      </c>
      <c r="H489" s="26" t="str">
        <f aca="false">IF($K489=0,"",OPERATIONS!$F189)</f>
        <v/>
      </c>
      <c r="I489" s="26" t="str">
        <f aca="false">IF($H489="","",IFERROR(INDEX(EMPL_CLASSE,MATCH($H489,EMPL_KEY,0)),""))</f>
        <v/>
      </c>
      <c r="J489" s="26" t="str">
        <f aca="false">IF($K489=0,"",OPERATIONS!$J189)</f>
        <v/>
      </c>
      <c r="K489" s="67" t="n">
        <f aca="false">IF(OR(OPERATIONS!$N189=0,OPERATIONS!$C189="CONSOMMATION"),0,OPERATIONS!$G189)</f>
        <v>0</v>
      </c>
      <c r="L489" s="67" t="n">
        <f aca="false">IF($K489=0,0,OPERATIONS!$Q189*$K489)</f>
        <v>0</v>
      </c>
      <c r="M489" s="26" t="str">
        <f aca="false">IF($K489=0,"",OPERATIONS!$P189)</f>
        <v/>
      </c>
      <c r="N489" s="26" t="str">
        <f aca="false">IF($G489="","",IF($G489=R_LOT,COUNTIF($G$5:$G489,R_LOT),""))</f>
        <v/>
      </c>
    </row>
    <row r="490" customFormat="false" ht="15" hidden="false" customHeight="false" outlineLevel="0" collapsed="false">
      <c r="A490" s="28" t="str">
        <f aca="false">IF($K490=0,"",ROW()-4)</f>
        <v/>
      </c>
      <c r="B490" s="26" t="str">
        <f aca="false">IF($K490=0,"","OPERATIONS")</f>
        <v/>
      </c>
      <c r="C490" s="26" t="str">
        <f aca="false">IF($K490=0,"",OPERATIONS!$A190)</f>
        <v/>
      </c>
      <c r="D490" s="31" t="str">
        <f aca="false">IF($K490=0,"",OPERATIONS!$B190)</f>
        <v/>
      </c>
      <c r="E490" s="26" t="str">
        <f aca="false">IF($K490=0,"","ENTREE")</f>
        <v/>
      </c>
      <c r="F490" s="26" t="str">
        <f aca="false">IF($K490=0,"",OPERATIONS!$C190)</f>
        <v/>
      </c>
      <c r="G490" s="26" t="str">
        <f aca="false">IF($K490=0,"",OPERATIONS!$D190)</f>
        <v/>
      </c>
      <c r="H490" s="26" t="str">
        <f aca="false">IF($K490=0,"",OPERATIONS!$F190)</f>
        <v/>
      </c>
      <c r="I490" s="26" t="str">
        <f aca="false">IF($H490="","",IFERROR(INDEX(EMPL_CLASSE,MATCH($H490,EMPL_KEY,0)),""))</f>
        <v/>
      </c>
      <c r="J490" s="26" t="str">
        <f aca="false">IF($K490=0,"",OPERATIONS!$J190)</f>
        <v/>
      </c>
      <c r="K490" s="67" t="n">
        <f aca="false">IF(OR(OPERATIONS!$N190=0,OPERATIONS!$C190="CONSOMMATION"),0,OPERATIONS!$G190)</f>
        <v>0</v>
      </c>
      <c r="L490" s="67" t="n">
        <f aca="false">IF($K490=0,0,OPERATIONS!$Q190*$K490)</f>
        <v>0</v>
      </c>
      <c r="M490" s="26" t="str">
        <f aca="false">IF($K490=0,"",OPERATIONS!$P190)</f>
        <v/>
      </c>
      <c r="N490" s="26" t="str">
        <f aca="false">IF($G490="","",IF($G490=R_LOT,COUNTIF($G$5:$G490,R_LOT),""))</f>
        <v/>
      </c>
    </row>
    <row r="491" customFormat="false" ht="15" hidden="false" customHeight="false" outlineLevel="0" collapsed="false">
      <c r="A491" s="28" t="str">
        <f aca="false">IF($K491=0,"",ROW()-4)</f>
        <v/>
      </c>
      <c r="B491" s="26" t="str">
        <f aca="false">IF($K491=0,"","OPERATIONS")</f>
        <v/>
      </c>
      <c r="C491" s="26" t="str">
        <f aca="false">IF($K491=0,"",OPERATIONS!$A191)</f>
        <v/>
      </c>
      <c r="D491" s="31" t="str">
        <f aca="false">IF($K491=0,"",OPERATIONS!$B191)</f>
        <v/>
      </c>
      <c r="E491" s="26" t="str">
        <f aca="false">IF($K491=0,"","ENTREE")</f>
        <v/>
      </c>
      <c r="F491" s="26" t="str">
        <f aca="false">IF($K491=0,"",OPERATIONS!$C191)</f>
        <v/>
      </c>
      <c r="G491" s="26" t="str">
        <f aca="false">IF($K491=0,"",OPERATIONS!$D191)</f>
        <v/>
      </c>
      <c r="H491" s="26" t="str">
        <f aca="false">IF($K491=0,"",OPERATIONS!$F191)</f>
        <v/>
      </c>
      <c r="I491" s="26" t="str">
        <f aca="false">IF($H491="","",IFERROR(INDEX(EMPL_CLASSE,MATCH($H491,EMPL_KEY,0)),""))</f>
        <v/>
      </c>
      <c r="J491" s="26" t="str">
        <f aca="false">IF($K491=0,"",OPERATIONS!$J191)</f>
        <v/>
      </c>
      <c r="K491" s="67" t="n">
        <f aca="false">IF(OR(OPERATIONS!$N191=0,OPERATIONS!$C191="CONSOMMATION"),0,OPERATIONS!$G191)</f>
        <v>0</v>
      </c>
      <c r="L491" s="67" t="n">
        <f aca="false">IF($K491=0,0,OPERATIONS!$Q191*$K491)</f>
        <v>0</v>
      </c>
      <c r="M491" s="26" t="str">
        <f aca="false">IF($K491=0,"",OPERATIONS!$P191)</f>
        <v/>
      </c>
      <c r="N491" s="26" t="str">
        <f aca="false">IF($G491="","",IF($G491=R_LOT,COUNTIF($G$5:$G491,R_LOT),""))</f>
        <v/>
      </c>
    </row>
    <row r="492" customFormat="false" ht="15" hidden="false" customHeight="false" outlineLevel="0" collapsed="false">
      <c r="A492" s="28" t="str">
        <f aca="false">IF($K492=0,"",ROW()-4)</f>
        <v/>
      </c>
      <c r="B492" s="26" t="str">
        <f aca="false">IF($K492=0,"","OPERATIONS")</f>
        <v/>
      </c>
      <c r="C492" s="26" t="str">
        <f aca="false">IF($K492=0,"",OPERATIONS!$A192)</f>
        <v/>
      </c>
      <c r="D492" s="31" t="str">
        <f aca="false">IF($K492=0,"",OPERATIONS!$B192)</f>
        <v/>
      </c>
      <c r="E492" s="26" t="str">
        <f aca="false">IF($K492=0,"","ENTREE")</f>
        <v/>
      </c>
      <c r="F492" s="26" t="str">
        <f aca="false">IF($K492=0,"",OPERATIONS!$C192)</f>
        <v/>
      </c>
      <c r="G492" s="26" t="str">
        <f aca="false">IF($K492=0,"",OPERATIONS!$D192)</f>
        <v/>
      </c>
      <c r="H492" s="26" t="str">
        <f aca="false">IF($K492=0,"",OPERATIONS!$F192)</f>
        <v/>
      </c>
      <c r="I492" s="26" t="str">
        <f aca="false">IF($H492="","",IFERROR(INDEX(EMPL_CLASSE,MATCH($H492,EMPL_KEY,0)),""))</f>
        <v/>
      </c>
      <c r="J492" s="26" t="str">
        <f aca="false">IF($K492=0,"",OPERATIONS!$J192)</f>
        <v/>
      </c>
      <c r="K492" s="67" t="n">
        <f aca="false">IF(OR(OPERATIONS!$N192=0,OPERATIONS!$C192="CONSOMMATION"),0,OPERATIONS!$G192)</f>
        <v>0</v>
      </c>
      <c r="L492" s="67" t="n">
        <f aca="false">IF($K492=0,0,OPERATIONS!$Q192*$K492)</f>
        <v>0</v>
      </c>
      <c r="M492" s="26" t="str">
        <f aca="false">IF($K492=0,"",OPERATIONS!$P192)</f>
        <v/>
      </c>
      <c r="N492" s="26" t="str">
        <f aca="false">IF($G492="","",IF($G492=R_LOT,COUNTIF($G$5:$G492,R_LOT),""))</f>
        <v/>
      </c>
    </row>
    <row r="493" customFormat="false" ht="15" hidden="false" customHeight="false" outlineLevel="0" collapsed="false">
      <c r="A493" s="28" t="str">
        <f aca="false">IF($K493=0,"",ROW()-4)</f>
        <v/>
      </c>
      <c r="B493" s="26" t="str">
        <f aca="false">IF($K493=0,"","OPERATIONS")</f>
        <v/>
      </c>
      <c r="C493" s="26" t="str">
        <f aca="false">IF($K493=0,"",OPERATIONS!$A193)</f>
        <v/>
      </c>
      <c r="D493" s="31" t="str">
        <f aca="false">IF($K493=0,"",OPERATIONS!$B193)</f>
        <v/>
      </c>
      <c r="E493" s="26" t="str">
        <f aca="false">IF($K493=0,"","ENTREE")</f>
        <v/>
      </c>
      <c r="F493" s="26" t="str">
        <f aca="false">IF($K493=0,"",OPERATIONS!$C193)</f>
        <v/>
      </c>
      <c r="G493" s="26" t="str">
        <f aca="false">IF($K493=0,"",OPERATIONS!$D193)</f>
        <v/>
      </c>
      <c r="H493" s="26" t="str">
        <f aca="false">IF($K493=0,"",OPERATIONS!$F193)</f>
        <v/>
      </c>
      <c r="I493" s="26" t="str">
        <f aca="false">IF($H493="","",IFERROR(INDEX(EMPL_CLASSE,MATCH($H493,EMPL_KEY,0)),""))</f>
        <v/>
      </c>
      <c r="J493" s="26" t="str">
        <f aca="false">IF($K493=0,"",OPERATIONS!$J193)</f>
        <v/>
      </c>
      <c r="K493" s="67" t="n">
        <f aca="false">IF(OR(OPERATIONS!$N193=0,OPERATIONS!$C193="CONSOMMATION"),0,OPERATIONS!$G193)</f>
        <v>0</v>
      </c>
      <c r="L493" s="67" t="n">
        <f aca="false">IF($K493=0,0,OPERATIONS!$Q193*$K493)</f>
        <v>0</v>
      </c>
      <c r="M493" s="26" t="str">
        <f aca="false">IF($K493=0,"",OPERATIONS!$P193)</f>
        <v/>
      </c>
      <c r="N493" s="26" t="str">
        <f aca="false">IF($G493="","",IF($G493=R_LOT,COUNTIF($G$5:$G493,R_LOT),""))</f>
        <v/>
      </c>
    </row>
    <row r="494" customFormat="false" ht="15" hidden="false" customHeight="false" outlineLevel="0" collapsed="false">
      <c r="A494" s="28" t="str">
        <f aca="false">IF($K494=0,"",ROW()-4)</f>
        <v/>
      </c>
      <c r="B494" s="26" t="str">
        <f aca="false">IF($K494=0,"","OPERATIONS")</f>
        <v/>
      </c>
      <c r="C494" s="26" t="str">
        <f aca="false">IF($K494=0,"",OPERATIONS!$A194)</f>
        <v/>
      </c>
      <c r="D494" s="31" t="str">
        <f aca="false">IF($K494=0,"",OPERATIONS!$B194)</f>
        <v/>
      </c>
      <c r="E494" s="26" t="str">
        <f aca="false">IF($K494=0,"","ENTREE")</f>
        <v/>
      </c>
      <c r="F494" s="26" t="str">
        <f aca="false">IF($K494=0,"",OPERATIONS!$C194)</f>
        <v/>
      </c>
      <c r="G494" s="26" t="str">
        <f aca="false">IF($K494=0,"",OPERATIONS!$D194)</f>
        <v/>
      </c>
      <c r="H494" s="26" t="str">
        <f aca="false">IF($K494=0,"",OPERATIONS!$F194)</f>
        <v/>
      </c>
      <c r="I494" s="26" t="str">
        <f aca="false">IF($H494="","",IFERROR(INDEX(EMPL_CLASSE,MATCH($H494,EMPL_KEY,0)),""))</f>
        <v/>
      </c>
      <c r="J494" s="26" t="str">
        <f aca="false">IF($K494=0,"",OPERATIONS!$J194)</f>
        <v/>
      </c>
      <c r="K494" s="67" t="n">
        <f aca="false">IF(OR(OPERATIONS!$N194=0,OPERATIONS!$C194="CONSOMMATION"),0,OPERATIONS!$G194)</f>
        <v>0</v>
      </c>
      <c r="L494" s="67" t="n">
        <f aca="false">IF($K494=0,0,OPERATIONS!$Q194*$K494)</f>
        <v>0</v>
      </c>
      <c r="M494" s="26" t="str">
        <f aca="false">IF($K494=0,"",OPERATIONS!$P194)</f>
        <v/>
      </c>
      <c r="N494" s="26" t="str">
        <f aca="false">IF($G494="","",IF($G494=R_LOT,COUNTIF($G$5:$G494,R_LOT),""))</f>
        <v/>
      </c>
    </row>
    <row r="495" customFormat="false" ht="15" hidden="false" customHeight="false" outlineLevel="0" collapsed="false">
      <c r="A495" s="28" t="str">
        <f aca="false">IF($K495=0,"",ROW()-4)</f>
        <v/>
      </c>
      <c r="B495" s="26" t="str">
        <f aca="false">IF($K495=0,"","OPERATIONS")</f>
        <v/>
      </c>
      <c r="C495" s="26" t="str">
        <f aca="false">IF($K495=0,"",OPERATIONS!$A195)</f>
        <v/>
      </c>
      <c r="D495" s="31" t="str">
        <f aca="false">IF($K495=0,"",OPERATIONS!$B195)</f>
        <v/>
      </c>
      <c r="E495" s="26" t="str">
        <f aca="false">IF($K495=0,"","ENTREE")</f>
        <v/>
      </c>
      <c r="F495" s="26" t="str">
        <f aca="false">IF($K495=0,"",OPERATIONS!$C195)</f>
        <v/>
      </c>
      <c r="G495" s="26" t="str">
        <f aca="false">IF($K495=0,"",OPERATIONS!$D195)</f>
        <v/>
      </c>
      <c r="H495" s="26" t="str">
        <f aca="false">IF($K495=0,"",OPERATIONS!$F195)</f>
        <v/>
      </c>
      <c r="I495" s="26" t="str">
        <f aca="false">IF($H495="","",IFERROR(INDEX(EMPL_CLASSE,MATCH($H495,EMPL_KEY,0)),""))</f>
        <v/>
      </c>
      <c r="J495" s="26" t="str">
        <f aca="false">IF($K495=0,"",OPERATIONS!$J195)</f>
        <v/>
      </c>
      <c r="K495" s="67" t="n">
        <f aca="false">IF(OR(OPERATIONS!$N195=0,OPERATIONS!$C195="CONSOMMATION"),0,OPERATIONS!$G195)</f>
        <v>0</v>
      </c>
      <c r="L495" s="67" t="n">
        <f aca="false">IF($K495=0,0,OPERATIONS!$Q195*$K495)</f>
        <v>0</v>
      </c>
      <c r="M495" s="26" t="str">
        <f aca="false">IF($K495=0,"",OPERATIONS!$P195)</f>
        <v/>
      </c>
      <c r="N495" s="26" t="str">
        <f aca="false">IF($G495="","",IF($G495=R_LOT,COUNTIF($G$5:$G495,R_LOT),""))</f>
        <v/>
      </c>
    </row>
    <row r="496" customFormat="false" ht="15" hidden="false" customHeight="false" outlineLevel="0" collapsed="false">
      <c r="A496" s="28" t="str">
        <f aca="false">IF($K496=0,"",ROW()-4)</f>
        <v/>
      </c>
      <c r="B496" s="26" t="str">
        <f aca="false">IF($K496=0,"","OPERATIONS")</f>
        <v/>
      </c>
      <c r="C496" s="26" t="str">
        <f aca="false">IF($K496=0,"",OPERATIONS!$A196)</f>
        <v/>
      </c>
      <c r="D496" s="31" t="str">
        <f aca="false">IF($K496=0,"",OPERATIONS!$B196)</f>
        <v/>
      </c>
      <c r="E496" s="26" t="str">
        <f aca="false">IF($K496=0,"","ENTREE")</f>
        <v/>
      </c>
      <c r="F496" s="26" t="str">
        <f aca="false">IF($K496=0,"",OPERATIONS!$C196)</f>
        <v/>
      </c>
      <c r="G496" s="26" t="str">
        <f aca="false">IF($K496=0,"",OPERATIONS!$D196)</f>
        <v/>
      </c>
      <c r="H496" s="26" t="str">
        <f aca="false">IF($K496=0,"",OPERATIONS!$F196)</f>
        <v/>
      </c>
      <c r="I496" s="26" t="str">
        <f aca="false">IF($H496="","",IFERROR(INDEX(EMPL_CLASSE,MATCH($H496,EMPL_KEY,0)),""))</f>
        <v/>
      </c>
      <c r="J496" s="26" t="str">
        <f aca="false">IF($K496=0,"",OPERATIONS!$J196)</f>
        <v/>
      </c>
      <c r="K496" s="67" t="n">
        <f aca="false">IF(OR(OPERATIONS!$N196=0,OPERATIONS!$C196="CONSOMMATION"),0,OPERATIONS!$G196)</f>
        <v>0</v>
      </c>
      <c r="L496" s="67" t="n">
        <f aca="false">IF($K496=0,0,OPERATIONS!$Q196*$K496)</f>
        <v>0</v>
      </c>
      <c r="M496" s="26" t="str">
        <f aca="false">IF($K496=0,"",OPERATIONS!$P196)</f>
        <v/>
      </c>
      <c r="N496" s="26" t="str">
        <f aca="false">IF($G496="","",IF($G496=R_LOT,COUNTIF($G$5:$G496,R_LOT),""))</f>
        <v/>
      </c>
    </row>
    <row r="497" customFormat="false" ht="15" hidden="false" customHeight="false" outlineLevel="0" collapsed="false">
      <c r="A497" s="28" t="str">
        <f aca="false">IF($K497=0,"",ROW()-4)</f>
        <v/>
      </c>
      <c r="B497" s="26" t="str">
        <f aca="false">IF($K497=0,"","OPERATIONS")</f>
        <v/>
      </c>
      <c r="C497" s="26" t="str">
        <f aca="false">IF($K497=0,"",OPERATIONS!$A197)</f>
        <v/>
      </c>
      <c r="D497" s="31" t="str">
        <f aca="false">IF($K497=0,"",OPERATIONS!$B197)</f>
        <v/>
      </c>
      <c r="E497" s="26" t="str">
        <f aca="false">IF($K497=0,"","ENTREE")</f>
        <v/>
      </c>
      <c r="F497" s="26" t="str">
        <f aca="false">IF($K497=0,"",OPERATIONS!$C197)</f>
        <v/>
      </c>
      <c r="G497" s="26" t="str">
        <f aca="false">IF($K497=0,"",OPERATIONS!$D197)</f>
        <v/>
      </c>
      <c r="H497" s="26" t="str">
        <f aca="false">IF($K497=0,"",OPERATIONS!$F197)</f>
        <v/>
      </c>
      <c r="I497" s="26" t="str">
        <f aca="false">IF($H497="","",IFERROR(INDEX(EMPL_CLASSE,MATCH($H497,EMPL_KEY,0)),""))</f>
        <v/>
      </c>
      <c r="J497" s="26" t="str">
        <f aca="false">IF($K497=0,"",OPERATIONS!$J197)</f>
        <v/>
      </c>
      <c r="K497" s="67" t="n">
        <f aca="false">IF(OR(OPERATIONS!$N197=0,OPERATIONS!$C197="CONSOMMATION"),0,OPERATIONS!$G197)</f>
        <v>0</v>
      </c>
      <c r="L497" s="67" t="n">
        <f aca="false">IF($K497=0,0,OPERATIONS!$Q197*$K497)</f>
        <v>0</v>
      </c>
      <c r="M497" s="26" t="str">
        <f aca="false">IF($K497=0,"",OPERATIONS!$P197)</f>
        <v/>
      </c>
      <c r="N497" s="26" t="str">
        <f aca="false">IF($G497="","",IF($G497=R_LOT,COUNTIF($G$5:$G497,R_LOT),""))</f>
        <v/>
      </c>
    </row>
    <row r="498" customFormat="false" ht="15" hidden="false" customHeight="false" outlineLevel="0" collapsed="false">
      <c r="A498" s="28" t="str">
        <f aca="false">IF($K498=0,"",ROW()-4)</f>
        <v/>
      </c>
      <c r="B498" s="26" t="str">
        <f aca="false">IF($K498=0,"","OPERATIONS")</f>
        <v/>
      </c>
      <c r="C498" s="26" t="str">
        <f aca="false">IF($K498=0,"",OPERATIONS!$A198)</f>
        <v/>
      </c>
      <c r="D498" s="31" t="str">
        <f aca="false">IF($K498=0,"",OPERATIONS!$B198)</f>
        <v/>
      </c>
      <c r="E498" s="26" t="str">
        <f aca="false">IF($K498=0,"","ENTREE")</f>
        <v/>
      </c>
      <c r="F498" s="26" t="str">
        <f aca="false">IF($K498=0,"",OPERATIONS!$C198)</f>
        <v/>
      </c>
      <c r="G498" s="26" t="str">
        <f aca="false">IF($K498=0,"",OPERATIONS!$D198)</f>
        <v/>
      </c>
      <c r="H498" s="26" t="str">
        <f aca="false">IF($K498=0,"",OPERATIONS!$F198)</f>
        <v/>
      </c>
      <c r="I498" s="26" t="str">
        <f aca="false">IF($H498="","",IFERROR(INDEX(EMPL_CLASSE,MATCH($H498,EMPL_KEY,0)),""))</f>
        <v/>
      </c>
      <c r="J498" s="26" t="str">
        <f aca="false">IF($K498=0,"",OPERATIONS!$J198)</f>
        <v/>
      </c>
      <c r="K498" s="67" t="n">
        <f aca="false">IF(OR(OPERATIONS!$N198=0,OPERATIONS!$C198="CONSOMMATION"),0,OPERATIONS!$G198)</f>
        <v>0</v>
      </c>
      <c r="L498" s="67" t="n">
        <f aca="false">IF($K498=0,0,OPERATIONS!$Q198*$K498)</f>
        <v>0</v>
      </c>
      <c r="M498" s="26" t="str">
        <f aca="false">IF($K498=0,"",OPERATIONS!$P198)</f>
        <v/>
      </c>
      <c r="N498" s="26" t="str">
        <f aca="false">IF($G498="","",IF($G498=R_LOT,COUNTIF($G$5:$G498,R_LOT),""))</f>
        <v/>
      </c>
    </row>
    <row r="499" customFormat="false" ht="15" hidden="false" customHeight="false" outlineLevel="0" collapsed="false">
      <c r="A499" s="28" t="str">
        <f aca="false">IF($K499=0,"",ROW()-4)</f>
        <v/>
      </c>
      <c r="B499" s="26" t="str">
        <f aca="false">IF($K499=0,"","OPERATIONS")</f>
        <v/>
      </c>
      <c r="C499" s="26" t="str">
        <f aca="false">IF($K499=0,"",OPERATIONS!$A199)</f>
        <v/>
      </c>
      <c r="D499" s="31" t="str">
        <f aca="false">IF($K499=0,"",OPERATIONS!$B199)</f>
        <v/>
      </c>
      <c r="E499" s="26" t="str">
        <f aca="false">IF($K499=0,"","ENTREE")</f>
        <v/>
      </c>
      <c r="F499" s="26" t="str">
        <f aca="false">IF($K499=0,"",OPERATIONS!$C199)</f>
        <v/>
      </c>
      <c r="G499" s="26" t="str">
        <f aca="false">IF($K499=0,"",OPERATIONS!$D199)</f>
        <v/>
      </c>
      <c r="H499" s="26" t="str">
        <f aca="false">IF($K499=0,"",OPERATIONS!$F199)</f>
        <v/>
      </c>
      <c r="I499" s="26" t="str">
        <f aca="false">IF($H499="","",IFERROR(INDEX(EMPL_CLASSE,MATCH($H499,EMPL_KEY,0)),""))</f>
        <v/>
      </c>
      <c r="J499" s="26" t="str">
        <f aca="false">IF($K499=0,"",OPERATIONS!$J199)</f>
        <v/>
      </c>
      <c r="K499" s="67" t="n">
        <f aca="false">IF(OR(OPERATIONS!$N199=0,OPERATIONS!$C199="CONSOMMATION"),0,OPERATIONS!$G199)</f>
        <v>0</v>
      </c>
      <c r="L499" s="67" t="n">
        <f aca="false">IF($K499=0,0,OPERATIONS!$Q199*$K499)</f>
        <v>0</v>
      </c>
      <c r="M499" s="26" t="str">
        <f aca="false">IF($K499=0,"",OPERATIONS!$P199)</f>
        <v/>
      </c>
      <c r="N499" s="26" t="str">
        <f aca="false">IF($G499="","",IF($G499=R_LOT,COUNTIF($G$5:$G499,R_LOT),""))</f>
        <v/>
      </c>
    </row>
    <row r="500" customFormat="false" ht="15" hidden="false" customHeight="false" outlineLevel="0" collapsed="false">
      <c r="A500" s="28" t="str">
        <f aca="false">IF($K500=0,"",ROW()-4)</f>
        <v/>
      </c>
      <c r="B500" s="26" t="str">
        <f aca="false">IF($K500=0,"","OPERATIONS")</f>
        <v/>
      </c>
      <c r="C500" s="26" t="str">
        <f aca="false">IF($K500=0,"",OPERATIONS!$A200)</f>
        <v/>
      </c>
      <c r="D500" s="31" t="str">
        <f aca="false">IF($K500=0,"",OPERATIONS!$B200)</f>
        <v/>
      </c>
      <c r="E500" s="26" t="str">
        <f aca="false">IF($K500=0,"","ENTREE")</f>
        <v/>
      </c>
      <c r="F500" s="26" t="str">
        <f aca="false">IF($K500=0,"",OPERATIONS!$C200)</f>
        <v/>
      </c>
      <c r="G500" s="26" t="str">
        <f aca="false">IF($K500=0,"",OPERATIONS!$D200)</f>
        <v/>
      </c>
      <c r="H500" s="26" t="str">
        <f aca="false">IF($K500=0,"",OPERATIONS!$F200)</f>
        <v/>
      </c>
      <c r="I500" s="26" t="str">
        <f aca="false">IF($H500="","",IFERROR(INDEX(EMPL_CLASSE,MATCH($H500,EMPL_KEY,0)),""))</f>
        <v/>
      </c>
      <c r="J500" s="26" t="str">
        <f aca="false">IF($K500=0,"",OPERATIONS!$J200)</f>
        <v/>
      </c>
      <c r="K500" s="67" t="n">
        <f aca="false">IF(OR(OPERATIONS!$N200=0,OPERATIONS!$C200="CONSOMMATION"),0,OPERATIONS!$G200)</f>
        <v>0</v>
      </c>
      <c r="L500" s="67" t="n">
        <f aca="false">IF($K500=0,0,OPERATIONS!$Q200*$K500)</f>
        <v>0</v>
      </c>
      <c r="M500" s="26" t="str">
        <f aca="false">IF($K500=0,"",OPERATIONS!$P200)</f>
        <v/>
      </c>
      <c r="N500" s="26" t="str">
        <f aca="false">IF($G500="","",IF($G500=R_LOT,COUNTIF($G$5:$G500,R_LOT),""))</f>
        <v/>
      </c>
    </row>
    <row r="501" customFormat="false" ht="15" hidden="false" customHeight="false" outlineLevel="0" collapsed="false">
      <c r="A501" s="28" t="str">
        <f aca="false">IF($K501=0,"",ROW()-4)</f>
        <v/>
      </c>
      <c r="B501" s="26" t="str">
        <f aca="false">IF($K501=0,"","OPERATIONS")</f>
        <v/>
      </c>
      <c r="C501" s="26" t="str">
        <f aca="false">IF($K501=0,"",OPERATIONS!$A201)</f>
        <v/>
      </c>
      <c r="D501" s="31" t="str">
        <f aca="false">IF($K501=0,"",OPERATIONS!$B201)</f>
        <v/>
      </c>
      <c r="E501" s="26" t="str">
        <f aca="false">IF($K501=0,"","ENTREE")</f>
        <v/>
      </c>
      <c r="F501" s="26" t="str">
        <f aca="false">IF($K501=0,"",OPERATIONS!$C201)</f>
        <v/>
      </c>
      <c r="G501" s="26" t="str">
        <f aca="false">IF($K501=0,"",OPERATIONS!$D201)</f>
        <v/>
      </c>
      <c r="H501" s="26" t="str">
        <f aca="false">IF($K501=0,"",OPERATIONS!$F201)</f>
        <v/>
      </c>
      <c r="I501" s="26" t="str">
        <f aca="false">IF($H501="","",IFERROR(INDEX(EMPL_CLASSE,MATCH($H501,EMPL_KEY,0)),""))</f>
        <v/>
      </c>
      <c r="J501" s="26" t="str">
        <f aca="false">IF($K501=0,"",OPERATIONS!$J201)</f>
        <v/>
      </c>
      <c r="K501" s="67" t="n">
        <f aca="false">IF(OR(OPERATIONS!$N201=0,OPERATIONS!$C201="CONSOMMATION"),0,OPERATIONS!$G201)</f>
        <v>0</v>
      </c>
      <c r="L501" s="67" t="n">
        <f aca="false">IF($K501=0,0,OPERATIONS!$Q201*$K501)</f>
        <v>0</v>
      </c>
      <c r="M501" s="26" t="str">
        <f aca="false">IF($K501=0,"",OPERATIONS!$P201)</f>
        <v/>
      </c>
      <c r="N501" s="26" t="str">
        <f aca="false">IF($G501="","",IF($G501=R_LOT,COUNTIF($G$5:$G501,R_LOT),""))</f>
        <v/>
      </c>
    </row>
    <row r="502" customFormat="false" ht="15" hidden="false" customHeight="false" outlineLevel="0" collapsed="false">
      <c r="A502" s="28" t="str">
        <f aca="false">IF($K502=0,"",ROW()-4)</f>
        <v/>
      </c>
      <c r="B502" s="26" t="str">
        <f aca="false">IF($K502=0,"","OPERATIONS")</f>
        <v/>
      </c>
      <c r="C502" s="26" t="str">
        <f aca="false">IF($K502=0,"",OPERATIONS!$A202)</f>
        <v/>
      </c>
      <c r="D502" s="31" t="str">
        <f aca="false">IF($K502=0,"",OPERATIONS!$B202)</f>
        <v/>
      </c>
      <c r="E502" s="26" t="str">
        <f aca="false">IF($K502=0,"","ENTREE")</f>
        <v/>
      </c>
      <c r="F502" s="26" t="str">
        <f aca="false">IF($K502=0,"",OPERATIONS!$C202)</f>
        <v/>
      </c>
      <c r="G502" s="26" t="str">
        <f aca="false">IF($K502=0,"",OPERATIONS!$D202)</f>
        <v/>
      </c>
      <c r="H502" s="26" t="str">
        <f aca="false">IF($K502=0,"",OPERATIONS!$F202)</f>
        <v/>
      </c>
      <c r="I502" s="26" t="str">
        <f aca="false">IF($H502="","",IFERROR(INDEX(EMPL_CLASSE,MATCH($H502,EMPL_KEY,0)),""))</f>
        <v/>
      </c>
      <c r="J502" s="26" t="str">
        <f aca="false">IF($K502=0,"",OPERATIONS!$J202)</f>
        <v/>
      </c>
      <c r="K502" s="67" t="n">
        <f aca="false">IF(OR(OPERATIONS!$N202=0,OPERATIONS!$C202="CONSOMMATION"),0,OPERATIONS!$G202)</f>
        <v>0</v>
      </c>
      <c r="L502" s="67" t="n">
        <f aca="false">IF($K502=0,0,OPERATIONS!$Q202*$K502)</f>
        <v>0</v>
      </c>
      <c r="M502" s="26" t="str">
        <f aca="false">IF($K502=0,"",OPERATIONS!$P202)</f>
        <v/>
      </c>
      <c r="N502" s="26" t="str">
        <f aca="false">IF($G502="","",IF($G502=R_LOT,COUNTIF($G$5:$G502,R_LOT),""))</f>
        <v/>
      </c>
    </row>
    <row r="503" customFormat="false" ht="15" hidden="false" customHeight="false" outlineLevel="0" collapsed="false">
      <c r="A503" s="28" t="str">
        <f aca="false">IF($K503=0,"",ROW()-4)</f>
        <v/>
      </c>
      <c r="B503" s="26" t="str">
        <f aca="false">IF($K503=0,"","OPERATIONS")</f>
        <v/>
      </c>
      <c r="C503" s="26" t="str">
        <f aca="false">IF($K503=0,"",OPERATIONS!$A203)</f>
        <v/>
      </c>
      <c r="D503" s="31" t="str">
        <f aca="false">IF($K503=0,"",OPERATIONS!$B203)</f>
        <v/>
      </c>
      <c r="E503" s="26" t="str">
        <f aca="false">IF($K503=0,"","ENTREE")</f>
        <v/>
      </c>
      <c r="F503" s="26" t="str">
        <f aca="false">IF($K503=0,"",OPERATIONS!$C203)</f>
        <v/>
      </c>
      <c r="G503" s="26" t="str">
        <f aca="false">IF($K503=0,"",OPERATIONS!$D203)</f>
        <v/>
      </c>
      <c r="H503" s="26" t="str">
        <f aca="false">IF($K503=0,"",OPERATIONS!$F203)</f>
        <v/>
      </c>
      <c r="I503" s="26" t="str">
        <f aca="false">IF($H503="","",IFERROR(INDEX(EMPL_CLASSE,MATCH($H503,EMPL_KEY,0)),""))</f>
        <v/>
      </c>
      <c r="J503" s="26" t="str">
        <f aca="false">IF($K503=0,"",OPERATIONS!$J203)</f>
        <v/>
      </c>
      <c r="K503" s="67" t="n">
        <f aca="false">IF(OR(OPERATIONS!$N203=0,OPERATIONS!$C203="CONSOMMATION"),0,OPERATIONS!$G203)</f>
        <v>0</v>
      </c>
      <c r="L503" s="67" t="n">
        <f aca="false">IF($K503=0,0,OPERATIONS!$Q203*$K503)</f>
        <v>0</v>
      </c>
      <c r="M503" s="26" t="str">
        <f aca="false">IF($K503=0,"",OPERATIONS!$P203)</f>
        <v/>
      </c>
      <c r="N503" s="26" t="str">
        <f aca="false">IF($G503="","",IF($G503=R_LOT,COUNTIF($G$5:$G503,R_LOT),""))</f>
        <v/>
      </c>
    </row>
    <row r="504" customFormat="false" ht="15" hidden="false" customHeight="false" outlineLevel="0" collapsed="false">
      <c r="A504" s="28" t="str">
        <f aca="false">IF($K504=0,"",ROW()-4)</f>
        <v/>
      </c>
      <c r="B504" s="26" t="str">
        <f aca="false">IF($K504=0,"","OPERATIONS")</f>
        <v/>
      </c>
      <c r="C504" s="26" t="str">
        <f aca="false">IF($K504=0,"",OPERATIONS!$A204)</f>
        <v/>
      </c>
      <c r="D504" s="31" t="str">
        <f aca="false">IF($K504=0,"",OPERATIONS!$B204)</f>
        <v/>
      </c>
      <c r="E504" s="26" t="str">
        <f aca="false">IF($K504=0,"","ENTREE")</f>
        <v/>
      </c>
      <c r="F504" s="26" t="str">
        <f aca="false">IF($K504=0,"",OPERATIONS!$C204)</f>
        <v/>
      </c>
      <c r="G504" s="26" t="str">
        <f aca="false">IF($K504=0,"",OPERATIONS!$D204)</f>
        <v/>
      </c>
      <c r="H504" s="26" t="str">
        <f aca="false">IF($K504=0,"",OPERATIONS!$F204)</f>
        <v/>
      </c>
      <c r="I504" s="26" t="str">
        <f aca="false">IF($H504="","",IFERROR(INDEX(EMPL_CLASSE,MATCH($H504,EMPL_KEY,0)),""))</f>
        <v/>
      </c>
      <c r="J504" s="26" t="str">
        <f aca="false">IF($K504=0,"",OPERATIONS!$J204)</f>
        <v/>
      </c>
      <c r="K504" s="67" t="n">
        <f aca="false">IF(OR(OPERATIONS!$N204=0,OPERATIONS!$C204="CONSOMMATION"),0,OPERATIONS!$G204)</f>
        <v>0</v>
      </c>
      <c r="L504" s="67" t="n">
        <f aca="false">IF($K504=0,0,OPERATIONS!$Q204*$K504)</f>
        <v>0</v>
      </c>
      <c r="M504" s="26" t="str">
        <f aca="false">IF($K504=0,"",OPERATIONS!$P204)</f>
        <v/>
      </c>
      <c r="N504" s="26" t="str">
        <f aca="false">IF($G504="","",IF($G504=R_LOT,COUNTIF($G$5:$G504,R_LOT),""))</f>
        <v/>
      </c>
    </row>
    <row r="505" customFormat="false" ht="15" hidden="false" customHeight="false" outlineLevel="0" collapsed="false">
      <c r="A505" s="28" t="str">
        <f aca="false">IF($K505=0,"",ROW()-4)</f>
        <v/>
      </c>
      <c r="B505" s="26" t="str">
        <f aca="false">IF($K505=0,"","OPERATIONS")</f>
        <v/>
      </c>
      <c r="C505" s="26" t="str">
        <f aca="false">IF($K505=0,"",OPERATIONS!$A205)</f>
        <v/>
      </c>
      <c r="D505" s="31" t="str">
        <f aca="false">IF($K505=0,"",OPERATIONS!$B205)</f>
        <v/>
      </c>
      <c r="E505" s="26" t="str">
        <f aca="false">IF($K505=0,"","ENTREE")</f>
        <v/>
      </c>
      <c r="F505" s="26" t="str">
        <f aca="false">IF($K505=0,"",OPERATIONS!$C205)</f>
        <v/>
      </c>
      <c r="G505" s="26" t="str">
        <f aca="false">IF($K505=0,"",OPERATIONS!$D205)</f>
        <v/>
      </c>
      <c r="H505" s="26" t="str">
        <f aca="false">IF($K505=0,"",OPERATIONS!$F205)</f>
        <v/>
      </c>
      <c r="I505" s="26" t="str">
        <f aca="false">IF($H505="","",IFERROR(INDEX(EMPL_CLASSE,MATCH($H505,EMPL_KEY,0)),""))</f>
        <v/>
      </c>
      <c r="J505" s="26" t="str">
        <f aca="false">IF($K505=0,"",OPERATIONS!$J205)</f>
        <v/>
      </c>
      <c r="K505" s="67" t="n">
        <f aca="false">IF(OR(OPERATIONS!$N205=0,OPERATIONS!$C205="CONSOMMATION"),0,OPERATIONS!$G205)</f>
        <v>0</v>
      </c>
      <c r="L505" s="67" t="n">
        <f aca="false">IF($K505=0,0,OPERATIONS!$Q205*$K505)</f>
        <v>0</v>
      </c>
      <c r="M505" s="26" t="str">
        <f aca="false">IF($K505=0,"",OPERATIONS!$P205)</f>
        <v/>
      </c>
      <c r="N505" s="26" t="str">
        <f aca="false">IF($G505="","",IF($G505=R_LOT,COUNTIF($G$5:$G505,R_LOT),""))</f>
        <v/>
      </c>
    </row>
    <row r="506" customFormat="false" ht="15" hidden="false" customHeight="false" outlineLevel="0" collapsed="false">
      <c r="A506" s="28" t="str">
        <f aca="false">IF($K506=0,"",ROW()-4)</f>
        <v/>
      </c>
      <c r="B506" s="26" t="str">
        <f aca="false">IF($K506=0,"","OPERATIONS")</f>
        <v/>
      </c>
      <c r="C506" s="26" t="str">
        <f aca="false">IF($K506=0,"",OPERATIONS!$A206)</f>
        <v/>
      </c>
      <c r="D506" s="31" t="str">
        <f aca="false">IF($K506=0,"",OPERATIONS!$B206)</f>
        <v/>
      </c>
      <c r="E506" s="26" t="str">
        <f aca="false">IF($K506=0,"","ENTREE")</f>
        <v/>
      </c>
      <c r="F506" s="26" t="str">
        <f aca="false">IF($K506=0,"",OPERATIONS!$C206)</f>
        <v/>
      </c>
      <c r="G506" s="26" t="str">
        <f aca="false">IF($K506=0,"",OPERATIONS!$D206)</f>
        <v/>
      </c>
      <c r="H506" s="26" t="str">
        <f aca="false">IF($K506=0,"",OPERATIONS!$F206)</f>
        <v/>
      </c>
      <c r="I506" s="26" t="str">
        <f aca="false">IF($H506="","",IFERROR(INDEX(EMPL_CLASSE,MATCH($H506,EMPL_KEY,0)),""))</f>
        <v/>
      </c>
      <c r="J506" s="26" t="str">
        <f aca="false">IF($K506=0,"",OPERATIONS!$J206)</f>
        <v/>
      </c>
      <c r="K506" s="67" t="n">
        <f aca="false">IF(OR(OPERATIONS!$N206=0,OPERATIONS!$C206="CONSOMMATION"),0,OPERATIONS!$G206)</f>
        <v>0</v>
      </c>
      <c r="L506" s="67" t="n">
        <f aca="false">IF($K506=0,0,OPERATIONS!$Q206*$K506)</f>
        <v>0</v>
      </c>
      <c r="M506" s="26" t="str">
        <f aca="false">IF($K506=0,"",OPERATIONS!$P206)</f>
        <v/>
      </c>
      <c r="N506" s="26" t="str">
        <f aca="false">IF($G506="","",IF($G506=R_LOT,COUNTIF($G$5:$G506,R_LOT),""))</f>
        <v/>
      </c>
    </row>
    <row r="507" customFormat="false" ht="15" hidden="false" customHeight="false" outlineLevel="0" collapsed="false">
      <c r="A507" s="28" t="str">
        <f aca="false">IF($K507=0,"",ROW()-4)</f>
        <v/>
      </c>
      <c r="B507" s="26" t="str">
        <f aca="false">IF($K507=0,"","OPERATIONS")</f>
        <v/>
      </c>
      <c r="C507" s="26" t="str">
        <f aca="false">IF($K507=0,"",OPERATIONS!$A207)</f>
        <v/>
      </c>
      <c r="D507" s="31" t="str">
        <f aca="false">IF($K507=0,"",OPERATIONS!$B207)</f>
        <v/>
      </c>
      <c r="E507" s="26" t="str">
        <f aca="false">IF($K507=0,"","ENTREE")</f>
        <v/>
      </c>
      <c r="F507" s="26" t="str">
        <f aca="false">IF($K507=0,"",OPERATIONS!$C207)</f>
        <v/>
      </c>
      <c r="G507" s="26" t="str">
        <f aca="false">IF($K507=0,"",OPERATIONS!$D207)</f>
        <v/>
      </c>
      <c r="H507" s="26" t="str">
        <f aca="false">IF($K507=0,"",OPERATIONS!$F207)</f>
        <v/>
      </c>
      <c r="I507" s="26" t="str">
        <f aca="false">IF($H507="","",IFERROR(INDEX(EMPL_CLASSE,MATCH($H507,EMPL_KEY,0)),""))</f>
        <v/>
      </c>
      <c r="J507" s="26" t="str">
        <f aca="false">IF($K507=0,"",OPERATIONS!$J207)</f>
        <v/>
      </c>
      <c r="K507" s="67" t="n">
        <f aca="false">IF(OR(OPERATIONS!$N207=0,OPERATIONS!$C207="CONSOMMATION"),0,OPERATIONS!$G207)</f>
        <v>0</v>
      </c>
      <c r="L507" s="67" t="n">
        <f aca="false">IF($K507=0,0,OPERATIONS!$Q207*$K507)</f>
        <v>0</v>
      </c>
      <c r="M507" s="26" t="str">
        <f aca="false">IF($K507=0,"",OPERATIONS!$P207)</f>
        <v/>
      </c>
      <c r="N507" s="26" t="str">
        <f aca="false">IF($G507="","",IF($G507=R_LOT,COUNTIF($G$5:$G507,R_LOT),""))</f>
        <v/>
      </c>
    </row>
    <row r="508" customFormat="false" ht="15" hidden="false" customHeight="false" outlineLevel="0" collapsed="false">
      <c r="A508" s="28" t="str">
        <f aca="false">IF($K508=0,"",ROW()-4)</f>
        <v/>
      </c>
      <c r="B508" s="26" t="str">
        <f aca="false">IF($K508=0,"","OPERATIONS")</f>
        <v/>
      </c>
      <c r="C508" s="26" t="str">
        <f aca="false">IF($K508=0,"",OPERATIONS!$A208)</f>
        <v/>
      </c>
      <c r="D508" s="31" t="str">
        <f aca="false">IF($K508=0,"",OPERATIONS!$B208)</f>
        <v/>
      </c>
      <c r="E508" s="26" t="str">
        <f aca="false">IF($K508=0,"","ENTREE")</f>
        <v/>
      </c>
      <c r="F508" s="26" t="str">
        <f aca="false">IF($K508=0,"",OPERATIONS!$C208)</f>
        <v/>
      </c>
      <c r="G508" s="26" t="str">
        <f aca="false">IF($K508=0,"",OPERATIONS!$D208)</f>
        <v/>
      </c>
      <c r="H508" s="26" t="str">
        <f aca="false">IF($K508=0,"",OPERATIONS!$F208)</f>
        <v/>
      </c>
      <c r="I508" s="26" t="str">
        <f aca="false">IF($H508="","",IFERROR(INDEX(EMPL_CLASSE,MATCH($H508,EMPL_KEY,0)),""))</f>
        <v/>
      </c>
      <c r="J508" s="26" t="str">
        <f aca="false">IF($K508=0,"",OPERATIONS!$J208)</f>
        <v/>
      </c>
      <c r="K508" s="67" t="n">
        <f aca="false">IF(OR(OPERATIONS!$N208=0,OPERATIONS!$C208="CONSOMMATION"),0,OPERATIONS!$G208)</f>
        <v>0</v>
      </c>
      <c r="L508" s="67" t="n">
        <f aca="false">IF($K508=0,0,OPERATIONS!$Q208*$K508)</f>
        <v>0</v>
      </c>
      <c r="M508" s="26" t="str">
        <f aca="false">IF($K508=0,"",OPERATIONS!$P208)</f>
        <v/>
      </c>
      <c r="N508" s="26" t="str">
        <f aca="false">IF($G508="","",IF($G508=R_LOT,COUNTIF($G$5:$G508,R_LOT),""))</f>
        <v/>
      </c>
    </row>
    <row r="509" customFormat="false" ht="15" hidden="false" customHeight="false" outlineLevel="0" collapsed="false">
      <c r="A509" s="28" t="str">
        <f aca="false">IF($K509=0,"",ROW()-4)</f>
        <v/>
      </c>
      <c r="B509" s="26" t="str">
        <f aca="false">IF($K509=0,"","OPERATIONS")</f>
        <v/>
      </c>
      <c r="C509" s="26" t="str">
        <f aca="false">IF($K509=0,"",OPERATIONS!$A209)</f>
        <v/>
      </c>
      <c r="D509" s="31" t="str">
        <f aca="false">IF($K509=0,"",OPERATIONS!$B209)</f>
        <v/>
      </c>
      <c r="E509" s="26" t="str">
        <f aca="false">IF($K509=0,"","ENTREE")</f>
        <v/>
      </c>
      <c r="F509" s="26" t="str">
        <f aca="false">IF($K509=0,"",OPERATIONS!$C209)</f>
        <v/>
      </c>
      <c r="G509" s="26" t="str">
        <f aca="false">IF($K509=0,"",OPERATIONS!$D209)</f>
        <v/>
      </c>
      <c r="H509" s="26" t="str">
        <f aca="false">IF($K509=0,"",OPERATIONS!$F209)</f>
        <v/>
      </c>
      <c r="I509" s="26" t="str">
        <f aca="false">IF($H509="","",IFERROR(INDEX(EMPL_CLASSE,MATCH($H509,EMPL_KEY,0)),""))</f>
        <v/>
      </c>
      <c r="J509" s="26" t="str">
        <f aca="false">IF($K509=0,"",OPERATIONS!$J209)</f>
        <v/>
      </c>
      <c r="K509" s="67" t="n">
        <f aca="false">IF(OR(OPERATIONS!$N209=0,OPERATIONS!$C209="CONSOMMATION"),0,OPERATIONS!$G209)</f>
        <v>0</v>
      </c>
      <c r="L509" s="67" t="n">
        <f aca="false">IF($K509=0,0,OPERATIONS!$Q209*$K509)</f>
        <v>0</v>
      </c>
      <c r="M509" s="26" t="str">
        <f aca="false">IF($K509=0,"",OPERATIONS!$P209)</f>
        <v/>
      </c>
      <c r="N509" s="26" t="str">
        <f aca="false">IF($G509="","",IF($G509=R_LOT,COUNTIF($G$5:$G509,R_LOT),""))</f>
        <v/>
      </c>
    </row>
    <row r="510" customFormat="false" ht="15" hidden="false" customHeight="false" outlineLevel="0" collapsed="false">
      <c r="A510" s="28" t="str">
        <f aca="false">IF($K510=0,"",ROW()-4)</f>
        <v/>
      </c>
      <c r="B510" s="26" t="str">
        <f aca="false">IF($K510=0,"","OPERATIONS")</f>
        <v/>
      </c>
      <c r="C510" s="26" t="str">
        <f aca="false">IF($K510=0,"",OPERATIONS!$A210)</f>
        <v/>
      </c>
      <c r="D510" s="31" t="str">
        <f aca="false">IF($K510=0,"",OPERATIONS!$B210)</f>
        <v/>
      </c>
      <c r="E510" s="26" t="str">
        <f aca="false">IF($K510=0,"","ENTREE")</f>
        <v/>
      </c>
      <c r="F510" s="26" t="str">
        <f aca="false">IF($K510=0,"",OPERATIONS!$C210)</f>
        <v/>
      </c>
      <c r="G510" s="26" t="str">
        <f aca="false">IF($K510=0,"",OPERATIONS!$D210)</f>
        <v/>
      </c>
      <c r="H510" s="26" t="str">
        <f aca="false">IF($K510=0,"",OPERATIONS!$F210)</f>
        <v/>
      </c>
      <c r="I510" s="26" t="str">
        <f aca="false">IF($H510="","",IFERROR(INDEX(EMPL_CLASSE,MATCH($H510,EMPL_KEY,0)),""))</f>
        <v/>
      </c>
      <c r="J510" s="26" t="str">
        <f aca="false">IF($K510=0,"",OPERATIONS!$J210)</f>
        <v/>
      </c>
      <c r="K510" s="67" t="n">
        <f aca="false">IF(OR(OPERATIONS!$N210=0,OPERATIONS!$C210="CONSOMMATION"),0,OPERATIONS!$G210)</f>
        <v>0</v>
      </c>
      <c r="L510" s="67" t="n">
        <f aca="false">IF($K510=0,0,OPERATIONS!$Q210*$K510)</f>
        <v>0</v>
      </c>
      <c r="M510" s="26" t="str">
        <f aca="false">IF($K510=0,"",OPERATIONS!$P210)</f>
        <v/>
      </c>
      <c r="N510" s="26" t="str">
        <f aca="false">IF($G510="","",IF($G510=R_LOT,COUNTIF($G$5:$G510,R_LOT),""))</f>
        <v/>
      </c>
    </row>
    <row r="511" customFormat="false" ht="15" hidden="false" customHeight="false" outlineLevel="0" collapsed="false">
      <c r="A511" s="28" t="str">
        <f aca="false">IF($K511=0,"",ROW()-4)</f>
        <v/>
      </c>
      <c r="B511" s="26" t="str">
        <f aca="false">IF($K511=0,"","OPERATIONS")</f>
        <v/>
      </c>
      <c r="C511" s="26" t="str">
        <f aca="false">IF($K511=0,"",OPERATIONS!$A211)</f>
        <v/>
      </c>
      <c r="D511" s="31" t="str">
        <f aca="false">IF($K511=0,"",OPERATIONS!$B211)</f>
        <v/>
      </c>
      <c r="E511" s="26" t="str">
        <f aca="false">IF($K511=0,"","ENTREE")</f>
        <v/>
      </c>
      <c r="F511" s="26" t="str">
        <f aca="false">IF($K511=0,"",OPERATIONS!$C211)</f>
        <v/>
      </c>
      <c r="G511" s="26" t="str">
        <f aca="false">IF($K511=0,"",OPERATIONS!$D211)</f>
        <v/>
      </c>
      <c r="H511" s="26" t="str">
        <f aca="false">IF($K511=0,"",OPERATIONS!$F211)</f>
        <v/>
      </c>
      <c r="I511" s="26" t="str">
        <f aca="false">IF($H511="","",IFERROR(INDEX(EMPL_CLASSE,MATCH($H511,EMPL_KEY,0)),""))</f>
        <v/>
      </c>
      <c r="J511" s="26" t="str">
        <f aca="false">IF($K511=0,"",OPERATIONS!$J211)</f>
        <v/>
      </c>
      <c r="K511" s="67" t="n">
        <f aca="false">IF(OR(OPERATIONS!$N211=0,OPERATIONS!$C211="CONSOMMATION"),0,OPERATIONS!$G211)</f>
        <v>0</v>
      </c>
      <c r="L511" s="67" t="n">
        <f aca="false">IF($K511=0,0,OPERATIONS!$Q211*$K511)</f>
        <v>0</v>
      </c>
      <c r="M511" s="26" t="str">
        <f aca="false">IF($K511=0,"",OPERATIONS!$P211)</f>
        <v/>
      </c>
      <c r="N511" s="26" t="str">
        <f aca="false">IF($G511="","",IF($G511=R_LOT,COUNTIF($G$5:$G511,R_LOT),""))</f>
        <v/>
      </c>
    </row>
    <row r="512" customFormat="false" ht="15" hidden="false" customHeight="false" outlineLevel="0" collapsed="false">
      <c r="A512" s="28" t="str">
        <f aca="false">IF($K512=0,"",ROW()-4)</f>
        <v/>
      </c>
      <c r="B512" s="26" t="str">
        <f aca="false">IF($K512=0,"","OPERATIONS")</f>
        <v/>
      </c>
      <c r="C512" s="26" t="str">
        <f aca="false">IF($K512=0,"",OPERATIONS!$A212)</f>
        <v/>
      </c>
      <c r="D512" s="31" t="str">
        <f aca="false">IF($K512=0,"",OPERATIONS!$B212)</f>
        <v/>
      </c>
      <c r="E512" s="26" t="str">
        <f aca="false">IF($K512=0,"","ENTREE")</f>
        <v/>
      </c>
      <c r="F512" s="26" t="str">
        <f aca="false">IF($K512=0,"",OPERATIONS!$C212)</f>
        <v/>
      </c>
      <c r="G512" s="26" t="str">
        <f aca="false">IF($K512=0,"",OPERATIONS!$D212)</f>
        <v/>
      </c>
      <c r="H512" s="26" t="str">
        <f aca="false">IF($K512=0,"",OPERATIONS!$F212)</f>
        <v/>
      </c>
      <c r="I512" s="26" t="str">
        <f aca="false">IF($H512="","",IFERROR(INDEX(EMPL_CLASSE,MATCH($H512,EMPL_KEY,0)),""))</f>
        <v/>
      </c>
      <c r="J512" s="26" t="str">
        <f aca="false">IF($K512=0,"",OPERATIONS!$J212)</f>
        <v/>
      </c>
      <c r="K512" s="67" t="n">
        <f aca="false">IF(OR(OPERATIONS!$N212=0,OPERATIONS!$C212="CONSOMMATION"),0,OPERATIONS!$G212)</f>
        <v>0</v>
      </c>
      <c r="L512" s="67" t="n">
        <f aca="false">IF($K512=0,0,OPERATIONS!$Q212*$K512)</f>
        <v>0</v>
      </c>
      <c r="M512" s="26" t="str">
        <f aca="false">IF($K512=0,"",OPERATIONS!$P212)</f>
        <v/>
      </c>
      <c r="N512" s="26" t="str">
        <f aca="false">IF($G512="","",IF($G512=R_LOT,COUNTIF($G$5:$G512,R_LOT),""))</f>
        <v/>
      </c>
    </row>
    <row r="513" customFormat="false" ht="15" hidden="false" customHeight="false" outlineLevel="0" collapsed="false">
      <c r="A513" s="28" t="str">
        <f aca="false">IF($K513=0,"",ROW()-4)</f>
        <v/>
      </c>
      <c r="B513" s="26" t="str">
        <f aca="false">IF($K513=0,"","OPERATIONS")</f>
        <v/>
      </c>
      <c r="C513" s="26" t="str">
        <f aca="false">IF($K513=0,"",OPERATIONS!$A213)</f>
        <v/>
      </c>
      <c r="D513" s="31" t="str">
        <f aca="false">IF($K513=0,"",OPERATIONS!$B213)</f>
        <v/>
      </c>
      <c r="E513" s="26" t="str">
        <f aca="false">IF($K513=0,"","ENTREE")</f>
        <v/>
      </c>
      <c r="F513" s="26" t="str">
        <f aca="false">IF($K513=0,"",OPERATIONS!$C213)</f>
        <v/>
      </c>
      <c r="G513" s="26" t="str">
        <f aca="false">IF($K513=0,"",OPERATIONS!$D213)</f>
        <v/>
      </c>
      <c r="H513" s="26" t="str">
        <f aca="false">IF($K513=0,"",OPERATIONS!$F213)</f>
        <v/>
      </c>
      <c r="I513" s="26" t="str">
        <f aca="false">IF($H513="","",IFERROR(INDEX(EMPL_CLASSE,MATCH($H513,EMPL_KEY,0)),""))</f>
        <v/>
      </c>
      <c r="J513" s="26" t="str">
        <f aca="false">IF($K513=0,"",OPERATIONS!$J213)</f>
        <v/>
      </c>
      <c r="K513" s="67" t="n">
        <f aca="false">IF(OR(OPERATIONS!$N213=0,OPERATIONS!$C213="CONSOMMATION"),0,OPERATIONS!$G213)</f>
        <v>0</v>
      </c>
      <c r="L513" s="67" t="n">
        <f aca="false">IF($K513=0,0,OPERATIONS!$Q213*$K513)</f>
        <v>0</v>
      </c>
      <c r="M513" s="26" t="str">
        <f aca="false">IF($K513=0,"",OPERATIONS!$P213)</f>
        <v/>
      </c>
      <c r="N513" s="26" t="str">
        <f aca="false">IF($G513="","",IF($G513=R_LOT,COUNTIF($G$5:$G513,R_LOT),""))</f>
        <v/>
      </c>
    </row>
    <row r="514" customFormat="false" ht="15" hidden="false" customHeight="false" outlineLevel="0" collapsed="false">
      <c r="A514" s="28" t="str">
        <f aca="false">IF($K514=0,"",ROW()-4)</f>
        <v/>
      </c>
      <c r="B514" s="26" t="str">
        <f aca="false">IF($K514=0,"","OPERATIONS")</f>
        <v/>
      </c>
      <c r="C514" s="26" t="str">
        <f aca="false">IF($K514=0,"",OPERATIONS!$A214)</f>
        <v/>
      </c>
      <c r="D514" s="31" t="str">
        <f aca="false">IF($K514=0,"",OPERATIONS!$B214)</f>
        <v/>
      </c>
      <c r="E514" s="26" t="str">
        <f aca="false">IF($K514=0,"","ENTREE")</f>
        <v/>
      </c>
      <c r="F514" s="26" t="str">
        <f aca="false">IF($K514=0,"",OPERATIONS!$C214)</f>
        <v/>
      </c>
      <c r="G514" s="26" t="str">
        <f aca="false">IF($K514=0,"",OPERATIONS!$D214)</f>
        <v/>
      </c>
      <c r="H514" s="26" t="str">
        <f aca="false">IF($K514=0,"",OPERATIONS!$F214)</f>
        <v/>
      </c>
      <c r="I514" s="26" t="str">
        <f aca="false">IF($H514="","",IFERROR(INDEX(EMPL_CLASSE,MATCH($H514,EMPL_KEY,0)),""))</f>
        <v/>
      </c>
      <c r="J514" s="26" t="str">
        <f aca="false">IF($K514=0,"",OPERATIONS!$J214)</f>
        <v/>
      </c>
      <c r="K514" s="67" t="n">
        <f aca="false">IF(OR(OPERATIONS!$N214=0,OPERATIONS!$C214="CONSOMMATION"),0,OPERATIONS!$G214)</f>
        <v>0</v>
      </c>
      <c r="L514" s="67" t="n">
        <f aca="false">IF($K514=0,0,OPERATIONS!$Q214*$K514)</f>
        <v>0</v>
      </c>
      <c r="M514" s="26" t="str">
        <f aca="false">IF($K514=0,"",OPERATIONS!$P214)</f>
        <v/>
      </c>
      <c r="N514" s="26" t="str">
        <f aca="false">IF($G514="","",IF($G514=R_LOT,COUNTIF($G$5:$G514,R_LOT),""))</f>
        <v/>
      </c>
    </row>
    <row r="515" customFormat="false" ht="15" hidden="false" customHeight="false" outlineLevel="0" collapsed="false">
      <c r="A515" s="28" t="str">
        <f aca="false">IF($K515=0,"",ROW()-4)</f>
        <v/>
      </c>
      <c r="B515" s="26" t="str">
        <f aca="false">IF($K515=0,"","OPERATIONS")</f>
        <v/>
      </c>
      <c r="C515" s="26" t="str">
        <f aca="false">IF($K515=0,"",OPERATIONS!$A215)</f>
        <v/>
      </c>
      <c r="D515" s="31" t="str">
        <f aca="false">IF($K515=0,"",OPERATIONS!$B215)</f>
        <v/>
      </c>
      <c r="E515" s="26" t="str">
        <f aca="false">IF($K515=0,"","ENTREE")</f>
        <v/>
      </c>
      <c r="F515" s="26" t="str">
        <f aca="false">IF($K515=0,"",OPERATIONS!$C215)</f>
        <v/>
      </c>
      <c r="G515" s="26" t="str">
        <f aca="false">IF($K515=0,"",OPERATIONS!$D215)</f>
        <v/>
      </c>
      <c r="H515" s="26" t="str">
        <f aca="false">IF($K515=0,"",OPERATIONS!$F215)</f>
        <v/>
      </c>
      <c r="I515" s="26" t="str">
        <f aca="false">IF($H515="","",IFERROR(INDEX(EMPL_CLASSE,MATCH($H515,EMPL_KEY,0)),""))</f>
        <v/>
      </c>
      <c r="J515" s="26" t="str">
        <f aca="false">IF($K515=0,"",OPERATIONS!$J215)</f>
        <v/>
      </c>
      <c r="K515" s="67" t="n">
        <f aca="false">IF(OR(OPERATIONS!$N215=0,OPERATIONS!$C215="CONSOMMATION"),0,OPERATIONS!$G215)</f>
        <v>0</v>
      </c>
      <c r="L515" s="67" t="n">
        <f aca="false">IF($K515=0,0,OPERATIONS!$Q215*$K515)</f>
        <v>0</v>
      </c>
      <c r="M515" s="26" t="str">
        <f aca="false">IF($K515=0,"",OPERATIONS!$P215)</f>
        <v/>
      </c>
      <c r="N515" s="26" t="str">
        <f aca="false">IF($G515="","",IF($G515=R_LOT,COUNTIF($G$5:$G515,R_LOT),""))</f>
        <v/>
      </c>
    </row>
    <row r="516" customFormat="false" ht="15" hidden="false" customHeight="false" outlineLevel="0" collapsed="false">
      <c r="A516" s="28" t="str">
        <f aca="false">IF($K516=0,"",ROW()-4)</f>
        <v/>
      </c>
      <c r="B516" s="26" t="str">
        <f aca="false">IF($K516=0,"","OPERATIONS")</f>
        <v/>
      </c>
      <c r="C516" s="26" t="str">
        <f aca="false">IF($K516=0,"",OPERATIONS!$A216)</f>
        <v/>
      </c>
      <c r="D516" s="31" t="str">
        <f aca="false">IF($K516=0,"",OPERATIONS!$B216)</f>
        <v/>
      </c>
      <c r="E516" s="26" t="str">
        <f aca="false">IF($K516=0,"","ENTREE")</f>
        <v/>
      </c>
      <c r="F516" s="26" t="str">
        <f aca="false">IF($K516=0,"",OPERATIONS!$C216)</f>
        <v/>
      </c>
      <c r="G516" s="26" t="str">
        <f aca="false">IF($K516=0,"",OPERATIONS!$D216)</f>
        <v/>
      </c>
      <c r="H516" s="26" t="str">
        <f aca="false">IF($K516=0,"",OPERATIONS!$F216)</f>
        <v/>
      </c>
      <c r="I516" s="26" t="str">
        <f aca="false">IF($H516="","",IFERROR(INDEX(EMPL_CLASSE,MATCH($H516,EMPL_KEY,0)),""))</f>
        <v/>
      </c>
      <c r="J516" s="26" t="str">
        <f aca="false">IF($K516=0,"",OPERATIONS!$J216)</f>
        <v/>
      </c>
      <c r="K516" s="67" t="n">
        <f aca="false">IF(OR(OPERATIONS!$N216=0,OPERATIONS!$C216="CONSOMMATION"),0,OPERATIONS!$G216)</f>
        <v>0</v>
      </c>
      <c r="L516" s="67" t="n">
        <f aca="false">IF($K516=0,0,OPERATIONS!$Q216*$K516)</f>
        <v>0</v>
      </c>
      <c r="M516" s="26" t="str">
        <f aca="false">IF($K516=0,"",OPERATIONS!$P216)</f>
        <v/>
      </c>
      <c r="N516" s="26" t="str">
        <f aca="false">IF($G516="","",IF($G516=R_LOT,COUNTIF($G$5:$G516,R_LOT),""))</f>
        <v/>
      </c>
    </row>
    <row r="517" customFormat="false" ht="15" hidden="false" customHeight="false" outlineLevel="0" collapsed="false">
      <c r="A517" s="28" t="str">
        <f aca="false">IF($K517=0,"",ROW()-4)</f>
        <v/>
      </c>
      <c r="B517" s="26" t="str">
        <f aca="false">IF($K517=0,"","OPERATIONS")</f>
        <v/>
      </c>
      <c r="C517" s="26" t="str">
        <f aca="false">IF($K517=0,"",OPERATIONS!$A217)</f>
        <v/>
      </c>
      <c r="D517" s="31" t="str">
        <f aca="false">IF($K517=0,"",OPERATIONS!$B217)</f>
        <v/>
      </c>
      <c r="E517" s="26" t="str">
        <f aca="false">IF($K517=0,"","ENTREE")</f>
        <v/>
      </c>
      <c r="F517" s="26" t="str">
        <f aca="false">IF($K517=0,"",OPERATIONS!$C217)</f>
        <v/>
      </c>
      <c r="G517" s="26" t="str">
        <f aca="false">IF($K517=0,"",OPERATIONS!$D217)</f>
        <v/>
      </c>
      <c r="H517" s="26" t="str">
        <f aca="false">IF($K517=0,"",OPERATIONS!$F217)</f>
        <v/>
      </c>
      <c r="I517" s="26" t="str">
        <f aca="false">IF($H517="","",IFERROR(INDEX(EMPL_CLASSE,MATCH($H517,EMPL_KEY,0)),""))</f>
        <v/>
      </c>
      <c r="J517" s="26" t="str">
        <f aca="false">IF($K517=0,"",OPERATIONS!$J217)</f>
        <v/>
      </c>
      <c r="K517" s="67" t="n">
        <f aca="false">IF(OR(OPERATIONS!$N217=0,OPERATIONS!$C217="CONSOMMATION"),0,OPERATIONS!$G217)</f>
        <v>0</v>
      </c>
      <c r="L517" s="67" t="n">
        <f aca="false">IF($K517=0,0,OPERATIONS!$Q217*$K517)</f>
        <v>0</v>
      </c>
      <c r="M517" s="26" t="str">
        <f aca="false">IF($K517=0,"",OPERATIONS!$P217)</f>
        <v/>
      </c>
      <c r="N517" s="26" t="str">
        <f aca="false">IF($G517="","",IF($G517=R_LOT,COUNTIF($G$5:$G517,R_LOT),""))</f>
        <v/>
      </c>
    </row>
    <row r="518" customFormat="false" ht="15" hidden="false" customHeight="false" outlineLevel="0" collapsed="false">
      <c r="A518" s="28" t="str">
        <f aca="false">IF($K518=0,"",ROW()-4)</f>
        <v/>
      </c>
      <c r="B518" s="26" t="str">
        <f aca="false">IF($K518=0,"","OPERATIONS")</f>
        <v/>
      </c>
      <c r="C518" s="26" t="str">
        <f aca="false">IF($K518=0,"",OPERATIONS!$A218)</f>
        <v/>
      </c>
      <c r="D518" s="31" t="str">
        <f aca="false">IF($K518=0,"",OPERATIONS!$B218)</f>
        <v/>
      </c>
      <c r="E518" s="26" t="str">
        <f aca="false">IF($K518=0,"","ENTREE")</f>
        <v/>
      </c>
      <c r="F518" s="26" t="str">
        <f aca="false">IF($K518=0,"",OPERATIONS!$C218)</f>
        <v/>
      </c>
      <c r="G518" s="26" t="str">
        <f aca="false">IF($K518=0,"",OPERATIONS!$D218)</f>
        <v/>
      </c>
      <c r="H518" s="26" t="str">
        <f aca="false">IF($K518=0,"",OPERATIONS!$F218)</f>
        <v/>
      </c>
      <c r="I518" s="26" t="str">
        <f aca="false">IF($H518="","",IFERROR(INDEX(EMPL_CLASSE,MATCH($H518,EMPL_KEY,0)),""))</f>
        <v/>
      </c>
      <c r="J518" s="26" t="str">
        <f aca="false">IF($K518=0,"",OPERATIONS!$J218)</f>
        <v/>
      </c>
      <c r="K518" s="67" t="n">
        <f aca="false">IF(OR(OPERATIONS!$N218=0,OPERATIONS!$C218="CONSOMMATION"),0,OPERATIONS!$G218)</f>
        <v>0</v>
      </c>
      <c r="L518" s="67" t="n">
        <f aca="false">IF($K518=0,0,OPERATIONS!$Q218*$K518)</f>
        <v>0</v>
      </c>
      <c r="M518" s="26" t="str">
        <f aca="false">IF($K518=0,"",OPERATIONS!$P218)</f>
        <v/>
      </c>
      <c r="N518" s="26" t="str">
        <f aca="false">IF($G518="","",IF($G518=R_LOT,COUNTIF($G$5:$G518,R_LOT),""))</f>
        <v/>
      </c>
    </row>
    <row r="519" customFormat="false" ht="15" hidden="false" customHeight="false" outlineLevel="0" collapsed="false">
      <c r="A519" s="28" t="str">
        <f aca="false">IF($K519=0,"",ROW()-4)</f>
        <v/>
      </c>
      <c r="B519" s="26" t="str">
        <f aca="false">IF($K519=0,"","OPERATIONS")</f>
        <v/>
      </c>
      <c r="C519" s="26" t="str">
        <f aca="false">IF($K519=0,"",OPERATIONS!$A219)</f>
        <v/>
      </c>
      <c r="D519" s="31" t="str">
        <f aca="false">IF($K519=0,"",OPERATIONS!$B219)</f>
        <v/>
      </c>
      <c r="E519" s="26" t="str">
        <f aca="false">IF($K519=0,"","ENTREE")</f>
        <v/>
      </c>
      <c r="F519" s="26" t="str">
        <f aca="false">IF($K519=0,"",OPERATIONS!$C219)</f>
        <v/>
      </c>
      <c r="G519" s="26" t="str">
        <f aca="false">IF($K519=0,"",OPERATIONS!$D219)</f>
        <v/>
      </c>
      <c r="H519" s="26" t="str">
        <f aca="false">IF($K519=0,"",OPERATIONS!$F219)</f>
        <v/>
      </c>
      <c r="I519" s="26" t="str">
        <f aca="false">IF($H519="","",IFERROR(INDEX(EMPL_CLASSE,MATCH($H519,EMPL_KEY,0)),""))</f>
        <v/>
      </c>
      <c r="J519" s="26" t="str">
        <f aca="false">IF($K519=0,"",OPERATIONS!$J219)</f>
        <v/>
      </c>
      <c r="K519" s="67" t="n">
        <f aca="false">IF(OR(OPERATIONS!$N219=0,OPERATIONS!$C219="CONSOMMATION"),0,OPERATIONS!$G219)</f>
        <v>0</v>
      </c>
      <c r="L519" s="67" t="n">
        <f aca="false">IF($K519=0,0,OPERATIONS!$Q219*$K519)</f>
        <v>0</v>
      </c>
      <c r="M519" s="26" t="str">
        <f aca="false">IF($K519=0,"",OPERATIONS!$P219)</f>
        <v/>
      </c>
      <c r="N519" s="26" t="str">
        <f aca="false">IF($G519="","",IF($G519=R_LOT,COUNTIF($G$5:$G519,R_LOT),""))</f>
        <v/>
      </c>
    </row>
    <row r="520" customFormat="false" ht="15" hidden="false" customHeight="false" outlineLevel="0" collapsed="false">
      <c r="A520" s="28" t="str">
        <f aca="false">IF($K520=0,"",ROW()-4)</f>
        <v/>
      </c>
      <c r="B520" s="26" t="str">
        <f aca="false">IF($K520=0,"","OPERATIONS")</f>
        <v/>
      </c>
      <c r="C520" s="26" t="str">
        <f aca="false">IF($K520=0,"",OPERATIONS!$A220)</f>
        <v/>
      </c>
      <c r="D520" s="31" t="str">
        <f aca="false">IF($K520=0,"",OPERATIONS!$B220)</f>
        <v/>
      </c>
      <c r="E520" s="26" t="str">
        <f aca="false">IF($K520=0,"","ENTREE")</f>
        <v/>
      </c>
      <c r="F520" s="26" t="str">
        <f aca="false">IF($K520=0,"",OPERATIONS!$C220)</f>
        <v/>
      </c>
      <c r="G520" s="26" t="str">
        <f aca="false">IF($K520=0,"",OPERATIONS!$D220)</f>
        <v/>
      </c>
      <c r="H520" s="26" t="str">
        <f aca="false">IF($K520=0,"",OPERATIONS!$F220)</f>
        <v/>
      </c>
      <c r="I520" s="26" t="str">
        <f aca="false">IF($H520="","",IFERROR(INDEX(EMPL_CLASSE,MATCH($H520,EMPL_KEY,0)),""))</f>
        <v/>
      </c>
      <c r="J520" s="26" t="str">
        <f aca="false">IF($K520=0,"",OPERATIONS!$J220)</f>
        <v/>
      </c>
      <c r="K520" s="67" t="n">
        <f aca="false">IF(OR(OPERATIONS!$N220=0,OPERATIONS!$C220="CONSOMMATION"),0,OPERATIONS!$G220)</f>
        <v>0</v>
      </c>
      <c r="L520" s="67" t="n">
        <f aca="false">IF($K520=0,0,OPERATIONS!$Q220*$K520)</f>
        <v>0</v>
      </c>
      <c r="M520" s="26" t="str">
        <f aca="false">IF($K520=0,"",OPERATIONS!$P220)</f>
        <v/>
      </c>
      <c r="N520" s="26" t="str">
        <f aca="false">IF($G520="","",IF($G520=R_LOT,COUNTIF($G$5:$G520,R_LOT),""))</f>
        <v/>
      </c>
    </row>
    <row r="521" customFormat="false" ht="15" hidden="false" customHeight="false" outlineLevel="0" collapsed="false">
      <c r="A521" s="28" t="str">
        <f aca="false">IF($K521=0,"",ROW()-4)</f>
        <v/>
      </c>
      <c r="B521" s="26" t="str">
        <f aca="false">IF($K521=0,"","OPERATIONS")</f>
        <v/>
      </c>
      <c r="C521" s="26" t="str">
        <f aca="false">IF($K521=0,"",OPERATIONS!$A221)</f>
        <v/>
      </c>
      <c r="D521" s="31" t="str">
        <f aca="false">IF($K521=0,"",OPERATIONS!$B221)</f>
        <v/>
      </c>
      <c r="E521" s="26" t="str">
        <f aca="false">IF($K521=0,"","ENTREE")</f>
        <v/>
      </c>
      <c r="F521" s="26" t="str">
        <f aca="false">IF($K521=0,"",OPERATIONS!$C221)</f>
        <v/>
      </c>
      <c r="G521" s="26" t="str">
        <f aca="false">IF($K521=0,"",OPERATIONS!$D221)</f>
        <v/>
      </c>
      <c r="H521" s="26" t="str">
        <f aca="false">IF($K521=0,"",OPERATIONS!$F221)</f>
        <v/>
      </c>
      <c r="I521" s="26" t="str">
        <f aca="false">IF($H521="","",IFERROR(INDEX(EMPL_CLASSE,MATCH($H521,EMPL_KEY,0)),""))</f>
        <v/>
      </c>
      <c r="J521" s="26" t="str">
        <f aca="false">IF($K521=0,"",OPERATIONS!$J221)</f>
        <v/>
      </c>
      <c r="K521" s="67" t="n">
        <f aca="false">IF(OR(OPERATIONS!$N221=0,OPERATIONS!$C221="CONSOMMATION"),0,OPERATIONS!$G221)</f>
        <v>0</v>
      </c>
      <c r="L521" s="67" t="n">
        <f aca="false">IF($K521=0,0,OPERATIONS!$Q221*$K521)</f>
        <v>0</v>
      </c>
      <c r="M521" s="26" t="str">
        <f aca="false">IF($K521=0,"",OPERATIONS!$P221)</f>
        <v/>
      </c>
      <c r="N521" s="26" t="str">
        <f aca="false">IF($G521="","",IF($G521=R_LOT,COUNTIF($G$5:$G521,R_LOT),""))</f>
        <v/>
      </c>
    </row>
    <row r="522" customFormat="false" ht="15" hidden="false" customHeight="false" outlineLevel="0" collapsed="false">
      <c r="A522" s="28" t="str">
        <f aca="false">IF($K522=0,"",ROW()-4)</f>
        <v/>
      </c>
      <c r="B522" s="26" t="str">
        <f aca="false">IF($K522=0,"","OPERATIONS")</f>
        <v/>
      </c>
      <c r="C522" s="26" t="str">
        <f aca="false">IF($K522=0,"",OPERATIONS!$A222)</f>
        <v/>
      </c>
      <c r="D522" s="31" t="str">
        <f aca="false">IF($K522=0,"",OPERATIONS!$B222)</f>
        <v/>
      </c>
      <c r="E522" s="26" t="str">
        <f aca="false">IF($K522=0,"","ENTREE")</f>
        <v/>
      </c>
      <c r="F522" s="26" t="str">
        <f aca="false">IF($K522=0,"",OPERATIONS!$C222)</f>
        <v/>
      </c>
      <c r="G522" s="26" t="str">
        <f aca="false">IF($K522=0,"",OPERATIONS!$D222)</f>
        <v/>
      </c>
      <c r="H522" s="26" t="str">
        <f aca="false">IF($K522=0,"",OPERATIONS!$F222)</f>
        <v/>
      </c>
      <c r="I522" s="26" t="str">
        <f aca="false">IF($H522="","",IFERROR(INDEX(EMPL_CLASSE,MATCH($H522,EMPL_KEY,0)),""))</f>
        <v/>
      </c>
      <c r="J522" s="26" t="str">
        <f aca="false">IF($K522=0,"",OPERATIONS!$J222)</f>
        <v/>
      </c>
      <c r="K522" s="67" t="n">
        <f aca="false">IF(OR(OPERATIONS!$N222=0,OPERATIONS!$C222="CONSOMMATION"),0,OPERATIONS!$G222)</f>
        <v>0</v>
      </c>
      <c r="L522" s="67" t="n">
        <f aca="false">IF($K522=0,0,OPERATIONS!$Q222*$K522)</f>
        <v>0</v>
      </c>
      <c r="M522" s="26" t="str">
        <f aca="false">IF($K522=0,"",OPERATIONS!$P222)</f>
        <v/>
      </c>
      <c r="N522" s="26" t="str">
        <f aca="false">IF($G522="","",IF($G522=R_LOT,COUNTIF($G$5:$G522,R_LOT),""))</f>
        <v/>
      </c>
    </row>
    <row r="523" customFormat="false" ht="15" hidden="false" customHeight="false" outlineLevel="0" collapsed="false">
      <c r="A523" s="28" t="str">
        <f aca="false">IF($K523=0,"",ROW()-4)</f>
        <v/>
      </c>
      <c r="B523" s="26" t="str">
        <f aca="false">IF($K523=0,"","OPERATIONS")</f>
        <v/>
      </c>
      <c r="C523" s="26" t="str">
        <f aca="false">IF($K523=0,"",OPERATIONS!$A223)</f>
        <v/>
      </c>
      <c r="D523" s="31" t="str">
        <f aca="false">IF($K523=0,"",OPERATIONS!$B223)</f>
        <v/>
      </c>
      <c r="E523" s="26" t="str">
        <f aca="false">IF($K523=0,"","ENTREE")</f>
        <v/>
      </c>
      <c r="F523" s="26" t="str">
        <f aca="false">IF($K523=0,"",OPERATIONS!$C223)</f>
        <v/>
      </c>
      <c r="G523" s="26" t="str">
        <f aca="false">IF($K523=0,"",OPERATIONS!$D223)</f>
        <v/>
      </c>
      <c r="H523" s="26" t="str">
        <f aca="false">IF($K523=0,"",OPERATIONS!$F223)</f>
        <v/>
      </c>
      <c r="I523" s="26" t="str">
        <f aca="false">IF($H523="","",IFERROR(INDEX(EMPL_CLASSE,MATCH($H523,EMPL_KEY,0)),""))</f>
        <v/>
      </c>
      <c r="J523" s="26" t="str">
        <f aca="false">IF($K523=0,"",OPERATIONS!$J223)</f>
        <v/>
      </c>
      <c r="K523" s="67" t="n">
        <f aca="false">IF(OR(OPERATIONS!$N223=0,OPERATIONS!$C223="CONSOMMATION"),0,OPERATIONS!$G223)</f>
        <v>0</v>
      </c>
      <c r="L523" s="67" t="n">
        <f aca="false">IF($K523=0,0,OPERATIONS!$Q223*$K523)</f>
        <v>0</v>
      </c>
      <c r="M523" s="26" t="str">
        <f aca="false">IF($K523=0,"",OPERATIONS!$P223)</f>
        <v/>
      </c>
      <c r="N523" s="26" t="str">
        <f aca="false">IF($G523="","",IF($G523=R_LOT,COUNTIF($G$5:$G523,R_LOT),""))</f>
        <v/>
      </c>
    </row>
    <row r="524" customFormat="false" ht="15" hidden="false" customHeight="false" outlineLevel="0" collapsed="false">
      <c r="A524" s="28" t="str">
        <f aca="false">IF($K524=0,"",ROW()-4)</f>
        <v/>
      </c>
      <c r="B524" s="26" t="str">
        <f aca="false">IF($K524=0,"","OPERATIONS")</f>
        <v/>
      </c>
      <c r="C524" s="26" t="str">
        <f aca="false">IF($K524=0,"",OPERATIONS!$A224)</f>
        <v/>
      </c>
      <c r="D524" s="31" t="str">
        <f aca="false">IF($K524=0,"",OPERATIONS!$B224)</f>
        <v/>
      </c>
      <c r="E524" s="26" t="str">
        <f aca="false">IF($K524=0,"","ENTREE")</f>
        <v/>
      </c>
      <c r="F524" s="26" t="str">
        <f aca="false">IF($K524=0,"",OPERATIONS!$C224)</f>
        <v/>
      </c>
      <c r="G524" s="26" t="str">
        <f aca="false">IF($K524=0,"",OPERATIONS!$D224)</f>
        <v/>
      </c>
      <c r="H524" s="26" t="str">
        <f aca="false">IF($K524=0,"",OPERATIONS!$F224)</f>
        <v/>
      </c>
      <c r="I524" s="26" t="str">
        <f aca="false">IF($H524="","",IFERROR(INDEX(EMPL_CLASSE,MATCH($H524,EMPL_KEY,0)),""))</f>
        <v/>
      </c>
      <c r="J524" s="26" t="str">
        <f aca="false">IF($K524=0,"",OPERATIONS!$J224)</f>
        <v/>
      </c>
      <c r="K524" s="67" t="n">
        <f aca="false">IF(OR(OPERATIONS!$N224=0,OPERATIONS!$C224="CONSOMMATION"),0,OPERATIONS!$G224)</f>
        <v>0</v>
      </c>
      <c r="L524" s="67" t="n">
        <f aca="false">IF($K524=0,0,OPERATIONS!$Q224*$K524)</f>
        <v>0</v>
      </c>
      <c r="M524" s="26" t="str">
        <f aca="false">IF($K524=0,"",OPERATIONS!$P224)</f>
        <v/>
      </c>
      <c r="N524" s="26" t="str">
        <f aca="false">IF($G524="","",IF($G524=R_LOT,COUNTIF($G$5:$G524,R_LOT),""))</f>
        <v/>
      </c>
    </row>
    <row r="525" customFormat="false" ht="15" hidden="false" customHeight="false" outlineLevel="0" collapsed="false">
      <c r="A525" s="28" t="str">
        <f aca="false">IF($K525=0,"",ROW()-4)</f>
        <v/>
      </c>
      <c r="B525" s="26" t="str">
        <f aca="false">IF($K525=0,"","OPERATIONS")</f>
        <v/>
      </c>
      <c r="C525" s="26" t="str">
        <f aca="false">IF($K525=0,"",OPERATIONS!$A225)</f>
        <v/>
      </c>
      <c r="D525" s="31" t="str">
        <f aca="false">IF($K525=0,"",OPERATIONS!$B225)</f>
        <v/>
      </c>
      <c r="E525" s="26" t="str">
        <f aca="false">IF($K525=0,"","ENTREE")</f>
        <v/>
      </c>
      <c r="F525" s="26" t="str">
        <f aca="false">IF($K525=0,"",OPERATIONS!$C225)</f>
        <v/>
      </c>
      <c r="G525" s="26" t="str">
        <f aca="false">IF($K525=0,"",OPERATIONS!$D225)</f>
        <v/>
      </c>
      <c r="H525" s="26" t="str">
        <f aca="false">IF($K525=0,"",OPERATIONS!$F225)</f>
        <v/>
      </c>
      <c r="I525" s="26" t="str">
        <f aca="false">IF($H525="","",IFERROR(INDEX(EMPL_CLASSE,MATCH($H525,EMPL_KEY,0)),""))</f>
        <v/>
      </c>
      <c r="J525" s="26" t="str">
        <f aca="false">IF($K525=0,"",OPERATIONS!$J225)</f>
        <v/>
      </c>
      <c r="K525" s="67" t="n">
        <f aca="false">IF(OR(OPERATIONS!$N225=0,OPERATIONS!$C225="CONSOMMATION"),0,OPERATIONS!$G225)</f>
        <v>0</v>
      </c>
      <c r="L525" s="67" t="n">
        <f aca="false">IF($K525=0,0,OPERATIONS!$Q225*$K525)</f>
        <v>0</v>
      </c>
      <c r="M525" s="26" t="str">
        <f aca="false">IF($K525=0,"",OPERATIONS!$P225)</f>
        <v/>
      </c>
      <c r="N525" s="26" t="str">
        <f aca="false">IF($G525="","",IF($G525=R_LOT,COUNTIF($G$5:$G525,R_LOT),""))</f>
        <v/>
      </c>
    </row>
    <row r="526" customFormat="false" ht="15" hidden="false" customHeight="false" outlineLevel="0" collapsed="false">
      <c r="A526" s="28" t="str">
        <f aca="false">IF($K526=0,"",ROW()-4)</f>
        <v/>
      </c>
      <c r="B526" s="26" t="str">
        <f aca="false">IF($K526=0,"","OPERATIONS")</f>
        <v/>
      </c>
      <c r="C526" s="26" t="str">
        <f aca="false">IF($K526=0,"",OPERATIONS!$A226)</f>
        <v/>
      </c>
      <c r="D526" s="31" t="str">
        <f aca="false">IF($K526=0,"",OPERATIONS!$B226)</f>
        <v/>
      </c>
      <c r="E526" s="26" t="str">
        <f aca="false">IF($K526=0,"","ENTREE")</f>
        <v/>
      </c>
      <c r="F526" s="26" t="str">
        <f aca="false">IF($K526=0,"",OPERATIONS!$C226)</f>
        <v/>
      </c>
      <c r="G526" s="26" t="str">
        <f aca="false">IF($K526=0,"",OPERATIONS!$D226)</f>
        <v/>
      </c>
      <c r="H526" s="26" t="str">
        <f aca="false">IF($K526=0,"",OPERATIONS!$F226)</f>
        <v/>
      </c>
      <c r="I526" s="26" t="str">
        <f aca="false">IF($H526="","",IFERROR(INDEX(EMPL_CLASSE,MATCH($H526,EMPL_KEY,0)),""))</f>
        <v/>
      </c>
      <c r="J526" s="26" t="str">
        <f aca="false">IF($K526=0,"",OPERATIONS!$J226)</f>
        <v/>
      </c>
      <c r="K526" s="67" t="n">
        <f aca="false">IF(OR(OPERATIONS!$N226=0,OPERATIONS!$C226="CONSOMMATION"),0,OPERATIONS!$G226)</f>
        <v>0</v>
      </c>
      <c r="L526" s="67" t="n">
        <f aca="false">IF($K526=0,0,OPERATIONS!$Q226*$K526)</f>
        <v>0</v>
      </c>
      <c r="M526" s="26" t="str">
        <f aca="false">IF($K526=0,"",OPERATIONS!$P226)</f>
        <v/>
      </c>
      <c r="N526" s="26" t="str">
        <f aca="false">IF($G526="","",IF($G526=R_LOT,COUNTIF($G$5:$G526,R_LOT),""))</f>
        <v/>
      </c>
    </row>
    <row r="527" customFormat="false" ht="15" hidden="false" customHeight="false" outlineLevel="0" collapsed="false">
      <c r="A527" s="28" t="str">
        <f aca="false">IF($K527=0,"",ROW()-4)</f>
        <v/>
      </c>
      <c r="B527" s="26" t="str">
        <f aca="false">IF($K527=0,"","OPERATIONS")</f>
        <v/>
      </c>
      <c r="C527" s="26" t="str">
        <f aca="false">IF($K527=0,"",OPERATIONS!$A227)</f>
        <v/>
      </c>
      <c r="D527" s="31" t="str">
        <f aca="false">IF($K527=0,"",OPERATIONS!$B227)</f>
        <v/>
      </c>
      <c r="E527" s="26" t="str">
        <f aca="false">IF($K527=0,"","ENTREE")</f>
        <v/>
      </c>
      <c r="F527" s="26" t="str">
        <f aca="false">IF($K527=0,"",OPERATIONS!$C227)</f>
        <v/>
      </c>
      <c r="G527" s="26" t="str">
        <f aca="false">IF($K527=0,"",OPERATIONS!$D227)</f>
        <v/>
      </c>
      <c r="H527" s="26" t="str">
        <f aca="false">IF($K527=0,"",OPERATIONS!$F227)</f>
        <v/>
      </c>
      <c r="I527" s="26" t="str">
        <f aca="false">IF($H527="","",IFERROR(INDEX(EMPL_CLASSE,MATCH($H527,EMPL_KEY,0)),""))</f>
        <v/>
      </c>
      <c r="J527" s="26" t="str">
        <f aca="false">IF($K527=0,"",OPERATIONS!$J227)</f>
        <v/>
      </c>
      <c r="K527" s="67" t="n">
        <f aca="false">IF(OR(OPERATIONS!$N227=0,OPERATIONS!$C227="CONSOMMATION"),0,OPERATIONS!$G227)</f>
        <v>0</v>
      </c>
      <c r="L527" s="67" t="n">
        <f aca="false">IF($K527=0,0,OPERATIONS!$Q227*$K527)</f>
        <v>0</v>
      </c>
      <c r="M527" s="26" t="str">
        <f aca="false">IF($K527=0,"",OPERATIONS!$P227)</f>
        <v/>
      </c>
      <c r="N527" s="26" t="str">
        <f aca="false">IF($G527="","",IF($G527=R_LOT,COUNTIF($G$5:$G527,R_LOT),""))</f>
        <v/>
      </c>
    </row>
    <row r="528" customFormat="false" ht="15" hidden="false" customHeight="false" outlineLevel="0" collapsed="false">
      <c r="A528" s="28" t="str">
        <f aca="false">IF($K528=0,"",ROW()-4)</f>
        <v/>
      </c>
      <c r="B528" s="26" t="str">
        <f aca="false">IF($K528=0,"","OPERATIONS")</f>
        <v/>
      </c>
      <c r="C528" s="26" t="str">
        <f aca="false">IF($K528=0,"",OPERATIONS!$A228)</f>
        <v/>
      </c>
      <c r="D528" s="31" t="str">
        <f aca="false">IF($K528=0,"",OPERATIONS!$B228)</f>
        <v/>
      </c>
      <c r="E528" s="26" t="str">
        <f aca="false">IF($K528=0,"","ENTREE")</f>
        <v/>
      </c>
      <c r="F528" s="26" t="str">
        <f aca="false">IF($K528=0,"",OPERATIONS!$C228)</f>
        <v/>
      </c>
      <c r="G528" s="26" t="str">
        <f aca="false">IF($K528=0,"",OPERATIONS!$D228)</f>
        <v/>
      </c>
      <c r="H528" s="26" t="str">
        <f aca="false">IF($K528=0,"",OPERATIONS!$F228)</f>
        <v/>
      </c>
      <c r="I528" s="26" t="str">
        <f aca="false">IF($H528="","",IFERROR(INDEX(EMPL_CLASSE,MATCH($H528,EMPL_KEY,0)),""))</f>
        <v/>
      </c>
      <c r="J528" s="26" t="str">
        <f aca="false">IF($K528=0,"",OPERATIONS!$J228)</f>
        <v/>
      </c>
      <c r="K528" s="67" t="n">
        <f aca="false">IF(OR(OPERATIONS!$N228=0,OPERATIONS!$C228="CONSOMMATION"),0,OPERATIONS!$G228)</f>
        <v>0</v>
      </c>
      <c r="L528" s="67" t="n">
        <f aca="false">IF($K528=0,0,OPERATIONS!$Q228*$K528)</f>
        <v>0</v>
      </c>
      <c r="M528" s="26" t="str">
        <f aca="false">IF($K528=0,"",OPERATIONS!$P228)</f>
        <v/>
      </c>
      <c r="N528" s="26" t="str">
        <f aca="false">IF($G528="","",IF($G528=R_LOT,COUNTIF($G$5:$G528,R_LOT),""))</f>
        <v/>
      </c>
    </row>
    <row r="529" customFormat="false" ht="15" hidden="false" customHeight="false" outlineLevel="0" collapsed="false">
      <c r="A529" s="28" t="str">
        <f aca="false">IF($K529=0,"",ROW()-4)</f>
        <v/>
      </c>
      <c r="B529" s="26" t="str">
        <f aca="false">IF($K529=0,"","OPERATIONS")</f>
        <v/>
      </c>
      <c r="C529" s="26" t="str">
        <f aca="false">IF($K529=0,"",OPERATIONS!$A229)</f>
        <v/>
      </c>
      <c r="D529" s="31" t="str">
        <f aca="false">IF($K529=0,"",OPERATIONS!$B229)</f>
        <v/>
      </c>
      <c r="E529" s="26" t="str">
        <f aca="false">IF($K529=0,"","ENTREE")</f>
        <v/>
      </c>
      <c r="F529" s="26" t="str">
        <f aca="false">IF($K529=0,"",OPERATIONS!$C229)</f>
        <v/>
      </c>
      <c r="G529" s="26" t="str">
        <f aca="false">IF($K529=0,"",OPERATIONS!$D229)</f>
        <v/>
      </c>
      <c r="H529" s="26" t="str">
        <f aca="false">IF($K529=0,"",OPERATIONS!$F229)</f>
        <v/>
      </c>
      <c r="I529" s="26" t="str">
        <f aca="false">IF($H529="","",IFERROR(INDEX(EMPL_CLASSE,MATCH($H529,EMPL_KEY,0)),""))</f>
        <v/>
      </c>
      <c r="J529" s="26" t="str">
        <f aca="false">IF($K529=0,"",OPERATIONS!$J229)</f>
        <v/>
      </c>
      <c r="K529" s="67" t="n">
        <f aca="false">IF(OR(OPERATIONS!$N229=0,OPERATIONS!$C229="CONSOMMATION"),0,OPERATIONS!$G229)</f>
        <v>0</v>
      </c>
      <c r="L529" s="67" t="n">
        <f aca="false">IF($K529=0,0,OPERATIONS!$Q229*$K529)</f>
        <v>0</v>
      </c>
      <c r="M529" s="26" t="str">
        <f aca="false">IF($K529=0,"",OPERATIONS!$P229)</f>
        <v/>
      </c>
      <c r="N529" s="26" t="str">
        <f aca="false">IF($G529="","",IF($G529=R_LOT,COUNTIF($G$5:$G529,R_LOT),""))</f>
        <v/>
      </c>
    </row>
    <row r="530" customFormat="false" ht="15" hidden="false" customHeight="false" outlineLevel="0" collapsed="false">
      <c r="A530" s="28" t="str">
        <f aca="false">IF($K530=0,"",ROW()-4)</f>
        <v/>
      </c>
      <c r="B530" s="26" t="str">
        <f aca="false">IF($K530=0,"","OPERATIONS")</f>
        <v/>
      </c>
      <c r="C530" s="26" t="str">
        <f aca="false">IF($K530=0,"",OPERATIONS!$A230)</f>
        <v/>
      </c>
      <c r="D530" s="31" t="str">
        <f aca="false">IF($K530=0,"",OPERATIONS!$B230)</f>
        <v/>
      </c>
      <c r="E530" s="26" t="str">
        <f aca="false">IF($K530=0,"","ENTREE")</f>
        <v/>
      </c>
      <c r="F530" s="26" t="str">
        <f aca="false">IF($K530=0,"",OPERATIONS!$C230)</f>
        <v/>
      </c>
      <c r="G530" s="26" t="str">
        <f aca="false">IF($K530=0,"",OPERATIONS!$D230)</f>
        <v/>
      </c>
      <c r="H530" s="26" t="str">
        <f aca="false">IF($K530=0,"",OPERATIONS!$F230)</f>
        <v/>
      </c>
      <c r="I530" s="26" t="str">
        <f aca="false">IF($H530="","",IFERROR(INDEX(EMPL_CLASSE,MATCH($H530,EMPL_KEY,0)),""))</f>
        <v/>
      </c>
      <c r="J530" s="26" t="str">
        <f aca="false">IF($K530=0,"",OPERATIONS!$J230)</f>
        <v/>
      </c>
      <c r="K530" s="67" t="n">
        <f aca="false">IF(OR(OPERATIONS!$N230=0,OPERATIONS!$C230="CONSOMMATION"),0,OPERATIONS!$G230)</f>
        <v>0</v>
      </c>
      <c r="L530" s="67" t="n">
        <f aca="false">IF($K530=0,0,OPERATIONS!$Q230*$K530)</f>
        <v>0</v>
      </c>
      <c r="M530" s="26" t="str">
        <f aca="false">IF($K530=0,"",OPERATIONS!$P230)</f>
        <v/>
      </c>
      <c r="N530" s="26" t="str">
        <f aca="false">IF($G530="","",IF($G530=R_LOT,COUNTIF($G$5:$G530,R_LOT),""))</f>
        <v/>
      </c>
    </row>
    <row r="531" customFormat="false" ht="15" hidden="false" customHeight="false" outlineLevel="0" collapsed="false">
      <c r="A531" s="28" t="str">
        <f aca="false">IF($K531=0,"",ROW()-4)</f>
        <v/>
      </c>
      <c r="B531" s="26" t="str">
        <f aca="false">IF($K531=0,"","OPERATIONS")</f>
        <v/>
      </c>
      <c r="C531" s="26" t="str">
        <f aca="false">IF($K531=0,"",OPERATIONS!$A231)</f>
        <v/>
      </c>
      <c r="D531" s="31" t="str">
        <f aca="false">IF($K531=0,"",OPERATIONS!$B231)</f>
        <v/>
      </c>
      <c r="E531" s="26" t="str">
        <f aca="false">IF($K531=0,"","ENTREE")</f>
        <v/>
      </c>
      <c r="F531" s="26" t="str">
        <f aca="false">IF($K531=0,"",OPERATIONS!$C231)</f>
        <v/>
      </c>
      <c r="G531" s="26" t="str">
        <f aca="false">IF($K531=0,"",OPERATIONS!$D231)</f>
        <v/>
      </c>
      <c r="H531" s="26" t="str">
        <f aca="false">IF($K531=0,"",OPERATIONS!$F231)</f>
        <v/>
      </c>
      <c r="I531" s="26" t="str">
        <f aca="false">IF($H531="","",IFERROR(INDEX(EMPL_CLASSE,MATCH($H531,EMPL_KEY,0)),""))</f>
        <v/>
      </c>
      <c r="J531" s="26" t="str">
        <f aca="false">IF($K531=0,"",OPERATIONS!$J231)</f>
        <v/>
      </c>
      <c r="K531" s="67" t="n">
        <f aca="false">IF(OR(OPERATIONS!$N231=0,OPERATIONS!$C231="CONSOMMATION"),0,OPERATIONS!$G231)</f>
        <v>0</v>
      </c>
      <c r="L531" s="67" t="n">
        <f aca="false">IF($K531=0,0,OPERATIONS!$Q231*$K531)</f>
        <v>0</v>
      </c>
      <c r="M531" s="26" t="str">
        <f aca="false">IF($K531=0,"",OPERATIONS!$P231)</f>
        <v/>
      </c>
      <c r="N531" s="26" t="str">
        <f aca="false">IF($G531="","",IF($G531=R_LOT,COUNTIF($G$5:$G531,R_LOT),""))</f>
        <v/>
      </c>
    </row>
    <row r="532" customFormat="false" ht="15" hidden="false" customHeight="false" outlineLevel="0" collapsed="false">
      <c r="A532" s="28" t="str">
        <f aca="false">IF($K532=0,"",ROW()-4)</f>
        <v/>
      </c>
      <c r="B532" s="26" t="str">
        <f aca="false">IF($K532=0,"","OPERATIONS")</f>
        <v/>
      </c>
      <c r="C532" s="26" t="str">
        <f aca="false">IF($K532=0,"",OPERATIONS!$A232)</f>
        <v/>
      </c>
      <c r="D532" s="31" t="str">
        <f aca="false">IF($K532=0,"",OPERATIONS!$B232)</f>
        <v/>
      </c>
      <c r="E532" s="26" t="str">
        <f aca="false">IF($K532=0,"","ENTREE")</f>
        <v/>
      </c>
      <c r="F532" s="26" t="str">
        <f aca="false">IF($K532=0,"",OPERATIONS!$C232)</f>
        <v/>
      </c>
      <c r="G532" s="26" t="str">
        <f aca="false">IF($K532=0,"",OPERATIONS!$D232)</f>
        <v/>
      </c>
      <c r="H532" s="26" t="str">
        <f aca="false">IF($K532=0,"",OPERATIONS!$F232)</f>
        <v/>
      </c>
      <c r="I532" s="26" t="str">
        <f aca="false">IF($H532="","",IFERROR(INDEX(EMPL_CLASSE,MATCH($H532,EMPL_KEY,0)),""))</f>
        <v/>
      </c>
      <c r="J532" s="26" t="str">
        <f aca="false">IF($K532=0,"",OPERATIONS!$J232)</f>
        <v/>
      </c>
      <c r="K532" s="67" t="n">
        <f aca="false">IF(OR(OPERATIONS!$N232=0,OPERATIONS!$C232="CONSOMMATION"),0,OPERATIONS!$G232)</f>
        <v>0</v>
      </c>
      <c r="L532" s="67" t="n">
        <f aca="false">IF($K532=0,0,OPERATIONS!$Q232*$K532)</f>
        <v>0</v>
      </c>
      <c r="M532" s="26" t="str">
        <f aca="false">IF($K532=0,"",OPERATIONS!$P232)</f>
        <v/>
      </c>
      <c r="N532" s="26" t="str">
        <f aca="false">IF($G532="","",IF($G532=R_LOT,COUNTIF($G$5:$G532,R_LOT),""))</f>
        <v/>
      </c>
    </row>
    <row r="533" customFormat="false" ht="15" hidden="false" customHeight="false" outlineLevel="0" collapsed="false">
      <c r="A533" s="28" t="str">
        <f aca="false">IF($K533=0,"",ROW()-4)</f>
        <v/>
      </c>
      <c r="B533" s="26" t="str">
        <f aca="false">IF($K533=0,"","OPERATIONS")</f>
        <v/>
      </c>
      <c r="C533" s="26" t="str">
        <f aca="false">IF($K533=0,"",OPERATIONS!$A233)</f>
        <v/>
      </c>
      <c r="D533" s="31" t="str">
        <f aca="false">IF($K533=0,"",OPERATIONS!$B233)</f>
        <v/>
      </c>
      <c r="E533" s="26" t="str">
        <f aca="false">IF($K533=0,"","ENTREE")</f>
        <v/>
      </c>
      <c r="F533" s="26" t="str">
        <f aca="false">IF($K533=0,"",OPERATIONS!$C233)</f>
        <v/>
      </c>
      <c r="G533" s="26" t="str">
        <f aca="false">IF($K533=0,"",OPERATIONS!$D233)</f>
        <v/>
      </c>
      <c r="H533" s="26" t="str">
        <f aca="false">IF($K533=0,"",OPERATIONS!$F233)</f>
        <v/>
      </c>
      <c r="I533" s="26" t="str">
        <f aca="false">IF($H533="","",IFERROR(INDEX(EMPL_CLASSE,MATCH($H533,EMPL_KEY,0)),""))</f>
        <v/>
      </c>
      <c r="J533" s="26" t="str">
        <f aca="false">IF($K533=0,"",OPERATIONS!$J233)</f>
        <v/>
      </c>
      <c r="K533" s="67" t="n">
        <f aca="false">IF(OR(OPERATIONS!$N233=0,OPERATIONS!$C233="CONSOMMATION"),0,OPERATIONS!$G233)</f>
        <v>0</v>
      </c>
      <c r="L533" s="67" t="n">
        <f aca="false">IF($K533=0,0,OPERATIONS!$Q233*$K533)</f>
        <v>0</v>
      </c>
      <c r="M533" s="26" t="str">
        <f aca="false">IF($K533=0,"",OPERATIONS!$P233)</f>
        <v/>
      </c>
      <c r="N533" s="26" t="str">
        <f aca="false">IF($G533="","",IF($G533=R_LOT,COUNTIF($G$5:$G533,R_LOT),""))</f>
        <v/>
      </c>
    </row>
    <row r="534" customFormat="false" ht="15" hidden="false" customHeight="false" outlineLevel="0" collapsed="false">
      <c r="A534" s="28" t="str">
        <f aca="false">IF($K534=0,"",ROW()-4)</f>
        <v/>
      </c>
      <c r="B534" s="26" t="str">
        <f aca="false">IF($K534=0,"","OPERATIONS")</f>
        <v/>
      </c>
      <c r="C534" s="26" t="str">
        <f aca="false">IF($K534=0,"",OPERATIONS!$A234)</f>
        <v/>
      </c>
      <c r="D534" s="31" t="str">
        <f aca="false">IF($K534=0,"",OPERATIONS!$B234)</f>
        <v/>
      </c>
      <c r="E534" s="26" t="str">
        <f aca="false">IF($K534=0,"","ENTREE")</f>
        <v/>
      </c>
      <c r="F534" s="26" t="str">
        <f aca="false">IF($K534=0,"",OPERATIONS!$C234)</f>
        <v/>
      </c>
      <c r="G534" s="26" t="str">
        <f aca="false">IF($K534=0,"",OPERATIONS!$D234)</f>
        <v/>
      </c>
      <c r="H534" s="26" t="str">
        <f aca="false">IF($K534=0,"",OPERATIONS!$F234)</f>
        <v/>
      </c>
      <c r="I534" s="26" t="str">
        <f aca="false">IF($H534="","",IFERROR(INDEX(EMPL_CLASSE,MATCH($H534,EMPL_KEY,0)),""))</f>
        <v/>
      </c>
      <c r="J534" s="26" t="str">
        <f aca="false">IF($K534=0,"",OPERATIONS!$J234)</f>
        <v/>
      </c>
      <c r="K534" s="67" t="n">
        <f aca="false">IF(OR(OPERATIONS!$N234=0,OPERATIONS!$C234="CONSOMMATION"),0,OPERATIONS!$G234)</f>
        <v>0</v>
      </c>
      <c r="L534" s="67" t="n">
        <f aca="false">IF($K534=0,0,OPERATIONS!$Q234*$K534)</f>
        <v>0</v>
      </c>
      <c r="M534" s="26" t="str">
        <f aca="false">IF($K534=0,"",OPERATIONS!$P234)</f>
        <v/>
      </c>
      <c r="N534" s="26" t="str">
        <f aca="false">IF($G534="","",IF($G534=R_LOT,COUNTIF($G$5:$G534,R_LOT),""))</f>
        <v/>
      </c>
    </row>
    <row r="535" customFormat="false" ht="15" hidden="false" customHeight="false" outlineLevel="0" collapsed="false">
      <c r="A535" s="28" t="str">
        <f aca="false">IF($K535=0,"",ROW()-4)</f>
        <v/>
      </c>
      <c r="B535" s="26" t="str">
        <f aca="false">IF($K535=0,"","OPERATIONS")</f>
        <v/>
      </c>
      <c r="C535" s="26" t="str">
        <f aca="false">IF($K535=0,"",OPERATIONS!$A235)</f>
        <v/>
      </c>
      <c r="D535" s="31" t="str">
        <f aca="false">IF($K535=0,"",OPERATIONS!$B235)</f>
        <v/>
      </c>
      <c r="E535" s="26" t="str">
        <f aca="false">IF($K535=0,"","ENTREE")</f>
        <v/>
      </c>
      <c r="F535" s="26" t="str">
        <f aca="false">IF($K535=0,"",OPERATIONS!$C235)</f>
        <v/>
      </c>
      <c r="G535" s="26" t="str">
        <f aca="false">IF($K535=0,"",OPERATIONS!$D235)</f>
        <v/>
      </c>
      <c r="H535" s="26" t="str">
        <f aca="false">IF($K535=0,"",OPERATIONS!$F235)</f>
        <v/>
      </c>
      <c r="I535" s="26" t="str">
        <f aca="false">IF($H535="","",IFERROR(INDEX(EMPL_CLASSE,MATCH($H535,EMPL_KEY,0)),""))</f>
        <v/>
      </c>
      <c r="J535" s="26" t="str">
        <f aca="false">IF($K535=0,"",OPERATIONS!$J235)</f>
        <v/>
      </c>
      <c r="K535" s="67" t="n">
        <f aca="false">IF(OR(OPERATIONS!$N235=0,OPERATIONS!$C235="CONSOMMATION"),0,OPERATIONS!$G235)</f>
        <v>0</v>
      </c>
      <c r="L535" s="67" t="n">
        <f aca="false">IF($K535=0,0,OPERATIONS!$Q235*$K535)</f>
        <v>0</v>
      </c>
      <c r="M535" s="26" t="str">
        <f aca="false">IF($K535=0,"",OPERATIONS!$P235)</f>
        <v/>
      </c>
      <c r="N535" s="26" t="str">
        <f aca="false">IF($G535="","",IF($G535=R_LOT,COUNTIF($G$5:$G535,R_LOT),""))</f>
        <v/>
      </c>
    </row>
    <row r="536" customFormat="false" ht="15" hidden="false" customHeight="false" outlineLevel="0" collapsed="false">
      <c r="A536" s="28" t="str">
        <f aca="false">IF($K536=0,"",ROW()-4)</f>
        <v/>
      </c>
      <c r="B536" s="26" t="str">
        <f aca="false">IF($K536=0,"","OPERATIONS")</f>
        <v/>
      </c>
      <c r="C536" s="26" t="str">
        <f aca="false">IF($K536=0,"",OPERATIONS!$A236)</f>
        <v/>
      </c>
      <c r="D536" s="31" t="str">
        <f aca="false">IF($K536=0,"",OPERATIONS!$B236)</f>
        <v/>
      </c>
      <c r="E536" s="26" t="str">
        <f aca="false">IF($K536=0,"","ENTREE")</f>
        <v/>
      </c>
      <c r="F536" s="26" t="str">
        <f aca="false">IF($K536=0,"",OPERATIONS!$C236)</f>
        <v/>
      </c>
      <c r="G536" s="26" t="str">
        <f aca="false">IF($K536=0,"",OPERATIONS!$D236)</f>
        <v/>
      </c>
      <c r="H536" s="26" t="str">
        <f aca="false">IF($K536=0,"",OPERATIONS!$F236)</f>
        <v/>
      </c>
      <c r="I536" s="26" t="str">
        <f aca="false">IF($H536="","",IFERROR(INDEX(EMPL_CLASSE,MATCH($H536,EMPL_KEY,0)),""))</f>
        <v/>
      </c>
      <c r="J536" s="26" t="str">
        <f aca="false">IF($K536=0,"",OPERATIONS!$J236)</f>
        <v/>
      </c>
      <c r="K536" s="67" t="n">
        <f aca="false">IF(OR(OPERATIONS!$N236=0,OPERATIONS!$C236="CONSOMMATION"),0,OPERATIONS!$G236)</f>
        <v>0</v>
      </c>
      <c r="L536" s="67" t="n">
        <f aca="false">IF($K536=0,0,OPERATIONS!$Q236*$K536)</f>
        <v>0</v>
      </c>
      <c r="M536" s="26" t="str">
        <f aca="false">IF($K536=0,"",OPERATIONS!$P236)</f>
        <v/>
      </c>
      <c r="N536" s="26" t="str">
        <f aca="false">IF($G536="","",IF($G536=R_LOT,COUNTIF($G$5:$G536,R_LOT),""))</f>
        <v/>
      </c>
    </row>
    <row r="537" customFormat="false" ht="15" hidden="false" customHeight="false" outlineLevel="0" collapsed="false">
      <c r="A537" s="28" t="str">
        <f aca="false">IF($K537=0,"",ROW()-4)</f>
        <v/>
      </c>
      <c r="B537" s="26" t="str">
        <f aca="false">IF($K537=0,"","OPERATIONS")</f>
        <v/>
      </c>
      <c r="C537" s="26" t="str">
        <f aca="false">IF($K537=0,"",OPERATIONS!$A237)</f>
        <v/>
      </c>
      <c r="D537" s="31" t="str">
        <f aca="false">IF($K537=0,"",OPERATIONS!$B237)</f>
        <v/>
      </c>
      <c r="E537" s="26" t="str">
        <f aca="false">IF($K537=0,"","ENTREE")</f>
        <v/>
      </c>
      <c r="F537" s="26" t="str">
        <f aca="false">IF($K537=0,"",OPERATIONS!$C237)</f>
        <v/>
      </c>
      <c r="G537" s="26" t="str">
        <f aca="false">IF($K537=0,"",OPERATIONS!$D237)</f>
        <v/>
      </c>
      <c r="H537" s="26" t="str">
        <f aca="false">IF($K537=0,"",OPERATIONS!$F237)</f>
        <v/>
      </c>
      <c r="I537" s="26" t="str">
        <f aca="false">IF($H537="","",IFERROR(INDEX(EMPL_CLASSE,MATCH($H537,EMPL_KEY,0)),""))</f>
        <v/>
      </c>
      <c r="J537" s="26" t="str">
        <f aca="false">IF($K537=0,"",OPERATIONS!$J237)</f>
        <v/>
      </c>
      <c r="K537" s="67" t="n">
        <f aca="false">IF(OR(OPERATIONS!$N237=0,OPERATIONS!$C237="CONSOMMATION"),0,OPERATIONS!$G237)</f>
        <v>0</v>
      </c>
      <c r="L537" s="67" t="n">
        <f aca="false">IF($K537=0,0,OPERATIONS!$Q237*$K537)</f>
        <v>0</v>
      </c>
      <c r="M537" s="26" t="str">
        <f aca="false">IF($K537=0,"",OPERATIONS!$P237)</f>
        <v/>
      </c>
      <c r="N537" s="26" t="str">
        <f aca="false">IF($G537="","",IF($G537=R_LOT,COUNTIF($G$5:$G537,R_LOT),""))</f>
        <v/>
      </c>
    </row>
    <row r="538" customFormat="false" ht="15" hidden="false" customHeight="false" outlineLevel="0" collapsed="false">
      <c r="A538" s="28" t="str">
        <f aca="false">IF($K538=0,"",ROW()-4)</f>
        <v/>
      </c>
      <c r="B538" s="26" t="str">
        <f aca="false">IF($K538=0,"","OPERATIONS")</f>
        <v/>
      </c>
      <c r="C538" s="26" t="str">
        <f aca="false">IF($K538=0,"",OPERATIONS!$A238)</f>
        <v/>
      </c>
      <c r="D538" s="31" t="str">
        <f aca="false">IF($K538=0,"",OPERATIONS!$B238)</f>
        <v/>
      </c>
      <c r="E538" s="26" t="str">
        <f aca="false">IF($K538=0,"","ENTREE")</f>
        <v/>
      </c>
      <c r="F538" s="26" t="str">
        <f aca="false">IF($K538=0,"",OPERATIONS!$C238)</f>
        <v/>
      </c>
      <c r="G538" s="26" t="str">
        <f aca="false">IF($K538=0,"",OPERATIONS!$D238)</f>
        <v/>
      </c>
      <c r="H538" s="26" t="str">
        <f aca="false">IF($K538=0,"",OPERATIONS!$F238)</f>
        <v/>
      </c>
      <c r="I538" s="26" t="str">
        <f aca="false">IF($H538="","",IFERROR(INDEX(EMPL_CLASSE,MATCH($H538,EMPL_KEY,0)),""))</f>
        <v/>
      </c>
      <c r="J538" s="26" t="str">
        <f aca="false">IF($K538=0,"",OPERATIONS!$J238)</f>
        <v/>
      </c>
      <c r="K538" s="67" t="n">
        <f aca="false">IF(OR(OPERATIONS!$N238=0,OPERATIONS!$C238="CONSOMMATION"),0,OPERATIONS!$G238)</f>
        <v>0</v>
      </c>
      <c r="L538" s="67" t="n">
        <f aca="false">IF($K538=0,0,OPERATIONS!$Q238*$K538)</f>
        <v>0</v>
      </c>
      <c r="M538" s="26" t="str">
        <f aca="false">IF($K538=0,"",OPERATIONS!$P238)</f>
        <v/>
      </c>
      <c r="N538" s="26" t="str">
        <f aca="false">IF($G538="","",IF($G538=R_LOT,COUNTIF($G$5:$G538,R_LOT),""))</f>
        <v/>
      </c>
    </row>
    <row r="539" customFormat="false" ht="15" hidden="false" customHeight="false" outlineLevel="0" collapsed="false">
      <c r="A539" s="28" t="str">
        <f aca="false">IF($K539=0,"",ROW()-4)</f>
        <v/>
      </c>
      <c r="B539" s="26" t="str">
        <f aca="false">IF($K539=0,"","OPERATIONS")</f>
        <v/>
      </c>
      <c r="C539" s="26" t="str">
        <f aca="false">IF($K539=0,"",OPERATIONS!$A239)</f>
        <v/>
      </c>
      <c r="D539" s="31" t="str">
        <f aca="false">IF($K539=0,"",OPERATIONS!$B239)</f>
        <v/>
      </c>
      <c r="E539" s="26" t="str">
        <f aca="false">IF($K539=0,"","ENTREE")</f>
        <v/>
      </c>
      <c r="F539" s="26" t="str">
        <f aca="false">IF($K539=0,"",OPERATIONS!$C239)</f>
        <v/>
      </c>
      <c r="G539" s="26" t="str">
        <f aca="false">IF($K539=0,"",OPERATIONS!$D239)</f>
        <v/>
      </c>
      <c r="H539" s="26" t="str">
        <f aca="false">IF($K539=0,"",OPERATIONS!$F239)</f>
        <v/>
      </c>
      <c r="I539" s="26" t="str">
        <f aca="false">IF($H539="","",IFERROR(INDEX(EMPL_CLASSE,MATCH($H539,EMPL_KEY,0)),""))</f>
        <v/>
      </c>
      <c r="J539" s="26" t="str">
        <f aca="false">IF($K539=0,"",OPERATIONS!$J239)</f>
        <v/>
      </c>
      <c r="K539" s="67" t="n">
        <f aca="false">IF(OR(OPERATIONS!$N239=0,OPERATIONS!$C239="CONSOMMATION"),0,OPERATIONS!$G239)</f>
        <v>0</v>
      </c>
      <c r="L539" s="67" t="n">
        <f aca="false">IF($K539=0,0,OPERATIONS!$Q239*$K539)</f>
        <v>0</v>
      </c>
      <c r="M539" s="26" t="str">
        <f aca="false">IF($K539=0,"",OPERATIONS!$P239)</f>
        <v/>
      </c>
      <c r="N539" s="26" t="str">
        <f aca="false">IF($G539="","",IF($G539=R_LOT,COUNTIF($G$5:$G539,R_LOT),""))</f>
        <v/>
      </c>
    </row>
    <row r="540" customFormat="false" ht="15" hidden="false" customHeight="false" outlineLevel="0" collapsed="false">
      <c r="A540" s="28" t="str">
        <f aca="false">IF($K540=0,"",ROW()-4)</f>
        <v/>
      </c>
      <c r="B540" s="26" t="str">
        <f aca="false">IF($K540=0,"","OPERATIONS")</f>
        <v/>
      </c>
      <c r="C540" s="26" t="str">
        <f aca="false">IF($K540=0,"",OPERATIONS!$A240)</f>
        <v/>
      </c>
      <c r="D540" s="31" t="str">
        <f aca="false">IF($K540=0,"",OPERATIONS!$B240)</f>
        <v/>
      </c>
      <c r="E540" s="26" t="str">
        <f aca="false">IF($K540=0,"","ENTREE")</f>
        <v/>
      </c>
      <c r="F540" s="26" t="str">
        <f aca="false">IF($K540=0,"",OPERATIONS!$C240)</f>
        <v/>
      </c>
      <c r="G540" s="26" t="str">
        <f aca="false">IF($K540=0,"",OPERATIONS!$D240)</f>
        <v/>
      </c>
      <c r="H540" s="26" t="str">
        <f aca="false">IF($K540=0,"",OPERATIONS!$F240)</f>
        <v/>
      </c>
      <c r="I540" s="26" t="str">
        <f aca="false">IF($H540="","",IFERROR(INDEX(EMPL_CLASSE,MATCH($H540,EMPL_KEY,0)),""))</f>
        <v/>
      </c>
      <c r="J540" s="26" t="str">
        <f aca="false">IF($K540=0,"",OPERATIONS!$J240)</f>
        <v/>
      </c>
      <c r="K540" s="67" t="n">
        <f aca="false">IF(OR(OPERATIONS!$N240=0,OPERATIONS!$C240="CONSOMMATION"),0,OPERATIONS!$G240)</f>
        <v>0</v>
      </c>
      <c r="L540" s="67" t="n">
        <f aca="false">IF($K540=0,0,OPERATIONS!$Q240*$K540)</f>
        <v>0</v>
      </c>
      <c r="M540" s="26" t="str">
        <f aca="false">IF($K540=0,"",OPERATIONS!$P240)</f>
        <v/>
      </c>
      <c r="N540" s="26" t="str">
        <f aca="false">IF($G540="","",IF($G540=R_LOT,COUNTIF($G$5:$G540,R_LOT),""))</f>
        <v/>
      </c>
    </row>
    <row r="541" customFormat="false" ht="15" hidden="false" customHeight="false" outlineLevel="0" collapsed="false">
      <c r="A541" s="28" t="str">
        <f aca="false">IF($K541=0,"",ROW()-4)</f>
        <v/>
      </c>
      <c r="B541" s="26" t="str">
        <f aca="false">IF($K541=0,"","OPERATIONS")</f>
        <v/>
      </c>
      <c r="C541" s="26" t="str">
        <f aca="false">IF($K541=0,"",OPERATIONS!$A241)</f>
        <v/>
      </c>
      <c r="D541" s="31" t="str">
        <f aca="false">IF($K541=0,"",OPERATIONS!$B241)</f>
        <v/>
      </c>
      <c r="E541" s="26" t="str">
        <f aca="false">IF($K541=0,"","ENTREE")</f>
        <v/>
      </c>
      <c r="F541" s="26" t="str">
        <f aca="false">IF($K541=0,"",OPERATIONS!$C241)</f>
        <v/>
      </c>
      <c r="G541" s="26" t="str">
        <f aca="false">IF($K541=0,"",OPERATIONS!$D241)</f>
        <v/>
      </c>
      <c r="H541" s="26" t="str">
        <f aca="false">IF($K541=0,"",OPERATIONS!$F241)</f>
        <v/>
      </c>
      <c r="I541" s="26" t="str">
        <f aca="false">IF($H541="","",IFERROR(INDEX(EMPL_CLASSE,MATCH($H541,EMPL_KEY,0)),""))</f>
        <v/>
      </c>
      <c r="J541" s="26" t="str">
        <f aca="false">IF($K541=0,"",OPERATIONS!$J241)</f>
        <v/>
      </c>
      <c r="K541" s="67" t="n">
        <f aca="false">IF(OR(OPERATIONS!$N241=0,OPERATIONS!$C241="CONSOMMATION"),0,OPERATIONS!$G241)</f>
        <v>0</v>
      </c>
      <c r="L541" s="67" t="n">
        <f aca="false">IF($K541=0,0,OPERATIONS!$Q241*$K541)</f>
        <v>0</v>
      </c>
      <c r="M541" s="26" t="str">
        <f aca="false">IF($K541=0,"",OPERATIONS!$P241)</f>
        <v/>
      </c>
      <c r="N541" s="26" t="str">
        <f aca="false">IF($G541="","",IF($G541=R_LOT,COUNTIF($G$5:$G541,R_LOT),""))</f>
        <v/>
      </c>
    </row>
    <row r="542" customFormat="false" ht="15" hidden="false" customHeight="false" outlineLevel="0" collapsed="false">
      <c r="A542" s="28" t="str">
        <f aca="false">IF($K542=0,"",ROW()-4)</f>
        <v/>
      </c>
      <c r="B542" s="26" t="str">
        <f aca="false">IF($K542=0,"","OPERATIONS")</f>
        <v/>
      </c>
      <c r="C542" s="26" t="str">
        <f aca="false">IF($K542=0,"",OPERATIONS!$A242)</f>
        <v/>
      </c>
      <c r="D542" s="31" t="str">
        <f aca="false">IF($K542=0,"",OPERATIONS!$B242)</f>
        <v/>
      </c>
      <c r="E542" s="26" t="str">
        <f aca="false">IF($K542=0,"","ENTREE")</f>
        <v/>
      </c>
      <c r="F542" s="26" t="str">
        <f aca="false">IF($K542=0,"",OPERATIONS!$C242)</f>
        <v/>
      </c>
      <c r="G542" s="26" t="str">
        <f aca="false">IF($K542=0,"",OPERATIONS!$D242)</f>
        <v/>
      </c>
      <c r="H542" s="26" t="str">
        <f aca="false">IF($K542=0,"",OPERATIONS!$F242)</f>
        <v/>
      </c>
      <c r="I542" s="26" t="str">
        <f aca="false">IF($H542="","",IFERROR(INDEX(EMPL_CLASSE,MATCH($H542,EMPL_KEY,0)),""))</f>
        <v/>
      </c>
      <c r="J542" s="26" t="str">
        <f aca="false">IF($K542=0,"",OPERATIONS!$J242)</f>
        <v/>
      </c>
      <c r="K542" s="67" t="n">
        <f aca="false">IF(OR(OPERATIONS!$N242=0,OPERATIONS!$C242="CONSOMMATION"),0,OPERATIONS!$G242)</f>
        <v>0</v>
      </c>
      <c r="L542" s="67" t="n">
        <f aca="false">IF($K542=0,0,OPERATIONS!$Q242*$K542)</f>
        <v>0</v>
      </c>
      <c r="M542" s="26" t="str">
        <f aca="false">IF($K542=0,"",OPERATIONS!$P242)</f>
        <v/>
      </c>
      <c r="N542" s="26" t="str">
        <f aca="false">IF($G542="","",IF($G542=R_LOT,COUNTIF($G$5:$G542,R_LOT),""))</f>
        <v/>
      </c>
    </row>
    <row r="543" customFormat="false" ht="15" hidden="false" customHeight="false" outlineLevel="0" collapsed="false">
      <c r="A543" s="28" t="str">
        <f aca="false">IF($K543=0,"",ROW()-4)</f>
        <v/>
      </c>
      <c r="B543" s="26" t="str">
        <f aca="false">IF($K543=0,"","OPERATIONS")</f>
        <v/>
      </c>
      <c r="C543" s="26" t="str">
        <f aca="false">IF($K543=0,"",OPERATIONS!$A243)</f>
        <v/>
      </c>
      <c r="D543" s="31" t="str">
        <f aca="false">IF($K543=0,"",OPERATIONS!$B243)</f>
        <v/>
      </c>
      <c r="E543" s="26" t="str">
        <f aca="false">IF($K543=0,"","ENTREE")</f>
        <v/>
      </c>
      <c r="F543" s="26" t="str">
        <f aca="false">IF($K543=0,"",OPERATIONS!$C243)</f>
        <v/>
      </c>
      <c r="G543" s="26" t="str">
        <f aca="false">IF($K543=0,"",OPERATIONS!$D243)</f>
        <v/>
      </c>
      <c r="H543" s="26" t="str">
        <f aca="false">IF($K543=0,"",OPERATIONS!$F243)</f>
        <v/>
      </c>
      <c r="I543" s="26" t="str">
        <f aca="false">IF($H543="","",IFERROR(INDEX(EMPL_CLASSE,MATCH($H543,EMPL_KEY,0)),""))</f>
        <v/>
      </c>
      <c r="J543" s="26" t="str">
        <f aca="false">IF($K543=0,"",OPERATIONS!$J243)</f>
        <v/>
      </c>
      <c r="K543" s="67" t="n">
        <f aca="false">IF(OR(OPERATIONS!$N243=0,OPERATIONS!$C243="CONSOMMATION"),0,OPERATIONS!$G243)</f>
        <v>0</v>
      </c>
      <c r="L543" s="67" t="n">
        <f aca="false">IF($K543=0,0,OPERATIONS!$Q243*$K543)</f>
        <v>0</v>
      </c>
      <c r="M543" s="26" t="str">
        <f aca="false">IF($K543=0,"",OPERATIONS!$P243)</f>
        <v/>
      </c>
      <c r="N543" s="26" t="str">
        <f aca="false">IF($G543="","",IF($G543=R_LOT,COUNTIF($G$5:$G543,R_LOT),""))</f>
        <v/>
      </c>
    </row>
    <row r="544" customFormat="false" ht="15" hidden="false" customHeight="false" outlineLevel="0" collapsed="false">
      <c r="A544" s="28" t="str">
        <f aca="false">IF($K544=0,"",ROW()-4)</f>
        <v/>
      </c>
      <c r="B544" s="26" t="str">
        <f aca="false">IF($K544=0,"","OPERATIONS")</f>
        <v/>
      </c>
      <c r="C544" s="26" t="str">
        <f aca="false">IF($K544=0,"",OPERATIONS!$A244)</f>
        <v/>
      </c>
      <c r="D544" s="31" t="str">
        <f aca="false">IF($K544=0,"",OPERATIONS!$B244)</f>
        <v/>
      </c>
      <c r="E544" s="26" t="str">
        <f aca="false">IF($K544=0,"","ENTREE")</f>
        <v/>
      </c>
      <c r="F544" s="26" t="str">
        <f aca="false">IF($K544=0,"",OPERATIONS!$C244)</f>
        <v/>
      </c>
      <c r="G544" s="26" t="str">
        <f aca="false">IF($K544=0,"",OPERATIONS!$D244)</f>
        <v/>
      </c>
      <c r="H544" s="26" t="str">
        <f aca="false">IF($K544=0,"",OPERATIONS!$F244)</f>
        <v/>
      </c>
      <c r="I544" s="26" t="str">
        <f aca="false">IF($H544="","",IFERROR(INDEX(EMPL_CLASSE,MATCH($H544,EMPL_KEY,0)),""))</f>
        <v/>
      </c>
      <c r="J544" s="26" t="str">
        <f aca="false">IF($K544=0,"",OPERATIONS!$J244)</f>
        <v/>
      </c>
      <c r="K544" s="67" t="n">
        <f aca="false">IF(OR(OPERATIONS!$N244=0,OPERATIONS!$C244="CONSOMMATION"),0,OPERATIONS!$G244)</f>
        <v>0</v>
      </c>
      <c r="L544" s="67" t="n">
        <f aca="false">IF($K544=0,0,OPERATIONS!$Q244*$K544)</f>
        <v>0</v>
      </c>
      <c r="M544" s="26" t="str">
        <f aca="false">IF($K544=0,"",OPERATIONS!$P244)</f>
        <v/>
      </c>
      <c r="N544" s="26" t="str">
        <f aca="false">IF($G544="","",IF($G544=R_LOT,COUNTIF($G$5:$G544,R_LOT),""))</f>
        <v/>
      </c>
    </row>
    <row r="545" customFormat="false" ht="15" hidden="false" customHeight="false" outlineLevel="0" collapsed="false">
      <c r="A545" s="28" t="str">
        <f aca="false">IF($K545=0,"",ROW()-4)</f>
        <v/>
      </c>
      <c r="B545" s="26" t="str">
        <f aca="false">IF($K545=0,"","OPERATIONS")</f>
        <v/>
      </c>
      <c r="C545" s="26" t="str">
        <f aca="false">IF($K545=0,"",OPERATIONS!$A245)</f>
        <v/>
      </c>
      <c r="D545" s="31" t="str">
        <f aca="false">IF($K545=0,"",OPERATIONS!$B245)</f>
        <v/>
      </c>
      <c r="E545" s="26" t="str">
        <f aca="false">IF($K545=0,"","ENTREE")</f>
        <v/>
      </c>
      <c r="F545" s="26" t="str">
        <f aca="false">IF($K545=0,"",OPERATIONS!$C245)</f>
        <v/>
      </c>
      <c r="G545" s="26" t="str">
        <f aca="false">IF($K545=0,"",OPERATIONS!$D245)</f>
        <v/>
      </c>
      <c r="H545" s="26" t="str">
        <f aca="false">IF($K545=0,"",OPERATIONS!$F245)</f>
        <v/>
      </c>
      <c r="I545" s="26" t="str">
        <f aca="false">IF($H545="","",IFERROR(INDEX(EMPL_CLASSE,MATCH($H545,EMPL_KEY,0)),""))</f>
        <v/>
      </c>
      <c r="J545" s="26" t="str">
        <f aca="false">IF($K545=0,"",OPERATIONS!$J245)</f>
        <v/>
      </c>
      <c r="K545" s="67" t="n">
        <f aca="false">IF(OR(OPERATIONS!$N245=0,OPERATIONS!$C245="CONSOMMATION"),0,OPERATIONS!$G245)</f>
        <v>0</v>
      </c>
      <c r="L545" s="67" t="n">
        <f aca="false">IF($K545=0,0,OPERATIONS!$Q245*$K545)</f>
        <v>0</v>
      </c>
      <c r="M545" s="26" t="str">
        <f aca="false">IF($K545=0,"",OPERATIONS!$P245)</f>
        <v/>
      </c>
      <c r="N545" s="26" t="str">
        <f aca="false">IF($G545="","",IF($G545=R_LOT,COUNTIF($G$5:$G545,R_LOT),""))</f>
        <v/>
      </c>
    </row>
    <row r="546" customFormat="false" ht="15" hidden="false" customHeight="false" outlineLevel="0" collapsed="false">
      <c r="A546" s="28" t="str">
        <f aca="false">IF($K546=0,"",ROW()-4)</f>
        <v/>
      </c>
      <c r="B546" s="26" t="str">
        <f aca="false">IF($K546=0,"","OPERATIONS")</f>
        <v/>
      </c>
      <c r="C546" s="26" t="str">
        <f aca="false">IF($K546=0,"",OPERATIONS!$A246)</f>
        <v/>
      </c>
      <c r="D546" s="31" t="str">
        <f aca="false">IF($K546=0,"",OPERATIONS!$B246)</f>
        <v/>
      </c>
      <c r="E546" s="26" t="str">
        <f aca="false">IF($K546=0,"","ENTREE")</f>
        <v/>
      </c>
      <c r="F546" s="26" t="str">
        <f aca="false">IF($K546=0,"",OPERATIONS!$C246)</f>
        <v/>
      </c>
      <c r="G546" s="26" t="str">
        <f aca="false">IF($K546=0,"",OPERATIONS!$D246)</f>
        <v/>
      </c>
      <c r="H546" s="26" t="str">
        <f aca="false">IF($K546=0,"",OPERATIONS!$F246)</f>
        <v/>
      </c>
      <c r="I546" s="26" t="str">
        <f aca="false">IF($H546="","",IFERROR(INDEX(EMPL_CLASSE,MATCH($H546,EMPL_KEY,0)),""))</f>
        <v/>
      </c>
      <c r="J546" s="26" t="str">
        <f aca="false">IF($K546=0,"",OPERATIONS!$J246)</f>
        <v/>
      </c>
      <c r="K546" s="67" t="n">
        <f aca="false">IF(OR(OPERATIONS!$N246=0,OPERATIONS!$C246="CONSOMMATION"),0,OPERATIONS!$G246)</f>
        <v>0</v>
      </c>
      <c r="L546" s="67" t="n">
        <f aca="false">IF($K546=0,0,OPERATIONS!$Q246*$K546)</f>
        <v>0</v>
      </c>
      <c r="M546" s="26" t="str">
        <f aca="false">IF($K546=0,"",OPERATIONS!$P246)</f>
        <v/>
      </c>
      <c r="N546" s="26" t="str">
        <f aca="false">IF($G546="","",IF($G546=R_LOT,COUNTIF($G$5:$G546,R_LOT),""))</f>
        <v/>
      </c>
    </row>
    <row r="547" customFormat="false" ht="15" hidden="false" customHeight="false" outlineLevel="0" collapsed="false">
      <c r="A547" s="28" t="str">
        <f aca="false">IF($K547=0,"",ROW()-4)</f>
        <v/>
      </c>
      <c r="B547" s="26" t="str">
        <f aca="false">IF($K547=0,"","OPERATIONS")</f>
        <v/>
      </c>
      <c r="C547" s="26" t="str">
        <f aca="false">IF($K547=0,"",OPERATIONS!$A247)</f>
        <v/>
      </c>
      <c r="D547" s="31" t="str">
        <f aca="false">IF($K547=0,"",OPERATIONS!$B247)</f>
        <v/>
      </c>
      <c r="E547" s="26" t="str">
        <f aca="false">IF($K547=0,"","ENTREE")</f>
        <v/>
      </c>
      <c r="F547" s="26" t="str">
        <f aca="false">IF($K547=0,"",OPERATIONS!$C247)</f>
        <v/>
      </c>
      <c r="G547" s="26" t="str">
        <f aca="false">IF($K547=0,"",OPERATIONS!$D247)</f>
        <v/>
      </c>
      <c r="H547" s="26" t="str">
        <f aca="false">IF($K547=0,"",OPERATIONS!$F247)</f>
        <v/>
      </c>
      <c r="I547" s="26" t="str">
        <f aca="false">IF($H547="","",IFERROR(INDEX(EMPL_CLASSE,MATCH($H547,EMPL_KEY,0)),""))</f>
        <v/>
      </c>
      <c r="J547" s="26" t="str">
        <f aca="false">IF($K547=0,"",OPERATIONS!$J247)</f>
        <v/>
      </c>
      <c r="K547" s="67" t="n">
        <f aca="false">IF(OR(OPERATIONS!$N247=0,OPERATIONS!$C247="CONSOMMATION"),0,OPERATIONS!$G247)</f>
        <v>0</v>
      </c>
      <c r="L547" s="67" t="n">
        <f aca="false">IF($K547=0,0,OPERATIONS!$Q247*$K547)</f>
        <v>0</v>
      </c>
      <c r="M547" s="26" t="str">
        <f aca="false">IF($K547=0,"",OPERATIONS!$P247)</f>
        <v/>
      </c>
      <c r="N547" s="26" t="str">
        <f aca="false">IF($G547="","",IF($G547=R_LOT,COUNTIF($G$5:$G547,R_LOT),""))</f>
        <v/>
      </c>
    </row>
    <row r="548" customFormat="false" ht="15" hidden="false" customHeight="false" outlineLevel="0" collapsed="false">
      <c r="A548" s="28" t="str">
        <f aca="false">IF($K548=0,"",ROW()-4)</f>
        <v/>
      </c>
      <c r="B548" s="26" t="str">
        <f aca="false">IF($K548=0,"","OPERATIONS")</f>
        <v/>
      </c>
      <c r="C548" s="26" t="str">
        <f aca="false">IF($K548=0,"",OPERATIONS!$A248)</f>
        <v/>
      </c>
      <c r="D548" s="31" t="str">
        <f aca="false">IF($K548=0,"",OPERATIONS!$B248)</f>
        <v/>
      </c>
      <c r="E548" s="26" t="str">
        <f aca="false">IF($K548=0,"","ENTREE")</f>
        <v/>
      </c>
      <c r="F548" s="26" t="str">
        <f aca="false">IF($K548=0,"",OPERATIONS!$C248)</f>
        <v/>
      </c>
      <c r="G548" s="26" t="str">
        <f aca="false">IF($K548=0,"",OPERATIONS!$D248)</f>
        <v/>
      </c>
      <c r="H548" s="26" t="str">
        <f aca="false">IF($K548=0,"",OPERATIONS!$F248)</f>
        <v/>
      </c>
      <c r="I548" s="26" t="str">
        <f aca="false">IF($H548="","",IFERROR(INDEX(EMPL_CLASSE,MATCH($H548,EMPL_KEY,0)),""))</f>
        <v/>
      </c>
      <c r="J548" s="26" t="str">
        <f aca="false">IF($K548=0,"",OPERATIONS!$J248)</f>
        <v/>
      </c>
      <c r="K548" s="67" t="n">
        <f aca="false">IF(OR(OPERATIONS!$N248=0,OPERATIONS!$C248="CONSOMMATION"),0,OPERATIONS!$G248)</f>
        <v>0</v>
      </c>
      <c r="L548" s="67" t="n">
        <f aca="false">IF($K548=0,0,OPERATIONS!$Q248*$K548)</f>
        <v>0</v>
      </c>
      <c r="M548" s="26" t="str">
        <f aca="false">IF($K548=0,"",OPERATIONS!$P248)</f>
        <v/>
      </c>
      <c r="N548" s="26" t="str">
        <f aca="false">IF($G548="","",IF($G548=R_LOT,COUNTIF($G$5:$G548,R_LOT),""))</f>
        <v/>
      </c>
    </row>
    <row r="549" customFormat="false" ht="15" hidden="false" customHeight="false" outlineLevel="0" collapsed="false">
      <c r="A549" s="28" t="str">
        <f aca="false">IF($K549=0,"",ROW()-4)</f>
        <v/>
      </c>
      <c r="B549" s="26" t="str">
        <f aca="false">IF($K549=0,"","OPERATIONS")</f>
        <v/>
      </c>
      <c r="C549" s="26" t="str">
        <f aca="false">IF($K549=0,"",OPERATIONS!$A249)</f>
        <v/>
      </c>
      <c r="D549" s="31" t="str">
        <f aca="false">IF($K549=0,"",OPERATIONS!$B249)</f>
        <v/>
      </c>
      <c r="E549" s="26" t="str">
        <f aca="false">IF($K549=0,"","ENTREE")</f>
        <v/>
      </c>
      <c r="F549" s="26" t="str">
        <f aca="false">IF($K549=0,"",OPERATIONS!$C249)</f>
        <v/>
      </c>
      <c r="G549" s="26" t="str">
        <f aca="false">IF($K549=0,"",OPERATIONS!$D249)</f>
        <v/>
      </c>
      <c r="H549" s="26" t="str">
        <f aca="false">IF($K549=0,"",OPERATIONS!$F249)</f>
        <v/>
      </c>
      <c r="I549" s="26" t="str">
        <f aca="false">IF($H549="","",IFERROR(INDEX(EMPL_CLASSE,MATCH($H549,EMPL_KEY,0)),""))</f>
        <v/>
      </c>
      <c r="J549" s="26" t="str">
        <f aca="false">IF($K549=0,"",OPERATIONS!$J249)</f>
        <v/>
      </c>
      <c r="K549" s="67" t="n">
        <f aca="false">IF(OR(OPERATIONS!$N249=0,OPERATIONS!$C249="CONSOMMATION"),0,OPERATIONS!$G249)</f>
        <v>0</v>
      </c>
      <c r="L549" s="67" t="n">
        <f aca="false">IF($K549=0,0,OPERATIONS!$Q249*$K549)</f>
        <v>0</v>
      </c>
      <c r="M549" s="26" t="str">
        <f aca="false">IF($K549=0,"",OPERATIONS!$P249)</f>
        <v/>
      </c>
      <c r="N549" s="26" t="str">
        <f aca="false">IF($G549="","",IF($G549=R_LOT,COUNTIF($G$5:$G549,R_LOT),""))</f>
        <v/>
      </c>
    </row>
    <row r="550" customFormat="false" ht="15" hidden="false" customHeight="false" outlineLevel="0" collapsed="false">
      <c r="A550" s="28" t="str">
        <f aca="false">IF($K550=0,"",ROW()-4)</f>
        <v/>
      </c>
      <c r="B550" s="26" t="str">
        <f aca="false">IF($K550=0,"","OPERATIONS")</f>
        <v/>
      </c>
      <c r="C550" s="26" t="str">
        <f aca="false">IF($K550=0,"",OPERATIONS!$A250)</f>
        <v/>
      </c>
      <c r="D550" s="31" t="str">
        <f aca="false">IF($K550=0,"",OPERATIONS!$B250)</f>
        <v/>
      </c>
      <c r="E550" s="26" t="str">
        <f aca="false">IF($K550=0,"","ENTREE")</f>
        <v/>
      </c>
      <c r="F550" s="26" t="str">
        <f aca="false">IF($K550=0,"",OPERATIONS!$C250)</f>
        <v/>
      </c>
      <c r="G550" s="26" t="str">
        <f aca="false">IF($K550=0,"",OPERATIONS!$D250)</f>
        <v/>
      </c>
      <c r="H550" s="26" t="str">
        <f aca="false">IF($K550=0,"",OPERATIONS!$F250)</f>
        <v/>
      </c>
      <c r="I550" s="26" t="str">
        <f aca="false">IF($H550="","",IFERROR(INDEX(EMPL_CLASSE,MATCH($H550,EMPL_KEY,0)),""))</f>
        <v/>
      </c>
      <c r="J550" s="26" t="str">
        <f aca="false">IF($K550=0,"",OPERATIONS!$J250)</f>
        <v/>
      </c>
      <c r="K550" s="67" t="n">
        <f aca="false">IF(OR(OPERATIONS!$N250=0,OPERATIONS!$C250="CONSOMMATION"),0,OPERATIONS!$G250)</f>
        <v>0</v>
      </c>
      <c r="L550" s="67" t="n">
        <f aca="false">IF($K550=0,0,OPERATIONS!$Q250*$K550)</f>
        <v>0</v>
      </c>
      <c r="M550" s="26" t="str">
        <f aca="false">IF($K550=0,"",OPERATIONS!$P250)</f>
        <v/>
      </c>
      <c r="N550" s="26" t="str">
        <f aca="false">IF($G550="","",IF($G550=R_LOT,COUNTIF($G$5:$G550,R_LOT),""))</f>
        <v/>
      </c>
    </row>
    <row r="551" customFormat="false" ht="15" hidden="false" customHeight="false" outlineLevel="0" collapsed="false">
      <c r="A551" s="28" t="str">
        <f aca="false">IF($K551=0,"",ROW()-4)</f>
        <v/>
      </c>
      <c r="B551" s="26" t="str">
        <f aca="false">IF($K551=0,"","OPERATIONS")</f>
        <v/>
      </c>
      <c r="C551" s="26" t="str">
        <f aca="false">IF($K551=0,"",OPERATIONS!$A251)</f>
        <v/>
      </c>
      <c r="D551" s="31" t="str">
        <f aca="false">IF($K551=0,"",OPERATIONS!$B251)</f>
        <v/>
      </c>
      <c r="E551" s="26" t="str">
        <f aca="false">IF($K551=0,"","ENTREE")</f>
        <v/>
      </c>
      <c r="F551" s="26" t="str">
        <f aca="false">IF($K551=0,"",OPERATIONS!$C251)</f>
        <v/>
      </c>
      <c r="G551" s="26" t="str">
        <f aca="false">IF($K551=0,"",OPERATIONS!$D251)</f>
        <v/>
      </c>
      <c r="H551" s="26" t="str">
        <f aca="false">IF($K551=0,"",OPERATIONS!$F251)</f>
        <v/>
      </c>
      <c r="I551" s="26" t="str">
        <f aca="false">IF($H551="","",IFERROR(INDEX(EMPL_CLASSE,MATCH($H551,EMPL_KEY,0)),""))</f>
        <v/>
      </c>
      <c r="J551" s="26" t="str">
        <f aca="false">IF($K551=0,"",OPERATIONS!$J251)</f>
        <v/>
      </c>
      <c r="K551" s="67" t="n">
        <f aca="false">IF(OR(OPERATIONS!$N251=0,OPERATIONS!$C251="CONSOMMATION"),0,OPERATIONS!$G251)</f>
        <v>0</v>
      </c>
      <c r="L551" s="67" t="n">
        <f aca="false">IF($K551=0,0,OPERATIONS!$Q251*$K551)</f>
        <v>0</v>
      </c>
      <c r="M551" s="26" t="str">
        <f aca="false">IF($K551=0,"",OPERATIONS!$P251)</f>
        <v/>
      </c>
      <c r="N551" s="26" t="str">
        <f aca="false">IF($G551="","",IF($G551=R_LOT,COUNTIF($G$5:$G551,R_LOT),""))</f>
        <v/>
      </c>
    </row>
    <row r="552" customFormat="false" ht="15" hidden="false" customHeight="false" outlineLevel="0" collapsed="false">
      <c r="A552" s="28" t="str">
        <f aca="false">IF($K552=0,"",ROW()-4)</f>
        <v/>
      </c>
      <c r="B552" s="26" t="str">
        <f aca="false">IF($K552=0,"","OPERATIONS")</f>
        <v/>
      </c>
      <c r="C552" s="26" t="str">
        <f aca="false">IF($K552=0,"",OPERATIONS!$A252)</f>
        <v/>
      </c>
      <c r="D552" s="31" t="str">
        <f aca="false">IF($K552=0,"",OPERATIONS!$B252)</f>
        <v/>
      </c>
      <c r="E552" s="26" t="str">
        <f aca="false">IF($K552=0,"","ENTREE")</f>
        <v/>
      </c>
      <c r="F552" s="26" t="str">
        <f aca="false">IF($K552=0,"",OPERATIONS!$C252)</f>
        <v/>
      </c>
      <c r="G552" s="26" t="str">
        <f aca="false">IF($K552=0,"",OPERATIONS!$D252)</f>
        <v/>
      </c>
      <c r="H552" s="26" t="str">
        <f aca="false">IF($K552=0,"",OPERATIONS!$F252)</f>
        <v/>
      </c>
      <c r="I552" s="26" t="str">
        <f aca="false">IF($H552="","",IFERROR(INDEX(EMPL_CLASSE,MATCH($H552,EMPL_KEY,0)),""))</f>
        <v/>
      </c>
      <c r="J552" s="26" t="str">
        <f aca="false">IF($K552=0,"",OPERATIONS!$J252)</f>
        <v/>
      </c>
      <c r="K552" s="67" t="n">
        <f aca="false">IF(OR(OPERATIONS!$N252=0,OPERATIONS!$C252="CONSOMMATION"),0,OPERATIONS!$G252)</f>
        <v>0</v>
      </c>
      <c r="L552" s="67" t="n">
        <f aca="false">IF($K552=0,0,OPERATIONS!$Q252*$K552)</f>
        <v>0</v>
      </c>
      <c r="M552" s="26" t="str">
        <f aca="false">IF($K552=0,"",OPERATIONS!$P252)</f>
        <v/>
      </c>
      <c r="N552" s="26" t="str">
        <f aca="false">IF($G552="","",IF($G552=R_LOT,COUNTIF($G$5:$G552,R_LOT),""))</f>
        <v/>
      </c>
    </row>
    <row r="553" customFormat="false" ht="15" hidden="false" customHeight="false" outlineLevel="0" collapsed="false">
      <c r="A553" s="28" t="str">
        <f aca="false">IF($K553=0,"",ROW()-4)</f>
        <v/>
      </c>
      <c r="B553" s="26" t="str">
        <f aca="false">IF($K553=0,"","OPERATIONS")</f>
        <v/>
      </c>
      <c r="C553" s="26" t="str">
        <f aca="false">IF($K553=0,"",OPERATIONS!$A253)</f>
        <v/>
      </c>
      <c r="D553" s="31" t="str">
        <f aca="false">IF($K553=0,"",OPERATIONS!$B253)</f>
        <v/>
      </c>
      <c r="E553" s="26" t="str">
        <f aca="false">IF($K553=0,"","ENTREE")</f>
        <v/>
      </c>
      <c r="F553" s="26" t="str">
        <f aca="false">IF($K553=0,"",OPERATIONS!$C253)</f>
        <v/>
      </c>
      <c r="G553" s="26" t="str">
        <f aca="false">IF($K553=0,"",OPERATIONS!$D253)</f>
        <v/>
      </c>
      <c r="H553" s="26" t="str">
        <f aca="false">IF($K553=0,"",OPERATIONS!$F253)</f>
        <v/>
      </c>
      <c r="I553" s="26" t="str">
        <f aca="false">IF($H553="","",IFERROR(INDEX(EMPL_CLASSE,MATCH($H553,EMPL_KEY,0)),""))</f>
        <v/>
      </c>
      <c r="J553" s="26" t="str">
        <f aca="false">IF($K553=0,"",OPERATIONS!$J253)</f>
        <v/>
      </c>
      <c r="K553" s="67" t="n">
        <f aca="false">IF(OR(OPERATIONS!$N253=0,OPERATIONS!$C253="CONSOMMATION"),0,OPERATIONS!$G253)</f>
        <v>0</v>
      </c>
      <c r="L553" s="67" t="n">
        <f aca="false">IF($K553=0,0,OPERATIONS!$Q253*$K553)</f>
        <v>0</v>
      </c>
      <c r="M553" s="26" t="str">
        <f aca="false">IF($K553=0,"",OPERATIONS!$P253)</f>
        <v/>
      </c>
      <c r="N553" s="26" t="str">
        <f aca="false">IF($G553="","",IF($G553=R_LOT,COUNTIF($G$5:$G553,R_LOT),""))</f>
        <v/>
      </c>
    </row>
    <row r="554" customFormat="false" ht="15" hidden="false" customHeight="false" outlineLevel="0" collapsed="false">
      <c r="A554" s="28" t="str">
        <f aca="false">IF($K554=0,"",ROW()-4)</f>
        <v/>
      </c>
      <c r="B554" s="26" t="str">
        <f aca="false">IF($K554=0,"","OPERATIONS")</f>
        <v/>
      </c>
      <c r="C554" s="26" t="str">
        <f aca="false">IF($K554=0,"",OPERATIONS!$A254)</f>
        <v/>
      </c>
      <c r="D554" s="31" t="str">
        <f aca="false">IF($K554=0,"",OPERATIONS!$B254)</f>
        <v/>
      </c>
      <c r="E554" s="26" t="str">
        <f aca="false">IF($K554=0,"","ENTREE")</f>
        <v/>
      </c>
      <c r="F554" s="26" t="str">
        <f aca="false">IF($K554=0,"",OPERATIONS!$C254)</f>
        <v/>
      </c>
      <c r="G554" s="26" t="str">
        <f aca="false">IF($K554=0,"",OPERATIONS!$D254)</f>
        <v/>
      </c>
      <c r="H554" s="26" t="str">
        <f aca="false">IF($K554=0,"",OPERATIONS!$F254)</f>
        <v/>
      </c>
      <c r="I554" s="26" t="str">
        <f aca="false">IF($H554="","",IFERROR(INDEX(EMPL_CLASSE,MATCH($H554,EMPL_KEY,0)),""))</f>
        <v/>
      </c>
      <c r="J554" s="26" t="str">
        <f aca="false">IF($K554=0,"",OPERATIONS!$J254)</f>
        <v/>
      </c>
      <c r="K554" s="67" t="n">
        <f aca="false">IF(OR(OPERATIONS!$N254=0,OPERATIONS!$C254="CONSOMMATION"),0,OPERATIONS!$G254)</f>
        <v>0</v>
      </c>
      <c r="L554" s="67" t="n">
        <f aca="false">IF($K554=0,0,OPERATIONS!$Q254*$K554)</f>
        <v>0</v>
      </c>
      <c r="M554" s="26" t="str">
        <f aca="false">IF($K554=0,"",OPERATIONS!$P254)</f>
        <v/>
      </c>
      <c r="N554" s="26" t="str">
        <f aca="false">IF($G554="","",IF($G554=R_LOT,COUNTIF($G$5:$G554,R_LOT),""))</f>
        <v/>
      </c>
    </row>
    <row r="555" customFormat="false" ht="15" hidden="false" customHeight="false" outlineLevel="0" collapsed="false">
      <c r="A555" s="28" t="str">
        <f aca="false">IF($K555=0,"",ROW()-4)</f>
        <v/>
      </c>
      <c r="B555" s="26" t="str">
        <f aca="false">IF($K555=0,"","OPERATIONS")</f>
        <v/>
      </c>
      <c r="C555" s="26" t="str">
        <f aca="false">IF($K555=0,"",OPERATIONS!$A255)</f>
        <v/>
      </c>
      <c r="D555" s="31" t="str">
        <f aca="false">IF($K555=0,"",OPERATIONS!$B255)</f>
        <v/>
      </c>
      <c r="E555" s="26" t="str">
        <f aca="false">IF($K555=0,"","ENTREE")</f>
        <v/>
      </c>
      <c r="F555" s="26" t="str">
        <f aca="false">IF($K555=0,"",OPERATIONS!$C255)</f>
        <v/>
      </c>
      <c r="G555" s="26" t="str">
        <f aca="false">IF($K555=0,"",OPERATIONS!$D255)</f>
        <v/>
      </c>
      <c r="H555" s="26" t="str">
        <f aca="false">IF($K555=0,"",OPERATIONS!$F255)</f>
        <v/>
      </c>
      <c r="I555" s="26" t="str">
        <f aca="false">IF($H555="","",IFERROR(INDEX(EMPL_CLASSE,MATCH($H555,EMPL_KEY,0)),""))</f>
        <v/>
      </c>
      <c r="J555" s="26" t="str">
        <f aca="false">IF($K555=0,"",OPERATIONS!$J255)</f>
        <v/>
      </c>
      <c r="K555" s="67" t="n">
        <f aca="false">IF(OR(OPERATIONS!$N255=0,OPERATIONS!$C255="CONSOMMATION"),0,OPERATIONS!$G255)</f>
        <v>0</v>
      </c>
      <c r="L555" s="67" t="n">
        <f aca="false">IF($K555=0,0,OPERATIONS!$Q255*$K555)</f>
        <v>0</v>
      </c>
      <c r="M555" s="26" t="str">
        <f aca="false">IF($K555=0,"",OPERATIONS!$P255)</f>
        <v/>
      </c>
      <c r="N555" s="26" t="str">
        <f aca="false">IF($G555="","",IF($G555=R_LOT,COUNTIF($G$5:$G555,R_LOT),""))</f>
        <v/>
      </c>
    </row>
    <row r="556" customFormat="false" ht="15" hidden="false" customHeight="false" outlineLevel="0" collapsed="false">
      <c r="A556" s="28" t="str">
        <f aca="false">IF($K556=0,"",ROW()-4)</f>
        <v/>
      </c>
      <c r="B556" s="26" t="str">
        <f aca="false">IF($K556=0,"","OPERATIONS")</f>
        <v/>
      </c>
      <c r="C556" s="26" t="str">
        <f aca="false">IF($K556=0,"",OPERATIONS!$A256)</f>
        <v/>
      </c>
      <c r="D556" s="31" t="str">
        <f aca="false">IF($K556=0,"",OPERATIONS!$B256)</f>
        <v/>
      </c>
      <c r="E556" s="26" t="str">
        <f aca="false">IF($K556=0,"","ENTREE")</f>
        <v/>
      </c>
      <c r="F556" s="26" t="str">
        <f aca="false">IF($K556=0,"",OPERATIONS!$C256)</f>
        <v/>
      </c>
      <c r="G556" s="26" t="str">
        <f aca="false">IF($K556=0,"",OPERATIONS!$D256)</f>
        <v/>
      </c>
      <c r="H556" s="26" t="str">
        <f aca="false">IF($K556=0,"",OPERATIONS!$F256)</f>
        <v/>
      </c>
      <c r="I556" s="26" t="str">
        <f aca="false">IF($H556="","",IFERROR(INDEX(EMPL_CLASSE,MATCH($H556,EMPL_KEY,0)),""))</f>
        <v/>
      </c>
      <c r="J556" s="26" t="str">
        <f aca="false">IF($K556=0,"",OPERATIONS!$J256)</f>
        <v/>
      </c>
      <c r="K556" s="67" t="n">
        <f aca="false">IF(OR(OPERATIONS!$N256=0,OPERATIONS!$C256="CONSOMMATION"),0,OPERATIONS!$G256)</f>
        <v>0</v>
      </c>
      <c r="L556" s="67" t="n">
        <f aca="false">IF($K556=0,0,OPERATIONS!$Q256*$K556)</f>
        <v>0</v>
      </c>
      <c r="M556" s="26" t="str">
        <f aca="false">IF($K556=0,"",OPERATIONS!$P256)</f>
        <v/>
      </c>
      <c r="N556" s="26" t="str">
        <f aca="false">IF($G556="","",IF($G556=R_LOT,COUNTIF($G$5:$G556,R_LOT),""))</f>
        <v/>
      </c>
    </row>
    <row r="557" customFormat="false" ht="15" hidden="false" customHeight="false" outlineLevel="0" collapsed="false">
      <c r="A557" s="28" t="str">
        <f aca="false">IF($K557=0,"",ROW()-4)</f>
        <v/>
      </c>
      <c r="B557" s="26" t="str">
        <f aca="false">IF($K557=0,"","OPERATIONS")</f>
        <v/>
      </c>
      <c r="C557" s="26" t="str">
        <f aca="false">IF($K557=0,"",OPERATIONS!$A257)</f>
        <v/>
      </c>
      <c r="D557" s="31" t="str">
        <f aca="false">IF($K557=0,"",OPERATIONS!$B257)</f>
        <v/>
      </c>
      <c r="E557" s="26" t="str">
        <f aca="false">IF($K557=0,"","ENTREE")</f>
        <v/>
      </c>
      <c r="F557" s="26" t="str">
        <f aca="false">IF($K557=0,"",OPERATIONS!$C257)</f>
        <v/>
      </c>
      <c r="G557" s="26" t="str">
        <f aca="false">IF($K557=0,"",OPERATIONS!$D257)</f>
        <v/>
      </c>
      <c r="H557" s="26" t="str">
        <f aca="false">IF($K557=0,"",OPERATIONS!$F257)</f>
        <v/>
      </c>
      <c r="I557" s="26" t="str">
        <f aca="false">IF($H557="","",IFERROR(INDEX(EMPL_CLASSE,MATCH($H557,EMPL_KEY,0)),""))</f>
        <v/>
      </c>
      <c r="J557" s="26" t="str">
        <f aca="false">IF($K557=0,"",OPERATIONS!$J257)</f>
        <v/>
      </c>
      <c r="K557" s="67" t="n">
        <f aca="false">IF(OR(OPERATIONS!$N257=0,OPERATIONS!$C257="CONSOMMATION"),0,OPERATIONS!$G257)</f>
        <v>0</v>
      </c>
      <c r="L557" s="67" t="n">
        <f aca="false">IF($K557=0,0,OPERATIONS!$Q257*$K557)</f>
        <v>0</v>
      </c>
      <c r="M557" s="26" t="str">
        <f aca="false">IF($K557=0,"",OPERATIONS!$P257)</f>
        <v/>
      </c>
      <c r="N557" s="26" t="str">
        <f aca="false">IF($G557="","",IF($G557=R_LOT,COUNTIF($G$5:$G557,R_LOT),""))</f>
        <v/>
      </c>
    </row>
    <row r="558" customFormat="false" ht="15" hidden="false" customHeight="false" outlineLevel="0" collapsed="false">
      <c r="A558" s="28" t="str">
        <f aca="false">IF($K558=0,"",ROW()-4)</f>
        <v/>
      </c>
      <c r="B558" s="26" t="str">
        <f aca="false">IF($K558=0,"","OPERATIONS")</f>
        <v/>
      </c>
      <c r="C558" s="26" t="str">
        <f aca="false">IF($K558=0,"",OPERATIONS!$A258)</f>
        <v/>
      </c>
      <c r="D558" s="31" t="str">
        <f aca="false">IF($K558=0,"",OPERATIONS!$B258)</f>
        <v/>
      </c>
      <c r="E558" s="26" t="str">
        <f aca="false">IF($K558=0,"","ENTREE")</f>
        <v/>
      </c>
      <c r="F558" s="26" t="str">
        <f aca="false">IF($K558=0,"",OPERATIONS!$C258)</f>
        <v/>
      </c>
      <c r="G558" s="26" t="str">
        <f aca="false">IF($K558=0,"",OPERATIONS!$D258)</f>
        <v/>
      </c>
      <c r="H558" s="26" t="str">
        <f aca="false">IF($K558=0,"",OPERATIONS!$F258)</f>
        <v/>
      </c>
      <c r="I558" s="26" t="str">
        <f aca="false">IF($H558="","",IFERROR(INDEX(EMPL_CLASSE,MATCH($H558,EMPL_KEY,0)),""))</f>
        <v/>
      </c>
      <c r="J558" s="26" t="str">
        <f aca="false">IF($K558=0,"",OPERATIONS!$J258)</f>
        <v/>
      </c>
      <c r="K558" s="67" t="n">
        <f aca="false">IF(OR(OPERATIONS!$N258=0,OPERATIONS!$C258="CONSOMMATION"),0,OPERATIONS!$G258)</f>
        <v>0</v>
      </c>
      <c r="L558" s="67" t="n">
        <f aca="false">IF($K558=0,0,OPERATIONS!$Q258*$K558)</f>
        <v>0</v>
      </c>
      <c r="M558" s="26" t="str">
        <f aca="false">IF($K558=0,"",OPERATIONS!$P258)</f>
        <v/>
      </c>
      <c r="N558" s="26" t="str">
        <f aca="false">IF($G558="","",IF($G558=R_LOT,COUNTIF($G$5:$G558,R_LOT),""))</f>
        <v/>
      </c>
    </row>
    <row r="559" customFormat="false" ht="15" hidden="false" customHeight="false" outlineLevel="0" collapsed="false">
      <c r="A559" s="28" t="str">
        <f aca="false">IF($K559=0,"",ROW()-4)</f>
        <v/>
      </c>
      <c r="B559" s="26" t="str">
        <f aca="false">IF($K559=0,"","OPERATIONS")</f>
        <v/>
      </c>
      <c r="C559" s="26" t="str">
        <f aca="false">IF($K559=0,"",OPERATIONS!$A259)</f>
        <v/>
      </c>
      <c r="D559" s="31" t="str">
        <f aca="false">IF($K559=0,"",OPERATIONS!$B259)</f>
        <v/>
      </c>
      <c r="E559" s="26" t="str">
        <f aca="false">IF($K559=0,"","ENTREE")</f>
        <v/>
      </c>
      <c r="F559" s="26" t="str">
        <f aca="false">IF($K559=0,"",OPERATIONS!$C259)</f>
        <v/>
      </c>
      <c r="G559" s="26" t="str">
        <f aca="false">IF($K559=0,"",OPERATIONS!$D259)</f>
        <v/>
      </c>
      <c r="H559" s="26" t="str">
        <f aca="false">IF($K559=0,"",OPERATIONS!$F259)</f>
        <v/>
      </c>
      <c r="I559" s="26" t="str">
        <f aca="false">IF($H559="","",IFERROR(INDEX(EMPL_CLASSE,MATCH($H559,EMPL_KEY,0)),""))</f>
        <v/>
      </c>
      <c r="J559" s="26" t="str">
        <f aca="false">IF($K559=0,"",OPERATIONS!$J259)</f>
        <v/>
      </c>
      <c r="K559" s="67" t="n">
        <f aca="false">IF(OR(OPERATIONS!$N259=0,OPERATIONS!$C259="CONSOMMATION"),0,OPERATIONS!$G259)</f>
        <v>0</v>
      </c>
      <c r="L559" s="67" t="n">
        <f aca="false">IF($K559=0,0,OPERATIONS!$Q259*$K559)</f>
        <v>0</v>
      </c>
      <c r="M559" s="26" t="str">
        <f aca="false">IF($K559=0,"",OPERATIONS!$P259)</f>
        <v/>
      </c>
      <c r="N559" s="26" t="str">
        <f aca="false">IF($G559="","",IF($G559=R_LOT,COUNTIF($G$5:$G559,R_LOT),""))</f>
        <v/>
      </c>
    </row>
    <row r="560" customFormat="false" ht="15" hidden="false" customHeight="false" outlineLevel="0" collapsed="false">
      <c r="A560" s="28" t="str">
        <f aca="false">IF($K560=0,"",ROW()-4)</f>
        <v/>
      </c>
      <c r="B560" s="26" t="str">
        <f aca="false">IF($K560=0,"","OPERATIONS")</f>
        <v/>
      </c>
      <c r="C560" s="26" t="str">
        <f aca="false">IF($K560=0,"",OPERATIONS!$A260)</f>
        <v/>
      </c>
      <c r="D560" s="31" t="str">
        <f aca="false">IF($K560=0,"",OPERATIONS!$B260)</f>
        <v/>
      </c>
      <c r="E560" s="26" t="str">
        <f aca="false">IF($K560=0,"","ENTREE")</f>
        <v/>
      </c>
      <c r="F560" s="26" t="str">
        <f aca="false">IF($K560=0,"",OPERATIONS!$C260)</f>
        <v/>
      </c>
      <c r="G560" s="26" t="str">
        <f aca="false">IF($K560=0,"",OPERATIONS!$D260)</f>
        <v/>
      </c>
      <c r="H560" s="26" t="str">
        <f aca="false">IF($K560=0,"",OPERATIONS!$F260)</f>
        <v/>
      </c>
      <c r="I560" s="26" t="str">
        <f aca="false">IF($H560="","",IFERROR(INDEX(EMPL_CLASSE,MATCH($H560,EMPL_KEY,0)),""))</f>
        <v/>
      </c>
      <c r="J560" s="26" t="str">
        <f aca="false">IF($K560=0,"",OPERATIONS!$J260)</f>
        <v/>
      </c>
      <c r="K560" s="67" t="n">
        <f aca="false">IF(OR(OPERATIONS!$N260=0,OPERATIONS!$C260="CONSOMMATION"),0,OPERATIONS!$G260)</f>
        <v>0</v>
      </c>
      <c r="L560" s="67" t="n">
        <f aca="false">IF($K560=0,0,OPERATIONS!$Q260*$K560)</f>
        <v>0</v>
      </c>
      <c r="M560" s="26" t="str">
        <f aca="false">IF($K560=0,"",OPERATIONS!$P260)</f>
        <v/>
      </c>
      <c r="N560" s="26" t="str">
        <f aca="false">IF($G560="","",IF($G560=R_LOT,COUNTIF($G$5:$G560,R_LOT),""))</f>
        <v/>
      </c>
    </row>
    <row r="561" customFormat="false" ht="15" hidden="false" customHeight="false" outlineLevel="0" collapsed="false">
      <c r="A561" s="28" t="str">
        <f aca="false">IF($K561=0,"",ROW()-4)</f>
        <v/>
      </c>
      <c r="B561" s="26" t="str">
        <f aca="false">IF($K561=0,"","OPERATIONS")</f>
        <v/>
      </c>
      <c r="C561" s="26" t="str">
        <f aca="false">IF($K561=0,"",OPERATIONS!$A261)</f>
        <v/>
      </c>
      <c r="D561" s="31" t="str">
        <f aca="false">IF($K561=0,"",OPERATIONS!$B261)</f>
        <v/>
      </c>
      <c r="E561" s="26" t="str">
        <f aca="false">IF($K561=0,"","ENTREE")</f>
        <v/>
      </c>
      <c r="F561" s="26" t="str">
        <f aca="false">IF($K561=0,"",OPERATIONS!$C261)</f>
        <v/>
      </c>
      <c r="G561" s="26" t="str">
        <f aca="false">IF($K561=0,"",OPERATIONS!$D261)</f>
        <v/>
      </c>
      <c r="H561" s="26" t="str">
        <f aca="false">IF($K561=0,"",OPERATIONS!$F261)</f>
        <v/>
      </c>
      <c r="I561" s="26" t="str">
        <f aca="false">IF($H561="","",IFERROR(INDEX(EMPL_CLASSE,MATCH($H561,EMPL_KEY,0)),""))</f>
        <v/>
      </c>
      <c r="J561" s="26" t="str">
        <f aca="false">IF($K561=0,"",OPERATIONS!$J261)</f>
        <v/>
      </c>
      <c r="K561" s="67" t="n">
        <f aca="false">IF(OR(OPERATIONS!$N261=0,OPERATIONS!$C261="CONSOMMATION"),0,OPERATIONS!$G261)</f>
        <v>0</v>
      </c>
      <c r="L561" s="67" t="n">
        <f aca="false">IF($K561=0,0,OPERATIONS!$Q261*$K561)</f>
        <v>0</v>
      </c>
      <c r="M561" s="26" t="str">
        <f aca="false">IF($K561=0,"",OPERATIONS!$P261)</f>
        <v/>
      </c>
      <c r="N561" s="26" t="str">
        <f aca="false">IF($G561="","",IF($G561=R_LOT,COUNTIF($G$5:$G561,R_LOT),""))</f>
        <v/>
      </c>
    </row>
    <row r="562" customFormat="false" ht="15" hidden="false" customHeight="false" outlineLevel="0" collapsed="false">
      <c r="A562" s="28" t="str">
        <f aca="false">IF($K562=0,"",ROW()-4)</f>
        <v/>
      </c>
      <c r="B562" s="26" t="str">
        <f aca="false">IF($K562=0,"","OPERATIONS")</f>
        <v/>
      </c>
      <c r="C562" s="26" t="str">
        <f aca="false">IF($K562=0,"",OPERATIONS!$A262)</f>
        <v/>
      </c>
      <c r="D562" s="31" t="str">
        <f aca="false">IF($K562=0,"",OPERATIONS!$B262)</f>
        <v/>
      </c>
      <c r="E562" s="26" t="str">
        <f aca="false">IF($K562=0,"","ENTREE")</f>
        <v/>
      </c>
      <c r="F562" s="26" t="str">
        <f aca="false">IF($K562=0,"",OPERATIONS!$C262)</f>
        <v/>
      </c>
      <c r="G562" s="26" t="str">
        <f aca="false">IF($K562=0,"",OPERATIONS!$D262)</f>
        <v/>
      </c>
      <c r="H562" s="26" t="str">
        <f aca="false">IF($K562=0,"",OPERATIONS!$F262)</f>
        <v/>
      </c>
      <c r="I562" s="26" t="str">
        <f aca="false">IF($H562="","",IFERROR(INDEX(EMPL_CLASSE,MATCH($H562,EMPL_KEY,0)),""))</f>
        <v/>
      </c>
      <c r="J562" s="26" t="str">
        <f aca="false">IF($K562=0,"",OPERATIONS!$J262)</f>
        <v/>
      </c>
      <c r="K562" s="67" t="n">
        <f aca="false">IF(OR(OPERATIONS!$N262=0,OPERATIONS!$C262="CONSOMMATION"),0,OPERATIONS!$G262)</f>
        <v>0</v>
      </c>
      <c r="L562" s="67" t="n">
        <f aca="false">IF($K562=0,0,OPERATIONS!$Q262*$K562)</f>
        <v>0</v>
      </c>
      <c r="M562" s="26" t="str">
        <f aca="false">IF($K562=0,"",OPERATIONS!$P262)</f>
        <v/>
      </c>
      <c r="N562" s="26" t="str">
        <f aca="false">IF($G562="","",IF($G562=R_LOT,COUNTIF($G$5:$G562,R_LOT),""))</f>
        <v/>
      </c>
    </row>
    <row r="563" customFormat="false" ht="15" hidden="false" customHeight="false" outlineLevel="0" collapsed="false">
      <c r="A563" s="28" t="str">
        <f aca="false">IF($K563=0,"",ROW()-4)</f>
        <v/>
      </c>
      <c r="B563" s="26" t="str">
        <f aca="false">IF($K563=0,"","OPERATIONS")</f>
        <v/>
      </c>
      <c r="C563" s="26" t="str">
        <f aca="false">IF($K563=0,"",OPERATIONS!$A263)</f>
        <v/>
      </c>
      <c r="D563" s="31" t="str">
        <f aca="false">IF($K563=0,"",OPERATIONS!$B263)</f>
        <v/>
      </c>
      <c r="E563" s="26" t="str">
        <f aca="false">IF($K563=0,"","ENTREE")</f>
        <v/>
      </c>
      <c r="F563" s="26" t="str">
        <f aca="false">IF($K563=0,"",OPERATIONS!$C263)</f>
        <v/>
      </c>
      <c r="G563" s="26" t="str">
        <f aca="false">IF($K563=0,"",OPERATIONS!$D263)</f>
        <v/>
      </c>
      <c r="H563" s="26" t="str">
        <f aca="false">IF($K563=0,"",OPERATIONS!$F263)</f>
        <v/>
      </c>
      <c r="I563" s="26" t="str">
        <f aca="false">IF($H563="","",IFERROR(INDEX(EMPL_CLASSE,MATCH($H563,EMPL_KEY,0)),""))</f>
        <v/>
      </c>
      <c r="J563" s="26" t="str">
        <f aca="false">IF($K563=0,"",OPERATIONS!$J263)</f>
        <v/>
      </c>
      <c r="K563" s="67" t="n">
        <f aca="false">IF(OR(OPERATIONS!$N263=0,OPERATIONS!$C263="CONSOMMATION"),0,OPERATIONS!$G263)</f>
        <v>0</v>
      </c>
      <c r="L563" s="67" t="n">
        <f aca="false">IF($K563=0,0,OPERATIONS!$Q263*$K563)</f>
        <v>0</v>
      </c>
      <c r="M563" s="26" t="str">
        <f aca="false">IF($K563=0,"",OPERATIONS!$P263)</f>
        <v/>
      </c>
      <c r="N563" s="26" t="str">
        <f aca="false">IF($G563="","",IF($G563=R_LOT,COUNTIF($G$5:$G563,R_LOT),""))</f>
        <v/>
      </c>
    </row>
    <row r="564" customFormat="false" ht="15" hidden="false" customHeight="false" outlineLevel="0" collapsed="false">
      <c r="A564" s="28" t="str">
        <f aca="false">IF($K564=0,"",ROW()-4)</f>
        <v/>
      </c>
      <c r="B564" s="26" t="str">
        <f aca="false">IF($K564=0,"","OPERATIONS")</f>
        <v/>
      </c>
      <c r="C564" s="26" t="str">
        <f aca="false">IF($K564=0,"",OPERATIONS!$A264)</f>
        <v/>
      </c>
      <c r="D564" s="31" t="str">
        <f aca="false">IF($K564=0,"",OPERATIONS!$B264)</f>
        <v/>
      </c>
      <c r="E564" s="26" t="str">
        <f aca="false">IF($K564=0,"","ENTREE")</f>
        <v/>
      </c>
      <c r="F564" s="26" t="str">
        <f aca="false">IF($K564=0,"",OPERATIONS!$C264)</f>
        <v/>
      </c>
      <c r="G564" s="26" t="str">
        <f aca="false">IF($K564=0,"",OPERATIONS!$D264)</f>
        <v/>
      </c>
      <c r="H564" s="26" t="str">
        <f aca="false">IF($K564=0,"",OPERATIONS!$F264)</f>
        <v/>
      </c>
      <c r="I564" s="26" t="str">
        <f aca="false">IF($H564="","",IFERROR(INDEX(EMPL_CLASSE,MATCH($H564,EMPL_KEY,0)),""))</f>
        <v/>
      </c>
      <c r="J564" s="26" t="str">
        <f aca="false">IF($K564=0,"",OPERATIONS!$J264)</f>
        <v/>
      </c>
      <c r="K564" s="67" t="n">
        <f aca="false">IF(OR(OPERATIONS!$N264=0,OPERATIONS!$C264="CONSOMMATION"),0,OPERATIONS!$G264)</f>
        <v>0</v>
      </c>
      <c r="L564" s="67" t="n">
        <f aca="false">IF($K564=0,0,OPERATIONS!$Q264*$K564)</f>
        <v>0</v>
      </c>
      <c r="M564" s="26" t="str">
        <f aca="false">IF($K564=0,"",OPERATIONS!$P264)</f>
        <v/>
      </c>
      <c r="N564" s="26" t="str">
        <f aca="false">IF($G564="","",IF($G564=R_LOT,COUNTIF($G$5:$G564,R_LOT),""))</f>
        <v/>
      </c>
    </row>
    <row r="565" customFormat="false" ht="15" hidden="false" customHeight="false" outlineLevel="0" collapsed="false">
      <c r="A565" s="28" t="str">
        <f aca="false">IF($K565=0,"",ROW()-4)</f>
        <v/>
      </c>
      <c r="B565" s="26" t="str">
        <f aca="false">IF($K565=0,"","OPERATIONS")</f>
        <v/>
      </c>
      <c r="C565" s="26" t="str">
        <f aca="false">IF($K565=0,"",OPERATIONS!$A265)</f>
        <v/>
      </c>
      <c r="D565" s="31" t="str">
        <f aca="false">IF($K565=0,"",OPERATIONS!$B265)</f>
        <v/>
      </c>
      <c r="E565" s="26" t="str">
        <f aca="false">IF($K565=0,"","ENTREE")</f>
        <v/>
      </c>
      <c r="F565" s="26" t="str">
        <f aca="false">IF($K565=0,"",OPERATIONS!$C265)</f>
        <v/>
      </c>
      <c r="G565" s="26" t="str">
        <f aca="false">IF($K565=0,"",OPERATIONS!$D265)</f>
        <v/>
      </c>
      <c r="H565" s="26" t="str">
        <f aca="false">IF($K565=0,"",OPERATIONS!$F265)</f>
        <v/>
      </c>
      <c r="I565" s="26" t="str">
        <f aca="false">IF($H565="","",IFERROR(INDEX(EMPL_CLASSE,MATCH($H565,EMPL_KEY,0)),""))</f>
        <v/>
      </c>
      <c r="J565" s="26" t="str">
        <f aca="false">IF($K565=0,"",OPERATIONS!$J265)</f>
        <v/>
      </c>
      <c r="K565" s="67" t="n">
        <f aca="false">IF(OR(OPERATIONS!$N265=0,OPERATIONS!$C265="CONSOMMATION"),0,OPERATIONS!$G265)</f>
        <v>0</v>
      </c>
      <c r="L565" s="67" t="n">
        <f aca="false">IF($K565=0,0,OPERATIONS!$Q265*$K565)</f>
        <v>0</v>
      </c>
      <c r="M565" s="26" t="str">
        <f aca="false">IF($K565=0,"",OPERATIONS!$P265)</f>
        <v/>
      </c>
      <c r="N565" s="26" t="str">
        <f aca="false">IF($G565="","",IF($G565=R_LOT,COUNTIF($G$5:$G565,R_LOT),""))</f>
        <v/>
      </c>
    </row>
    <row r="566" customFormat="false" ht="15" hidden="false" customHeight="false" outlineLevel="0" collapsed="false">
      <c r="A566" s="28" t="str">
        <f aca="false">IF($K566=0,"",ROW()-4)</f>
        <v/>
      </c>
      <c r="B566" s="26" t="str">
        <f aca="false">IF($K566=0,"","OPERATIONS")</f>
        <v/>
      </c>
      <c r="C566" s="26" t="str">
        <f aca="false">IF($K566=0,"",OPERATIONS!$A266)</f>
        <v/>
      </c>
      <c r="D566" s="31" t="str">
        <f aca="false">IF($K566=0,"",OPERATIONS!$B266)</f>
        <v/>
      </c>
      <c r="E566" s="26" t="str">
        <f aca="false">IF($K566=0,"","ENTREE")</f>
        <v/>
      </c>
      <c r="F566" s="26" t="str">
        <f aca="false">IF($K566=0,"",OPERATIONS!$C266)</f>
        <v/>
      </c>
      <c r="G566" s="26" t="str">
        <f aca="false">IF($K566=0,"",OPERATIONS!$D266)</f>
        <v/>
      </c>
      <c r="H566" s="26" t="str">
        <f aca="false">IF($K566=0,"",OPERATIONS!$F266)</f>
        <v/>
      </c>
      <c r="I566" s="26" t="str">
        <f aca="false">IF($H566="","",IFERROR(INDEX(EMPL_CLASSE,MATCH($H566,EMPL_KEY,0)),""))</f>
        <v/>
      </c>
      <c r="J566" s="26" t="str">
        <f aca="false">IF($K566=0,"",OPERATIONS!$J266)</f>
        <v/>
      </c>
      <c r="K566" s="67" t="n">
        <f aca="false">IF(OR(OPERATIONS!$N266=0,OPERATIONS!$C266="CONSOMMATION"),0,OPERATIONS!$G266)</f>
        <v>0</v>
      </c>
      <c r="L566" s="67" t="n">
        <f aca="false">IF($K566=0,0,OPERATIONS!$Q266*$K566)</f>
        <v>0</v>
      </c>
      <c r="M566" s="26" t="str">
        <f aca="false">IF($K566=0,"",OPERATIONS!$P266)</f>
        <v/>
      </c>
      <c r="N566" s="26" t="str">
        <f aca="false">IF($G566="","",IF($G566=R_LOT,COUNTIF($G$5:$G566,R_LOT),""))</f>
        <v/>
      </c>
    </row>
    <row r="567" customFormat="false" ht="15" hidden="false" customHeight="false" outlineLevel="0" collapsed="false">
      <c r="A567" s="28" t="str">
        <f aca="false">IF($K567=0,"",ROW()-4)</f>
        <v/>
      </c>
      <c r="B567" s="26" t="str">
        <f aca="false">IF($K567=0,"","OPERATIONS")</f>
        <v/>
      </c>
      <c r="C567" s="26" t="str">
        <f aca="false">IF($K567=0,"",OPERATIONS!$A267)</f>
        <v/>
      </c>
      <c r="D567" s="31" t="str">
        <f aca="false">IF($K567=0,"",OPERATIONS!$B267)</f>
        <v/>
      </c>
      <c r="E567" s="26" t="str">
        <f aca="false">IF($K567=0,"","ENTREE")</f>
        <v/>
      </c>
      <c r="F567" s="26" t="str">
        <f aca="false">IF($K567=0,"",OPERATIONS!$C267)</f>
        <v/>
      </c>
      <c r="G567" s="26" t="str">
        <f aca="false">IF($K567=0,"",OPERATIONS!$D267)</f>
        <v/>
      </c>
      <c r="H567" s="26" t="str">
        <f aca="false">IF($K567=0,"",OPERATIONS!$F267)</f>
        <v/>
      </c>
      <c r="I567" s="26" t="str">
        <f aca="false">IF($H567="","",IFERROR(INDEX(EMPL_CLASSE,MATCH($H567,EMPL_KEY,0)),""))</f>
        <v/>
      </c>
      <c r="J567" s="26" t="str">
        <f aca="false">IF($K567=0,"",OPERATIONS!$J267)</f>
        <v/>
      </c>
      <c r="K567" s="67" t="n">
        <f aca="false">IF(OR(OPERATIONS!$N267=0,OPERATIONS!$C267="CONSOMMATION"),0,OPERATIONS!$G267)</f>
        <v>0</v>
      </c>
      <c r="L567" s="67" t="n">
        <f aca="false">IF($K567=0,0,OPERATIONS!$Q267*$K567)</f>
        <v>0</v>
      </c>
      <c r="M567" s="26" t="str">
        <f aca="false">IF($K567=0,"",OPERATIONS!$P267)</f>
        <v/>
      </c>
      <c r="N567" s="26" t="str">
        <f aca="false">IF($G567="","",IF($G567=R_LOT,COUNTIF($G$5:$G567,R_LOT),""))</f>
        <v/>
      </c>
    </row>
    <row r="568" customFormat="false" ht="15" hidden="false" customHeight="false" outlineLevel="0" collapsed="false">
      <c r="A568" s="28" t="str">
        <f aca="false">IF($K568=0,"",ROW()-4)</f>
        <v/>
      </c>
      <c r="B568" s="26" t="str">
        <f aca="false">IF($K568=0,"","OPERATIONS")</f>
        <v/>
      </c>
      <c r="C568" s="26" t="str">
        <f aca="false">IF($K568=0,"",OPERATIONS!$A268)</f>
        <v/>
      </c>
      <c r="D568" s="31" t="str">
        <f aca="false">IF($K568=0,"",OPERATIONS!$B268)</f>
        <v/>
      </c>
      <c r="E568" s="26" t="str">
        <f aca="false">IF($K568=0,"","ENTREE")</f>
        <v/>
      </c>
      <c r="F568" s="26" t="str">
        <f aca="false">IF($K568=0,"",OPERATIONS!$C268)</f>
        <v/>
      </c>
      <c r="G568" s="26" t="str">
        <f aca="false">IF($K568=0,"",OPERATIONS!$D268)</f>
        <v/>
      </c>
      <c r="H568" s="26" t="str">
        <f aca="false">IF($K568=0,"",OPERATIONS!$F268)</f>
        <v/>
      </c>
      <c r="I568" s="26" t="str">
        <f aca="false">IF($H568="","",IFERROR(INDEX(EMPL_CLASSE,MATCH($H568,EMPL_KEY,0)),""))</f>
        <v/>
      </c>
      <c r="J568" s="26" t="str">
        <f aca="false">IF($K568=0,"",OPERATIONS!$J268)</f>
        <v/>
      </c>
      <c r="K568" s="67" t="n">
        <f aca="false">IF(OR(OPERATIONS!$N268=0,OPERATIONS!$C268="CONSOMMATION"),0,OPERATIONS!$G268)</f>
        <v>0</v>
      </c>
      <c r="L568" s="67" t="n">
        <f aca="false">IF($K568=0,0,OPERATIONS!$Q268*$K568)</f>
        <v>0</v>
      </c>
      <c r="M568" s="26" t="str">
        <f aca="false">IF($K568=0,"",OPERATIONS!$P268)</f>
        <v/>
      </c>
      <c r="N568" s="26" t="str">
        <f aca="false">IF($G568="","",IF($G568=R_LOT,COUNTIF($G$5:$G568,R_LOT),""))</f>
        <v/>
      </c>
    </row>
    <row r="569" customFormat="false" ht="15" hidden="false" customHeight="false" outlineLevel="0" collapsed="false">
      <c r="A569" s="28" t="str">
        <f aca="false">IF($K569=0,"",ROW()-4)</f>
        <v/>
      </c>
      <c r="B569" s="26" t="str">
        <f aca="false">IF($K569=0,"","OPERATIONS")</f>
        <v/>
      </c>
      <c r="C569" s="26" t="str">
        <f aca="false">IF($K569=0,"",OPERATIONS!$A269)</f>
        <v/>
      </c>
      <c r="D569" s="31" t="str">
        <f aca="false">IF($K569=0,"",OPERATIONS!$B269)</f>
        <v/>
      </c>
      <c r="E569" s="26" t="str">
        <f aca="false">IF($K569=0,"","ENTREE")</f>
        <v/>
      </c>
      <c r="F569" s="26" t="str">
        <f aca="false">IF($K569=0,"",OPERATIONS!$C269)</f>
        <v/>
      </c>
      <c r="G569" s="26" t="str">
        <f aca="false">IF($K569=0,"",OPERATIONS!$D269)</f>
        <v/>
      </c>
      <c r="H569" s="26" t="str">
        <f aca="false">IF($K569=0,"",OPERATIONS!$F269)</f>
        <v/>
      </c>
      <c r="I569" s="26" t="str">
        <f aca="false">IF($H569="","",IFERROR(INDEX(EMPL_CLASSE,MATCH($H569,EMPL_KEY,0)),""))</f>
        <v/>
      </c>
      <c r="J569" s="26" t="str">
        <f aca="false">IF($K569=0,"",OPERATIONS!$J269)</f>
        <v/>
      </c>
      <c r="K569" s="67" t="n">
        <f aca="false">IF(OR(OPERATIONS!$N269=0,OPERATIONS!$C269="CONSOMMATION"),0,OPERATIONS!$G269)</f>
        <v>0</v>
      </c>
      <c r="L569" s="67" t="n">
        <f aca="false">IF($K569=0,0,OPERATIONS!$Q269*$K569)</f>
        <v>0</v>
      </c>
      <c r="M569" s="26" t="str">
        <f aca="false">IF($K569=0,"",OPERATIONS!$P269)</f>
        <v/>
      </c>
      <c r="N569" s="26" t="str">
        <f aca="false">IF($G569="","",IF($G569=R_LOT,COUNTIF($G$5:$G569,R_LOT),""))</f>
        <v/>
      </c>
    </row>
    <row r="570" customFormat="false" ht="15" hidden="false" customHeight="false" outlineLevel="0" collapsed="false">
      <c r="A570" s="28" t="str">
        <f aca="false">IF($K570=0,"",ROW()-4)</f>
        <v/>
      </c>
      <c r="B570" s="26" t="str">
        <f aca="false">IF($K570=0,"","OPERATIONS")</f>
        <v/>
      </c>
      <c r="C570" s="26" t="str">
        <f aca="false">IF($K570=0,"",OPERATIONS!$A270)</f>
        <v/>
      </c>
      <c r="D570" s="31" t="str">
        <f aca="false">IF($K570=0,"",OPERATIONS!$B270)</f>
        <v/>
      </c>
      <c r="E570" s="26" t="str">
        <f aca="false">IF($K570=0,"","ENTREE")</f>
        <v/>
      </c>
      <c r="F570" s="26" t="str">
        <f aca="false">IF($K570=0,"",OPERATIONS!$C270)</f>
        <v/>
      </c>
      <c r="G570" s="26" t="str">
        <f aca="false">IF($K570=0,"",OPERATIONS!$D270)</f>
        <v/>
      </c>
      <c r="H570" s="26" t="str">
        <f aca="false">IF($K570=0,"",OPERATIONS!$F270)</f>
        <v/>
      </c>
      <c r="I570" s="26" t="str">
        <f aca="false">IF($H570="","",IFERROR(INDEX(EMPL_CLASSE,MATCH($H570,EMPL_KEY,0)),""))</f>
        <v/>
      </c>
      <c r="J570" s="26" t="str">
        <f aca="false">IF($K570=0,"",OPERATIONS!$J270)</f>
        <v/>
      </c>
      <c r="K570" s="67" t="n">
        <f aca="false">IF(OR(OPERATIONS!$N270=0,OPERATIONS!$C270="CONSOMMATION"),0,OPERATIONS!$G270)</f>
        <v>0</v>
      </c>
      <c r="L570" s="67" t="n">
        <f aca="false">IF($K570=0,0,OPERATIONS!$Q270*$K570)</f>
        <v>0</v>
      </c>
      <c r="M570" s="26" t="str">
        <f aca="false">IF($K570=0,"",OPERATIONS!$P270)</f>
        <v/>
      </c>
      <c r="N570" s="26" t="str">
        <f aca="false">IF($G570="","",IF($G570=R_LOT,COUNTIF($G$5:$G570,R_LOT),""))</f>
        <v/>
      </c>
    </row>
    <row r="571" customFormat="false" ht="15" hidden="false" customHeight="false" outlineLevel="0" collapsed="false">
      <c r="A571" s="28" t="str">
        <f aca="false">IF($K571=0,"",ROW()-4)</f>
        <v/>
      </c>
      <c r="B571" s="26" t="str">
        <f aca="false">IF($K571=0,"","OPERATIONS")</f>
        <v/>
      </c>
      <c r="C571" s="26" t="str">
        <f aca="false">IF($K571=0,"",OPERATIONS!$A271)</f>
        <v/>
      </c>
      <c r="D571" s="31" t="str">
        <f aca="false">IF($K571=0,"",OPERATIONS!$B271)</f>
        <v/>
      </c>
      <c r="E571" s="26" t="str">
        <f aca="false">IF($K571=0,"","ENTREE")</f>
        <v/>
      </c>
      <c r="F571" s="26" t="str">
        <f aca="false">IF($K571=0,"",OPERATIONS!$C271)</f>
        <v/>
      </c>
      <c r="G571" s="26" t="str">
        <f aca="false">IF($K571=0,"",OPERATIONS!$D271)</f>
        <v/>
      </c>
      <c r="H571" s="26" t="str">
        <f aca="false">IF($K571=0,"",OPERATIONS!$F271)</f>
        <v/>
      </c>
      <c r="I571" s="26" t="str">
        <f aca="false">IF($H571="","",IFERROR(INDEX(EMPL_CLASSE,MATCH($H571,EMPL_KEY,0)),""))</f>
        <v/>
      </c>
      <c r="J571" s="26" t="str">
        <f aca="false">IF($K571=0,"",OPERATIONS!$J271)</f>
        <v/>
      </c>
      <c r="K571" s="67" t="n">
        <f aca="false">IF(OR(OPERATIONS!$N271=0,OPERATIONS!$C271="CONSOMMATION"),0,OPERATIONS!$G271)</f>
        <v>0</v>
      </c>
      <c r="L571" s="67" t="n">
        <f aca="false">IF($K571=0,0,OPERATIONS!$Q271*$K571)</f>
        <v>0</v>
      </c>
      <c r="M571" s="26" t="str">
        <f aca="false">IF($K571=0,"",OPERATIONS!$P271)</f>
        <v/>
      </c>
      <c r="N571" s="26" t="str">
        <f aca="false">IF($G571="","",IF($G571=R_LOT,COUNTIF($G$5:$G571,R_LOT),""))</f>
        <v/>
      </c>
    </row>
    <row r="572" customFormat="false" ht="15" hidden="false" customHeight="false" outlineLevel="0" collapsed="false">
      <c r="A572" s="28" t="str">
        <f aca="false">IF($K572=0,"",ROW()-4)</f>
        <v/>
      </c>
      <c r="B572" s="26" t="str">
        <f aca="false">IF($K572=0,"","OPERATIONS")</f>
        <v/>
      </c>
      <c r="C572" s="26" t="str">
        <f aca="false">IF($K572=0,"",OPERATIONS!$A272)</f>
        <v/>
      </c>
      <c r="D572" s="31" t="str">
        <f aca="false">IF($K572=0,"",OPERATIONS!$B272)</f>
        <v/>
      </c>
      <c r="E572" s="26" t="str">
        <f aca="false">IF($K572=0,"","ENTREE")</f>
        <v/>
      </c>
      <c r="F572" s="26" t="str">
        <f aca="false">IF($K572=0,"",OPERATIONS!$C272)</f>
        <v/>
      </c>
      <c r="G572" s="26" t="str">
        <f aca="false">IF($K572=0,"",OPERATIONS!$D272)</f>
        <v/>
      </c>
      <c r="H572" s="26" t="str">
        <f aca="false">IF($K572=0,"",OPERATIONS!$F272)</f>
        <v/>
      </c>
      <c r="I572" s="26" t="str">
        <f aca="false">IF($H572="","",IFERROR(INDEX(EMPL_CLASSE,MATCH($H572,EMPL_KEY,0)),""))</f>
        <v/>
      </c>
      <c r="J572" s="26" t="str">
        <f aca="false">IF($K572=0,"",OPERATIONS!$J272)</f>
        <v/>
      </c>
      <c r="K572" s="67" t="n">
        <f aca="false">IF(OR(OPERATIONS!$N272=0,OPERATIONS!$C272="CONSOMMATION"),0,OPERATIONS!$G272)</f>
        <v>0</v>
      </c>
      <c r="L572" s="67" t="n">
        <f aca="false">IF($K572=0,0,OPERATIONS!$Q272*$K572)</f>
        <v>0</v>
      </c>
      <c r="M572" s="26" t="str">
        <f aca="false">IF($K572=0,"",OPERATIONS!$P272)</f>
        <v/>
      </c>
      <c r="N572" s="26" t="str">
        <f aca="false">IF($G572="","",IF($G572=R_LOT,COUNTIF($G$5:$G572,R_LOT),""))</f>
        <v/>
      </c>
    </row>
    <row r="573" customFormat="false" ht="15" hidden="false" customHeight="false" outlineLevel="0" collapsed="false">
      <c r="A573" s="28" t="str">
        <f aca="false">IF($K573=0,"",ROW()-4)</f>
        <v/>
      </c>
      <c r="B573" s="26" t="str">
        <f aca="false">IF($K573=0,"","OPERATIONS")</f>
        <v/>
      </c>
      <c r="C573" s="26" t="str">
        <f aca="false">IF($K573=0,"",OPERATIONS!$A273)</f>
        <v/>
      </c>
      <c r="D573" s="31" t="str">
        <f aca="false">IF($K573=0,"",OPERATIONS!$B273)</f>
        <v/>
      </c>
      <c r="E573" s="26" t="str">
        <f aca="false">IF($K573=0,"","ENTREE")</f>
        <v/>
      </c>
      <c r="F573" s="26" t="str">
        <f aca="false">IF($K573=0,"",OPERATIONS!$C273)</f>
        <v/>
      </c>
      <c r="G573" s="26" t="str">
        <f aca="false">IF($K573=0,"",OPERATIONS!$D273)</f>
        <v/>
      </c>
      <c r="H573" s="26" t="str">
        <f aca="false">IF($K573=0,"",OPERATIONS!$F273)</f>
        <v/>
      </c>
      <c r="I573" s="26" t="str">
        <f aca="false">IF($H573="","",IFERROR(INDEX(EMPL_CLASSE,MATCH($H573,EMPL_KEY,0)),""))</f>
        <v/>
      </c>
      <c r="J573" s="26" t="str">
        <f aca="false">IF($K573=0,"",OPERATIONS!$J273)</f>
        <v/>
      </c>
      <c r="K573" s="67" t="n">
        <f aca="false">IF(OR(OPERATIONS!$N273=0,OPERATIONS!$C273="CONSOMMATION"),0,OPERATIONS!$G273)</f>
        <v>0</v>
      </c>
      <c r="L573" s="67" t="n">
        <f aca="false">IF($K573=0,0,OPERATIONS!$Q273*$K573)</f>
        <v>0</v>
      </c>
      <c r="M573" s="26" t="str">
        <f aca="false">IF($K573=0,"",OPERATIONS!$P273)</f>
        <v/>
      </c>
      <c r="N573" s="26" t="str">
        <f aca="false">IF($G573="","",IF($G573=R_LOT,COUNTIF($G$5:$G573,R_LOT),""))</f>
        <v/>
      </c>
    </row>
    <row r="574" customFormat="false" ht="15" hidden="false" customHeight="false" outlineLevel="0" collapsed="false">
      <c r="A574" s="28" t="str">
        <f aca="false">IF($K574=0,"",ROW()-4)</f>
        <v/>
      </c>
      <c r="B574" s="26" t="str">
        <f aca="false">IF($K574=0,"","OPERATIONS")</f>
        <v/>
      </c>
      <c r="C574" s="26" t="str">
        <f aca="false">IF($K574=0,"",OPERATIONS!$A274)</f>
        <v/>
      </c>
      <c r="D574" s="31" t="str">
        <f aca="false">IF($K574=0,"",OPERATIONS!$B274)</f>
        <v/>
      </c>
      <c r="E574" s="26" t="str">
        <f aca="false">IF($K574=0,"","ENTREE")</f>
        <v/>
      </c>
      <c r="F574" s="26" t="str">
        <f aca="false">IF($K574=0,"",OPERATIONS!$C274)</f>
        <v/>
      </c>
      <c r="G574" s="26" t="str">
        <f aca="false">IF($K574=0,"",OPERATIONS!$D274)</f>
        <v/>
      </c>
      <c r="H574" s="26" t="str">
        <f aca="false">IF($K574=0,"",OPERATIONS!$F274)</f>
        <v/>
      </c>
      <c r="I574" s="26" t="str">
        <f aca="false">IF($H574="","",IFERROR(INDEX(EMPL_CLASSE,MATCH($H574,EMPL_KEY,0)),""))</f>
        <v/>
      </c>
      <c r="J574" s="26" t="str">
        <f aca="false">IF($K574=0,"",OPERATIONS!$J274)</f>
        <v/>
      </c>
      <c r="K574" s="67" t="n">
        <f aca="false">IF(OR(OPERATIONS!$N274=0,OPERATIONS!$C274="CONSOMMATION"),0,OPERATIONS!$G274)</f>
        <v>0</v>
      </c>
      <c r="L574" s="67" t="n">
        <f aca="false">IF($K574=0,0,OPERATIONS!$Q274*$K574)</f>
        <v>0</v>
      </c>
      <c r="M574" s="26" t="str">
        <f aca="false">IF($K574=0,"",OPERATIONS!$P274)</f>
        <v/>
      </c>
      <c r="N574" s="26" t="str">
        <f aca="false">IF($G574="","",IF($G574=R_LOT,COUNTIF($G$5:$G574,R_LOT),""))</f>
        <v/>
      </c>
    </row>
    <row r="575" customFormat="false" ht="15" hidden="false" customHeight="false" outlineLevel="0" collapsed="false">
      <c r="A575" s="28" t="str">
        <f aca="false">IF($K575=0,"",ROW()-4)</f>
        <v/>
      </c>
      <c r="B575" s="26" t="str">
        <f aca="false">IF($K575=0,"","OPERATIONS")</f>
        <v/>
      </c>
      <c r="C575" s="26" t="str">
        <f aca="false">IF($K575=0,"",OPERATIONS!$A275)</f>
        <v/>
      </c>
      <c r="D575" s="31" t="str">
        <f aca="false">IF($K575=0,"",OPERATIONS!$B275)</f>
        <v/>
      </c>
      <c r="E575" s="26" t="str">
        <f aca="false">IF($K575=0,"","ENTREE")</f>
        <v/>
      </c>
      <c r="F575" s="26" t="str">
        <f aca="false">IF($K575=0,"",OPERATIONS!$C275)</f>
        <v/>
      </c>
      <c r="G575" s="26" t="str">
        <f aca="false">IF($K575=0,"",OPERATIONS!$D275)</f>
        <v/>
      </c>
      <c r="H575" s="26" t="str">
        <f aca="false">IF($K575=0,"",OPERATIONS!$F275)</f>
        <v/>
      </c>
      <c r="I575" s="26" t="str">
        <f aca="false">IF($H575="","",IFERROR(INDEX(EMPL_CLASSE,MATCH($H575,EMPL_KEY,0)),""))</f>
        <v/>
      </c>
      <c r="J575" s="26" t="str">
        <f aca="false">IF($K575=0,"",OPERATIONS!$J275)</f>
        <v/>
      </c>
      <c r="K575" s="67" t="n">
        <f aca="false">IF(OR(OPERATIONS!$N275=0,OPERATIONS!$C275="CONSOMMATION"),0,OPERATIONS!$G275)</f>
        <v>0</v>
      </c>
      <c r="L575" s="67" t="n">
        <f aca="false">IF($K575=0,0,OPERATIONS!$Q275*$K575)</f>
        <v>0</v>
      </c>
      <c r="M575" s="26" t="str">
        <f aca="false">IF($K575=0,"",OPERATIONS!$P275)</f>
        <v/>
      </c>
      <c r="N575" s="26" t="str">
        <f aca="false">IF($G575="","",IF($G575=R_LOT,COUNTIF($G$5:$G575,R_LOT),""))</f>
        <v/>
      </c>
    </row>
    <row r="576" customFormat="false" ht="15" hidden="false" customHeight="false" outlineLevel="0" collapsed="false">
      <c r="A576" s="28" t="str">
        <f aca="false">IF($K576=0,"",ROW()-4)</f>
        <v/>
      </c>
      <c r="B576" s="26" t="str">
        <f aca="false">IF($K576=0,"","OPERATIONS")</f>
        <v/>
      </c>
      <c r="C576" s="26" t="str">
        <f aca="false">IF($K576=0,"",OPERATIONS!$A276)</f>
        <v/>
      </c>
      <c r="D576" s="31" t="str">
        <f aca="false">IF($K576=0,"",OPERATIONS!$B276)</f>
        <v/>
      </c>
      <c r="E576" s="26" t="str">
        <f aca="false">IF($K576=0,"","ENTREE")</f>
        <v/>
      </c>
      <c r="F576" s="26" t="str">
        <f aca="false">IF($K576=0,"",OPERATIONS!$C276)</f>
        <v/>
      </c>
      <c r="G576" s="26" t="str">
        <f aca="false">IF($K576=0,"",OPERATIONS!$D276)</f>
        <v/>
      </c>
      <c r="H576" s="26" t="str">
        <f aca="false">IF($K576=0,"",OPERATIONS!$F276)</f>
        <v/>
      </c>
      <c r="I576" s="26" t="str">
        <f aca="false">IF($H576="","",IFERROR(INDEX(EMPL_CLASSE,MATCH($H576,EMPL_KEY,0)),""))</f>
        <v/>
      </c>
      <c r="J576" s="26" t="str">
        <f aca="false">IF($K576=0,"",OPERATIONS!$J276)</f>
        <v/>
      </c>
      <c r="K576" s="67" t="n">
        <f aca="false">IF(OR(OPERATIONS!$N276=0,OPERATIONS!$C276="CONSOMMATION"),0,OPERATIONS!$G276)</f>
        <v>0</v>
      </c>
      <c r="L576" s="67" t="n">
        <f aca="false">IF($K576=0,0,OPERATIONS!$Q276*$K576)</f>
        <v>0</v>
      </c>
      <c r="M576" s="26" t="str">
        <f aca="false">IF($K576=0,"",OPERATIONS!$P276)</f>
        <v/>
      </c>
      <c r="N576" s="26" t="str">
        <f aca="false">IF($G576="","",IF($G576=R_LOT,COUNTIF($G$5:$G576,R_LOT),""))</f>
        <v/>
      </c>
    </row>
    <row r="577" customFormat="false" ht="15" hidden="false" customHeight="false" outlineLevel="0" collapsed="false">
      <c r="A577" s="28" t="str">
        <f aca="false">IF($K577=0,"",ROW()-4)</f>
        <v/>
      </c>
      <c r="B577" s="26" t="str">
        <f aca="false">IF($K577=0,"","OPERATIONS")</f>
        <v/>
      </c>
      <c r="C577" s="26" t="str">
        <f aca="false">IF($K577=0,"",OPERATIONS!$A277)</f>
        <v/>
      </c>
      <c r="D577" s="31" t="str">
        <f aca="false">IF($K577=0,"",OPERATIONS!$B277)</f>
        <v/>
      </c>
      <c r="E577" s="26" t="str">
        <f aca="false">IF($K577=0,"","ENTREE")</f>
        <v/>
      </c>
      <c r="F577" s="26" t="str">
        <f aca="false">IF($K577=0,"",OPERATIONS!$C277)</f>
        <v/>
      </c>
      <c r="G577" s="26" t="str">
        <f aca="false">IF($K577=0,"",OPERATIONS!$D277)</f>
        <v/>
      </c>
      <c r="H577" s="26" t="str">
        <f aca="false">IF($K577=0,"",OPERATIONS!$F277)</f>
        <v/>
      </c>
      <c r="I577" s="26" t="str">
        <f aca="false">IF($H577="","",IFERROR(INDEX(EMPL_CLASSE,MATCH($H577,EMPL_KEY,0)),""))</f>
        <v/>
      </c>
      <c r="J577" s="26" t="str">
        <f aca="false">IF($K577=0,"",OPERATIONS!$J277)</f>
        <v/>
      </c>
      <c r="K577" s="67" t="n">
        <f aca="false">IF(OR(OPERATIONS!$N277=0,OPERATIONS!$C277="CONSOMMATION"),0,OPERATIONS!$G277)</f>
        <v>0</v>
      </c>
      <c r="L577" s="67" t="n">
        <f aca="false">IF($K577=0,0,OPERATIONS!$Q277*$K577)</f>
        <v>0</v>
      </c>
      <c r="M577" s="26" t="str">
        <f aca="false">IF($K577=0,"",OPERATIONS!$P277)</f>
        <v/>
      </c>
      <c r="N577" s="26" t="str">
        <f aca="false">IF($G577="","",IF($G577=R_LOT,COUNTIF($G$5:$G577,R_LOT),""))</f>
        <v/>
      </c>
    </row>
    <row r="578" customFormat="false" ht="15" hidden="false" customHeight="false" outlineLevel="0" collapsed="false">
      <c r="A578" s="28" t="str">
        <f aca="false">IF($K578=0,"",ROW()-4)</f>
        <v/>
      </c>
      <c r="B578" s="26" t="str">
        <f aca="false">IF($K578=0,"","OPERATIONS")</f>
        <v/>
      </c>
      <c r="C578" s="26" t="str">
        <f aca="false">IF($K578=0,"",OPERATIONS!$A278)</f>
        <v/>
      </c>
      <c r="D578" s="31" t="str">
        <f aca="false">IF($K578=0,"",OPERATIONS!$B278)</f>
        <v/>
      </c>
      <c r="E578" s="26" t="str">
        <f aca="false">IF($K578=0,"","ENTREE")</f>
        <v/>
      </c>
      <c r="F578" s="26" t="str">
        <f aca="false">IF($K578=0,"",OPERATIONS!$C278)</f>
        <v/>
      </c>
      <c r="G578" s="26" t="str">
        <f aca="false">IF($K578=0,"",OPERATIONS!$D278)</f>
        <v/>
      </c>
      <c r="H578" s="26" t="str">
        <f aca="false">IF($K578=0,"",OPERATIONS!$F278)</f>
        <v/>
      </c>
      <c r="I578" s="26" t="str">
        <f aca="false">IF($H578="","",IFERROR(INDEX(EMPL_CLASSE,MATCH($H578,EMPL_KEY,0)),""))</f>
        <v/>
      </c>
      <c r="J578" s="26" t="str">
        <f aca="false">IF($K578=0,"",OPERATIONS!$J278)</f>
        <v/>
      </c>
      <c r="K578" s="67" t="n">
        <f aca="false">IF(OR(OPERATIONS!$N278=0,OPERATIONS!$C278="CONSOMMATION"),0,OPERATIONS!$G278)</f>
        <v>0</v>
      </c>
      <c r="L578" s="67" t="n">
        <f aca="false">IF($K578=0,0,OPERATIONS!$Q278*$K578)</f>
        <v>0</v>
      </c>
      <c r="M578" s="26" t="str">
        <f aca="false">IF($K578=0,"",OPERATIONS!$P278)</f>
        <v/>
      </c>
      <c r="N578" s="26" t="str">
        <f aca="false">IF($G578="","",IF($G578=R_LOT,COUNTIF($G$5:$G578,R_LOT),""))</f>
        <v/>
      </c>
    </row>
    <row r="579" customFormat="false" ht="15" hidden="false" customHeight="false" outlineLevel="0" collapsed="false">
      <c r="A579" s="28" t="str">
        <f aca="false">IF($K579=0,"",ROW()-4)</f>
        <v/>
      </c>
      <c r="B579" s="26" t="str">
        <f aca="false">IF($K579=0,"","OPERATIONS")</f>
        <v/>
      </c>
      <c r="C579" s="26" t="str">
        <f aca="false">IF($K579=0,"",OPERATIONS!$A279)</f>
        <v/>
      </c>
      <c r="D579" s="31" t="str">
        <f aca="false">IF($K579=0,"",OPERATIONS!$B279)</f>
        <v/>
      </c>
      <c r="E579" s="26" t="str">
        <f aca="false">IF($K579=0,"","ENTREE")</f>
        <v/>
      </c>
      <c r="F579" s="26" t="str">
        <f aca="false">IF($K579=0,"",OPERATIONS!$C279)</f>
        <v/>
      </c>
      <c r="G579" s="26" t="str">
        <f aca="false">IF($K579=0,"",OPERATIONS!$D279)</f>
        <v/>
      </c>
      <c r="H579" s="26" t="str">
        <f aca="false">IF($K579=0,"",OPERATIONS!$F279)</f>
        <v/>
      </c>
      <c r="I579" s="26" t="str">
        <f aca="false">IF($H579="","",IFERROR(INDEX(EMPL_CLASSE,MATCH($H579,EMPL_KEY,0)),""))</f>
        <v/>
      </c>
      <c r="J579" s="26" t="str">
        <f aca="false">IF($K579=0,"",OPERATIONS!$J279)</f>
        <v/>
      </c>
      <c r="K579" s="67" t="n">
        <f aca="false">IF(OR(OPERATIONS!$N279=0,OPERATIONS!$C279="CONSOMMATION"),0,OPERATIONS!$G279)</f>
        <v>0</v>
      </c>
      <c r="L579" s="67" t="n">
        <f aca="false">IF($K579=0,0,OPERATIONS!$Q279*$K579)</f>
        <v>0</v>
      </c>
      <c r="M579" s="26" t="str">
        <f aca="false">IF($K579=0,"",OPERATIONS!$P279)</f>
        <v/>
      </c>
      <c r="N579" s="26" t="str">
        <f aca="false">IF($G579="","",IF($G579=R_LOT,COUNTIF($G$5:$G579,R_LOT),""))</f>
        <v/>
      </c>
    </row>
    <row r="580" customFormat="false" ht="15" hidden="false" customHeight="false" outlineLevel="0" collapsed="false">
      <c r="A580" s="28" t="str">
        <f aca="false">IF($K580=0,"",ROW()-4)</f>
        <v/>
      </c>
      <c r="B580" s="26" t="str">
        <f aca="false">IF($K580=0,"","OPERATIONS")</f>
        <v/>
      </c>
      <c r="C580" s="26" t="str">
        <f aca="false">IF($K580=0,"",OPERATIONS!$A280)</f>
        <v/>
      </c>
      <c r="D580" s="31" t="str">
        <f aca="false">IF($K580=0,"",OPERATIONS!$B280)</f>
        <v/>
      </c>
      <c r="E580" s="26" t="str">
        <f aca="false">IF($K580=0,"","ENTREE")</f>
        <v/>
      </c>
      <c r="F580" s="26" t="str">
        <f aca="false">IF($K580=0,"",OPERATIONS!$C280)</f>
        <v/>
      </c>
      <c r="G580" s="26" t="str">
        <f aca="false">IF($K580=0,"",OPERATIONS!$D280)</f>
        <v/>
      </c>
      <c r="H580" s="26" t="str">
        <f aca="false">IF($K580=0,"",OPERATIONS!$F280)</f>
        <v/>
      </c>
      <c r="I580" s="26" t="str">
        <f aca="false">IF($H580="","",IFERROR(INDEX(EMPL_CLASSE,MATCH($H580,EMPL_KEY,0)),""))</f>
        <v/>
      </c>
      <c r="J580" s="26" t="str">
        <f aca="false">IF($K580=0,"",OPERATIONS!$J280)</f>
        <v/>
      </c>
      <c r="K580" s="67" t="n">
        <f aca="false">IF(OR(OPERATIONS!$N280=0,OPERATIONS!$C280="CONSOMMATION"),0,OPERATIONS!$G280)</f>
        <v>0</v>
      </c>
      <c r="L580" s="67" t="n">
        <f aca="false">IF($K580=0,0,OPERATIONS!$Q280*$K580)</f>
        <v>0</v>
      </c>
      <c r="M580" s="26" t="str">
        <f aca="false">IF($K580=0,"",OPERATIONS!$P280)</f>
        <v/>
      </c>
      <c r="N580" s="26" t="str">
        <f aca="false">IF($G580="","",IF($G580=R_LOT,COUNTIF($G$5:$G580,R_LOT),""))</f>
        <v/>
      </c>
    </row>
    <row r="581" customFormat="false" ht="15" hidden="false" customHeight="false" outlineLevel="0" collapsed="false">
      <c r="A581" s="28" t="str">
        <f aca="false">IF($K581=0,"",ROW()-4)</f>
        <v/>
      </c>
      <c r="B581" s="26" t="str">
        <f aca="false">IF($K581=0,"","OPERATIONS")</f>
        <v/>
      </c>
      <c r="C581" s="26" t="str">
        <f aca="false">IF($K581=0,"",OPERATIONS!$A281)</f>
        <v/>
      </c>
      <c r="D581" s="31" t="str">
        <f aca="false">IF($K581=0,"",OPERATIONS!$B281)</f>
        <v/>
      </c>
      <c r="E581" s="26" t="str">
        <f aca="false">IF($K581=0,"","ENTREE")</f>
        <v/>
      </c>
      <c r="F581" s="26" t="str">
        <f aca="false">IF($K581=0,"",OPERATIONS!$C281)</f>
        <v/>
      </c>
      <c r="G581" s="26" t="str">
        <f aca="false">IF($K581=0,"",OPERATIONS!$D281)</f>
        <v/>
      </c>
      <c r="H581" s="26" t="str">
        <f aca="false">IF($K581=0,"",OPERATIONS!$F281)</f>
        <v/>
      </c>
      <c r="I581" s="26" t="str">
        <f aca="false">IF($H581="","",IFERROR(INDEX(EMPL_CLASSE,MATCH($H581,EMPL_KEY,0)),""))</f>
        <v/>
      </c>
      <c r="J581" s="26" t="str">
        <f aca="false">IF($K581=0,"",OPERATIONS!$J281)</f>
        <v/>
      </c>
      <c r="K581" s="67" t="n">
        <f aca="false">IF(OR(OPERATIONS!$N281=0,OPERATIONS!$C281="CONSOMMATION"),0,OPERATIONS!$G281)</f>
        <v>0</v>
      </c>
      <c r="L581" s="67" t="n">
        <f aca="false">IF($K581=0,0,OPERATIONS!$Q281*$K581)</f>
        <v>0</v>
      </c>
      <c r="M581" s="26" t="str">
        <f aca="false">IF($K581=0,"",OPERATIONS!$P281)</f>
        <v/>
      </c>
      <c r="N581" s="26" t="str">
        <f aca="false">IF($G581="","",IF($G581=R_LOT,COUNTIF($G$5:$G581,R_LOT),""))</f>
        <v/>
      </c>
    </row>
    <row r="582" customFormat="false" ht="15" hidden="false" customHeight="false" outlineLevel="0" collapsed="false">
      <c r="A582" s="28" t="str">
        <f aca="false">IF($K582=0,"",ROW()-4)</f>
        <v/>
      </c>
      <c r="B582" s="26" t="str">
        <f aca="false">IF($K582=0,"","OPERATIONS")</f>
        <v/>
      </c>
      <c r="C582" s="26" t="str">
        <f aca="false">IF($K582=0,"",OPERATIONS!$A282)</f>
        <v/>
      </c>
      <c r="D582" s="31" t="str">
        <f aca="false">IF($K582=0,"",OPERATIONS!$B282)</f>
        <v/>
      </c>
      <c r="E582" s="26" t="str">
        <f aca="false">IF($K582=0,"","ENTREE")</f>
        <v/>
      </c>
      <c r="F582" s="26" t="str">
        <f aca="false">IF($K582=0,"",OPERATIONS!$C282)</f>
        <v/>
      </c>
      <c r="G582" s="26" t="str">
        <f aca="false">IF($K582=0,"",OPERATIONS!$D282)</f>
        <v/>
      </c>
      <c r="H582" s="26" t="str">
        <f aca="false">IF($K582=0,"",OPERATIONS!$F282)</f>
        <v/>
      </c>
      <c r="I582" s="26" t="str">
        <f aca="false">IF($H582="","",IFERROR(INDEX(EMPL_CLASSE,MATCH($H582,EMPL_KEY,0)),""))</f>
        <v/>
      </c>
      <c r="J582" s="26" t="str">
        <f aca="false">IF($K582=0,"",OPERATIONS!$J282)</f>
        <v/>
      </c>
      <c r="K582" s="67" t="n">
        <f aca="false">IF(OR(OPERATIONS!$N282=0,OPERATIONS!$C282="CONSOMMATION"),0,OPERATIONS!$G282)</f>
        <v>0</v>
      </c>
      <c r="L582" s="67" t="n">
        <f aca="false">IF($K582=0,0,OPERATIONS!$Q282*$K582)</f>
        <v>0</v>
      </c>
      <c r="M582" s="26" t="str">
        <f aca="false">IF($K582=0,"",OPERATIONS!$P282)</f>
        <v/>
      </c>
      <c r="N582" s="26" t="str">
        <f aca="false">IF($G582="","",IF($G582=R_LOT,COUNTIF($G$5:$G582,R_LOT),""))</f>
        <v/>
      </c>
    </row>
    <row r="583" customFormat="false" ht="15" hidden="false" customHeight="false" outlineLevel="0" collapsed="false">
      <c r="A583" s="28" t="str">
        <f aca="false">IF($K583=0,"",ROW()-4)</f>
        <v/>
      </c>
      <c r="B583" s="26" t="str">
        <f aca="false">IF($K583=0,"","OPERATIONS")</f>
        <v/>
      </c>
      <c r="C583" s="26" t="str">
        <f aca="false">IF($K583=0,"",OPERATIONS!$A283)</f>
        <v/>
      </c>
      <c r="D583" s="31" t="str">
        <f aca="false">IF($K583=0,"",OPERATIONS!$B283)</f>
        <v/>
      </c>
      <c r="E583" s="26" t="str">
        <f aca="false">IF($K583=0,"","ENTREE")</f>
        <v/>
      </c>
      <c r="F583" s="26" t="str">
        <f aca="false">IF($K583=0,"",OPERATIONS!$C283)</f>
        <v/>
      </c>
      <c r="G583" s="26" t="str">
        <f aca="false">IF($K583=0,"",OPERATIONS!$D283)</f>
        <v/>
      </c>
      <c r="H583" s="26" t="str">
        <f aca="false">IF($K583=0,"",OPERATIONS!$F283)</f>
        <v/>
      </c>
      <c r="I583" s="26" t="str">
        <f aca="false">IF($H583="","",IFERROR(INDEX(EMPL_CLASSE,MATCH($H583,EMPL_KEY,0)),""))</f>
        <v/>
      </c>
      <c r="J583" s="26" t="str">
        <f aca="false">IF($K583=0,"",OPERATIONS!$J283)</f>
        <v/>
      </c>
      <c r="K583" s="67" t="n">
        <f aca="false">IF(OR(OPERATIONS!$N283=0,OPERATIONS!$C283="CONSOMMATION"),0,OPERATIONS!$G283)</f>
        <v>0</v>
      </c>
      <c r="L583" s="67" t="n">
        <f aca="false">IF($K583=0,0,OPERATIONS!$Q283*$K583)</f>
        <v>0</v>
      </c>
      <c r="M583" s="26" t="str">
        <f aca="false">IF($K583=0,"",OPERATIONS!$P283)</f>
        <v/>
      </c>
      <c r="N583" s="26" t="str">
        <f aca="false">IF($G583="","",IF($G583=R_LOT,COUNTIF($G$5:$G583,R_LOT),""))</f>
        <v/>
      </c>
    </row>
    <row r="584" customFormat="false" ht="15" hidden="false" customHeight="false" outlineLevel="0" collapsed="false">
      <c r="A584" s="28" t="str">
        <f aca="false">IF($K584=0,"",ROW()-4)</f>
        <v/>
      </c>
      <c r="B584" s="26" t="str">
        <f aca="false">IF($K584=0,"","OPERATIONS")</f>
        <v/>
      </c>
      <c r="C584" s="26" t="str">
        <f aca="false">IF($K584=0,"",OPERATIONS!$A284)</f>
        <v/>
      </c>
      <c r="D584" s="31" t="str">
        <f aca="false">IF($K584=0,"",OPERATIONS!$B284)</f>
        <v/>
      </c>
      <c r="E584" s="26" t="str">
        <f aca="false">IF($K584=0,"","ENTREE")</f>
        <v/>
      </c>
      <c r="F584" s="26" t="str">
        <f aca="false">IF($K584=0,"",OPERATIONS!$C284)</f>
        <v/>
      </c>
      <c r="G584" s="26" t="str">
        <f aca="false">IF($K584=0,"",OPERATIONS!$D284)</f>
        <v/>
      </c>
      <c r="H584" s="26" t="str">
        <f aca="false">IF($K584=0,"",OPERATIONS!$F284)</f>
        <v/>
      </c>
      <c r="I584" s="26" t="str">
        <f aca="false">IF($H584="","",IFERROR(INDEX(EMPL_CLASSE,MATCH($H584,EMPL_KEY,0)),""))</f>
        <v/>
      </c>
      <c r="J584" s="26" t="str">
        <f aca="false">IF($K584=0,"",OPERATIONS!$J284)</f>
        <v/>
      </c>
      <c r="K584" s="67" t="n">
        <f aca="false">IF(OR(OPERATIONS!$N284=0,OPERATIONS!$C284="CONSOMMATION"),0,OPERATIONS!$G284)</f>
        <v>0</v>
      </c>
      <c r="L584" s="67" t="n">
        <f aca="false">IF($K584=0,0,OPERATIONS!$Q284*$K584)</f>
        <v>0</v>
      </c>
      <c r="M584" s="26" t="str">
        <f aca="false">IF($K584=0,"",OPERATIONS!$P284)</f>
        <v/>
      </c>
      <c r="N584" s="26" t="str">
        <f aca="false">IF($G584="","",IF($G584=R_LOT,COUNTIF($G$5:$G584,R_LOT),""))</f>
        <v/>
      </c>
    </row>
    <row r="585" customFormat="false" ht="15" hidden="false" customHeight="false" outlineLevel="0" collapsed="false">
      <c r="A585" s="28" t="str">
        <f aca="false">IF($K585=0,"",ROW()-4)</f>
        <v/>
      </c>
      <c r="B585" s="26" t="str">
        <f aca="false">IF($K585=0,"","OPERATIONS")</f>
        <v/>
      </c>
      <c r="C585" s="26" t="str">
        <f aca="false">IF($K585=0,"",OPERATIONS!$A285)</f>
        <v/>
      </c>
      <c r="D585" s="31" t="str">
        <f aca="false">IF($K585=0,"",OPERATIONS!$B285)</f>
        <v/>
      </c>
      <c r="E585" s="26" t="str">
        <f aca="false">IF($K585=0,"","ENTREE")</f>
        <v/>
      </c>
      <c r="F585" s="26" t="str">
        <f aca="false">IF($K585=0,"",OPERATIONS!$C285)</f>
        <v/>
      </c>
      <c r="G585" s="26" t="str">
        <f aca="false">IF($K585=0,"",OPERATIONS!$D285)</f>
        <v/>
      </c>
      <c r="H585" s="26" t="str">
        <f aca="false">IF($K585=0,"",OPERATIONS!$F285)</f>
        <v/>
      </c>
      <c r="I585" s="26" t="str">
        <f aca="false">IF($H585="","",IFERROR(INDEX(EMPL_CLASSE,MATCH($H585,EMPL_KEY,0)),""))</f>
        <v/>
      </c>
      <c r="J585" s="26" t="str">
        <f aca="false">IF($K585=0,"",OPERATIONS!$J285)</f>
        <v/>
      </c>
      <c r="K585" s="67" t="n">
        <f aca="false">IF(OR(OPERATIONS!$N285=0,OPERATIONS!$C285="CONSOMMATION"),0,OPERATIONS!$G285)</f>
        <v>0</v>
      </c>
      <c r="L585" s="67" t="n">
        <f aca="false">IF($K585=0,0,OPERATIONS!$Q285*$K585)</f>
        <v>0</v>
      </c>
      <c r="M585" s="26" t="str">
        <f aca="false">IF($K585=0,"",OPERATIONS!$P285)</f>
        <v/>
      </c>
      <c r="N585" s="26" t="str">
        <f aca="false">IF($G585="","",IF($G585=R_LOT,COUNTIF($G$5:$G585,R_LOT),""))</f>
        <v/>
      </c>
    </row>
    <row r="586" customFormat="false" ht="15" hidden="false" customHeight="false" outlineLevel="0" collapsed="false">
      <c r="A586" s="28" t="str">
        <f aca="false">IF($K586=0,"",ROW()-4)</f>
        <v/>
      </c>
      <c r="B586" s="26" t="str">
        <f aca="false">IF($K586=0,"","OPERATIONS")</f>
        <v/>
      </c>
      <c r="C586" s="26" t="str">
        <f aca="false">IF($K586=0,"",OPERATIONS!$A286)</f>
        <v/>
      </c>
      <c r="D586" s="31" t="str">
        <f aca="false">IF($K586=0,"",OPERATIONS!$B286)</f>
        <v/>
      </c>
      <c r="E586" s="26" t="str">
        <f aca="false">IF($K586=0,"","ENTREE")</f>
        <v/>
      </c>
      <c r="F586" s="26" t="str">
        <f aca="false">IF($K586=0,"",OPERATIONS!$C286)</f>
        <v/>
      </c>
      <c r="G586" s="26" t="str">
        <f aca="false">IF($K586=0,"",OPERATIONS!$D286)</f>
        <v/>
      </c>
      <c r="H586" s="26" t="str">
        <f aca="false">IF($K586=0,"",OPERATIONS!$F286)</f>
        <v/>
      </c>
      <c r="I586" s="26" t="str">
        <f aca="false">IF($H586="","",IFERROR(INDEX(EMPL_CLASSE,MATCH($H586,EMPL_KEY,0)),""))</f>
        <v/>
      </c>
      <c r="J586" s="26" t="str">
        <f aca="false">IF($K586=0,"",OPERATIONS!$J286)</f>
        <v/>
      </c>
      <c r="K586" s="67" t="n">
        <f aca="false">IF(OR(OPERATIONS!$N286=0,OPERATIONS!$C286="CONSOMMATION"),0,OPERATIONS!$G286)</f>
        <v>0</v>
      </c>
      <c r="L586" s="67" t="n">
        <f aca="false">IF($K586=0,0,OPERATIONS!$Q286*$K586)</f>
        <v>0</v>
      </c>
      <c r="M586" s="26" t="str">
        <f aca="false">IF($K586=0,"",OPERATIONS!$P286)</f>
        <v/>
      </c>
      <c r="N586" s="26" t="str">
        <f aca="false">IF($G586="","",IF($G586=R_LOT,COUNTIF($G$5:$G586,R_LOT),""))</f>
        <v/>
      </c>
    </row>
    <row r="587" customFormat="false" ht="15" hidden="false" customHeight="false" outlineLevel="0" collapsed="false">
      <c r="A587" s="28" t="str">
        <f aca="false">IF($K587=0,"",ROW()-4)</f>
        <v/>
      </c>
      <c r="B587" s="26" t="str">
        <f aca="false">IF($K587=0,"","OPERATIONS")</f>
        <v/>
      </c>
      <c r="C587" s="26" t="str">
        <f aca="false">IF($K587=0,"",OPERATIONS!$A287)</f>
        <v/>
      </c>
      <c r="D587" s="31" t="str">
        <f aca="false">IF($K587=0,"",OPERATIONS!$B287)</f>
        <v/>
      </c>
      <c r="E587" s="26" t="str">
        <f aca="false">IF($K587=0,"","ENTREE")</f>
        <v/>
      </c>
      <c r="F587" s="26" t="str">
        <f aca="false">IF($K587=0,"",OPERATIONS!$C287)</f>
        <v/>
      </c>
      <c r="G587" s="26" t="str">
        <f aca="false">IF($K587=0,"",OPERATIONS!$D287)</f>
        <v/>
      </c>
      <c r="H587" s="26" t="str">
        <f aca="false">IF($K587=0,"",OPERATIONS!$F287)</f>
        <v/>
      </c>
      <c r="I587" s="26" t="str">
        <f aca="false">IF($H587="","",IFERROR(INDEX(EMPL_CLASSE,MATCH($H587,EMPL_KEY,0)),""))</f>
        <v/>
      </c>
      <c r="J587" s="26" t="str">
        <f aca="false">IF($K587=0,"",OPERATIONS!$J287)</f>
        <v/>
      </c>
      <c r="K587" s="67" t="n">
        <f aca="false">IF(OR(OPERATIONS!$N287=0,OPERATIONS!$C287="CONSOMMATION"),0,OPERATIONS!$G287)</f>
        <v>0</v>
      </c>
      <c r="L587" s="67" t="n">
        <f aca="false">IF($K587=0,0,OPERATIONS!$Q287*$K587)</f>
        <v>0</v>
      </c>
      <c r="M587" s="26" t="str">
        <f aca="false">IF($K587=0,"",OPERATIONS!$P287)</f>
        <v/>
      </c>
      <c r="N587" s="26" t="str">
        <f aca="false">IF($G587="","",IF($G587=R_LOT,COUNTIF($G$5:$G587,R_LOT),""))</f>
        <v/>
      </c>
    </row>
    <row r="588" customFormat="false" ht="15" hidden="false" customHeight="false" outlineLevel="0" collapsed="false">
      <c r="A588" s="28" t="str">
        <f aca="false">IF($K588=0,"",ROW()-4)</f>
        <v/>
      </c>
      <c r="B588" s="26" t="str">
        <f aca="false">IF($K588=0,"","OPERATIONS")</f>
        <v/>
      </c>
      <c r="C588" s="26" t="str">
        <f aca="false">IF($K588=0,"",OPERATIONS!$A288)</f>
        <v/>
      </c>
      <c r="D588" s="31" t="str">
        <f aca="false">IF($K588=0,"",OPERATIONS!$B288)</f>
        <v/>
      </c>
      <c r="E588" s="26" t="str">
        <f aca="false">IF($K588=0,"","ENTREE")</f>
        <v/>
      </c>
      <c r="F588" s="26" t="str">
        <f aca="false">IF($K588=0,"",OPERATIONS!$C288)</f>
        <v/>
      </c>
      <c r="G588" s="26" t="str">
        <f aca="false">IF($K588=0,"",OPERATIONS!$D288)</f>
        <v/>
      </c>
      <c r="H588" s="26" t="str">
        <f aca="false">IF($K588=0,"",OPERATIONS!$F288)</f>
        <v/>
      </c>
      <c r="I588" s="26" t="str">
        <f aca="false">IF($H588="","",IFERROR(INDEX(EMPL_CLASSE,MATCH($H588,EMPL_KEY,0)),""))</f>
        <v/>
      </c>
      <c r="J588" s="26" t="str">
        <f aca="false">IF($K588=0,"",OPERATIONS!$J288)</f>
        <v/>
      </c>
      <c r="K588" s="67" t="n">
        <f aca="false">IF(OR(OPERATIONS!$N288=0,OPERATIONS!$C288="CONSOMMATION"),0,OPERATIONS!$G288)</f>
        <v>0</v>
      </c>
      <c r="L588" s="67" t="n">
        <f aca="false">IF($K588=0,0,OPERATIONS!$Q288*$K588)</f>
        <v>0</v>
      </c>
      <c r="M588" s="26" t="str">
        <f aca="false">IF($K588=0,"",OPERATIONS!$P288)</f>
        <v/>
      </c>
      <c r="N588" s="26" t="str">
        <f aca="false">IF($G588="","",IF($G588=R_LOT,COUNTIF($G$5:$G588,R_LOT),""))</f>
        <v/>
      </c>
    </row>
    <row r="589" customFormat="false" ht="15" hidden="false" customHeight="false" outlineLevel="0" collapsed="false">
      <c r="A589" s="28" t="str">
        <f aca="false">IF($K589=0,"",ROW()-4)</f>
        <v/>
      </c>
      <c r="B589" s="26" t="str">
        <f aca="false">IF($K589=0,"","OPERATIONS")</f>
        <v/>
      </c>
      <c r="C589" s="26" t="str">
        <f aca="false">IF($K589=0,"",OPERATIONS!$A289)</f>
        <v/>
      </c>
      <c r="D589" s="31" t="str">
        <f aca="false">IF($K589=0,"",OPERATIONS!$B289)</f>
        <v/>
      </c>
      <c r="E589" s="26" t="str">
        <f aca="false">IF($K589=0,"","ENTREE")</f>
        <v/>
      </c>
      <c r="F589" s="26" t="str">
        <f aca="false">IF($K589=0,"",OPERATIONS!$C289)</f>
        <v/>
      </c>
      <c r="G589" s="26" t="str">
        <f aca="false">IF($K589=0,"",OPERATIONS!$D289)</f>
        <v/>
      </c>
      <c r="H589" s="26" t="str">
        <f aca="false">IF($K589=0,"",OPERATIONS!$F289)</f>
        <v/>
      </c>
      <c r="I589" s="26" t="str">
        <f aca="false">IF($H589="","",IFERROR(INDEX(EMPL_CLASSE,MATCH($H589,EMPL_KEY,0)),""))</f>
        <v/>
      </c>
      <c r="J589" s="26" t="str">
        <f aca="false">IF($K589=0,"",OPERATIONS!$J289)</f>
        <v/>
      </c>
      <c r="K589" s="67" t="n">
        <f aca="false">IF(OR(OPERATIONS!$N289=0,OPERATIONS!$C289="CONSOMMATION"),0,OPERATIONS!$G289)</f>
        <v>0</v>
      </c>
      <c r="L589" s="67" t="n">
        <f aca="false">IF($K589=0,0,OPERATIONS!$Q289*$K589)</f>
        <v>0</v>
      </c>
      <c r="M589" s="26" t="str">
        <f aca="false">IF($K589=0,"",OPERATIONS!$P289)</f>
        <v/>
      </c>
      <c r="N589" s="26" t="str">
        <f aca="false">IF($G589="","",IF($G589=R_LOT,COUNTIF($G$5:$G589,R_LOT),""))</f>
        <v/>
      </c>
    </row>
    <row r="590" customFormat="false" ht="15" hidden="false" customHeight="false" outlineLevel="0" collapsed="false">
      <c r="A590" s="28" t="str">
        <f aca="false">IF($K590=0,"",ROW()-4)</f>
        <v/>
      </c>
      <c r="B590" s="26" t="str">
        <f aca="false">IF($K590=0,"","OPERATIONS")</f>
        <v/>
      </c>
      <c r="C590" s="26" t="str">
        <f aca="false">IF($K590=0,"",OPERATIONS!$A290)</f>
        <v/>
      </c>
      <c r="D590" s="31" t="str">
        <f aca="false">IF($K590=0,"",OPERATIONS!$B290)</f>
        <v/>
      </c>
      <c r="E590" s="26" t="str">
        <f aca="false">IF($K590=0,"","ENTREE")</f>
        <v/>
      </c>
      <c r="F590" s="26" t="str">
        <f aca="false">IF($K590=0,"",OPERATIONS!$C290)</f>
        <v/>
      </c>
      <c r="G590" s="26" t="str">
        <f aca="false">IF($K590=0,"",OPERATIONS!$D290)</f>
        <v/>
      </c>
      <c r="H590" s="26" t="str">
        <f aca="false">IF($K590=0,"",OPERATIONS!$F290)</f>
        <v/>
      </c>
      <c r="I590" s="26" t="str">
        <f aca="false">IF($H590="","",IFERROR(INDEX(EMPL_CLASSE,MATCH($H590,EMPL_KEY,0)),""))</f>
        <v/>
      </c>
      <c r="J590" s="26" t="str">
        <f aca="false">IF($K590=0,"",OPERATIONS!$J290)</f>
        <v/>
      </c>
      <c r="K590" s="67" t="n">
        <f aca="false">IF(OR(OPERATIONS!$N290=0,OPERATIONS!$C290="CONSOMMATION"),0,OPERATIONS!$G290)</f>
        <v>0</v>
      </c>
      <c r="L590" s="67" t="n">
        <f aca="false">IF($K590=0,0,OPERATIONS!$Q290*$K590)</f>
        <v>0</v>
      </c>
      <c r="M590" s="26" t="str">
        <f aca="false">IF($K590=0,"",OPERATIONS!$P290)</f>
        <v/>
      </c>
      <c r="N590" s="26" t="str">
        <f aca="false">IF($G590="","",IF($G590=R_LOT,COUNTIF($G$5:$G590,R_LOT),""))</f>
        <v/>
      </c>
    </row>
    <row r="591" customFormat="false" ht="15" hidden="false" customHeight="false" outlineLevel="0" collapsed="false">
      <c r="A591" s="28" t="str">
        <f aca="false">IF($K591=0,"",ROW()-4)</f>
        <v/>
      </c>
      <c r="B591" s="26" t="str">
        <f aca="false">IF($K591=0,"","OPERATIONS")</f>
        <v/>
      </c>
      <c r="C591" s="26" t="str">
        <f aca="false">IF($K591=0,"",OPERATIONS!$A291)</f>
        <v/>
      </c>
      <c r="D591" s="31" t="str">
        <f aca="false">IF($K591=0,"",OPERATIONS!$B291)</f>
        <v/>
      </c>
      <c r="E591" s="26" t="str">
        <f aca="false">IF($K591=0,"","ENTREE")</f>
        <v/>
      </c>
      <c r="F591" s="26" t="str">
        <f aca="false">IF($K591=0,"",OPERATIONS!$C291)</f>
        <v/>
      </c>
      <c r="G591" s="26" t="str">
        <f aca="false">IF($K591=0,"",OPERATIONS!$D291)</f>
        <v/>
      </c>
      <c r="H591" s="26" t="str">
        <f aca="false">IF($K591=0,"",OPERATIONS!$F291)</f>
        <v/>
      </c>
      <c r="I591" s="26" t="str">
        <f aca="false">IF($H591="","",IFERROR(INDEX(EMPL_CLASSE,MATCH($H591,EMPL_KEY,0)),""))</f>
        <v/>
      </c>
      <c r="J591" s="26" t="str">
        <f aca="false">IF($K591=0,"",OPERATIONS!$J291)</f>
        <v/>
      </c>
      <c r="K591" s="67" t="n">
        <f aca="false">IF(OR(OPERATIONS!$N291=0,OPERATIONS!$C291="CONSOMMATION"),0,OPERATIONS!$G291)</f>
        <v>0</v>
      </c>
      <c r="L591" s="67" t="n">
        <f aca="false">IF($K591=0,0,OPERATIONS!$Q291*$K591)</f>
        <v>0</v>
      </c>
      <c r="M591" s="26" t="str">
        <f aca="false">IF($K591=0,"",OPERATIONS!$P291)</f>
        <v/>
      </c>
      <c r="N591" s="26" t="str">
        <f aca="false">IF($G591="","",IF($G591=R_LOT,COUNTIF($G$5:$G591,R_LOT),""))</f>
        <v/>
      </c>
    </row>
    <row r="592" customFormat="false" ht="15" hidden="false" customHeight="false" outlineLevel="0" collapsed="false">
      <c r="A592" s="28" t="str">
        <f aca="false">IF($K592=0,"",ROW()-4)</f>
        <v/>
      </c>
      <c r="B592" s="26" t="str">
        <f aca="false">IF($K592=0,"","OPERATIONS")</f>
        <v/>
      </c>
      <c r="C592" s="26" t="str">
        <f aca="false">IF($K592=0,"",OPERATIONS!$A292)</f>
        <v/>
      </c>
      <c r="D592" s="31" t="str">
        <f aca="false">IF($K592=0,"",OPERATIONS!$B292)</f>
        <v/>
      </c>
      <c r="E592" s="26" t="str">
        <f aca="false">IF($K592=0,"","ENTREE")</f>
        <v/>
      </c>
      <c r="F592" s="26" t="str">
        <f aca="false">IF($K592=0,"",OPERATIONS!$C292)</f>
        <v/>
      </c>
      <c r="G592" s="26" t="str">
        <f aca="false">IF($K592=0,"",OPERATIONS!$D292)</f>
        <v/>
      </c>
      <c r="H592" s="26" t="str">
        <f aca="false">IF($K592=0,"",OPERATIONS!$F292)</f>
        <v/>
      </c>
      <c r="I592" s="26" t="str">
        <f aca="false">IF($H592="","",IFERROR(INDEX(EMPL_CLASSE,MATCH($H592,EMPL_KEY,0)),""))</f>
        <v/>
      </c>
      <c r="J592" s="26" t="str">
        <f aca="false">IF($K592=0,"",OPERATIONS!$J292)</f>
        <v/>
      </c>
      <c r="K592" s="67" t="n">
        <f aca="false">IF(OR(OPERATIONS!$N292=0,OPERATIONS!$C292="CONSOMMATION"),0,OPERATIONS!$G292)</f>
        <v>0</v>
      </c>
      <c r="L592" s="67" t="n">
        <f aca="false">IF($K592=0,0,OPERATIONS!$Q292*$K592)</f>
        <v>0</v>
      </c>
      <c r="M592" s="26" t="str">
        <f aca="false">IF($K592=0,"",OPERATIONS!$P292)</f>
        <v/>
      </c>
      <c r="N592" s="26" t="str">
        <f aca="false">IF($G592="","",IF($G592=R_LOT,COUNTIF($G$5:$G592,R_LOT),""))</f>
        <v/>
      </c>
    </row>
    <row r="593" customFormat="false" ht="15" hidden="false" customHeight="false" outlineLevel="0" collapsed="false">
      <c r="A593" s="28" t="str">
        <f aca="false">IF($K593=0,"",ROW()-4)</f>
        <v/>
      </c>
      <c r="B593" s="26" t="str">
        <f aca="false">IF($K593=0,"","OPERATIONS")</f>
        <v/>
      </c>
      <c r="C593" s="26" t="str">
        <f aca="false">IF($K593=0,"",OPERATIONS!$A293)</f>
        <v/>
      </c>
      <c r="D593" s="31" t="str">
        <f aca="false">IF($K593=0,"",OPERATIONS!$B293)</f>
        <v/>
      </c>
      <c r="E593" s="26" t="str">
        <f aca="false">IF($K593=0,"","ENTREE")</f>
        <v/>
      </c>
      <c r="F593" s="26" t="str">
        <f aca="false">IF($K593=0,"",OPERATIONS!$C293)</f>
        <v/>
      </c>
      <c r="G593" s="26" t="str">
        <f aca="false">IF($K593=0,"",OPERATIONS!$D293)</f>
        <v/>
      </c>
      <c r="H593" s="26" t="str">
        <f aca="false">IF($K593=0,"",OPERATIONS!$F293)</f>
        <v/>
      </c>
      <c r="I593" s="26" t="str">
        <f aca="false">IF($H593="","",IFERROR(INDEX(EMPL_CLASSE,MATCH($H593,EMPL_KEY,0)),""))</f>
        <v/>
      </c>
      <c r="J593" s="26" t="str">
        <f aca="false">IF($K593=0,"",OPERATIONS!$J293)</f>
        <v/>
      </c>
      <c r="K593" s="67" t="n">
        <f aca="false">IF(OR(OPERATIONS!$N293=0,OPERATIONS!$C293="CONSOMMATION"),0,OPERATIONS!$G293)</f>
        <v>0</v>
      </c>
      <c r="L593" s="67" t="n">
        <f aca="false">IF($K593=0,0,OPERATIONS!$Q293*$K593)</f>
        <v>0</v>
      </c>
      <c r="M593" s="26" t="str">
        <f aca="false">IF($K593=0,"",OPERATIONS!$P293)</f>
        <v/>
      </c>
      <c r="N593" s="26" t="str">
        <f aca="false">IF($G593="","",IF($G593=R_LOT,COUNTIF($G$5:$G593,R_LOT),""))</f>
        <v/>
      </c>
    </row>
    <row r="594" customFormat="false" ht="15" hidden="false" customHeight="false" outlineLevel="0" collapsed="false">
      <c r="A594" s="28" t="str">
        <f aca="false">IF($K594=0,"",ROW()-4)</f>
        <v/>
      </c>
      <c r="B594" s="26" t="str">
        <f aca="false">IF($K594=0,"","OPERATIONS")</f>
        <v/>
      </c>
      <c r="C594" s="26" t="str">
        <f aca="false">IF($K594=0,"",OPERATIONS!$A294)</f>
        <v/>
      </c>
      <c r="D594" s="31" t="str">
        <f aca="false">IF($K594=0,"",OPERATIONS!$B294)</f>
        <v/>
      </c>
      <c r="E594" s="26" t="str">
        <f aca="false">IF($K594=0,"","ENTREE")</f>
        <v/>
      </c>
      <c r="F594" s="26" t="str">
        <f aca="false">IF($K594=0,"",OPERATIONS!$C294)</f>
        <v/>
      </c>
      <c r="G594" s="26" t="str">
        <f aca="false">IF($K594=0,"",OPERATIONS!$D294)</f>
        <v/>
      </c>
      <c r="H594" s="26" t="str">
        <f aca="false">IF($K594=0,"",OPERATIONS!$F294)</f>
        <v/>
      </c>
      <c r="I594" s="26" t="str">
        <f aca="false">IF($H594="","",IFERROR(INDEX(EMPL_CLASSE,MATCH($H594,EMPL_KEY,0)),""))</f>
        <v/>
      </c>
      <c r="J594" s="26" t="str">
        <f aca="false">IF($K594=0,"",OPERATIONS!$J294)</f>
        <v/>
      </c>
      <c r="K594" s="67" t="n">
        <f aca="false">IF(OR(OPERATIONS!$N294=0,OPERATIONS!$C294="CONSOMMATION"),0,OPERATIONS!$G294)</f>
        <v>0</v>
      </c>
      <c r="L594" s="67" t="n">
        <f aca="false">IF($K594=0,0,OPERATIONS!$Q294*$K594)</f>
        <v>0</v>
      </c>
      <c r="M594" s="26" t="str">
        <f aca="false">IF($K594=0,"",OPERATIONS!$P294)</f>
        <v/>
      </c>
      <c r="N594" s="26" t="str">
        <f aca="false">IF($G594="","",IF($G594=R_LOT,COUNTIF($G$5:$G594,R_LOT),""))</f>
        <v/>
      </c>
    </row>
    <row r="595" customFormat="false" ht="15" hidden="false" customHeight="false" outlineLevel="0" collapsed="false">
      <c r="A595" s="28" t="str">
        <f aca="false">IF($K595=0,"",ROW()-4)</f>
        <v/>
      </c>
      <c r="B595" s="26" t="str">
        <f aca="false">IF($K595=0,"","OPERATIONS")</f>
        <v/>
      </c>
      <c r="C595" s="26" t="str">
        <f aca="false">IF($K595=0,"",OPERATIONS!$A295)</f>
        <v/>
      </c>
      <c r="D595" s="31" t="str">
        <f aca="false">IF($K595=0,"",OPERATIONS!$B295)</f>
        <v/>
      </c>
      <c r="E595" s="26" t="str">
        <f aca="false">IF($K595=0,"","ENTREE")</f>
        <v/>
      </c>
      <c r="F595" s="26" t="str">
        <f aca="false">IF($K595=0,"",OPERATIONS!$C295)</f>
        <v/>
      </c>
      <c r="G595" s="26" t="str">
        <f aca="false">IF($K595=0,"",OPERATIONS!$D295)</f>
        <v/>
      </c>
      <c r="H595" s="26" t="str">
        <f aca="false">IF($K595=0,"",OPERATIONS!$F295)</f>
        <v/>
      </c>
      <c r="I595" s="26" t="str">
        <f aca="false">IF($H595="","",IFERROR(INDEX(EMPL_CLASSE,MATCH($H595,EMPL_KEY,0)),""))</f>
        <v/>
      </c>
      <c r="J595" s="26" t="str">
        <f aca="false">IF($K595=0,"",OPERATIONS!$J295)</f>
        <v/>
      </c>
      <c r="K595" s="67" t="n">
        <f aca="false">IF(OR(OPERATIONS!$N295=0,OPERATIONS!$C295="CONSOMMATION"),0,OPERATIONS!$G295)</f>
        <v>0</v>
      </c>
      <c r="L595" s="67" t="n">
        <f aca="false">IF($K595=0,0,OPERATIONS!$Q295*$K595)</f>
        <v>0</v>
      </c>
      <c r="M595" s="26" t="str">
        <f aca="false">IF($K595=0,"",OPERATIONS!$P295)</f>
        <v/>
      </c>
      <c r="N595" s="26" t="str">
        <f aca="false">IF($G595="","",IF($G595=R_LOT,COUNTIF($G$5:$G595,R_LOT),""))</f>
        <v/>
      </c>
    </row>
    <row r="596" customFormat="false" ht="15" hidden="false" customHeight="false" outlineLevel="0" collapsed="false">
      <c r="A596" s="28" t="str">
        <f aca="false">IF($K596=0,"",ROW()-4)</f>
        <v/>
      </c>
      <c r="B596" s="26" t="str">
        <f aca="false">IF($K596=0,"","OPERATIONS")</f>
        <v/>
      </c>
      <c r="C596" s="26" t="str">
        <f aca="false">IF($K596=0,"",OPERATIONS!$A296)</f>
        <v/>
      </c>
      <c r="D596" s="31" t="str">
        <f aca="false">IF($K596=0,"",OPERATIONS!$B296)</f>
        <v/>
      </c>
      <c r="E596" s="26" t="str">
        <f aca="false">IF($K596=0,"","ENTREE")</f>
        <v/>
      </c>
      <c r="F596" s="26" t="str">
        <f aca="false">IF($K596=0,"",OPERATIONS!$C296)</f>
        <v/>
      </c>
      <c r="G596" s="26" t="str">
        <f aca="false">IF($K596=0,"",OPERATIONS!$D296)</f>
        <v/>
      </c>
      <c r="H596" s="26" t="str">
        <f aca="false">IF($K596=0,"",OPERATIONS!$F296)</f>
        <v/>
      </c>
      <c r="I596" s="26" t="str">
        <f aca="false">IF($H596="","",IFERROR(INDEX(EMPL_CLASSE,MATCH($H596,EMPL_KEY,0)),""))</f>
        <v/>
      </c>
      <c r="J596" s="26" t="str">
        <f aca="false">IF($K596=0,"",OPERATIONS!$J296)</f>
        <v/>
      </c>
      <c r="K596" s="67" t="n">
        <f aca="false">IF(OR(OPERATIONS!$N296=0,OPERATIONS!$C296="CONSOMMATION"),0,OPERATIONS!$G296)</f>
        <v>0</v>
      </c>
      <c r="L596" s="67" t="n">
        <f aca="false">IF($K596=0,0,OPERATIONS!$Q296*$K596)</f>
        <v>0</v>
      </c>
      <c r="M596" s="26" t="str">
        <f aca="false">IF($K596=0,"",OPERATIONS!$P296)</f>
        <v/>
      </c>
      <c r="N596" s="26" t="str">
        <f aca="false">IF($G596="","",IF($G596=R_LOT,COUNTIF($G$5:$G596,R_LOT),""))</f>
        <v/>
      </c>
    </row>
    <row r="597" customFormat="false" ht="15" hidden="false" customHeight="false" outlineLevel="0" collapsed="false">
      <c r="A597" s="28" t="str">
        <f aca="false">IF($K597=0,"",ROW()-4)</f>
        <v/>
      </c>
      <c r="B597" s="26" t="str">
        <f aca="false">IF($K597=0,"","OPERATIONS")</f>
        <v/>
      </c>
      <c r="C597" s="26" t="str">
        <f aca="false">IF($K597=0,"",OPERATIONS!$A297)</f>
        <v/>
      </c>
      <c r="D597" s="31" t="str">
        <f aca="false">IF($K597=0,"",OPERATIONS!$B297)</f>
        <v/>
      </c>
      <c r="E597" s="26" t="str">
        <f aca="false">IF($K597=0,"","ENTREE")</f>
        <v/>
      </c>
      <c r="F597" s="26" t="str">
        <f aca="false">IF($K597=0,"",OPERATIONS!$C297)</f>
        <v/>
      </c>
      <c r="G597" s="26" t="str">
        <f aca="false">IF($K597=0,"",OPERATIONS!$D297)</f>
        <v/>
      </c>
      <c r="H597" s="26" t="str">
        <f aca="false">IF($K597=0,"",OPERATIONS!$F297)</f>
        <v/>
      </c>
      <c r="I597" s="26" t="str">
        <f aca="false">IF($H597="","",IFERROR(INDEX(EMPL_CLASSE,MATCH($H597,EMPL_KEY,0)),""))</f>
        <v/>
      </c>
      <c r="J597" s="26" t="str">
        <f aca="false">IF($K597=0,"",OPERATIONS!$J297)</f>
        <v/>
      </c>
      <c r="K597" s="67" t="n">
        <f aca="false">IF(OR(OPERATIONS!$N297=0,OPERATIONS!$C297="CONSOMMATION"),0,OPERATIONS!$G297)</f>
        <v>0</v>
      </c>
      <c r="L597" s="67" t="n">
        <f aca="false">IF($K597=0,0,OPERATIONS!$Q297*$K597)</f>
        <v>0</v>
      </c>
      <c r="M597" s="26" t="str">
        <f aca="false">IF($K597=0,"",OPERATIONS!$P297)</f>
        <v/>
      </c>
      <c r="N597" s="26" t="str">
        <f aca="false">IF($G597="","",IF($G597=R_LOT,COUNTIF($G$5:$G597,R_LOT),""))</f>
        <v/>
      </c>
    </row>
    <row r="598" customFormat="false" ht="15" hidden="false" customHeight="false" outlineLevel="0" collapsed="false">
      <c r="A598" s="28" t="str">
        <f aca="false">IF($K598=0,"",ROW()-4)</f>
        <v/>
      </c>
      <c r="B598" s="26" t="str">
        <f aca="false">IF($K598=0,"","OPERATIONS")</f>
        <v/>
      </c>
      <c r="C598" s="26" t="str">
        <f aca="false">IF($K598=0,"",OPERATIONS!$A298)</f>
        <v/>
      </c>
      <c r="D598" s="31" t="str">
        <f aca="false">IF($K598=0,"",OPERATIONS!$B298)</f>
        <v/>
      </c>
      <c r="E598" s="26" t="str">
        <f aca="false">IF($K598=0,"","ENTREE")</f>
        <v/>
      </c>
      <c r="F598" s="26" t="str">
        <f aca="false">IF($K598=0,"",OPERATIONS!$C298)</f>
        <v/>
      </c>
      <c r="G598" s="26" t="str">
        <f aca="false">IF($K598=0,"",OPERATIONS!$D298)</f>
        <v/>
      </c>
      <c r="H598" s="26" t="str">
        <f aca="false">IF($K598=0,"",OPERATIONS!$F298)</f>
        <v/>
      </c>
      <c r="I598" s="26" t="str">
        <f aca="false">IF($H598="","",IFERROR(INDEX(EMPL_CLASSE,MATCH($H598,EMPL_KEY,0)),""))</f>
        <v/>
      </c>
      <c r="J598" s="26" t="str">
        <f aca="false">IF($K598=0,"",OPERATIONS!$J298)</f>
        <v/>
      </c>
      <c r="K598" s="67" t="n">
        <f aca="false">IF(OR(OPERATIONS!$N298=0,OPERATIONS!$C298="CONSOMMATION"),0,OPERATIONS!$G298)</f>
        <v>0</v>
      </c>
      <c r="L598" s="67" t="n">
        <f aca="false">IF($K598=0,0,OPERATIONS!$Q298*$K598)</f>
        <v>0</v>
      </c>
      <c r="M598" s="26" t="str">
        <f aca="false">IF($K598=0,"",OPERATIONS!$P298)</f>
        <v/>
      </c>
      <c r="N598" s="26" t="str">
        <f aca="false">IF($G598="","",IF($G598=R_LOT,COUNTIF($G$5:$G598,R_LOT),""))</f>
        <v/>
      </c>
    </row>
    <row r="599" customFormat="false" ht="15" hidden="false" customHeight="false" outlineLevel="0" collapsed="false">
      <c r="A599" s="28" t="str">
        <f aca="false">IF($K599=0,"",ROW()-4)</f>
        <v/>
      </c>
      <c r="B599" s="26" t="str">
        <f aca="false">IF($K599=0,"","OPERATIONS")</f>
        <v/>
      </c>
      <c r="C599" s="26" t="str">
        <f aca="false">IF($K599=0,"",OPERATIONS!$A299)</f>
        <v/>
      </c>
      <c r="D599" s="31" t="str">
        <f aca="false">IF($K599=0,"",OPERATIONS!$B299)</f>
        <v/>
      </c>
      <c r="E599" s="26" t="str">
        <f aca="false">IF($K599=0,"","ENTREE")</f>
        <v/>
      </c>
      <c r="F599" s="26" t="str">
        <f aca="false">IF($K599=0,"",OPERATIONS!$C299)</f>
        <v/>
      </c>
      <c r="G599" s="26" t="str">
        <f aca="false">IF($K599=0,"",OPERATIONS!$D299)</f>
        <v/>
      </c>
      <c r="H599" s="26" t="str">
        <f aca="false">IF($K599=0,"",OPERATIONS!$F299)</f>
        <v/>
      </c>
      <c r="I599" s="26" t="str">
        <f aca="false">IF($H599="","",IFERROR(INDEX(EMPL_CLASSE,MATCH($H599,EMPL_KEY,0)),""))</f>
        <v/>
      </c>
      <c r="J599" s="26" t="str">
        <f aca="false">IF($K599=0,"",OPERATIONS!$J299)</f>
        <v/>
      </c>
      <c r="K599" s="67" t="n">
        <f aca="false">IF(OR(OPERATIONS!$N299=0,OPERATIONS!$C299="CONSOMMATION"),0,OPERATIONS!$G299)</f>
        <v>0</v>
      </c>
      <c r="L599" s="67" t="n">
        <f aca="false">IF($K599=0,0,OPERATIONS!$Q299*$K599)</f>
        <v>0</v>
      </c>
      <c r="M599" s="26" t="str">
        <f aca="false">IF($K599=0,"",OPERATIONS!$P299)</f>
        <v/>
      </c>
      <c r="N599" s="26" t="str">
        <f aca="false">IF($G599="","",IF($G599=R_LOT,COUNTIF($G$5:$G599,R_LOT),""))</f>
        <v/>
      </c>
    </row>
    <row r="600" customFormat="false" ht="15" hidden="false" customHeight="false" outlineLevel="0" collapsed="false">
      <c r="A600" s="28" t="str">
        <f aca="false">IF($K600=0,"",ROW()-4)</f>
        <v/>
      </c>
      <c r="B600" s="26" t="str">
        <f aca="false">IF($K600=0,"","OPERATIONS")</f>
        <v/>
      </c>
      <c r="C600" s="26" t="str">
        <f aca="false">IF($K600=0,"",OPERATIONS!$A300)</f>
        <v/>
      </c>
      <c r="D600" s="31" t="str">
        <f aca="false">IF($K600=0,"",OPERATIONS!$B300)</f>
        <v/>
      </c>
      <c r="E600" s="26" t="str">
        <f aca="false">IF($K600=0,"","ENTREE")</f>
        <v/>
      </c>
      <c r="F600" s="26" t="str">
        <f aca="false">IF($K600=0,"",OPERATIONS!$C300)</f>
        <v/>
      </c>
      <c r="G600" s="26" t="str">
        <f aca="false">IF($K600=0,"",OPERATIONS!$D300)</f>
        <v/>
      </c>
      <c r="H600" s="26" t="str">
        <f aca="false">IF($K600=0,"",OPERATIONS!$F300)</f>
        <v/>
      </c>
      <c r="I600" s="26" t="str">
        <f aca="false">IF($H600="","",IFERROR(INDEX(EMPL_CLASSE,MATCH($H600,EMPL_KEY,0)),""))</f>
        <v/>
      </c>
      <c r="J600" s="26" t="str">
        <f aca="false">IF($K600=0,"",OPERATIONS!$J300)</f>
        <v/>
      </c>
      <c r="K600" s="67" t="n">
        <f aca="false">IF(OR(OPERATIONS!$N300=0,OPERATIONS!$C300="CONSOMMATION"),0,OPERATIONS!$G300)</f>
        <v>0</v>
      </c>
      <c r="L600" s="67" t="n">
        <f aca="false">IF($K600=0,0,OPERATIONS!$Q300*$K600)</f>
        <v>0</v>
      </c>
      <c r="M600" s="26" t="str">
        <f aca="false">IF($K600=0,"",OPERATIONS!$P300)</f>
        <v/>
      </c>
      <c r="N600" s="26" t="str">
        <f aca="false">IF($G600="","",IF($G600=R_LOT,COUNTIF($G$5:$G600,R_LOT),""))</f>
        <v/>
      </c>
    </row>
    <row r="601" customFormat="false" ht="15" hidden="false" customHeight="false" outlineLevel="0" collapsed="false">
      <c r="A601" s="28" t="str">
        <f aca="false">IF($K601=0,"",ROW()-4)</f>
        <v/>
      </c>
      <c r="B601" s="26" t="str">
        <f aca="false">IF($K601=0,"","OPERATIONS")</f>
        <v/>
      </c>
      <c r="C601" s="26" t="str">
        <f aca="false">IF($K601=0,"",OPERATIONS!$A301)</f>
        <v/>
      </c>
      <c r="D601" s="31" t="str">
        <f aca="false">IF($K601=0,"",OPERATIONS!$B301)</f>
        <v/>
      </c>
      <c r="E601" s="26" t="str">
        <f aca="false">IF($K601=0,"","ENTREE")</f>
        <v/>
      </c>
      <c r="F601" s="26" t="str">
        <f aca="false">IF($K601=0,"",OPERATIONS!$C301)</f>
        <v/>
      </c>
      <c r="G601" s="26" t="str">
        <f aca="false">IF($K601=0,"",OPERATIONS!$D301)</f>
        <v/>
      </c>
      <c r="H601" s="26" t="str">
        <f aca="false">IF($K601=0,"",OPERATIONS!$F301)</f>
        <v/>
      </c>
      <c r="I601" s="26" t="str">
        <f aca="false">IF($H601="","",IFERROR(INDEX(EMPL_CLASSE,MATCH($H601,EMPL_KEY,0)),""))</f>
        <v/>
      </c>
      <c r="J601" s="26" t="str">
        <f aca="false">IF($K601=0,"",OPERATIONS!$J301)</f>
        <v/>
      </c>
      <c r="K601" s="67" t="n">
        <f aca="false">IF(OR(OPERATIONS!$N301=0,OPERATIONS!$C301="CONSOMMATION"),0,OPERATIONS!$G301)</f>
        <v>0</v>
      </c>
      <c r="L601" s="67" t="n">
        <f aca="false">IF($K601=0,0,OPERATIONS!$Q301*$K601)</f>
        <v>0</v>
      </c>
      <c r="M601" s="26" t="str">
        <f aca="false">IF($K601=0,"",OPERATIONS!$P301)</f>
        <v/>
      </c>
      <c r="N601" s="26" t="str">
        <f aca="false">IF($G601="","",IF($G601=R_LOT,COUNTIF($G$5:$G601,R_LOT),""))</f>
        <v/>
      </c>
    </row>
    <row r="602" customFormat="false" ht="15" hidden="false" customHeight="false" outlineLevel="0" collapsed="false">
      <c r="A602" s="28" t="str">
        <f aca="false">IF($K602=0,"",ROW()-4)</f>
        <v/>
      </c>
      <c r="B602" s="26" t="str">
        <f aca="false">IF($K602=0,"","OPERATIONS")</f>
        <v/>
      </c>
      <c r="C602" s="26" t="str">
        <f aca="false">IF($K602=0,"",OPERATIONS!$A302)</f>
        <v/>
      </c>
      <c r="D602" s="31" t="str">
        <f aca="false">IF($K602=0,"",OPERATIONS!$B302)</f>
        <v/>
      </c>
      <c r="E602" s="26" t="str">
        <f aca="false">IF($K602=0,"","ENTREE")</f>
        <v/>
      </c>
      <c r="F602" s="26" t="str">
        <f aca="false">IF($K602=0,"",OPERATIONS!$C302)</f>
        <v/>
      </c>
      <c r="G602" s="26" t="str">
        <f aca="false">IF($K602=0,"",OPERATIONS!$D302)</f>
        <v/>
      </c>
      <c r="H602" s="26" t="str">
        <f aca="false">IF($K602=0,"",OPERATIONS!$F302)</f>
        <v/>
      </c>
      <c r="I602" s="26" t="str">
        <f aca="false">IF($H602="","",IFERROR(INDEX(EMPL_CLASSE,MATCH($H602,EMPL_KEY,0)),""))</f>
        <v/>
      </c>
      <c r="J602" s="26" t="str">
        <f aca="false">IF($K602=0,"",OPERATIONS!$J302)</f>
        <v/>
      </c>
      <c r="K602" s="67" t="n">
        <f aca="false">IF(OR(OPERATIONS!$N302=0,OPERATIONS!$C302="CONSOMMATION"),0,OPERATIONS!$G302)</f>
        <v>0</v>
      </c>
      <c r="L602" s="67" t="n">
        <f aca="false">IF($K602=0,0,OPERATIONS!$Q302*$K602)</f>
        <v>0</v>
      </c>
      <c r="M602" s="26" t="str">
        <f aca="false">IF($K602=0,"",OPERATIONS!$P302)</f>
        <v/>
      </c>
      <c r="N602" s="26" t="str">
        <f aca="false">IF($G602="","",IF($G602=R_LOT,COUNTIF($G$5:$G602,R_LOT),""))</f>
        <v/>
      </c>
    </row>
    <row r="603" customFormat="false" ht="15" hidden="false" customHeight="false" outlineLevel="0" collapsed="false">
      <c r="A603" s="28" t="str">
        <f aca="false">IF($K603=0,"",ROW()-4)</f>
        <v/>
      </c>
      <c r="B603" s="26" t="str">
        <f aca="false">IF($K603=0,"","OPERATIONS")</f>
        <v/>
      </c>
      <c r="C603" s="26" t="str">
        <f aca="false">IF($K603=0,"",OPERATIONS!$A303)</f>
        <v/>
      </c>
      <c r="D603" s="31" t="str">
        <f aca="false">IF($K603=0,"",OPERATIONS!$B303)</f>
        <v/>
      </c>
      <c r="E603" s="26" t="str">
        <f aca="false">IF($K603=0,"","ENTREE")</f>
        <v/>
      </c>
      <c r="F603" s="26" t="str">
        <f aca="false">IF($K603=0,"",OPERATIONS!$C303)</f>
        <v/>
      </c>
      <c r="G603" s="26" t="str">
        <f aca="false">IF($K603=0,"",OPERATIONS!$D303)</f>
        <v/>
      </c>
      <c r="H603" s="26" t="str">
        <f aca="false">IF($K603=0,"",OPERATIONS!$F303)</f>
        <v/>
      </c>
      <c r="I603" s="26" t="str">
        <f aca="false">IF($H603="","",IFERROR(INDEX(EMPL_CLASSE,MATCH($H603,EMPL_KEY,0)),""))</f>
        <v/>
      </c>
      <c r="J603" s="26" t="str">
        <f aca="false">IF($K603=0,"",OPERATIONS!$J303)</f>
        <v/>
      </c>
      <c r="K603" s="67" t="n">
        <f aca="false">IF(OR(OPERATIONS!$N303=0,OPERATIONS!$C303="CONSOMMATION"),0,OPERATIONS!$G303)</f>
        <v>0</v>
      </c>
      <c r="L603" s="67" t="n">
        <f aca="false">IF($K603=0,0,OPERATIONS!$Q303*$K603)</f>
        <v>0</v>
      </c>
      <c r="M603" s="26" t="str">
        <f aca="false">IF($K603=0,"",OPERATIONS!$P303)</f>
        <v/>
      </c>
      <c r="N603" s="26" t="str">
        <f aca="false">IF($G603="","",IF($G603=R_LOT,COUNTIF($G$5:$G603,R_LOT),""))</f>
        <v/>
      </c>
    </row>
    <row r="604" customFormat="false" ht="15" hidden="false" customHeight="false" outlineLevel="0" collapsed="false">
      <c r="A604" s="28" t="str">
        <f aca="false">IF($K604=0,"",ROW()-4)</f>
        <v/>
      </c>
      <c r="B604" s="26" t="str">
        <f aca="false">IF($K604=0,"","OPERATIONS")</f>
        <v/>
      </c>
      <c r="C604" s="26" t="str">
        <f aca="false">IF($K604=0,"",OPERATIONS!$A304)</f>
        <v/>
      </c>
      <c r="D604" s="31" t="str">
        <f aca="false">IF($K604=0,"",OPERATIONS!$B304)</f>
        <v/>
      </c>
      <c r="E604" s="26" t="str">
        <f aca="false">IF($K604=0,"","ENTREE")</f>
        <v/>
      </c>
      <c r="F604" s="26" t="str">
        <f aca="false">IF($K604=0,"",OPERATIONS!$C304)</f>
        <v/>
      </c>
      <c r="G604" s="26" t="str">
        <f aca="false">IF($K604=0,"",OPERATIONS!$D304)</f>
        <v/>
      </c>
      <c r="H604" s="26" t="str">
        <f aca="false">IF($K604=0,"",OPERATIONS!$F304)</f>
        <v/>
      </c>
      <c r="I604" s="26" t="str">
        <f aca="false">IF($H604="","",IFERROR(INDEX(EMPL_CLASSE,MATCH($H604,EMPL_KEY,0)),""))</f>
        <v/>
      </c>
      <c r="J604" s="26" t="str">
        <f aca="false">IF($K604=0,"",OPERATIONS!$J304)</f>
        <v/>
      </c>
      <c r="K604" s="67" t="n">
        <f aca="false">IF(OR(OPERATIONS!$N304=0,OPERATIONS!$C304="CONSOMMATION"),0,OPERATIONS!$G304)</f>
        <v>0</v>
      </c>
      <c r="L604" s="67" t="n">
        <f aca="false">IF($K604=0,0,OPERATIONS!$Q304*$K604)</f>
        <v>0</v>
      </c>
      <c r="M604" s="26" t="str">
        <f aca="false">IF($K604=0,"",OPERATIONS!$P304)</f>
        <v/>
      </c>
      <c r="N604" s="26" t="str">
        <f aca="false">IF($G604="","",IF($G604=R_LOT,COUNTIF($G$5:$G604,R_LOT),""))</f>
        <v/>
      </c>
    </row>
    <row r="605" customFormat="false" ht="15" hidden="false" customHeight="false" outlineLevel="0" collapsed="false">
      <c r="A605" s="28" t="n">
        <f aca="false">IF($K605=0,"",ROW()-4)</f>
        <v>601</v>
      </c>
      <c r="B605" s="26" t="str">
        <f aca="false">IF($K605=0,"","SOUS-TRAITANCE")</f>
        <v>SOUS-TRAITANCE</v>
      </c>
      <c r="C605" s="26" t="str">
        <f aca="false">IF($K605=0,"",SOUS_TRAITANCE!$A5)</f>
        <v>ST-001</v>
      </c>
      <c r="D605" s="31" t="n">
        <f aca="false">IF($K605=0,"",SOUS_TRAITANCE!$B5)</f>
        <v>46246</v>
      </c>
      <c r="E605" s="26" t="str">
        <f aca="false">IF($K605=0,"","SORTIE")</f>
        <v>SORTIE</v>
      </c>
      <c r="F605" s="26" t="str">
        <f aca="false">IF($K605=0,"","ENVOI SOUS-TRAITANCE")</f>
        <v>ENVOI SOUS-TRAITANCE</v>
      </c>
      <c r="G605" s="26" t="str">
        <f aca="false">IF($K605=0,"",SOUS_TRAITANCE!$E5)</f>
        <v>255</v>
      </c>
      <c r="H605" s="26" t="str">
        <f aca="false">IF($K605=0,"",SOUS_TRAITANCE!$F5)</f>
        <v>OCEAMIC 2</v>
      </c>
      <c r="I605" s="26" t="str">
        <f aca="false">IF($H605="","",IFERROR(INDEX(EMPL_CLASSE,MATCH($H605,EMPL_KEY,0)),""))</f>
        <v>INTERNE</v>
      </c>
      <c r="J605" s="26" t="str">
        <f aca="false">IF($K605=0,"",SOUS_TRAITANCE!$O5)</f>
        <v>SARDINE</v>
      </c>
      <c r="K605" s="67" t="n">
        <f aca="false">IF(OR(SOUS_TRAITANCE!$Q5=0,SOUS_TRAITANCE!$D5&lt;&gt;"STOCK EXISTANT"),0,-SOUS_TRAITANCE!$G5)</f>
        <v>-500</v>
      </c>
      <c r="L605" s="67" t="n">
        <f aca="false">IF($K605=0,0,SOUS_TRAITANCE!$X5*$K605)</f>
        <v>-500</v>
      </c>
      <c r="M605" s="26" t="str">
        <f aca="false">IF($K605=0,"",SOUS_TRAITANCE!$W5)</f>
        <v>A JUSTIFIER</v>
      </c>
      <c r="N605" s="26" t="n">
        <f aca="false">IF($G605="","",IF($G605=R_LOT,COUNTIF($G$5:$G605,R_LOT),""))</f>
        <v>2</v>
      </c>
    </row>
    <row r="606" customFormat="false" ht="15" hidden="false" customHeight="false" outlineLevel="0" collapsed="false">
      <c r="A606" s="28" t="str">
        <f aca="false">IF($K606=0,"",ROW()-4)</f>
        <v/>
      </c>
      <c r="B606" s="26" t="str">
        <f aca="false">IF($K606=0,"","SOUS-TRAITANCE")</f>
        <v/>
      </c>
      <c r="C606" s="26" t="str">
        <f aca="false">IF($K606=0,"",SOUS_TRAITANCE!$A6)</f>
        <v/>
      </c>
      <c r="D606" s="31" t="str">
        <f aca="false">IF($K606=0,"",SOUS_TRAITANCE!$B6)</f>
        <v/>
      </c>
      <c r="E606" s="26" t="str">
        <f aca="false">IF($K606=0,"","SORTIE")</f>
        <v/>
      </c>
      <c r="F606" s="26" t="str">
        <f aca="false">IF($K606=0,"","ENVOI SOUS-TRAITANCE")</f>
        <v/>
      </c>
      <c r="G606" s="26" t="str">
        <f aca="false">IF($K606=0,"",SOUS_TRAITANCE!$E6)</f>
        <v/>
      </c>
      <c r="H606" s="26" t="str">
        <f aca="false">IF($K606=0,"",SOUS_TRAITANCE!$F6)</f>
        <v/>
      </c>
      <c r="I606" s="26" t="str">
        <f aca="false">IF($H606="","",IFERROR(INDEX(EMPL_CLASSE,MATCH($H606,EMPL_KEY,0)),""))</f>
        <v/>
      </c>
      <c r="J606" s="26" t="str">
        <f aca="false">IF($K606=0,"",SOUS_TRAITANCE!$O6)</f>
        <v/>
      </c>
      <c r="K606" s="67" t="n">
        <f aca="false">IF(OR(SOUS_TRAITANCE!$Q6=0,SOUS_TRAITANCE!$D6&lt;&gt;"STOCK EXISTANT"),0,-SOUS_TRAITANCE!$G6)</f>
        <v>0</v>
      </c>
      <c r="L606" s="67" t="n">
        <f aca="false">IF($K606=0,0,SOUS_TRAITANCE!$X6*$K606)</f>
        <v>0</v>
      </c>
      <c r="M606" s="26" t="str">
        <f aca="false">IF($K606=0,"",SOUS_TRAITANCE!$W6)</f>
        <v/>
      </c>
      <c r="N606" s="26" t="str">
        <f aca="false">IF($G606="","",IF($G606=R_LOT,COUNTIF($G$5:$G606,R_LOT),""))</f>
        <v/>
      </c>
    </row>
    <row r="607" customFormat="false" ht="15" hidden="false" customHeight="false" outlineLevel="0" collapsed="false">
      <c r="A607" s="28" t="n">
        <f aca="false">IF($K607=0,"",ROW()-4)</f>
        <v>603</v>
      </c>
      <c r="B607" s="26" t="str">
        <f aca="false">IF($K607=0,"","SOUS-TRAITANCE")</f>
        <v>SOUS-TRAITANCE</v>
      </c>
      <c r="C607" s="26" t="str">
        <f aca="false">IF($K607=0,"",SOUS_TRAITANCE!$A7)</f>
        <v>ST-003</v>
      </c>
      <c r="D607" s="31" t="n">
        <f aca="false">IF($K607=0,"",SOUS_TRAITANCE!$B7)</f>
        <v>46249</v>
      </c>
      <c r="E607" s="26" t="str">
        <f aca="false">IF($K607=0,"","SORTIE")</f>
        <v>SORTIE</v>
      </c>
      <c r="F607" s="26" t="str">
        <f aca="false">IF($K607=0,"","ENVOI SOUS-TRAITANCE")</f>
        <v>ENVOI SOUS-TRAITANCE</v>
      </c>
      <c r="G607" s="26" t="str">
        <f aca="false">IF($K607=0,"",SOUS_TRAITANCE!$E7)</f>
        <v>301</v>
      </c>
      <c r="H607" s="26" t="str">
        <f aca="false">IF($K607=0,"",SOUS_TRAITANCE!$F7)</f>
        <v>OCEAMIC 2</v>
      </c>
      <c r="I607" s="26" t="str">
        <f aca="false">IF($H607="","",IFERROR(INDEX(EMPL_CLASSE,MATCH($H607,EMPL_KEY,0)),""))</f>
        <v>INTERNE</v>
      </c>
      <c r="J607" s="26" t="str">
        <f aca="false">IF($K607=0,"",SOUS_TRAITANCE!$O7)</f>
        <v>MAQUEREAU</v>
      </c>
      <c r="K607" s="67" t="n">
        <f aca="false">IF(OR(SOUS_TRAITANCE!$Q7=0,SOUS_TRAITANCE!$D7&lt;&gt;"STOCK EXISTANT"),0,-SOUS_TRAITANCE!$G7)</f>
        <v>-200</v>
      </c>
      <c r="L607" s="67" t="n">
        <f aca="false">IF($K607=0,0,SOUS_TRAITANCE!$X7*$K607)</f>
        <v>-200</v>
      </c>
      <c r="M607" s="26" t="str">
        <f aca="false">IF($K607=0,"",SOUS_TRAITANCE!$W7)</f>
        <v>EN COURS</v>
      </c>
      <c r="N607" s="26" t="str">
        <f aca="false">IF($G607="","",IF($G607=R_LOT,COUNTIF($G$5:$G607,R_LOT),""))</f>
        <v/>
      </c>
    </row>
    <row r="608" customFormat="false" ht="15" hidden="false" customHeight="false" outlineLevel="0" collapsed="false">
      <c r="A608" s="28" t="str">
        <f aca="false">IF($K608=0,"",ROW()-4)</f>
        <v/>
      </c>
      <c r="B608" s="26" t="str">
        <f aca="false">IF($K608=0,"","SOUS-TRAITANCE")</f>
        <v/>
      </c>
      <c r="C608" s="26" t="str">
        <f aca="false">IF($K608=0,"",SOUS_TRAITANCE!$A8)</f>
        <v/>
      </c>
      <c r="D608" s="31" t="str">
        <f aca="false">IF($K608=0,"",SOUS_TRAITANCE!$B8)</f>
        <v/>
      </c>
      <c r="E608" s="26" t="str">
        <f aca="false">IF($K608=0,"","SORTIE")</f>
        <v/>
      </c>
      <c r="F608" s="26" t="str">
        <f aca="false">IF($K608=0,"","ENVOI SOUS-TRAITANCE")</f>
        <v/>
      </c>
      <c r="G608" s="26" t="str">
        <f aca="false">IF($K608=0,"",SOUS_TRAITANCE!$E8)</f>
        <v/>
      </c>
      <c r="H608" s="26" t="str">
        <f aca="false">IF($K608=0,"",SOUS_TRAITANCE!$F8)</f>
        <v/>
      </c>
      <c r="I608" s="26" t="str">
        <f aca="false">IF($H608="","",IFERROR(INDEX(EMPL_CLASSE,MATCH($H608,EMPL_KEY,0)),""))</f>
        <v/>
      </c>
      <c r="J608" s="26" t="str">
        <f aca="false">IF($K608=0,"",SOUS_TRAITANCE!$O8)</f>
        <v/>
      </c>
      <c r="K608" s="67" t="n">
        <f aca="false">IF(OR(SOUS_TRAITANCE!$Q8=0,SOUS_TRAITANCE!$D8&lt;&gt;"STOCK EXISTANT"),0,-SOUS_TRAITANCE!$G8)</f>
        <v>0</v>
      </c>
      <c r="L608" s="67" t="n">
        <f aca="false">IF($K608=0,0,SOUS_TRAITANCE!$X8*$K608)</f>
        <v>0</v>
      </c>
      <c r="M608" s="26" t="str">
        <f aca="false">IF($K608=0,"",SOUS_TRAITANCE!$W8)</f>
        <v/>
      </c>
      <c r="N608" s="26" t="str">
        <f aca="false">IF($G608="","",IF($G608=R_LOT,COUNTIF($G$5:$G608,R_LOT),""))</f>
        <v/>
      </c>
    </row>
    <row r="609" customFormat="false" ht="15" hidden="false" customHeight="false" outlineLevel="0" collapsed="false">
      <c r="A609" s="28" t="str">
        <f aca="false">IF($K609=0,"",ROW()-4)</f>
        <v/>
      </c>
      <c r="B609" s="26" t="str">
        <f aca="false">IF($K609=0,"","SOUS-TRAITANCE")</f>
        <v/>
      </c>
      <c r="C609" s="26" t="str">
        <f aca="false">IF($K609=0,"",SOUS_TRAITANCE!$A9)</f>
        <v/>
      </c>
      <c r="D609" s="31" t="str">
        <f aca="false">IF($K609=0,"",SOUS_TRAITANCE!$B9)</f>
        <v/>
      </c>
      <c r="E609" s="26" t="str">
        <f aca="false">IF($K609=0,"","SORTIE")</f>
        <v/>
      </c>
      <c r="F609" s="26" t="str">
        <f aca="false">IF($K609=0,"","ENVOI SOUS-TRAITANCE")</f>
        <v/>
      </c>
      <c r="G609" s="26" t="str">
        <f aca="false">IF($K609=0,"",SOUS_TRAITANCE!$E9)</f>
        <v/>
      </c>
      <c r="H609" s="26" t="str">
        <f aca="false">IF($K609=0,"",SOUS_TRAITANCE!$F9)</f>
        <v/>
      </c>
      <c r="I609" s="26" t="str">
        <f aca="false">IF($H609="","",IFERROR(INDEX(EMPL_CLASSE,MATCH($H609,EMPL_KEY,0)),""))</f>
        <v/>
      </c>
      <c r="J609" s="26" t="str">
        <f aca="false">IF($K609=0,"",SOUS_TRAITANCE!$O9)</f>
        <v/>
      </c>
      <c r="K609" s="67" t="n">
        <f aca="false">IF(OR(SOUS_TRAITANCE!$Q9=0,SOUS_TRAITANCE!$D9&lt;&gt;"STOCK EXISTANT"),0,-SOUS_TRAITANCE!$G9)</f>
        <v>0</v>
      </c>
      <c r="L609" s="67" t="n">
        <f aca="false">IF($K609=0,0,SOUS_TRAITANCE!$X9*$K609)</f>
        <v>0</v>
      </c>
      <c r="M609" s="26" t="str">
        <f aca="false">IF($K609=0,"",SOUS_TRAITANCE!$W9)</f>
        <v/>
      </c>
      <c r="N609" s="26" t="str">
        <f aca="false">IF($G609="","",IF($G609=R_LOT,COUNTIF($G$5:$G609,R_LOT),""))</f>
        <v/>
      </c>
    </row>
    <row r="610" customFormat="false" ht="15" hidden="false" customHeight="false" outlineLevel="0" collapsed="false">
      <c r="A610" s="28" t="str">
        <f aca="false">IF($K610=0,"",ROW()-4)</f>
        <v/>
      </c>
      <c r="B610" s="26" t="str">
        <f aca="false">IF($K610=0,"","SOUS-TRAITANCE")</f>
        <v/>
      </c>
      <c r="C610" s="26" t="str">
        <f aca="false">IF($K610=0,"",SOUS_TRAITANCE!$A10)</f>
        <v/>
      </c>
      <c r="D610" s="31" t="str">
        <f aca="false">IF($K610=0,"",SOUS_TRAITANCE!$B10)</f>
        <v/>
      </c>
      <c r="E610" s="26" t="str">
        <f aca="false">IF($K610=0,"","SORTIE")</f>
        <v/>
      </c>
      <c r="F610" s="26" t="str">
        <f aca="false">IF($K610=0,"","ENVOI SOUS-TRAITANCE")</f>
        <v/>
      </c>
      <c r="G610" s="26" t="str">
        <f aca="false">IF($K610=0,"",SOUS_TRAITANCE!$E10)</f>
        <v/>
      </c>
      <c r="H610" s="26" t="str">
        <f aca="false">IF($K610=0,"",SOUS_TRAITANCE!$F10)</f>
        <v/>
      </c>
      <c r="I610" s="26" t="str">
        <f aca="false">IF($H610="","",IFERROR(INDEX(EMPL_CLASSE,MATCH($H610,EMPL_KEY,0)),""))</f>
        <v/>
      </c>
      <c r="J610" s="26" t="str">
        <f aca="false">IF($K610=0,"",SOUS_TRAITANCE!$O10)</f>
        <v/>
      </c>
      <c r="K610" s="67" t="n">
        <f aca="false">IF(OR(SOUS_TRAITANCE!$Q10=0,SOUS_TRAITANCE!$D10&lt;&gt;"STOCK EXISTANT"),0,-SOUS_TRAITANCE!$G10)</f>
        <v>0</v>
      </c>
      <c r="L610" s="67" t="n">
        <f aca="false">IF($K610=0,0,SOUS_TRAITANCE!$X10*$K610)</f>
        <v>0</v>
      </c>
      <c r="M610" s="26" t="str">
        <f aca="false">IF($K610=0,"",SOUS_TRAITANCE!$W10)</f>
        <v/>
      </c>
      <c r="N610" s="26" t="str">
        <f aca="false">IF($G610="","",IF($G610=R_LOT,COUNTIF($G$5:$G610,R_LOT),""))</f>
        <v/>
      </c>
    </row>
    <row r="611" customFormat="false" ht="15" hidden="false" customHeight="false" outlineLevel="0" collapsed="false">
      <c r="A611" s="28" t="str">
        <f aca="false">IF($K611=0,"",ROW()-4)</f>
        <v/>
      </c>
      <c r="B611" s="26" t="str">
        <f aca="false">IF($K611=0,"","SOUS-TRAITANCE")</f>
        <v/>
      </c>
      <c r="C611" s="26" t="str">
        <f aca="false">IF($K611=0,"",SOUS_TRAITANCE!$A11)</f>
        <v/>
      </c>
      <c r="D611" s="31" t="str">
        <f aca="false">IF($K611=0,"",SOUS_TRAITANCE!$B11)</f>
        <v/>
      </c>
      <c r="E611" s="26" t="str">
        <f aca="false">IF($K611=0,"","SORTIE")</f>
        <v/>
      </c>
      <c r="F611" s="26" t="str">
        <f aca="false">IF($K611=0,"","ENVOI SOUS-TRAITANCE")</f>
        <v/>
      </c>
      <c r="G611" s="26" t="str">
        <f aca="false">IF($K611=0,"",SOUS_TRAITANCE!$E11)</f>
        <v/>
      </c>
      <c r="H611" s="26" t="str">
        <f aca="false">IF($K611=0,"",SOUS_TRAITANCE!$F11)</f>
        <v/>
      </c>
      <c r="I611" s="26" t="str">
        <f aca="false">IF($H611="","",IFERROR(INDEX(EMPL_CLASSE,MATCH($H611,EMPL_KEY,0)),""))</f>
        <v/>
      </c>
      <c r="J611" s="26" t="str">
        <f aca="false">IF($K611=0,"",SOUS_TRAITANCE!$O11)</f>
        <v/>
      </c>
      <c r="K611" s="67" t="n">
        <f aca="false">IF(OR(SOUS_TRAITANCE!$Q11=0,SOUS_TRAITANCE!$D11&lt;&gt;"STOCK EXISTANT"),0,-SOUS_TRAITANCE!$G11)</f>
        <v>0</v>
      </c>
      <c r="L611" s="67" t="n">
        <f aca="false">IF($K611=0,0,SOUS_TRAITANCE!$X11*$K611)</f>
        <v>0</v>
      </c>
      <c r="M611" s="26" t="str">
        <f aca="false">IF($K611=0,"",SOUS_TRAITANCE!$W11)</f>
        <v/>
      </c>
      <c r="N611" s="26" t="str">
        <f aca="false">IF($G611="","",IF($G611=R_LOT,COUNTIF($G$5:$G611,R_LOT),""))</f>
        <v/>
      </c>
    </row>
    <row r="612" customFormat="false" ht="15" hidden="false" customHeight="false" outlineLevel="0" collapsed="false">
      <c r="A612" s="28" t="str">
        <f aca="false">IF($K612=0,"",ROW()-4)</f>
        <v/>
      </c>
      <c r="B612" s="26" t="str">
        <f aca="false">IF($K612=0,"","SOUS-TRAITANCE")</f>
        <v/>
      </c>
      <c r="C612" s="26" t="str">
        <f aca="false">IF($K612=0,"",SOUS_TRAITANCE!$A12)</f>
        <v/>
      </c>
      <c r="D612" s="31" t="str">
        <f aca="false">IF($K612=0,"",SOUS_TRAITANCE!$B12)</f>
        <v/>
      </c>
      <c r="E612" s="26" t="str">
        <f aca="false">IF($K612=0,"","SORTIE")</f>
        <v/>
      </c>
      <c r="F612" s="26" t="str">
        <f aca="false">IF($K612=0,"","ENVOI SOUS-TRAITANCE")</f>
        <v/>
      </c>
      <c r="G612" s="26" t="str">
        <f aca="false">IF($K612=0,"",SOUS_TRAITANCE!$E12)</f>
        <v/>
      </c>
      <c r="H612" s="26" t="str">
        <f aca="false">IF($K612=0,"",SOUS_TRAITANCE!$F12)</f>
        <v/>
      </c>
      <c r="I612" s="26" t="str">
        <f aca="false">IF($H612="","",IFERROR(INDEX(EMPL_CLASSE,MATCH($H612,EMPL_KEY,0)),""))</f>
        <v/>
      </c>
      <c r="J612" s="26" t="str">
        <f aca="false">IF($K612=0,"",SOUS_TRAITANCE!$O12)</f>
        <v/>
      </c>
      <c r="K612" s="67" t="n">
        <f aca="false">IF(OR(SOUS_TRAITANCE!$Q12=0,SOUS_TRAITANCE!$D12&lt;&gt;"STOCK EXISTANT"),0,-SOUS_TRAITANCE!$G12)</f>
        <v>0</v>
      </c>
      <c r="L612" s="67" t="n">
        <f aca="false">IF($K612=0,0,SOUS_TRAITANCE!$X12*$K612)</f>
        <v>0</v>
      </c>
      <c r="M612" s="26" t="str">
        <f aca="false">IF($K612=0,"",SOUS_TRAITANCE!$W12)</f>
        <v/>
      </c>
      <c r="N612" s="26" t="str">
        <f aca="false">IF($G612="","",IF($G612=R_LOT,COUNTIF($G$5:$G612,R_LOT),""))</f>
        <v/>
      </c>
    </row>
    <row r="613" customFormat="false" ht="15" hidden="false" customHeight="false" outlineLevel="0" collapsed="false">
      <c r="A613" s="28" t="str">
        <f aca="false">IF($K613=0,"",ROW()-4)</f>
        <v/>
      </c>
      <c r="B613" s="26" t="str">
        <f aca="false">IF($K613=0,"","SOUS-TRAITANCE")</f>
        <v/>
      </c>
      <c r="C613" s="26" t="str">
        <f aca="false">IF($K613=0,"",SOUS_TRAITANCE!$A13)</f>
        <v/>
      </c>
      <c r="D613" s="31" t="str">
        <f aca="false">IF($K613=0,"",SOUS_TRAITANCE!$B13)</f>
        <v/>
      </c>
      <c r="E613" s="26" t="str">
        <f aca="false">IF($K613=0,"","SORTIE")</f>
        <v/>
      </c>
      <c r="F613" s="26" t="str">
        <f aca="false">IF($K613=0,"","ENVOI SOUS-TRAITANCE")</f>
        <v/>
      </c>
      <c r="G613" s="26" t="str">
        <f aca="false">IF($K613=0,"",SOUS_TRAITANCE!$E13)</f>
        <v/>
      </c>
      <c r="H613" s="26" t="str">
        <f aca="false">IF($K613=0,"",SOUS_TRAITANCE!$F13)</f>
        <v/>
      </c>
      <c r="I613" s="26" t="str">
        <f aca="false">IF($H613="","",IFERROR(INDEX(EMPL_CLASSE,MATCH($H613,EMPL_KEY,0)),""))</f>
        <v/>
      </c>
      <c r="J613" s="26" t="str">
        <f aca="false">IF($K613=0,"",SOUS_TRAITANCE!$O13)</f>
        <v/>
      </c>
      <c r="K613" s="67" t="n">
        <f aca="false">IF(OR(SOUS_TRAITANCE!$Q13=0,SOUS_TRAITANCE!$D13&lt;&gt;"STOCK EXISTANT"),0,-SOUS_TRAITANCE!$G13)</f>
        <v>0</v>
      </c>
      <c r="L613" s="67" t="n">
        <f aca="false">IF($K613=0,0,SOUS_TRAITANCE!$X13*$K613)</f>
        <v>0</v>
      </c>
      <c r="M613" s="26" t="str">
        <f aca="false">IF($K613=0,"",SOUS_TRAITANCE!$W13)</f>
        <v/>
      </c>
      <c r="N613" s="26" t="str">
        <f aca="false">IF($G613="","",IF($G613=R_LOT,COUNTIF($G$5:$G613,R_LOT),""))</f>
        <v/>
      </c>
    </row>
    <row r="614" customFormat="false" ht="15" hidden="false" customHeight="false" outlineLevel="0" collapsed="false">
      <c r="A614" s="28" t="str">
        <f aca="false">IF($K614=0,"",ROW()-4)</f>
        <v/>
      </c>
      <c r="B614" s="26" t="str">
        <f aca="false">IF($K614=0,"","SOUS-TRAITANCE")</f>
        <v/>
      </c>
      <c r="C614" s="26" t="str">
        <f aca="false">IF($K614=0,"",SOUS_TRAITANCE!$A14)</f>
        <v/>
      </c>
      <c r="D614" s="31" t="str">
        <f aca="false">IF($K614=0,"",SOUS_TRAITANCE!$B14)</f>
        <v/>
      </c>
      <c r="E614" s="26" t="str">
        <f aca="false">IF($K614=0,"","SORTIE")</f>
        <v/>
      </c>
      <c r="F614" s="26" t="str">
        <f aca="false">IF($K614=0,"","ENVOI SOUS-TRAITANCE")</f>
        <v/>
      </c>
      <c r="G614" s="26" t="str">
        <f aca="false">IF($K614=0,"",SOUS_TRAITANCE!$E14)</f>
        <v/>
      </c>
      <c r="H614" s="26" t="str">
        <f aca="false">IF($K614=0,"",SOUS_TRAITANCE!$F14)</f>
        <v/>
      </c>
      <c r="I614" s="26" t="str">
        <f aca="false">IF($H614="","",IFERROR(INDEX(EMPL_CLASSE,MATCH($H614,EMPL_KEY,0)),""))</f>
        <v/>
      </c>
      <c r="J614" s="26" t="str">
        <f aca="false">IF($K614=0,"",SOUS_TRAITANCE!$O14)</f>
        <v/>
      </c>
      <c r="K614" s="67" t="n">
        <f aca="false">IF(OR(SOUS_TRAITANCE!$Q14=0,SOUS_TRAITANCE!$D14&lt;&gt;"STOCK EXISTANT"),0,-SOUS_TRAITANCE!$G14)</f>
        <v>0</v>
      </c>
      <c r="L614" s="67" t="n">
        <f aca="false">IF($K614=0,0,SOUS_TRAITANCE!$X14*$K614)</f>
        <v>0</v>
      </c>
      <c r="M614" s="26" t="str">
        <f aca="false">IF($K614=0,"",SOUS_TRAITANCE!$W14)</f>
        <v/>
      </c>
      <c r="N614" s="26" t="str">
        <f aca="false">IF($G614="","",IF($G614=R_LOT,COUNTIF($G$5:$G614,R_LOT),""))</f>
        <v/>
      </c>
    </row>
    <row r="615" customFormat="false" ht="15" hidden="false" customHeight="false" outlineLevel="0" collapsed="false">
      <c r="A615" s="28" t="str">
        <f aca="false">IF($K615=0,"",ROW()-4)</f>
        <v/>
      </c>
      <c r="B615" s="26" t="str">
        <f aca="false">IF($K615=0,"","SOUS-TRAITANCE")</f>
        <v/>
      </c>
      <c r="C615" s="26" t="str">
        <f aca="false">IF($K615=0,"",SOUS_TRAITANCE!$A15)</f>
        <v/>
      </c>
      <c r="D615" s="31" t="str">
        <f aca="false">IF($K615=0,"",SOUS_TRAITANCE!$B15)</f>
        <v/>
      </c>
      <c r="E615" s="26" t="str">
        <f aca="false">IF($K615=0,"","SORTIE")</f>
        <v/>
      </c>
      <c r="F615" s="26" t="str">
        <f aca="false">IF($K615=0,"","ENVOI SOUS-TRAITANCE")</f>
        <v/>
      </c>
      <c r="G615" s="26" t="str">
        <f aca="false">IF($K615=0,"",SOUS_TRAITANCE!$E15)</f>
        <v/>
      </c>
      <c r="H615" s="26" t="str">
        <f aca="false">IF($K615=0,"",SOUS_TRAITANCE!$F15)</f>
        <v/>
      </c>
      <c r="I615" s="26" t="str">
        <f aca="false">IF($H615="","",IFERROR(INDEX(EMPL_CLASSE,MATCH($H615,EMPL_KEY,0)),""))</f>
        <v/>
      </c>
      <c r="J615" s="26" t="str">
        <f aca="false">IF($K615=0,"",SOUS_TRAITANCE!$O15)</f>
        <v/>
      </c>
      <c r="K615" s="67" t="n">
        <f aca="false">IF(OR(SOUS_TRAITANCE!$Q15=0,SOUS_TRAITANCE!$D15&lt;&gt;"STOCK EXISTANT"),0,-SOUS_TRAITANCE!$G15)</f>
        <v>0</v>
      </c>
      <c r="L615" s="67" t="n">
        <f aca="false">IF($K615=0,0,SOUS_TRAITANCE!$X15*$K615)</f>
        <v>0</v>
      </c>
      <c r="M615" s="26" t="str">
        <f aca="false">IF($K615=0,"",SOUS_TRAITANCE!$W15)</f>
        <v/>
      </c>
      <c r="N615" s="26" t="str">
        <f aca="false">IF($G615="","",IF($G615=R_LOT,COUNTIF($G$5:$G615,R_LOT),""))</f>
        <v/>
      </c>
    </row>
    <row r="616" customFormat="false" ht="15" hidden="false" customHeight="false" outlineLevel="0" collapsed="false">
      <c r="A616" s="28" t="str">
        <f aca="false">IF($K616=0,"",ROW()-4)</f>
        <v/>
      </c>
      <c r="B616" s="26" t="str">
        <f aca="false">IF($K616=0,"","SOUS-TRAITANCE")</f>
        <v/>
      </c>
      <c r="C616" s="26" t="str">
        <f aca="false">IF($K616=0,"",SOUS_TRAITANCE!$A16)</f>
        <v/>
      </c>
      <c r="D616" s="31" t="str">
        <f aca="false">IF($K616=0,"",SOUS_TRAITANCE!$B16)</f>
        <v/>
      </c>
      <c r="E616" s="26" t="str">
        <f aca="false">IF($K616=0,"","SORTIE")</f>
        <v/>
      </c>
      <c r="F616" s="26" t="str">
        <f aca="false">IF($K616=0,"","ENVOI SOUS-TRAITANCE")</f>
        <v/>
      </c>
      <c r="G616" s="26" t="str">
        <f aca="false">IF($K616=0,"",SOUS_TRAITANCE!$E16)</f>
        <v/>
      </c>
      <c r="H616" s="26" t="str">
        <f aca="false">IF($K616=0,"",SOUS_TRAITANCE!$F16)</f>
        <v/>
      </c>
      <c r="I616" s="26" t="str">
        <f aca="false">IF($H616="","",IFERROR(INDEX(EMPL_CLASSE,MATCH($H616,EMPL_KEY,0)),""))</f>
        <v/>
      </c>
      <c r="J616" s="26" t="str">
        <f aca="false">IF($K616=0,"",SOUS_TRAITANCE!$O16)</f>
        <v/>
      </c>
      <c r="K616" s="67" t="n">
        <f aca="false">IF(OR(SOUS_TRAITANCE!$Q16=0,SOUS_TRAITANCE!$D16&lt;&gt;"STOCK EXISTANT"),0,-SOUS_TRAITANCE!$G16)</f>
        <v>0</v>
      </c>
      <c r="L616" s="67" t="n">
        <f aca="false">IF($K616=0,0,SOUS_TRAITANCE!$X16*$K616)</f>
        <v>0</v>
      </c>
      <c r="M616" s="26" t="str">
        <f aca="false">IF($K616=0,"",SOUS_TRAITANCE!$W16)</f>
        <v/>
      </c>
      <c r="N616" s="26" t="str">
        <f aca="false">IF($G616="","",IF($G616=R_LOT,COUNTIF($G$5:$G616,R_LOT),""))</f>
        <v/>
      </c>
    </row>
    <row r="617" customFormat="false" ht="15" hidden="false" customHeight="false" outlineLevel="0" collapsed="false">
      <c r="A617" s="28" t="str">
        <f aca="false">IF($K617=0,"",ROW()-4)</f>
        <v/>
      </c>
      <c r="B617" s="26" t="str">
        <f aca="false">IF($K617=0,"","SOUS-TRAITANCE")</f>
        <v/>
      </c>
      <c r="C617" s="26" t="str">
        <f aca="false">IF($K617=0,"",SOUS_TRAITANCE!$A17)</f>
        <v/>
      </c>
      <c r="D617" s="31" t="str">
        <f aca="false">IF($K617=0,"",SOUS_TRAITANCE!$B17)</f>
        <v/>
      </c>
      <c r="E617" s="26" t="str">
        <f aca="false">IF($K617=0,"","SORTIE")</f>
        <v/>
      </c>
      <c r="F617" s="26" t="str">
        <f aca="false">IF($K617=0,"","ENVOI SOUS-TRAITANCE")</f>
        <v/>
      </c>
      <c r="G617" s="26" t="str">
        <f aca="false">IF($K617=0,"",SOUS_TRAITANCE!$E17)</f>
        <v/>
      </c>
      <c r="H617" s="26" t="str">
        <f aca="false">IF($K617=0,"",SOUS_TRAITANCE!$F17)</f>
        <v/>
      </c>
      <c r="I617" s="26" t="str">
        <f aca="false">IF($H617="","",IFERROR(INDEX(EMPL_CLASSE,MATCH($H617,EMPL_KEY,0)),""))</f>
        <v/>
      </c>
      <c r="J617" s="26" t="str">
        <f aca="false">IF($K617=0,"",SOUS_TRAITANCE!$O17)</f>
        <v/>
      </c>
      <c r="K617" s="67" t="n">
        <f aca="false">IF(OR(SOUS_TRAITANCE!$Q17=0,SOUS_TRAITANCE!$D17&lt;&gt;"STOCK EXISTANT"),0,-SOUS_TRAITANCE!$G17)</f>
        <v>0</v>
      </c>
      <c r="L617" s="67" t="n">
        <f aca="false">IF($K617=0,0,SOUS_TRAITANCE!$X17*$K617)</f>
        <v>0</v>
      </c>
      <c r="M617" s="26" t="str">
        <f aca="false">IF($K617=0,"",SOUS_TRAITANCE!$W17)</f>
        <v/>
      </c>
      <c r="N617" s="26" t="str">
        <f aca="false">IF($G617="","",IF($G617=R_LOT,COUNTIF($G$5:$G617,R_LOT),""))</f>
        <v/>
      </c>
    </row>
    <row r="618" customFormat="false" ht="15" hidden="false" customHeight="false" outlineLevel="0" collapsed="false">
      <c r="A618" s="28" t="str">
        <f aca="false">IF($K618=0,"",ROW()-4)</f>
        <v/>
      </c>
      <c r="B618" s="26" t="str">
        <f aca="false">IF($K618=0,"","SOUS-TRAITANCE")</f>
        <v/>
      </c>
      <c r="C618" s="26" t="str">
        <f aca="false">IF($K618=0,"",SOUS_TRAITANCE!$A18)</f>
        <v/>
      </c>
      <c r="D618" s="31" t="str">
        <f aca="false">IF($K618=0,"",SOUS_TRAITANCE!$B18)</f>
        <v/>
      </c>
      <c r="E618" s="26" t="str">
        <f aca="false">IF($K618=0,"","SORTIE")</f>
        <v/>
      </c>
      <c r="F618" s="26" t="str">
        <f aca="false">IF($K618=0,"","ENVOI SOUS-TRAITANCE")</f>
        <v/>
      </c>
      <c r="G618" s="26" t="str">
        <f aca="false">IF($K618=0,"",SOUS_TRAITANCE!$E18)</f>
        <v/>
      </c>
      <c r="H618" s="26" t="str">
        <f aca="false">IF($K618=0,"",SOUS_TRAITANCE!$F18)</f>
        <v/>
      </c>
      <c r="I618" s="26" t="str">
        <f aca="false">IF($H618="","",IFERROR(INDEX(EMPL_CLASSE,MATCH($H618,EMPL_KEY,0)),""))</f>
        <v/>
      </c>
      <c r="J618" s="26" t="str">
        <f aca="false">IF($K618=0,"",SOUS_TRAITANCE!$O18)</f>
        <v/>
      </c>
      <c r="K618" s="67" t="n">
        <f aca="false">IF(OR(SOUS_TRAITANCE!$Q18=0,SOUS_TRAITANCE!$D18&lt;&gt;"STOCK EXISTANT"),0,-SOUS_TRAITANCE!$G18)</f>
        <v>0</v>
      </c>
      <c r="L618" s="67" t="n">
        <f aca="false">IF($K618=0,0,SOUS_TRAITANCE!$X18*$K618)</f>
        <v>0</v>
      </c>
      <c r="M618" s="26" t="str">
        <f aca="false">IF($K618=0,"",SOUS_TRAITANCE!$W18)</f>
        <v/>
      </c>
      <c r="N618" s="26" t="str">
        <f aca="false">IF($G618="","",IF($G618=R_LOT,COUNTIF($G$5:$G618,R_LOT),""))</f>
        <v/>
      </c>
    </row>
    <row r="619" customFormat="false" ht="15" hidden="false" customHeight="false" outlineLevel="0" collapsed="false">
      <c r="A619" s="28" t="str">
        <f aca="false">IF($K619=0,"",ROW()-4)</f>
        <v/>
      </c>
      <c r="B619" s="26" t="str">
        <f aca="false">IF($K619=0,"","SOUS-TRAITANCE")</f>
        <v/>
      </c>
      <c r="C619" s="26" t="str">
        <f aca="false">IF($K619=0,"",SOUS_TRAITANCE!$A19)</f>
        <v/>
      </c>
      <c r="D619" s="31" t="str">
        <f aca="false">IF($K619=0,"",SOUS_TRAITANCE!$B19)</f>
        <v/>
      </c>
      <c r="E619" s="26" t="str">
        <f aca="false">IF($K619=0,"","SORTIE")</f>
        <v/>
      </c>
      <c r="F619" s="26" t="str">
        <f aca="false">IF($K619=0,"","ENVOI SOUS-TRAITANCE")</f>
        <v/>
      </c>
      <c r="G619" s="26" t="str">
        <f aca="false">IF($K619=0,"",SOUS_TRAITANCE!$E19)</f>
        <v/>
      </c>
      <c r="H619" s="26" t="str">
        <f aca="false">IF($K619=0,"",SOUS_TRAITANCE!$F19)</f>
        <v/>
      </c>
      <c r="I619" s="26" t="str">
        <f aca="false">IF($H619="","",IFERROR(INDEX(EMPL_CLASSE,MATCH($H619,EMPL_KEY,0)),""))</f>
        <v/>
      </c>
      <c r="J619" s="26" t="str">
        <f aca="false">IF($K619=0,"",SOUS_TRAITANCE!$O19)</f>
        <v/>
      </c>
      <c r="K619" s="67" t="n">
        <f aca="false">IF(OR(SOUS_TRAITANCE!$Q19=0,SOUS_TRAITANCE!$D19&lt;&gt;"STOCK EXISTANT"),0,-SOUS_TRAITANCE!$G19)</f>
        <v>0</v>
      </c>
      <c r="L619" s="67" t="n">
        <f aca="false">IF($K619=0,0,SOUS_TRAITANCE!$X19*$K619)</f>
        <v>0</v>
      </c>
      <c r="M619" s="26" t="str">
        <f aca="false">IF($K619=0,"",SOUS_TRAITANCE!$W19)</f>
        <v/>
      </c>
      <c r="N619" s="26" t="str">
        <f aca="false">IF($G619="","",IF($G619=R_LOT,COUNTIF($G$5:$G619,R_LOT),""))</f>
        <v/>
      </c>
    </row>
    <row r="620" customFormat="false" ht="15" hidden="false" customHeight="false" outlineLevel="0" collapsed="false">
      <c r="A620" s="28" t="str">
        <f aca="false">IF($K620=0,"",ROW()-4)</f>
        <v/>
      </c>
      <c r="B620" s="26" t="str">
        <f aca="false">IF($K620=0,"","SOUS-TRAITANCE")</f>
        <v/>
      </c>
      <c r="C620" s="26" t="str">
        <f aca="false">IF($K620=0,"",SOUS_TRAITANCE!$A20)</f>
        <v/>
      </c>
      <c r="D620" s="31" t="str">
        <f aca="false">IF($K620=0,"",SOUS_TRAITANCE!$B20)</f>
        <v/>
      </c>
      <c r="E620" s="26" t="str">
        <f aca="false">IF($K620=0,"","SORTIE")</f>
        <v/>
      </c>
      <c r="F620" s="26" t="str">
        <f aca="false">IF($K620=0,"","ENVOI SOUS-TRAITANCE")</f>
        <v/>
      </c>
      <c r="G620" s="26" t="str">
        <f aca="false">IF($K620=0,"",SOUS_TRAITANCE!$E20)</f>
        <v/>
      </c>
      <c r="H620" s="26" t="str">
        <f aca="false">IF($K620=0,"",SOUS_TRAITANCE!$F20)</f>
        <v/>
      </c>
      <c r="I620" s="26" t="str">
        <f aca="false">IF($H620="","",IFERROR(INDEX(EMPL_CLASSE,MATCH($H620,EMPL_KEY,0)),""))</f>
        <v/>
      </c>
      <c r="J620" s="26" t="str">
        <f aca="false">IF($K620=0,"",SOUS_TRAITANCE!$O20)</f>
        <v/>
      </c>
      <c r="K620" s="67" t="n">
        <f aca="false">IF(OR(SOUS_TRAITANCE!$Q20=0,SOUS_TRAITANCE!$D20&lt;&gt;"STOCK EXISTANT"),0,-SOUS_TRAITANCE!$G20)</f>
        <v>0</v>
      </c>
      <c r="L620" s="67" t="n">
        <f aca="false">IF($K620=0,0,SOUS_TRAITANCE!$X20*$K620)</f>
        <v>0</v>
      </c>
      <c r="M620" s="26" t="str">
        <f aca="false">IF($K620=0,"",SOUS_TRAITANCE!$W20)</f>
        <v/>
      </c>
      <c r="N620" s="26" t="str">
        <f aca="false">IF($G620="","",IF($G620=R_LOT,COUNTIF($G$5:$G620,R_LOT),""))</f>
        <v/>
      </c>
    </row>
    <row r="621" customFormat="false" ht="15" hidden="false" customHeight="false" outlineLevel="0" collapsed="false">
      <c r="A621" s="28" t="str">
        <f aca="false">IF($K621=0,"",ROW()-4)</f>
        <v/>
      </c>
      <c r="B621" s="26" t="str">
        <f aca="false">IF($K621=0,"","SOUS-TRAITANCE")</f>
        <v/>
      </c>
      <c r="C621" s="26" t="str">
        <f aca="false">IF($K621=0,"",SOUS_TRAITANCE!$A21)</f>
        <v/>
      </c>
      <c r="D621" s="31" t="str">
        <f aca="false">IF($K621=0,"",SOUS_TRAITANCE!$B21)</f>
        <v/>
      </c>
      <c r="E621" s="26" t="str">
        <f aca="false">IF($K621=0,"","SORTIE")</f>
        <v/>
      </c>
      <c r="F621" s="26" t="str">
        <f aca="false">IF($K621=0,"","ENVOI SOUS-TRAITANCE")</f>
        <v/>
      </c>
      <c r="G621" s="26" t="str">
        <f aca="false">IF($K621=0,"",SOUS_TRAITANCE!$E21)</f>
        <v/>
      </c>
      <c r="H621" s="26" t="str">
        <f aca="false">IF($K621=0,"",SOUS_TRAITANCE!$F21)</f>
        <v/>
      </c>
      <c r="I621" s="26" t="str">
        <f aca="false">IF($H621="","",IFERROR(INDEX(EMPL_CLASSE,MATCH($H621,EMPL_KEY,0)),""))</f>
        <v/>
      </c>
      <c r="J621" s="26" t="str">
        <f aca="false">IF($K621=0,"",SOUS_TRAITANCE!$O21)</f>
        <v/>
      </c>
      <c r="K621" s="67" t="n">
        <f aca="false">IF(OR(SOUS_TRAITANCE!$Q21=0,SOUS_TRAITANCE!$D21&lt;&gt;"STOCK EXISTANT"),0,-SOUS_TRAITANCE!$G21)</f>
        <v>0</v>
      </c>
      <c r="L621" s="67" t="n">
        <f aca="false">IF($K621=0,0,SOUS_TRAITANCE!$X21*$K621)</f>
        <v>0</v>
      </c>
      <c r="M621" s="26" t="str">
        <f aca="false">IF($K621=0,"",SOUS_TRAITANCE!$W21)</f>
        <v/>
      </c>
      <c r="N621" s="26" t="str">
        <f aca="false">IF($G621="","",IF($G621=R_LOT,COUNTIF($G$5:$G621,R_LOT),""))</f>
        <v/>
      </c>
    </row>
    <row r="622" customFormat="false" ht="15" hidden="false" customHeight="false" outlineLevel="0" collapsed="false">
      <c r="A622" s="28" t="str">
        <f aca="false">IF($K622=0,"",ROW()-4)</f>
        <v/>
      </c>
      <c r="B622" s="26" t="str">
        <f aca="false">IF($K622=0,"","SOUS-TRAITANCE")</f>
        <v/>
      </c>
      <c r="C622" s="26" t="str">
        <f aca="false">IF($K622=0,"",SOUS_TRAITANCE!$A22)</f>
        <v/>
      </c>
      <c r="D622" s="31" t="str">
        <f aca="false">IF($K622=0,"",SOUS_TRAITANCE!$B22)</f>
        <v/>
      </c>
      <c r="E622" s="26" t="str">
        <f aca="false">IF($K622=0,"","SORTIE")</f>
        <v/>
      </c>
      <c r="F622" s="26" t="str">
        <f aca="false">IF($K622=0,"","ENVOI SOUS-TRAITANCE")</f>
        <v/>
      </c>
      <c r="G622" s="26" t="str">
        <f aca="false">IF($K622=0,"",SOUS_TRAITANCE!$E22)</f>
        <v/>
      </c>
      <c r="H622" s="26" t="str">
        <f aca="false">IF($K622=0,"",SOUS_TRAITANCE!$F22)</f>
        <v/>
      </c>
      <c r="I622" s="26" t="str">
        <f aca="false">IF($H622="","",IFERROR(INDEX(EMPL_CLASSE,MATCH($H622,EMPL_KEY,0)),""))</f>
        <v/>
      </c>
      <c r="J622" s="26" t="str">
        <f aca="false">IF($K622=0,"",SOUS_TRAITANCE!$O22)</f>
        <v/>
      </c>
      <c r="K622" s="67" t="n">
        <f aca="false">IF(OR(SOUS_TRAITANCE!$Q22=0,SOUS_TRAITANCE!$D22&lt;&gt;"STOCK EXISTANT"),0,-SOUS_TRAITANCE!$G22)</f>
        <v>0</v>
      </c>
      <c r="L622" s="67" t="n">
        <f aca="false">IF($K622=0,0,SOUS_TRAITANCE!$X22*$K622)</f>
        <v>0</v>
      </c>
      <c r="M622" s="26" t="str">
        <f aca="false">IF($K622=0,"",SOUS_TRAITANCE!$W22)</f>
        <v/>
      </c>
      <c r="N622" s="26" t="str">
        <f aca="false">IF($G622="","",IF($G622=R_LOT,COUNTIF($G$5:$G622,R_LOT),""))</f>
        <v/>
      </c>
    </row>
    <row r="623" customFormat="false" ht="15" hidden="false" customHeight="false" outlineLevel="0" collapsed="false">
      <c r="A623" s="28" t="str">
        <f aca="false">IF($K623=0,"",ROW()-4)</f>
        <v/>
      </c>
      <c r="B623" s="26" t="str">
        <f aca="false">IF($K623=0,"","SOUS-TRAITANCE")</f>
        <v/>
      </c>
      <c r="C623" s="26" t="str">
        <f aca="false">IF($K623=0,"",SOUS_TRAITANCE!$A23)</f>
        <v/>
      </c>
      <c r="D623" s="31" t="str">
        <f aca="false">IF($K623=0,"",SOUS_TRAITANCE!$B23)</f>
        <v/>
      </c>
      <c r="E623" s="26" t="str">
        <f aca="false">IF($K623=0,"","SORTIE")</f>
        <v/>
      </c>
      <c r="F623" s="26" t="str">
        <f aca="false">IF($K623=0,"","ENVOI SOUS-TRAITANCE")</f>
        <v/>
      </c>
      <c r="G623" s="26" t="str">
        <f aca="false">IF($K623=0,"",SOUS_TRAITANCE!$E23)</f>
        <v/>
      </c>
      <c r="H623" s="26" t="str">
        <f aca="false">IF($K623=0,"",SOUS_TRAITANCE!$F23)</f>
        <v/>
      </c>
      <c r="I623" s="26" t="str">
        <f aca="false">IF($H623="","",IFERROR(INDEX(EMPL_CLASSE,MATCH($H623,EMPL_KEY,0)),""))</f>
        <v/>
      </c>
      <c r="J623" s="26" t="str">
        <f aca="false">IF($K623=0,"",SOUS_TRAITANCE!$O23)</f>
        <v/>
      </c>
      <c r="K623" s="67" t="n">
        <f aca="false">IF(OR(SOUS_TRAITANCE!$Q23=0,SOUS_TRAITANCE!$D23&lt;&gt;"STOCK EXISTANT"),0,-SOUS_TRAITANCE!$G23)</f>
        <v>0</v>
      </c>
      <c r="L623" s="67" t="n">
        <f aca="false">IF($K623=0,0,SOUS_TRAITANCE!$X23*$K623)</f>
        <v>0</v>
      </c>
      <c r="M623" s="26" t="str">
        <f aca="false">IF($K623=0,"",SOUS_TRAITANCE!$W23)</f>
        <v/>
      </c>
      <c r="N623" s="26" t="str">
        <f aca="false">IF($G623="","",IF($G623=R_LOT,COUNTIF($G$5:$G623,R_LOT),""))</f>
        <v/>
      </c>
    </row>
    <row r="624" customFormat="false" ht="15" hidden="false" customHeight="false" outlineLevel="0" collapsed="false">
      <c r="A624" s="28" t="str">
        <f aca="false">IF($K624=0,"",ROW()-4)</f>
        <v/>
      </c>
      <c r="B624" s="26" t="str">
        <f aca="false">IF($K624=0,"","SOUS-TRAITANCE")</f>
        <v/>
      </c>
      <c r="C624" s="26" t="str">
        <f aca="false">IF($K624=0,"",SOUS_TRAITANCE!$A24)</f>
        <v/>
      </c>
      <c r="D624" s="31" t="str">
        <f aca="false">IF($K624=0,"",SOUS_TRAITANCE!$B24)</f>
        <v/>
      </c>
      <c r="E624" s="26" t="str">
        <f aca="false">IF($K624=0,"","SORTIE")</f>
        <v/>
      </c>
      <c r="F624" s="26" t="str">
        <f aca="false">IF($K624=0,"","ENVOI SOUS-TRAITANCE")</f>
        <v/>
      </c>
      <c r="G624" s="26" t="str">
        <f aca="false">IF($K624=0,"",SOUS_TRAITANCE!$E24)</f>
        <v/>
      </c>
      <c r="H624" s="26" t="str">
        <f aca="false">IF($K624=0,"",SOUS_TRAITANCE!$F24)</f>
        <v/>
      </c>
      <c r="I624" s="26" t="str">
        <f aca="false">IF($H624="","",IFERROR(INDEX(EMPL_CLASSE,MATCH($H624,EMPL_KEY,0)),""))</f>
        <v/>
      </c>
      <c r="J624" s="26" t="str">
        <f aca="false">IF($K624=0,"",SOUS_TRAITANCE!$O24)</f>
        <v/>
      </c>
      <c r="K624" s="67" t="n">
        <f aca="false">IF(OR(SOUS_TRAITANCE!$Q24=0,SOUS_TRAITANCE!$D24&lt;&gt;"STOCK EXISTANT"),0,-SOUS_TRAITANCE!$G24)</f>
        <v>0</v>
      </c>
      <c r="L624" s="67" t="n">
        <f aca="false">IF($K624=0,0,SOUS_TRAITANCE!$X24*$K624)</f>
        <v>0</v>
      </c>
      <c r="M624" s="26" t="str">
        <f aca="false">IF($K624=0,"",SOUS_TRAITANCE!$W24)</f>
        <v/>
      </c>
      <c r="N624" s="26" t="str">
        <f aca="false">IF($G624="","",IF($G624=R_LOT,COUNTIF($G$5:$G624,R_LOT),""))</f>
        <v/>
      </c>
    </row>
    <row r="625" customFormat="false" ht="15" hidden="false" customHeight="false" outlineLevel="0" collapsed="false">
      <c r="A625" s="28" t="str">
        <f aca="false">IF($K625=0,"",ROW()-4)</f>
        <v/>
      </c>
      <c r="B625" s="26" t="str">
        <f aca="false">IF($K625=0,"","SOUS-TRAITANCE")</f>
        <v/>
      </c>
      <c r="C625" s="26" t="str">
        <f aca="false">IF($K625=0,"",SOUS_TRAITANCE!$A25)</f>
        <v/>
      </c>
      <c r="D625" s="31" t="str">
        <f aca="false">IF($K625=0,"",SOUS_TRAITANCE!$B25)</f>
        <v/>
      </c>
      <c r="E625" s="26" t="str">
        <f aca="false">IF($K625=0,"","SORTIE")</f>
        <v/>
      </c>
      <c r="F625" s="26" t="str">
        <f aca="false">IF($K625=0,"","ENVOI SOUS-TRAITANCE")</f>
        <v/>
      </c>
      <c r="G625" s="26" t="str">
        <f aca="false">IF($K625=0,"",SOUS_TRAITANCE!$E25)</f>
        <v/>
      </c>
      <c r="H625" s="26" t="str">
        <f aca="false">IF($K625=0,"",SOUS_TRAITANCE!$F25)</f>
        <v/>
      </c>
      <c r="I625" s="26" t="str">
        <f aca="false">IF($H625="","",IFERROR(INDEX(EMPL_CLASSE,MATCH($H625,EMPL_KEY,0)),""))</f>
        <v/>
      </c>
      <c r="J625" s="26" t="str">
        <f aca="false">IF($K625=0,"",SOUS_TRAITANCE!$O25)</f>
        <v/>
      </c>
      <c r="K625" s="67" t="n">
        <f aca="false">IF(OR(SOUS_TRAITANCE!$Q25=0,SOUS_TRAITANCE!$D25&lt;&gt;"STOCK EXISTANT"),0,-SOUS_TRAITANCE!$G25)</f>
        <v>0</v>
      </c>
      <c r="L625" s="67" t="n">
        <f aca="false">IF($K625=0,0,SOUS_TRAITANCE!$X25*$K625)</f>
        <v>0</v>
      </c>
      <c r="M625" s="26" t="str">
        <f aca="false">IF($K625=0,"",SOUS_TRAITANCE!$W25)</f>
        <v/>
      </c>
      <c r="N625" s="26" t="str">
        <f aca="false">IF($G625="","",IF($G625=R_LOT,COUNTIF($G$5:$G625,R_LOT),""))</f>
        <v/>
      </c>
    </row>
    <row r="626" customFormat="false" ht="15" hidden="false" customHeight="false" outlineLevel="0" collapsed="false">
      <c r="A626" s="28" t="str">
        <f aca="false">IF($K626=0,"",ROW()-4)</f>
        <v/>
      </c>
      <c r="B626" s="26" t="str">
        <f aca="false">IF($K626=0,"","SOUS-TRAITANCE")</f>
        <v/>
      </c>
      <c r="C626" s="26" t="str">
        <f aca="false">IF($K626=0,"",SOUS_TRAITANCE!$A26)</f>
        <v/>
      </c>
      <c r="D626" s="31" t="str">
        <f aca="false">IF($K626=0,"",SOUS_TRAITANCE!$B26)</f>
        <v/>
      </c>
      <c r="E626" s="26" t="str">
        <f aca="false">IF($K626=0,"","SORTIE")</f>
        <v/>
      </c>
      <c r="F626" s="26" t="str">
        <f aca="false">IF($K626=0,"","ENVOI SOUS-TRAITANCE")</f>
        <v/>
      </c>
      <c r="G626" s="26" t="str">
        <f aca="false">IF($K626=0,"",SOUS_TRAITANCE!$E26)</f>
        <v/>
      </c>
      <c r="H626" s="26" t="str">
        <f aca="false">IF($K626=0,"",SOUS_TRAITANCE!$F26)</f>
        <v/>
      </c>
      <c r="I626" s="26" t="str">
        <f aca="false">IF($H626="","",IFERROR(INDEX(EMPL_CLASSE,MATCH($H626,EMPL_KEY,0)),""))</f>
        <v/>
      </c>
      <c r="J626" s="26" t="str">
        <f aca="false">IF($K626=0,"",SOUS_TRAITANCE!$O26)</f>
        <v/>
      </c>
      <c r="K626" s="67" t="n">
        <f aca="false">IF(OR(SOUS_TRAITANCE!$Q26=0,SOUS_TRAITANCE!$D26&lt;&gt;"STOCK EXISTANT"),0,-SOUS_TRAITANCE!$G26)</f>
        <v>0</v>
      </c>
      <c r="L626" s="67" t="n">
        <f aca="false">IF($K626=0,0,SOUS_TRAITANCE!$X26*$K626)</f>
        <v>0</v>
      </c>
      <c r="M626" s="26" t="str">
        <f aca="false">IF($K626=0,"",SOUS_TRAITANCE!$W26)</f>
        <v/>
      </c>
      <c r="N626" s="26" t="str">
        <f aca="false">IF($G626="","",IF($G626=R_LOT,COUNTIF($G$5:$G626,R_LOT),""))</f>
        <v/>
      </c>
    </row>
    <row r="627" customFormat="false" ht="15" hidden="false" customHeight="false" outlineLevel="0" collapsed="false">
      <c r="A627" s="28" t="str">
        <f aca="false">IF($K627=0,"",ROW()-4)</f>
        <v/>
      </c>
      <c r="B627" s="26" t="str">
        <f aca="false">IF($K627=0,"","SOUS-TRAITANCE")</f>
        <v/>
      </c>
      <c r="C627" s="26" t="str">
        <f aca="false">IF($K627=0,"",SOUS_TRAITANCE!$A27)</f>
        <v/>
      </c>
      <c r="D627" s="31" t="str">
        <f aca="false">IF($K627=0,"",SOUS_TRAITANCE!$B27)</f>
        <v/>
      </c>
      <c r="E627" s="26" t="str">
        <f aca="false">IF($K627=0,"","SORTIE")</f>
        <v/>
      </c>
      <c r="F627" s="26" t="str">
        <f aca="false">IF($K627=0,"","ENVOI SOUS-TRAITANCE")</f>
        <v/>
      </c>
      <c r="G627" s="26" t="str">
        <f aca="false">IF($K627=0,"",SOUS_TRAITANCE!$E27)</f>
        <v/>
      </c>
      <c r="H627" s="26" t="str">
        <f aca="false">IF($K627=0,"",SOUS_TRAITANCE!$F27)</f>
        <v/>
      </c>
      <c r="I627" s="26" t="str">
        <f aca="false">IF($H627="","",IFERROR(INDEX(EMPL_CLASSE,MATCH($H627,EMPL_KEY,0)),""))</f>
        <v/>
      </c>
      <c r="J627" s="26" t="str">
        <f aca="false">IF($K627=0,"",SOUS_TRAITANCE!$O27)</f>
        <v/>
      </c>
      <c r="K627" s="67" t="n">
        <f aca="false">IF(OR(SOUS_TRAITANCE!$Q27=0,SOUS_TRAITANCE!$D27&lt;&gt;"STOCK EXISTANT"),0,-SOUS_TRAITANCE!$G27)</f>
        <v>0</v>
      </c>
      <c r="L627" s="67" t="n">
        <f aca="false">IF($K627=0,0,SOUS_TRAITANCE!$X27*$K627)</f>
        <v>0</v>
      </c>
      <c r="M627" s="26" t="str">
        <f aca="false">IF($K627=0,"",SOUS_TRAITANCE!$W27)</f>
        <v/>
      </c>
      <c r="N627" s="26" t="str">
        <f aca="false">IF($G627="","",IF($G627=R_LOT,COUNTIF($G$5:$G627,R_LOT),""))</f>
        <v/>
      </c>
    </row>
    <row r="628" customFormat="false" ht="15" hidden="false" customHeight="false" outlineLevel="0" collapsed="false">
      <c r="A628" s="28" t="str">
        <f aca="false">IF($K628=0,"",ROW()-4)</f>
        <v/>
      </c>
      <c r="B628" s="26" t="str">
        <f aca="false">IF($K628=0,"","SOUS-TRAITANCE")</f>
        <v/>
      </c>
      <c r="C628" s="26" t="str">
        <f aca="false">IF($K628=0,"",SOUS_TRAITANCE!$A28)</f>
        <v/>
      </c>
      <c r="D628" s="31" t="str">
        <f aca="false">IF($K628=0,"",SOUS_TRAITANCE!$B28)</f>
        <v/>
      </c>
      <c r="E628" s="26" t="str">
        <f aca="false">IF($K628=0,"","SORTIE")</f>
        <v/>
      </c>
      <c r="F628" s="26" t="str">
        <f aca="false">IF($K628=0,"","ENVOI SOUS-TRAITANCE")</f>
        <v/>
      </c>
      <c r="G628" s="26" t="str">
        <f aca="false">IF($K628=0,"",SOUS_TRAITANCE!$E28)</f>
        <v/>
      </c>
      <c r="H628" s="26" t="str">
        <f aca="false">IF($K628=0,"",SOUS_TRAITANCE!$F28)</f>
        <v/>
      </c>
      <c r="I628" s="26" t="str">
        <f aca="false">IF($H628="","",IFERROR(INDEX(EMPL_CLASSE,MATCH($H628,EMPL_KEY,0)),""))</f>
        <v/>
      </c>
      <c r="J628" s="26" t="str">
        <f aca="false">IF($K628=0,"",SOUS_TRAITANCE!$O28)</f>
        <v/>
      </c>
      <c r="K628" s="67" t="n">
        <f aca="false">IF(OR(SOUS_TRAITANCE!$Q28=0,SOUS_TRAITANCE!$D28&lt;&gt;"STOCK EXISTANT"),0,-SOUS_TRAITANCE!$G28)</f>
        <v>0</v>
      </c>
      <c r="L628" s="67" t="n">
        <f aca="false">IF($K628=0,0,SOUS_TRAITANCE!$X28*$K628)</f>
        <v>0</v>
      </c>
      <c r="M628" s="26" t="str">
        <f aca="false">IF($K628=0,"",SOUS_TRAITANCE!$W28)</f>
        <v/>
      </c>
      <c r="N628" s="26" t="str">
        <f aca="false">IF($G628="","",IF($G628=R_LOT,COUNTIF($G$5:$G628,R_LOT),""))</f>
        <v/>
      </c>
    </row>
    <row r="629" customFormat="false" ht="15" hidden="false" customHeight="false" outlineLevel="0" collapsed="false">
      <c r="A629" s="28" t="str">
        <f aca="false">IF($K629=0,"",ROW()-4)</f>
        <v/>
      </c>
      <c r="B629" s="26" t="str">
        <f aca="false">IF($K629=0,"","SOUS-TRAITANCE")</f>
        <v/>
      </c>
      <c r="C629" s="26" t="str">
        <f aca="false">IF($K629=0,"",SOUS_TRAITANCE!$A29)</f>
        <v/>
      </c>
      <c r="D629" s="31" t="str">
        <f aca="false">IF($K629=0,"",SOUS_TRAITANCE!$B29)</f>
        <v/>
      </c>
      <c r="E629" s="26" t="str">
        <f aca="false">IF($K629=0,"","SORTIE")</f>
        <v/>
      </c>
      <c r="F629" s="26" t="str">
        <f aca="false">IF($K629=0,"","ENVOI SOUS-TRAITANCE")</f>
        <v/>
      </c>
      <c r="G629" s="26" t="str">
        <f aca="false">IF($K629=0,"",SOUS_TRAITANCE!$E29)</f>
        <v/>
      </c>
      <c r="H629" s="26" t="str">
        <f aca="false">IF($K629=0,"",SOUS_TRAITANCE!$F29)</f>
        <v/>
      </c>
      <c r="I629" s="26" t="str">
        <f aca="false">IF($H629="","",IFERROR(INDEX(EMPL_CLASSE,MATCH($H629,EMPL_KEY,0)),""))</f>
        <v/>
      </c>
      <c r="J629" s="26" t="str">
        <f aca="false">IF($K629=0,"",SOUS_TRAITANCE!$O29)</f>
        <v/>
      </c>
      <c r="K629" s="67" t="n">
        <f aca="false">IF(OR(SOUS_TRAITANCE!$Q29=0,SOUS_TRAITANCE!$D29&lt;&gt;"STOCK EXISTANT"),0,-SOUS_TRAITANCE!$G29)</f>
        <v>0</v>
      </c>
      <c r="L629" s="67" t="n">
        <f aca="false">IF($K629=0,0,SOUS_TRAITANCE!$X29*$K629)</f>
        <v>0</v>
      </c>
      <c r="M629" s="26" t="str">
        <f aca="false">IF($K629=0,"",SOUS_TRAITANCE!$W29)</f>
        <v/>
      </c>
      <c r="N629" s="26" t="str">
        <f aca="false">IF($G629="","",IF($G629=R_LOT,COUNTIF($G$5:$G629,R_LOT),""))</f>
        <v/>
      </c>
    </row>
    <row r="630" customFormat="false" ht="15" hidden="false" customHeight="false" outlineLevel="0" collapsed="false">
      <c r="A630" s="28" t="str">
        <f aca="false">IF($K630=0,"",ROW()-4)</f>
        <v/>
      </c>
      <c r="B630" s="26" t="str">
        <f aca="false">IF($K630=0,"","SOUS-TRAITANCE")</f>
        <v/>
      </c>
      <c r="C630" s="26" t="str">
        <f aca="false">IF($K630=0,"",SOUS_TRAITANCE!$A30)</f>
        <v/>
      </c>
      <c r="D630" s="31" t="str">
        <f aca="false">IF($K630=0,"",SOUS_TRAITANCE!$B30)</f>
        <v/>
      </c>
      <c r="E630" s="26" t="str">
        <f aca="false">IF($K630=0,"","SORTIE")</f>
        <v/>
      </c>
      <c r="F630" s="26" t="str">
        <f aca="false">IF($K630=0,"","ENVOI SOUS-TRAITANCE")</f>
        <v/>
      </c>
      <c r="G630" s="26" t="str">
        <f aca="false">IF($K630=0,"",SOUS_TRAITANCE!$E30)</f>
        <v/>
      </c>
      <c r="H630" s="26" t="str">
        <f aca="false">IF($K630=0,"",SOUS_TRAITANCE!$F30)</f>
        <v/>
      </c>
      <c r="I630" s="26" t="str">
        <f aca="false">IF($H630="","",IFERROR(INDEX(EMPL_CLASSE,MATCH($H630,EMPL_KEY,0)),""))</f>
        <v/>
      </c>
      <c r="J630" s="26" t="str">
        <f aca="false">IF($K630=0,"",SOUS_TRAITANCE!$O30)</f>
        <v/>
      </c>
      <c r="K630" s="67" t="n">
        <f aca="false">IF(OR(SOUS_TRAITANCE!$Q30=0,SOUS_TRAITANCE!$D30&lt;&gt;"STOCK EXISTANT"),0,-SOUS_TRAITANCE!$G30)</f>
        <v>0</v>
      </c>
      <c r="L630" s="67" t="n">
        <f aca="false">IF($K630=0,0,SOUS_TRAITANCE!$X30*$K630)</f>
        <v>0</v>
      </c>
      <c r="M630" s="26" t="str">
        <f aca="false">IF($K630=0,"",SOUS_TRAITANCE!$W30)</f>
        <v/>
      </c>
      <c r="N630" s="26" t="str">
        <f aca="false">IF($G630="","",IF($G630=R_LOT,COUNTIF($G$5:$G630,R_LOT),""))</f>
        <v/>
      </c>
    </row>
    <row r="631" customFormat="false" ht="15" hidden="false" customHeight="false" outlineLevel="0" collapsed="false">
      <c r="A631" s="28" t="str">
        <f aca="false">IF($K631=0,"",ROW()-4)</f>
        <v/>
      </c>
      <c r="B631" s="26" t="str">
        <f aca="false">IF($K631=0,"","SOUS-TRAITANCE")</f>
        <v/>
      </c>
      <c r="C631" s="26" t="str">
        <f aca="false">IF($K631=0,"",SOUS_TRAITANCE!$A31)</f>
        <v/>
      </c>
      <c r="D631" s="31" t="str">
        <f aca="false">IF($K631=0,"",SOUS_TRAITANCE!$B31)</f>
        <v/>
      </c>
      <c r="E631" s="26" t="str">
        <f aca="false">IF($K631=0,"","SORTIE")</f>
        <v/>
      </c>
      <c r="F631" s="26" t="str">
        <f aca="false">IF($K631=0,"","ENVOI SOUS-TRAITANCE")</f>
        <v/>
      </c>
      <c r="G631" s="26" t="str">
        <f aca="false">IF($K631=0,"",SOUS_TRAITANCE!$E31)</f>
        <v/>
      </c>
      <c r="H631" s="26" t="str">
        <f aca="false">IF($K631=0,"",SOUS_TRAITANCE!$F31)</f>
        <v/>
      </c>
      <c r="I631" s="26" t="str">
        <f aca="false">IF($H631="","",IFERROR(INDEX(EMPL_CLASSE,MATCH($H631,EMPL_KEY,0)),""))</f>
        <v/>
      </c>
      <c r="J631" s="26" t="str">
        <f aca="false">IF($K631=0,"",SOUS_TRAITANCE!$O31)</f>
        <v/>
      </c>
      <c r="K631" s="67" t="n">
        <f aca="false">IF(OR(SOUS_TRAITANCE!$Q31=0,SOUS_TRAITANCE!$D31&lt;&gt;"STOCK EXISTANT"),0,-SOUS_TRAITANCE!$G31)</f>
        <v>0</v>
      </c>
      <c r="L631" s="67" t="n">
        <f aca="false">IF($K631=0,0,SOUS_TRAITANCE!$X31*$K631)</f>
        <v>0</v>
      </c>
      <c r="M631" s="26" t="str">
        <f aca="false">IF($K631=0,"",SOUS_TRAITANCE!$W31)</f>
        <v/>
      </c>
      <c r="N631" s="26" t="str">
        <f aca="false">IF($G631="","",IF($G631=R_LOT,COUNTIF($G$5:$G631,R_LOT),""))</f>
        <v/>
      </c>
    </row>
    <row r="632" customFormat="false" ht="15" hidden="false" customHeight="false" outlineLevel="0" collapsed="false">
      <c r="A632" s="28" t="str">
        <f aca="false">IF($K632=0,"",ROW()-4)</f>
        <v/>
      </c>
      <c r="B632" s="26" t="str">
        <f aca="false">IF($K632=0,"","SOUS-TRAITANCE")</f>
        <v/>
      </c>
      <c r="C632" s="26" t="str">
        <f aca="false">IF($K632=0,"",SOUS_TRAITANCE!$A32)</f>
        <v/>
      </c>
      <c r="D632" s="31" t="str">
        <f aca="false">IF($K632=0,"",SOUS_TRAITANCE!$B32)</f>
        <v/>
      </c>
      <c r="E632" s="26" t="str">
        <f aca="false">IF($K632=0,"","SORTIE")</f>
        <v/>
      </c>
      <c r="F632" s="26" t="str">
        <f aca="false">IF($K632=0,"","ENVOI SOUS-TRAITANCE")</f>
        <v/>
      </c>
      <c r="G632" s="26" t="str">
        <f aca="false">IF($K632=0,"",SOUS_TRAITANCE!$E32)</f>
        <v/>
      </c>
      <c r="H632" s="26" t="str">
        <f aca="false">IF($K632=0,"",SOUS_TRAITANCE!$F32)</f>
        <v/>
      </c>
      <c r="I632" s="26" t="str">
        <f aca="false">IF($H632="","",IFERROR(INDEX(EMPL_CLASSE,MATCH($H632,EMPL_KEY,0)),""))</f>
        <v/>
      </c>
      <c r="J632" s="26" t="str">
        <f aca="false">IF($K632=0,"",SOUS_TRAITANCE!$O32)</f>
        <v/>
      </c>
      <c r="K632" s="67" t="n">
        <f aca="false">IF(OR(SOUS_TRAITANCE!$Q32=0,SOUS_TRAITANCE!$D32&lt;&gt;"STOCK EXISTANT"),0,-SOUS_TRAITANCE!$G32)</f>
        <v>0</v>
      </c>
      <c r="L632" s="67" t="n">
        <f aca="false">IF($K632=0,0,SOUS_TRAITANCE!$X32*$K632)</f>
        <v>0</v>
      </c>
      <c r="M632" s="26" t="str">
        <f aca="false">IF($K632=0,"",SOUS_TRAITANCE!$W32)</f>
        <v/>
      </c>
      <c r="N632" s="26" t="str">
        <f aca="false">IF($G632="","",IF($G632=R_LOT,COUNTIF($G$5:$G632,R_LOT),""))</f>
        <v/>
      </c>
    </row>
    <row r="633" customFormat="false" ht="15" hidden="false" customHeight="false" outlineLevel="0" collapsed="false">
      <c r="A633" s="28" t="str">
        <f aca="false">IF($K633=0,"",ROW()-4)</f>
        <v/>
      </c>
      <c r="B633" s="26" t="str">
        <f aca="false">IF($K633=0,"","SOUS-TRAITANCE")</f>
        <v/>
      </c>
      <c r="C633" s="26" t="str">
        <f aca="false">IF($K633=0,"",SOUS_TRAITANCE!$A33)</f>
        <v/>
      </c>
      <c r="D633" s="31" t="str">
        <f aca="false">IF($K633=0,"",SOUS_TRAITANCE!$B33)</f>
        <v/>
      </c>
      <c r="E633" s="26" t="str">
        <f aca="false">IF($K633=0,"","SORTIE")</f>
        <v/>
      </c>
      <c r="F633" s="26" t="str">
        <f aca="false">IF($K633=0,"","ENVOI SOUS-TRAITANCE")</f>
        <v/>
      </c>
      <c r="G633" s="26" t="str">
        <f aca="false">IF($K633=0,"",SOUS_TRAITANCE!$E33)</f>
        <v/>
      </c>
      <c r="H633" s="26" t="str">
        <f aca="false">IF($K633=0,"",SOUS_TRAITANCE!$F33)</f>
        <v/>
      </c>
      <c r="I633" s="26" t="str">
        <f aca="false">IF($H633="","",IFERROR(INDEX(EMPL_CLASSE,MATCH($H633,EMPL_KEY,0)),""))</f>
        <v/>
      </c>
      <c r="J633" s="26" t="str">
        <f aca="false">IF($K633=0,"",SOUS_TRAITANCE!$O33)</f>
        <v/>
      </c>
      <c r="K633" s="67" t="n">
        <f aca="false">IF(OR(SOUS_TRAITANCE!$Q33=0,SOUS_TRAITANCE!$D33&lt;&gt;"STOCK EXISTANT"),0,-SOUS_TRAITANCE!$G33)</f>
        <v>0</v>
      </c>
      <c r="L633" s="67" t="n">
        <f aca="false">IF($K633=0,0,SOUS_TRAITANCE!$X33*$K633)</f>
        <v>0</v>
      </c>
      <c r="M633" s="26" t="str">
        <f aca="false">IF($K633=0,"",SOUS_TRAITANCE!$W33)</f>
        <v/>
      </c>
      <c r="N633" s="26" t="str">
        <f aca="false">IF($G633="","",IF($G633=R_LOT,COUNTIF($G$5:$G633,R_LOT),""))</f>
        <v/>
      </c>
    </row>
    <row r="634" customFormat="false" ht="15" hidden="false" customHeight="false" outlineLevel="0" collapsed="false">
      <c r="A634" s="28" t="str">
        <f aca="false">IF($K634=0,"",ROW()-4)</f>
        <v/>
      </c>
      <c r="B634" s="26" t="str">
        <f aca="false">IF($K634=0,"","SOUS-TRAITANCE")</f>
        <v/>
      </c>
      <c r="C634" s="26" t="str">
        <f aca="false">IF($K634=0,"",SOUS_TRAITANCE!$A34)</f>
        <v/>
      </c>
      <c r="D634" s="31" t="str">
        <f aca="false">IF($K634=0,"",SOUS_TRAITANCE!$B34)</f>
        <v/>
      </c>
      <c r="E634" s="26" t="str">
        <f aca="false">IF($K634=0,"","SORTIE")</f>
        <v/>
      </c>
      <c r="F634" s="26" t="str">
        <f aca="false">IF($K634=0,"","ENVOI SOUS-TRAITANCE")</f>
        <v/>
      </c>
      <c r="G634" s="26" t="str">
        <f aca="false">IF($K634=0,"",SOUS_TRAITANCE!$E34)</f>
        <v/>
      </c>
      <c r="H634" s="26" t="str">
        <f aca="false">IF($K634=0,"",SOUS_TRAITANCE!$F34)</f>
        <v/>
      </c>
      <c r="I634" s="26" t="str">
        <f aca="false">IF($H634="","",IFERROR(INDEX(EMPL_CLASSE,MATCH($H634,EMPL_KEY,0)),""))</f>
        <v/>
      </c>
      <c r="J634" s="26" t="str">
        <f aca="false">IF($K634=0,"",SOUS_TRAITANCE!$O34)</f>
        <v/>
      </c>
      <c r="K634" s="67" t="n">
        <f aca="false">IF(OR(SOUS_TRAITANCE!$Q34=0,SOUS_TRAITANCE!$D34&lt;&gt;"STOCK EXISTANT"),0,-SOUS_TRAITANCE!$G34)</f>
        <v>0</v>
      </c>
      <c r="L634" s="67" t="n">
        <f aca="false">IF($K634=0,0,SOUS_TRAITANCE!$X34*$K634)</f>
        <v>0</v>
      </c>
      <c r="M634" s="26" t="str">
        <f aca="false">IF($K634=0,"",SOUS_TRAITANCE!$W34)</f>
        <v/>
      </c>
      <c r="N634" s="26" t="str">
        <f aca="false">IF($G634="","",IF($G634=R_LOT,COUNTIF($G$5:$G634,R_LOT),""))</f>
        <v/>
      </c>
    </row>
    <row r="635" customFormat="false" ht="15" hidden="false" customHeight="false" outlineLevel="0" collapsed="false">
      <c r="A635" s="28" t="str">
        <f aca="false">IF($K635=0,"",ROW()-4)</f>
        <v/>
      </c>
      <c r="B635" s="26" t="str">
        <f aca="false">IF($K635=0,"","SOUS-TRAITANCE")</f>
        <v/>
      </c>
      <c r="C635" s="26" t="str">
        <f aca="false">IF($K635=0,"",SOUS_TRAITANCE!$A35)</f>
        <v/>
      </c>
      <c r="D635" s="31" t="str">
        <f aca="false">IF($K635=0,"",SOUS_TRAITANCE!$B35)</f>
        <v/>
      </c>
      <c r="E635" s="26" t="str">
        <f aca="false">IF($K635=0,"","SORTIE")</f>
        <v/>
      </c>
      <c r="F635" s="26" t="str">
        <f aca="false">IF($K635=0,"","ENVOI SOUS-TRAITANCE")</f>
        <v/>
      </c>
      <c r="G635" s="26" t="str">
        <f aca="false">IF($K635=0,"",SOUS_TRAITANCE!$E35)</f>
        <v/>
      </c>
      <c r="H635" s="26" t="str">
        <f aca="false">IF($K635=0,"",SOUS_TRAITANCE!$F35)</f>
        <v/>
      </c>
      <c r="I635" s="26" t="str">
        <f aca="false">IF($H635="","",IFERROR(INDEX(EMPL_CLASSE,MATCH($H635,EMPL_KEY,0)),""))</f>
        <v/>
      </c>
      <c r="J635" s="26" t="str">
        <f aca="false">IF($K635=0,"",SOUS_TRAITANCE!$O35)</f>
        <v/>
      </c>
      <c r="K635" s="67" t="n">
        <f aca="false">IF(OR(SOUS_TRAITANCE!$Q35=0,SOUS_TRAITANCE!$D35&lt;&gt;"STOCK EXISTANT"),0,-SOUS_TRAITANCE!$G35)</f>
        <v>0</v>
      </c>
      <c r="L635" s="67" t="n">
        <f aca="false">IF($K635=0,0,SOUS_TRAITANCE!$X35*$K635)</f>
        <v>0</v>
      </c>
      <c r="M635" s="26" t="str">
        <f aca="false">IF($K635=0,"",SOUS_TRAITANCE!$W35)</f>
        <v/>
      </c>
      <c r="N635" s="26" t="str">
        <f aca="false">IF($G635="","",IF($G635=R_LOT,COUNTIF($G$5:$G635,R_LOT),""))</f>
        <v/>
      </c>
    </row>
    <row r="636" customFormat="false" ht="15" hidden="false" customHeight="false" outlineLevel="0" collapsed="false">
      <c r="A636" s="28" t="str">
        <f aca="false">IF($K636=0,"",ROW()-4)</f>
        <v/>
      </c>
      <c r="B636" s="26" t="str">
        <f aca="false">IF($K636=0,"","SOUS-TRAITANCE")</f>
        <v/>
      </c>
      <c r="C636" s="26" t="str">
        <f aca="false">IF($K636=0,"",SOUS_TRAITANCE!$A36)</f>
        <v/>
      </c>
      <c r="D636" s="31" t="str">
        <f aca="false">IF($K636=0,"",SOUS_TRAITANCE!$B36)</f>
        <v/>
      </c>
      <c r="E636" s="26" t="str">
        <f aca="false">IF($K636=0,"","SORTIE")</f>
        <v/>
      </c>
      <c r="F636" s="26" t="str">
        <f aca="false">IF($K636=0,"","ENVOI SOUS-TRAITANCE")</f>
        <v/>
      </c>
      <c r="G636" s="26" t="str">
        <f aca="false">IF($K636=0,"",SOUS_TRAITANCE!$E36)</f>
        <v/>
      </c>
      <c r="H636" s="26" t="str">
        <f aca="false">IF($K636=0,"",SOUS_TRAITANCE!$F36)</f>
        <v/>
      </c>
      <c r="I636" s="26" t="str">
        <f aca="false">IF($H636="","",IFERROR(INDEX(EMPL_CLASSE,MATCH($H636,EMPL_KEY,0)),""))</f>
        <v/>
      </c>
      <c r="J636" s="26" t="str">
        <f aca="false">IF($K636=0,"",SOUS_TRAITANCE!$O36)</f>
        <v/>
      </c>
      <c r="K636" s="67" t="n">
        <f aca="false">IF(OR(SOUS_TRAITANCE!$Q36=0,SOUS_TRAITANCE!$D36&lt;&gt;"STOCK EXISTANT"),0,-SOUS_TRAITANCE!$G36)</f>
        <v>0</v>
      </c>
      <c r="L636" s="67" t="n">
        <f aca="false">IF($K636=0,0,SOUS_TRAITANCE!$X36*$K636)</f>
        <v>0</v>
      </c>
      <c r="M636" s="26" t="str">
        <f aca="false">IF($K636=0,"",SOUS_TRAITANCE!$W36)</f>
        <v/>
      </c>
      <c r="N636" s="26" t="str">
        <f aca="false">IF($G636="","",IF($G636=R_LOT,COUNTIF($G$5:$G636,R_LOT),""))</f>
        <v/>
      </c>
    </row>
    <row r="637" customFormat="false" ht="15" hidden="false" customHeight="false" outlineLevel="0" collapsed="false">
      <c r="A637" s="28" t="str">
        <f aca="false">IF($K637=0,"",ROW()-4)</f>
        <v/>
      </c>
      <c r="B637" s="26" t="str">
        <f aca="false">IF($K637=0,"","SOUS-TRAITANCE")</f>
        <v/>
      </c>
      <c r="C637" s="26" t="str">
        <f aca="false">IF($K637=0,"",SOUS_TRAITANCE!$A37)</f>
        <v/>
      </c>
      <c r="D637" s="31" t="str">
        <f aca="false">IF($K637=0,"",SOUS_TRAITANCE!$B37)</f>
        <v/>
      </c>
      <c r="E637" s="26" t="str">
        <f aca="false">IF($K637=0,"","SORTIE")</f>
        <v/>
      </c>
      <c r="F637" s="26" t="str">
        <f aca="false">IF($K637=0,"","ENVOI SOUS-TRAITANCE")</f>
        <v/>
      </c>
      <c r="G637" s="26" t="str">
        <f aca="false">IF($K637=0,"",SOUS_TRAITANCE!$E37)</f>
        <v/>
      </c>
      <c r="H637" s="26" t="str">
        <f aca="false">IF($K637=0,"",SOUS_TRAITANCE!$F37)</f>
        <v/>
      </c>
      <c r="I637" s="26" t="str">
        <f aca="false">IF($H637="","",IFERROR(INDEX(EMPL_CLASSE,MATCH($H637,EMPL_KEY,0)),""))</f>
        <v/>
      </c>
      <c r="J637" s="26" t="str">
        <f aca="false">IF($K637=0,"",SOUS_TRAITANCE!$O37)</f>
        <v/>
      </c>
      <c r="K637" s="67" t="n">
        <f aca="false">IF(OR(SOUS_TRAITANCE!$Q37=0,SOUS_TRAITANCE!$D37&lt;&gt;"STOCK EXISTANT"),0,-SOUS_TRAITANCE!$G37)</f>
        <v>0</v>
      </c>
      <c r="L637" s="67" t="n">
        <f aca="false">IF($K637=0,0,SOUS_TRAITANCE!$X37*$K637)</f>
        <v>0</v>
      </c>
      <c r="M637" s="26" t="str">
        <f aca="false">IF($K637=0,"",SOUS_TRAITANCE!$W37)</f>
        <v/>
      </c>
      <c r="N637" s="26" t="str">
        <f aca="false">IF($G637="","",IF($G637=R_LOT,COUNTIF($G$5:$G637,R_LOT),""))</f>
        <v/>
      </c>
    </row>
    <row r="638" customFormat="false" ht="15" hidden="false" customHeight="false" outlineLevel="0" collapsed="false">
      <c r="A638" s="28" t="str">
        <f aca="false">IF($K638=0,"",ROW()-4)</f>
        <v/>
      </c>
      <c r="B638" s="26" t="str">
        <f aca="false">IF($K638=0,"","SOUS-TRAITANCE")</f>
        <v/>
      </c>
      <c r="C638" s="26" t="str">
        <f aca="false">IF($K638=0,"",SOUS_TRAITANCE!$A38)</f>
        <v/>
      </c>
      <c r="D638" s="31" t="str">
        <f aca="false">IF($K638=0,"",SOUS_TRAITANCE!$B38)</f>
        <v/>
      </c>
      <c r="E638" s="26" t="str">
        <f aca="false">IF($K638=0,"","SORTIE")</f>
        <v/>
      </c>
      <c r="F638" s="26" t="str">
        <f aca="false">IF($K638=0,"","ENVOI SOUS-TRAITANCE")</f>
        <v/>
      </c>
      <c r="G638" s="26" t="str">
        <f aca="false">IF($K638=0,"",SOUS_TRAITANCE!$E38)</f>
        <v/>
      </c>
      <c r="H638" s="26" t="str">
        <f aca="false">IF($K638=0,"",SOUS_TRAITANCE!$F38)</f>
        <v/>
      </c>
      <c r="I638" s="26" t="str">
        <f aca="false">IF($H638="","",IFERROR(INDEX(EMPL_CLASSE,MATCH($H638,EMPL_KEY,0)),""))</f>
        <v/>
      </c>
      <c r="J638" s="26" t="str">
        <f aca="false">IF($K638=0,"",SOUS_TRAITANCE!$O38)</f>
        <v/>
      </c>
      <c r="K638" s="67" t="n">
        <f aca="false">IF(OR(SOUS_TRAITANCE!$Q38=0,SOUS_TRAITANCE!$D38&lt;&gt;"STOCK EXISTANT"),0,-SOUS_TRAITANCE!$G38)</f>
        <v>0</v>
      </c>
      <c r="L638" s="67" t="n">
        <f aca="false">IF($K638=0,0,SOUS_TRAITANCE!$X38*$K638)</f>
        <v>0</v>
      </c>
      <c r="M638" s="26" t="str">
        <f aca="false">IF($K638=0,"",SOUS_TRAITANCE!$W38)</f>
        <v/>
      </c>
      <c r="N638" s="26" t="str">
        <f aca="false">IF($G638="","",IF($G638=R_LOT,COUNTIF($G$5:$G638,R_LOT),""))</f>
        <v/>
      </c>
    </row>
    <row r="639" customFormat="false" ht="15" hidden="false" customHeight="false" outlineLevel="0" collapsed="false">
      <c r="A639" s="28" t="str">
        <f aca="false">IF($K639=0,"",ROW()-4)</f>
        <v/>
      </c>
      <c r="B639" s="26" t="str">
        <f aca="false">IF($K639=0,"","SOUS-TRAITANCE")</f>
        <v/>
      </c>
      <c r="C639" s="26" t="str">
        <f aca="false">IF($K639=0,"",SOUS_TRAITANCE!$A39)</f>
        <v/>
      </c>
      <c r="D639" s="31" t="str">
        <f aca="false">IF($K639=0,"",SOUS_TRAITANCE!$B39)</f>
        <v/>
      </c>
      <c r="E639" s="26" t="str">
        <f aca="false">IF($K639=0,"","SORTIE")</f>
        <v/>
      </c>
      <c r="F639" s="26" t="str">
        <f aca="false">IF($K639=0,"","ENVOI SOUS-TRAITANCE")</f>
        <v/>
      </c>
      <c r="G639" s="26" t="str">
        <f aca="false">IF($K639=0,"",SOUS_TRAITANCE!$E39)</f>
        <v/>
      </c>
      <c r="H639" s="26" t="str">
        <f aca="false">IF($K639=0,"",SOUS_TRAITANCE!$F39)</f>
        <v/>
      </c>
      <c r="I639" s="26" t="str">
        <f aca="false">IF($H639="","",IFERROR(INDEX(EMPL_CLASSE,MATCH($H639,EMPL_KEY,0)),""))</f>
        <v/>
      </c>
      <c r="J639" s="26" t="str">
        <f aca="false">IF($K639=0,"",SOUS_TRAITANCE!$O39)</f>
        <v/>
      </c>
      <c r="K639" s="67" t="n">
        <f aca="false">IF(OR(SOUS_TRAITANCE!$Q39=0,SOUS_TRAITANCE!$D39&lt;&gt;"STOCK EXISTANT"),0,-SOUS_TRAITANCE!$G39)</f>
        <v>0</v>
      </c>
      <c r="L639" s="67" t="n">
        <f aca="false">IF($K639=0,0,SOUS_TRAITANCE!$X39*$K639)</f>
        <v>0</v>
      </c>
      <c r="M639" s="26" t="str">
        <f aca="false">IF($K639=0,"",SOUS_TRAITANCE!$W39)</f>
        <v/>
      </c>
      <c r="N639" s="26" t="str">
        <f aca="false">IF($G639="","",IF($G639=R_LOT,COUNTIF($G$5:$G639,R_LOT),""))</f>
        <v/>
      </c>
    </row>
    <row r="640" customFormat="false" ht="15" hidden="false" customHeight="false" outlineLevel="0" collapsed="false">
      <c r="A640" s="28" t="str">
        <f aca="false">IF($K640=0,"",ROW()-4)</f>
        <v/>
      </c>
      <c r="B640" s="26" t="str">
        <f aca="false">IF($K640=0,"","SOUS-TRAITANCE")</f>
        <v/>
      </c>
      <c r="C640" s="26" t="str">
        <f aca="false">IF($K640=0,"",SOUS_TRAITANCE!$A40)</f>
        <v/>
      </c>
      <c r="D640" s="31" t="str">
        <f aca="false">IF($K640=0,"",SOUS_TRAITANCE!$B40)</f>
        <v/>
      </c>
      <c r="E640" s="26" t="str">
        <f aca="false">IF($K640=0,"","SORTIE")</f>
        <v/>
      </c>
      <c r="F640" s="26" t="str">
        <f aca="false">IF($K640=0,"","ENVOI SOUS-TRAITANCE")</f>
        <v/>
      </c>
      <c r="G640" s="26" t="str">
        <f aca="false">IF($K640=0,"",SOUS_TRAITANCE!$E40)</f>
        <v/>
      </c>
      <c r="H640" s="26" t="str">
        <f aca="false">IF($K640=0,"",SOUS_TRAITANCE!$F40)</f>
        <v/>
      </c>
      <c r="I640" s="26" t="str">
        <f aca="false">IF($H640="","",IFERROR(INDEX(EMPL_CLASSE,MATCH($H640,EMPL_KEY,0)),""))</f>
        <v/>
      </c>
      <c r="J640" s="26" t="str">
        <f aca="false">IF($K640=0,"",SOUS_TRAITANCE!$O40)</f>
        <v/>
      </c>
      <c r="K640" s="67" t="n">
        <f aca="false">IF(OR(SOUS_TRAITANCE!$Q40=0,SOUS_TRAITANCE!$D40&lt;&gt;"STOCK EXISTANT"),0,-SOUS_TRAITANCE!$G40)</f>
        <v>0</v>
      </c>
      <c r="L640" s="67" t="n">
        <f aca="false">IF($K640=0,0,SOUS_TRAITANCE!$X40*$K640)</f>
        <v>0</v>
      </c>
      <c r="M640" s="26" t="str">
        <f aca="false">IF($K640=0,"",SOUS_TRAITANCE!$W40)</f>
        <v/>
      </c>
      <c r="N640" s="26" t="str">
        <f aca="false">IF($G640="","",IF($G640=R_LOT,COUNTIF($G$5:$G640,R_LOT),""))</f>
        <v/>
      </c>
    </row>
    <row r="641" customFormat="false" ht="15" hidden="false" customHeight="false" outlineLevel="0" collapsed="false">
      <c r="A641" s="28" t="str">
        <f aca="false">IF($K641=0,"",ROW()-4)</f>
        <v/>
      </c>
      <c r="B641" s="26" t="str">
        <f aca="false">IF($K641=0,"","SOUS-TRAITANCE")</f>
        <v/>
      </c>
      <c r="C641" s="26" t="str">
        <f aca="false">IF($K641=0,"",SOUS_TRAITANCE!$A41)</f>
        <v/>
      </c>
      <c r="D641" s="31" t="str">
        <f aca="false">IF($K641=0,"",SOUS_TRAITANCE!$B41)</f>
        <v/>
      </c>
      <c r="E641" s="26" t="str">
        <f aca="false">IF($K641=0,"","SORTIE")</f>
        <v/>
      </c>
      <c r="F641" s="26" t="str">
        <f aca="false">IF($K641=0,"","ENVOI SOUS-TRAITANCE")</f>
        <v/>
      </c>
      <c r="G641" s="26" t="str">
        <f aca="false">IF($K641=0,"",SOUS_TRAITANCE!$E41)</f>
        <v/>
      </c>
      <c r="H641" s="26" t="str">
        <f aca="false">IF($K641=0,"",SOUS_TRAITANCE!$F41)</f>
        <v/>
      </c>
      <c r="I641" s="26" t="str">
        <f aca="false">IF($H641="","",IFERROR(INDEX(EMPL_CLASSE,MATCH($H641,EMPL_KEY,0)),""))</f>
        <v/>
      </c>
      <c r="J641" s="26" t="str">
        <f aca="false">IF($K641=0,"",SOUS_TRAITANCE!$O41)</f>
        <v/>
      </c>
      <c r="K641" s="67" t="n">
        <f aca="false">IF(OR(SOUS_TRAITANCE!$Q41=0,SOUS_TRAITANCE!$D41&lt;&gt;"STOCK EXISTANT"),0,-SOUS_TRAITANCE!$G41)</f>
        <v>0</v>
      </c>
      <c r="L641" s="67" t="n">
        <f aca="false">IF($K641=0,0,SOUS_TRAITANCE!$X41*$K641)</f>
        <v>0</v>
      </c>
      <c r="M641" s="26" t="str">
        <f aca="false">IF($K641=0,"",SOUS_TRAITANCE!$W41)</f>
        <v/>
      </c>
      <c r="N641" s="26" t="str">
        <f aca="false">IF($G641="","",IF($G641=R_LOT,COUNTIF($G$5:$G641,R_LOT),""))</f>
        <v/>
      </c>
    </row>
    <row r="642" customFormat="false" ht="15" hidden="false" customHeight="false" outlineLevel="0" collapsed="false">
      <c r="A642" s="28" t="str">
        <f aca="false">IF($K642=0,"",ROW()-4)</f>
        <v/>
      </c>
      <c r="B642" s="26" t="str">
        <f aca="false">IF($K642=0,"","SOUS-TRAITANCE")</f>
        <v/>
      </c>
      <c r="C642" s="26" t="str">
        <f aca="false">IF($K642=0,"",SOUS_TRAITANCE!$A42)</f>
        <v/>
      </c>
      <c r="D642" s="31" t="str">
        <f aca="false">IF($K642=0,"",SOUS_TRAITANCE!$B42)</f>
        <v/>
      </c>
      <c r="E642" s="26" t="str">
        <f aca="false">IF($K642=0,"","SORTIE")</f>
        <v/>
      </c>
      <c r="F642" s="26" t="str">
        <f aca="false">IF($K642=0,"","ENVOI SOUS-TRAITANCE")</f>
        <v/>
      </c>
      <c r="G642" s="26" t="str">
        <f aca="false">IF($K642=0,"",SOUS_TRAITANCE!$E42)</f>
        <v/>
      </c>
      <c r="H642" s="26" t="str">
        <f aca="false">IF($K642=0,"",SOUS_TRAITANCE!$F42)</f>
        <v/>
      </c>
      <c r="I642" s="26" t="str">
        <f aca="false">IF($H642="","",IFERROR(INDEX(EMPL_CLASSE,MATCH($H642,EMPL_KEY,0)),""))</f>
        <v/>
      </c>
      <c r="J642" s="26" t="str">
        <f aca="false">IF($K642=0,"",SOUS_TRAITANCE!$O42)</f>
        <v/>
      </c>
      <c r="K642" s="67" t="n">
        <f aca="false">IF(OR(SOUS_TRAITANCE!$Q42=0,SOUS_TRAITANCE!$D42&lt;&gt;"STOCK EXISTANT"),0,-SOUS_TRAITANCE!$G42)</f>
        <v>0</v>
      </c>
      <c r="L642" s="67" t="n">
        <f aca="false">IF($K642=0,0,SOUS_TRAITANCE!$X42*$K642)</f>
        <v>0</v>
      </c>
      <c r="M642" s="26" t="str">
        <f aca="false">IF($K642=0,"",SOUS_TRAITANCE!$W42)</f>
        <v/>
      </c>
      <c r="N642" s="26" t="str">
        <f aca="false">IF($G642="","",IF($G642=R_LOT,COUNTIF($G$5:$G642,R_LOT),""))</f>
        <v/>
      </c>
    </row>
    <row r="643" customFormat="false" ht="15" hidden="false" customHeight="false" outlineLevel="0" collapsed="false">
      <c r="A643" s="28" t="str">
        <f aca="false">IF($K643=0,"",ROW()-4)</f>
        <v/>
      </c>
      <c r="B643" s="26" t="str">
        <f aca="false">IF($K643=0,"","SOUS-TRAITANCE")</f>
        <v/>
      </c>
      <c r="C643" s="26" t="str">
        <f aca="false">IF($K643=0,"",SOUS_TRAITANCE!$A43)</f>
        <v/>
      </c>
      <c r="D643" s="31" t="str">
        <f aca="false">IF($K643=0,"",SOUS_TRAITANCE!$B43)</f>
        <v/>
      </c>
      <c r="E643" s="26" t="str">
        <f aca="false">IF($K643=0,"","SORTIE")</f>
        <v/>
      </c>
      <c r="F643" s="26" t="str">
        <f aca="false">IF($K643=0,"","ENVOI SOUS-TRAITANCE")</f>
        <v/>
      </c>
      <c r="G643" s="26" t="str">
        <f aca="false">IF($K643=0,"",SOUS_TRAITANCE!$E43)</f>
        <v/>
      </c>
      <c r="H643" s="26" t="str">
        <f aca="false">IF($K643=0,"",SOUS_TRAITANCE!$F43)</f>
        <v/>
      </c>
      <c r="I643" s="26" t="str">
        <f aca="false">IF($H643="","",IFERROR(INDEX(EMPL_CLASSE,MATCH($H643,EMPL_KEY,0)),""))</f>
        <v/>
      </c>
      <c r="J643" s="26" t="str">
        <f aca="false">IF($K643=0,"",SOUS_TRAITANCE!$O43)</f>
        <v/>
      </c>
      <c r="K643" s="67" t="n">
        <f aca="false">IF(OR(SOUS_TRAITANCE!$Q43=0,SOUS_TRAITANCE!$D43&lt;&gt;"STOCK EXISTANT"),0,-SOUS_TRAITANCE!$G43)</f>
        <v>0</v>
      </c>
      <c r="L643" s="67" t="n">
        <f aca="false">IF($K643=0,0,SOUS_TRAITANCE!$X43*$K643)</f>
        <v>0</v>
      </c>
      <c r="M643" s="26" t="str">
        <f aca="false">IF($K643=0,"",SOUS_TRAITANCE!$W43)</f>
        <v/>
      </c>
      <c r="N643" s="26" t="str">
        <f aca="false">IF($G643="","",IF($G643=R_LOT,COUNTIF($G$5:$G643,R_LOT),""))</f>
        <v/>
      </c>
    </row>
    <row r="644" customFormat="false" ht="15" hidden="false" customHeight="false" outlineLevel="0" collapsed="false">
      <c r="A644" s="28" t="str">
        <f aca="false">IF($K644=0,"",ROW()-4)</f>
        <v/>
      </c>
      <c r="B644" s="26" t="str">
        <f aca="false">IF($K644=0,"","SOUS-TRAITANCE")</f>
        <v/>
      </c>
      <c r="C644" s="26" t="str">
        <f aca="false">IF($K644=0,"",SOUS_TRAITANCE!$A44)</f>
        <v/>
      </c>
      <c r="D644" s="31" t="str">
        <f aca="false">IF($K644=0,"",SOUS_TRAITANCE!$B44)</f>
        <v/>
      </c>
      <c r="E644" s="26" t="str">
        <f aca="false">IF($K644=0,"","SORTIE")</f>
        <v/>
      </c>
      <c r="F644" s="26" t="str">
        <f aca="false">IF($K644=0,"","ENVOI SOUS-TRAITANCE")</f>
        <v/>
      </c>
      <c r="G644" s="26" t="str">
        <f aca="false">IF($K644=0,"",SOUS_TRAITANCE!$E44)</f>
        <v/>
      </c>
      <c r="H644" s="26" t="str">
        <f aca="false">IF($K644=0,"",SOUS_TRAITANCE!$F44)</f>
        <v/>
      </c>
      <c r="I644" s="26" t="str">
        <f aca="false">IF($H644="","",IFERROR(INDEX(EMPL_CLASSE,MATCH($H644,EMPL_KEY,0)),""))</f>
        <v/>
      </c>
      <c r="J644" s="26" t="str">
        <f aca="false">IF($K644=0,"",SOUS_TRAITANCE!$O44)</f>
        <v/>
      </c>
      <c r="K644" s="67" t="n">
        <f aca="false">IF(OR(SOUS_TRAITANCE!$Q44=0,SOUS_TRAITANCE!$D44&lt;&gt;"STOCK EXISTANT"),0,-SOUS_TRAITANCE!$G44)</f>
        <v>0</v>
      </c>
      <c r="L644" s="67" t="n">
        <f aca="false">IF($K644=0,0,SOUS_TRAITANCE!$X44*$K644)</f>
        <v>0</v>
      </c>
      <c r="M644" s="26" t="str">
        <f aca="false">IF($K644=0,"",SOUS_TRAITANCE!$W44)</f>
        <v/>
      </c>
      <c r="N644" s="26" t="str">
        <f aca="false">IF($G644="","",IF($G644=R_LOT,COUNTIF($G$5:$G644,R_LOT),""))</f>
        <v/>
      </c>
    </row>
    <row r="645" customFormat="false" ht="15" hidden="false" customHeight="false" outlineLevel="0" collapsed="false">
      <c r="A645" s="28" t="str">
        <f aca="false">IF($K645=0,"",ROW()-4)</f>
        <v/>
      </c>
      <c r="B645" s="26" t="str">
        <f aca="false">IF($K645=0,"","SOUS-TRAITANCE")</f>
        <v/>
      </c>
      <c r="C645" s="26" t="str">
        <f aca="false">IF($K645=0,"",SOUS_TRAITANCE!$A45)</f>
        <v/>
      </c>
      <c r="D645" s="31" t="str">
        <f aca="false">IF($K645=0,"",SOUS_TRAITANCE!$B45)</f>
        <v/>
      </c>
      <c r="E645" s="26" t="str">
        <f aca="false">IF($K645=0,"","SORTIE")</f>
        <v/>
      </c>
      <c r="F645" s="26" t="str">
        <f aca="false">IF($K645=0,"","ENVOI SOUS-TRAITANCE")</f>
        <v/>
      </c>
      <c r="G645" s="26" t="str">
        <f aca="false">IF($K645=0,"",SOUS_TRAITANCE!$E45)</f>
        <v/>
      </c>
      <c r="H645" s="26" t="str">
        <f aca="false">IF($K645=0,"",SOUS_TRAITANCE!$F45)</f>
        <v/>
      </c>
      <c r="I645" s="26" t="str">
        <f aca="false">IF($H645="","",IFERROR(INDEX(EMPL_CLASSE,MATCH($H645,EMPL_KEY,0)),""))</f>
        <v/>
      </c>
      <c r="J645" s="26" t="str">
        <f aca="false">IF($K645=0,"",SOUS_TRAITANCE!$O45)</f>
        <v/>
      </c>
      <c r="K645" s="67" t="n">
        <f aca="false">IF(OR(SOUS_TRAITANCE!$Q45=0,SOUS_TRAITANCE!$D45&lt;&gt;"STOCK EXISTANT"),0,-SOUS_TRAITANCE!$G45)</f>
        <v>0</v>
      </c>
      <c r="L645" s="67" t="n">
        <f aca="false">IF($K645=0,0,SOUS_TRAITANCE!$X45*$K645)</f>
        <v>0</v>
      </c>
      <c r="M645" s="26" t="str">
        <f aca="false">IF($K645=0,"",SOUS_TRAITANCE!$W45)</f>
        <v/>
      </c>
      <c r="N645" s="26" t="str">
        <f aca="false">IF($G645="","",IF($G645=R_LOT,COUNTIF($G$5:$G645,R_LOT),""))</f>
        <v/>
      </c>
    </row>
    <row r="646" customFormat="false" ht="15" hidden="false" customHeight="false" outlineLevel="0" collapsed="false">
      <c r="A646" s="28" t="str">
        <f aca="false">IF($K646=0,"",ROW()-4)</f>
        <v/>
      </c>
      <c r="B646" s="26" t="str">
        <f aca="false">IF($K646=0,"","SOUS-TRAITANCE")</f>
        <v/>
      </c>
      <c r="C646" s="26" t="str">
        <f aca="false">IF($K646=0,"",SOUS_TRAITANCE!$A46)</f>
        <v/>
      </c>
      <c r="D646" s="31" t="str">
        <f aca="false">IF($K646=0,"",SOUS_TRAITANCE!$B46)</f>
        <v/>
      </c>
      <c r="E646" s="26" t="str">
        <f aca="false">IF($K646=0,"","SORTIE")</f>
        <v/>
      </c>
      <c r="F646" s="26" t="str">
        <f aca="false">IF($K646=0,"","ENVOI SOUS-TRAITANCE")</f>
        <v/>
      </c>
      <c r="G646" s="26" t="str">
        <f aca="false">IF($K646=0,"",SOUS_TRAITANCE!$E46)</f>
        <v/>
      </c>
      <c r="H646" s="26" t="str">
        <f aca="false">IF($K646=0,"",SOUS_TRAITANCE!$F46)</f>
        <v/>
      </c>
      <c r="I646" s="26" t="str">
        <f aca="false">IF($H646="","",IFERROR(INDEX(EMPL_CLASSE,MATCH($H646,EMPL_KEY,0)),""))</f>
        <v/>
      </c>
      <c r="J646" s="26" t="str">
        <f aca="false">IF($K646=0,"",SOUS_TRAITANCE!$O46)</f>
        <v/>
      </c>
      <c r="K646" s="67" t="n">
        <f aca="false">IF(OR(SOUS_TRAITANCE!$Q46=0,SOUS_TRAITANCE!$D46&lt;&gt;"STOCK EXISTANT"),0,-SOUS_TRAITANCE!$G46)</f>
        <v>0</v>
      </c>
      <c r="L646" s="67" t="n">
        <f aca="false">IF($K646=0,0,SOUS_TRAITANCE!$X46*$K646)</f>
        <v>0</v>
      </c>
      <c r="M646" s="26" t="str">
        <f aca="false">IF($K646=0,"",SOUS_TRAITANCE!$W46)</f>
        <v/>
      </c>
      <c r="N646" s="26" t="str">
        <f aca="false">IF($G646="","",IF($G646=R_LOT,COUNTIF($G$5:$G646,R_LOT),""))</f>
        <v/>
      </c>
    </row>
    <row r="647" customFormat="false" ht="15" hidden="false" customHeight="false" outlineLevel="0" collapsed="false">
      <c r="A647" s="28" t="str">
        <f aca="false">IF($K647=0,"",ROW()-4)</f>
        <v/>
      </c>
      <c r="B647" s="26" t="str">
        <f aca="false">IF($K647=0,"","SOUS-TRAITANCE")</f>
        <v/>
      </c>
      <c r="C647" s="26" t="str">
        <f aca="false">IF($K647=0,"",SOUS_TRAITANCE!$A47)</f>
        <v/>
      </c>
      <c r="D647" s="31" t="str">
        <f aca="false">IF($K647=0,"",SOUS_TRAITANCE!$B47)</f>
        <v/>
      </c>
      <c r="E647" s="26" t="str">
        <f aca="false">IF($K647=0,"","SORTIE")</f>
        <v/>
      </c>
      <c r="F647" s="26" t="str">
        <f aca="false">IF($K647=0,"","ENVOI SOUS-TRAITANCE")</f>
        <v/>
      </c>
      <c r="G647" s="26" t="str">
        <f aca="false">IF($K647=0,"",SOUS_TRAITANCE!$E47)</f>
        <v/>
      </c>
      <c r="H647" s="26" t="str">
        <f aca="false">IF($K647=0,"",SOUS_TRAITANCE!$F47)</f>
        <v/>
      </c>
      <c r="I647" s="26" t="str">
        <f aca="false">IF($H647="","",IFERROR(INDEX(EMPL_CLASSE,MATCH($H647,EMPL_KEY,0)),""))</f>
        <v/>
      </c>
      <c r="J647" s="26" t="str">
        <f aca="false">IF($K647=0,"",SOUS_TRAITANCE!$O47)</f>
        <v/>
      </c>
      <c r="K647" s="67" t="n">
        <f aca="false">IF(OR(SOUS_TRAITANCE!$Q47=0,SOUS_TRAITANCE!$D47&lt;&gt;"STOCK EXISTANT"),0,-SOUS_TRAITANCE!$G47)</f>
        <v>0</v>
      </c>
      <c r="L647" s="67" t="n">
        <f aca="false">IF($K647=0,0,SOUS_TRAITANCE!$X47*$K647)</f>
        <v>0</v>
      </c>
      <c r="M647" s="26" t="str">
        <f aca="false">IF($K647=0,"",SOUS_TRAITANCE!$W47)</f>
        <v/>
      </c>
      <c r="N647" s="26" t="str">
        <f aca="false">IF($G647="","",IF($G647=R_LOT,COUNTIF($G$5:$G647,R_LOT),""))</f>
        <v/>
      </c>
    </row>
    <row r="648" customFormat="false" ht="15" hidden="false" customHeight="false" outlineLevel="0" collapsed="false">
      <c r="A648" s="28" t="str">
        <f aca="false">IF($K648=0,"",ROW()-4)</f>
        <v/>
      </c>
      <c r="B648" s="26" t="str">
        <f aca="false">IF($K648=0,"","SOUS-TRAITANCE")</f>
        <v/>
      </c>
      <c r="C648" s="26" t="str">
        <f aca="false">IF($K648=0,"",SOUS_TRAITANCE!$A48)</f>
        <v/>
      </c>
      <c r="D648" s="31" t="str">
        <f aca="false">IF($K648=0,"",SOUS_TRAITANCE!$B48)</f>
        <v/>
      </c>
      <c r="E648" s="26" t="str">
        <f aca="false">IF($K648=0,"","SORTIE")</f>
        <v/>
      </c>
      <c r="F648" s="26" t="str">
        <f aca="false">IF($K648=0,"","ENVOI SOUS-TRAITANCE")</f>
        <v/>
      </c>
      <c r="G648" s="26" t="str">
        <f aca="false">IF($K648=0,"",SOUS_TRAITANCE!$E48)</f>
        <v/>
      </c>
      <c r="H648" s="26" t="str">
        <f aca="false">IF($K648=0,"",SOUS_TRAITANCE!$F48)</f>
        <v/>
      </c>
      <c r="I648" s="26" t="str">
        <f aca="false">IF($H648="","",IFERROR(INDEX(EMPL_CLASSE,MATCH($H648,EMPL_KEY,0)),""))</f>
        <v/>
      </c>
      <c r="J648" s="26" t="str">
        <f aca="false">IF($K648=0,"",SOUS_TRAITANCE!$O48)</f>
        <v/>
      </c>
      <c r="K648" s="67" t="n">
        <f aca="false">IF(OR(SOUS_TRAITANCE!$Q48=0,SOUS_TRAITANCE!$D48&lt;&gt;"STOCK EXISTANT"),0,-SOUS_TRAITANCE!$G48)</f>
        <v>0</v>
      </c>
      <c r="L648" s="67" t="n">
        <f aca="false">IF($K648=0,0,SOUS_TRAITANCE!$X48*$K648)</f>
        <v>0</v>
      </c>
      <c r="M648" s="26" t="str">
        <f aca="false">IF($K648=0,"",SOUS_TRAITANCE!$W48)</f>
        <v/>
      </c>
      <c r="N648" s="26" t="str">
        <f aca="false">IF($G648="","",IF($G648=R_LOT,COUNTIF($G$5:$G648,R_LOT),""))</f>
        <v/>
      </c>
    </row>
    <row r="649" customFormat="false" ht="15" hidden="false" customHeight="false" outlineLevel="0" collapsed="false">
      <c r="A649" s="28" t="str">
        <f aca="false">IF($K649=0,"",ROW()-4)</f>
        <v/>
      </c>
      <c r="B649" s="26" t="str">
        <f aca="false">IF($K649=0,"","SOUS-TRAITANCE")</f>
        <v/>
      </c>
      <c r="C649" s="26" t="str">
        <f aca="false">IF($K649=0,"",SOUS_TRAITANCE!$A49)</f>
        <v/>
      </c>
      <c r="D649" s="31" t="str">
        <f aca="false">IF($K649=0,"",SOUS_TRAITANCE!$B49)</f>
        <v/>
      </c>
      <c r="E649" s="26" t="str">
        <f aca="false">IF($K649=0,"","SORTIE")</f>
        <v/>
      </c>
      <c r="F649" s="26" t="str">
        <f aca="false">IF($K649=0,"","ENVOI SOUS-TRAITANCE")</f>
        <v/>
      </c>
      <c r="G649" s="26" t="str">
        <f aca="false">IF($K649=0,"",SOUS_TRAITANCE!$E49)</f>
        <v/>
      </c>
      <c r="H649" s="26" t="str">
        <f aca="false">IF($K649=0,"",SOUS_TRAITANCE!$F49)</f>
        <v/>
      </c>
      <c r="I649" s="26" t="str">
        <f aca="false">IF($H649="","",IFERROR(INDEX(EMPL_CLASSE,MATCH($H649,EMPL_KEY,0)),""))</f>
        <v/>
      </c>
      <c r="J649" s="26" t="str">
        <f aca="false">IF($K649=0,"",SOUS_TRAITANCE!$O49)</f>
        <v/>
      </c>
      <c r="K649" s="67" t="n">
        <f aca="false">IF(OR(SOUS_TRAITANCE!$Q49=0,SOUS_TRAITANCE!$D49&lt;&gt;"STOCK EXISTANT"),0,-SOUS_TRAITANCE!$G49)</f>
        <v>0</v>
      </c>
      <c r="L649" s="67" t="n">
        <f aca="false">IF($K649=0,0,SOUS_TRAITANCE!$X49*$K649)</f>
        <v>0</v>
      </c>
      <c r="M649" s="26" t="str">
        <f aca="false">IF($K649=0,"",SOUS_TRAITANCE!$W49)</f>
        <v/>
      </c>
      <c r="N649" s="26" t="str">
        <f aca="false">IF($G649="","",IF($G649=R_LOT,COUNTIF($G$5:$G649,R_LOT),""))</f>
        <v/>
      </c>
    </row>
    <row r="650" customFormat="false" ht="15" hidden="false" customHeight="false" outlineLevel="0" collapsed="false">
      <c r="A650" s="28" t="str">
        <f aca="false">IF($K650=0,"",ROW()-4)</f>
        <v/>
      </c>
      <c r="B650" s="26" t="str">
        <f aca="false">IF($K650=0,"","SOUS-TRAITANCE")</f>
        <v/>
      </c>
      <c r="C650" s="26" t="str">
        <f aca="false">IF($K650=0,"",SOUS_TRAITANCE!$A50)</f>
        <v/>
      </c>
      <c r="D650" s="31" t="str">
        <f aca="false">IF($K650=0,"",SOUS_TRAITANCE!$B50)</f>
        <v/>
      </c>
      <c r="E650" s="26" t="str">
        <f aca="false">IF($K650=0,"","SORTIE")</f>
        <v/>
      </c>
      <c r="F650" s="26" t="str">
        <f aca="false">IF($K650=0,"","ENVOI SOUS-TRAITANCE")</f>
        <v/>
      </c>
      <c r="G650" s="26" t="str">
        <f aca="false">IF($K650=0,"",SOUS_TRAITANCE!$E50)</f>
        <v/>
      </c>
      <c r="H650" s="26" t="str">
        <f aca="false">IF($K650=0,"",SOUS_TRAITANCE!$F50)</f>
        <v/>
      </c>
      <c r="I650" s="26" t="str">
        <f aca="false">IF($H650="","",IFERROR(INDEX(EMPL_CLASSE,MATCH($H650,EMPL_KEY,0)),""))</f>
        <v/>
      </c>
      <c r="J650" s="26" t="str">
        <f aca="false">IF($K650=0,"",SOUS_TRAITANCE!$O50)</f>
        <v/>
      </c>
      <c r="K650" s="67" t="n">
        <f aca="false">IF(OR(SOUS_TRAITANCE!$Q50=0,SOUS_TRAITANCE!$D50&lt;&gt;"STOCK EXISTANT"),0,-SOUS_TRAITANCE!$G50)</f>
        <v>0</v>
      </c>
      <c r="L650" s="67" t="n">
        <f aca="false">IF($K650=0,0,SOUS_TRAITANCE!$X50*$K650)</f>
        <v>0</v>
      </c>
      <c r="M650" s="26" t="str">
        <f aca="false">IF($K650=0,"",SOUS_TRAITANCE!$W50)</f>
        <v/>
      </c>
      <c r="N650" s="26" t="str">
        <f aca="false">IF($G650="","",IF($G650=R_LOT,COUNTIF($G$5:$G650,R_LOT),""))</f>
        <v/>
      </c>
    </row>
    <row r="651" customFormat="false" ht="15" hidden="false" customHeight="false" outlineLevel="0" collapsed="false">
      <c r="A651" s="28" t="str">
        <f aca="false">IF($K651=0,"",ROW()-4)</f>
        <v/>
      </c>
      <c r="B651" s="26" t="str">
        <f aca="false">IF($K651=0,"","SOUS-TRAITANCE")</f>
        <v/>
      </c>
      <c r="C651" s="26" t="str">
        <f aca="false">IF($K651=0,"",SOUS_TRAITANCE!$A51)</f>
        <v/>
      </c>
      <c r="D651" s="31" t="str">
        <f aca="false">IF($K651=0,"",SOUS_TRAITANCE!$B51)</f>
        <v/>
      </c>
      <c r="E651" s="26" t="str">
        <f aca="false">IF($K651=0,"","SORTIE")</f>
        <v/>
      </c>
      <c r="F651" s="26" t="str">
        <f aca="false">IF($K651=0,"","ENVOI SOUS-TRAITANCE")</f>
        <v/>
      </c>
      <c r="G651" s="26" t="str">
        <f aca="false">IF($K651=0,"",SOUS_TRAITANCE!$E51)</f>
        <v/>
      </c>
      <c r="H651" s="26" t="str">
        <f aca="false">IF($K651=0,"",SOUS_TRAITANCE!$F51)</f>
        <v/>
      </c>
      <c r="I651" s="26" t="str">
        <f aca="false">IF($H651="","",IFERROR(INDEX(EMPL_CLASSE,MATCH($H651,EMPL_KEY,0)),""))</f>
        <v/>
      </c>
      <c r="J651" s="26" t="str">
        <f aca="false">IF($K651=0,"",SOUS_TRAITANCE!$O51)</f>
        <v/>
      </c>
      <c r="K651" s="67" t="n">
        <f aca="false">IF(OR(SOUS_TRAITANCE!$Q51=0,SOUS_TRAITANCE!$D51&lt;&gt;"STOCK EXISTANT"),0,-SOUS_TRAITANCE!$G51)</f>
        <v>0</v>
      </c>
      <c r="L651" s="67" t="n">
        <f aca="false">IF($K651=0,0,SOUS_TRAITANCE!$X51*$K651)</f>
        <v>0</v>
      </c>
      <c r="M651" s="26" t="str">
        <f aca="false">IF($K651=0,"",SOUS_TRAITANCE!$W51)</f>
        <v/>
      </c>
      <c r="N651" s="26" t="str">
        <f aca="false">IF($G651="","",IF($G651=R_LOT,COUNTIF($G$5:$G651,R_LOT),""))</f>
        <v/>
      </c>
    </row>
    <row r="652" customFormat="false" ht="15" hidden="false" customHeight="false" outlineLevel="0" collapsed="false">
      <c r="A652" s="28" t="str">
        <f aca="false">IF($K652=0,"",ROW()-4)</f>
        <v/>
      </c>
      <c r="B652" s="26" t="str">
        <f aca="false">IF($K652=0,"","SOUS-TRAITANCE")</f>
        <v/>
      </c>
      <c r="C652" s="26" t="str">
        <f aca="false">IF($K652=0,"",SOUS_TRAITANCE!$A52)</f>
        <v/>
      </c>
      <c r="D652" s="31" t="str">
        <f aca="false">IF($K652=0,"",SOUS_TRAITANCE!$B52)</f>
        <v/>
      </c>
      <c r="E652" s="26" t="str">
        <f aca="false">IF($K652=0,"","SORTIE")</f>
        <v/>
      </c>
      <c r="F652" s="26" t="str">
        <f aca="false">IF($K652=0,"","ENVOI SOUS-TRAITANCE")</f>
        <v/>
      </c>
      <c r="G652" s="26" t="str">
        <f aca="false">IF($K652=0,"",SOUS_TRAITANCE!$E52)</f>
        <v/>
      </c>
      <c r="H652" s="26" t="str">
        <f aca="false">IF($K652=0,"",SOUS_TRAITANCE!$F52)</f>
        <v/>
      </c>
      <c r="I652" s="26" t="str">
        <f aca="false">IF($H652="","",IFERROR(INDEX(EMPL_CLASSE,MATCH($H652,EMPL_KEY,0)),""))</f>
        <v/>
      </c>
      <c r="J652" s="26" t="str">
        <f aca="false">IF($K652=0,"",SOUS_TRAITANCE!$O52)</f>
        <v/>
      </c>
      <c r="K652" s="67" t="n">
        <f aca="false">IF(OR(SOUS_TRAITANCE!$Q52=0,SOUS_TRAITANCE!$D52&lt;&gt;"STOCK EXISTANT"),0,-SOUS_TRAITANCE!$G52)</f>
        <v>0</v>
      </c>
      <c r="L652" s="67" t="n">
        <f aca="false">IF($K652=0,0,SOUS_TRAITANCE!$X52*$K652)</f>
        <v>0</v>
      </c>
      <c r="M652" s="26" t="str">
        <f aca="false">IF($K652=0,"",SOUS_TRAITANCE!$W52)</f>
        <v/>
      </c>
      <c r="N652" s="26" t="str">
        <f aca="false">IF($G652="","",IF($G652=R_LOT,COUNTIF($G$5:$G652,R_LOT),""))</f>
        <v/>
      </c>
    </row>
    <row r="653" customFormat="false" ht="15" hidden="false" customHeight="false" outlineLevel="0" collapsed="false">
      <c r="A653" s="28" t="str">
        <f aca="false">IF($K653=0,"",ROW()-4)</f>
        <v/>
      </c>
      <c r="B653" s="26" t="str">
        <f aca="false">IF($K653=0,"","SOUS-TRAITANCE")</f>
        <v/>
      </c>
      <c r="C653" s="26" t="str">
        <f aca="false">IF($K653=0,"",SOUS_TRAITANCE!$A53)</f>
        <v/>
      </c>
      <c r="D653" s="31" t="str">
        <f aca="false">IF($K653=0,"",SOUS_TRAITANCE!$B53)</f>
        <v/>
      </c>
      <c r="E653" s="26" t="str">
        <f aca="false">IF($K653=0,"","SORTIE")</f>
        <v/>
      </c>
      <c r="F653" s="26" t="str">
        <f aca="false">IF($K653=0,"","ENVOI SOUS-TRAITANCE")</f>
        <v/>
      </c>
      <c r="G653" s="26" t="str">
        <f aca="false">IF($K653=0,"",SOUS_TRAITANCE!$E53)</f>
        <v/>
      </c>
      <c r="H653" s="26" t="str">
        <f aca="false">IF($K653=0,"",SOUS_TRAITANCE!$F53)</f>
        <v/>
      </c>
      <c r="I653" s="26" t="str">
        <f aca="false">IF($H653="","",IFERROR(INDEX(EMPL_CLASSE,MATCH($H653,EMPL_KEY,0)),""))</f>
        <v/>
      </c>
      <c r="J653" s="26" t="str">
        <f aca="false">IF($K653=0,"",SOUS_TRAITANCE!$O53)</f>
        <v/>
      </c>
      <c r="K653" s="67" t="n">
        <f aca="false">IF(OR(SOUS_TRAITANCE!$Q53=0,SOUS_TRAITANCE!$D53&lt;&gt;"STOCK EXISTANT"),0,-SOUS_TRAITANCE!$G53)</f>
        <v>0</v>
      </c>
      <c r="L653" s="67" t="n">
        <f aca="false">IF($K653=0,0,SOUS_TRAITANCE!$X53*$K653)</f>
        <v>0</v>
      </c>
      <c r="M653" s="26" t="str">
        <f aca="false">IF($K653=0,"",SOUS_TRAITANCE!$W53)</f>
        <v/>
      </c>
      <c r="N653" s="26" t="str">
        <f aca="false">IF($G653="","",IF($G653=R_LOT,COUNTIF($G$5:$G653,R_LOT),""))</f>
        <v/>
      </c>
    </row>
    <row r="654" customFormat="false" ht="15" hidden="false" customHeight="false" outlineLevel="0" collapsed="false">
      <c r="A654" s="28" t="str">
        <f aca="false">IF($K654=0,"",ROW()-4)</f>
        <v/>
      </c>
      <c r="B654" s="26" t="str">
        <f aca="false">IF($K654=0,"","SOUS-TRAITANCE")</f>
        <v/>
      </c>
      <c r="C654" s="26" t="str">
        <f aca="false">IF($K654=0,"",SOUS_TRAITANCE!$A54)</f>
        <v/>
      </c>
      <c r="D654" s="31" t="str">
        <f aca="false">IF($K654=0,"",SOUS_TRAITANCE!$B54)</f>
        <v/>
      </c>
      <c r="E654" s="26" t="str">
        <f aca="false">IF($K654=0,"","SORTIE")</f>
        <v/>
      </c>
      <c r="F654" s="26" t="str">
        <f aca="false">IF($K654=0,"","ENVOI SOUS-TRAITANCE")</f>
        <v/>
      </c>
      <c r="G654" s="26" t="str">
        <f aca="false">IF($K654=0,"",SOUS_TRAITANCE!$E54)</f>
        <v/>
      </c>
      <c r="H654" s="26" t="str">
        <f aca="false">IF($K654=0,"",SOUS_TRAITANCE!$F54)</f>
        <v/>
      </c>
      <c r="I654" s="26" t="str">
        <f aca="false">IF($H654="","",IFERROR(INDEX(EMPL_CLASSE,MATCH($H654,EMPL_KEY,0)),""))</f>
        <v/>
      </c>
      <c r="J654" s="26" t="str">
        <f aca="false">IF($K654=0,"",SOUS_TRAITANCE!$O54)</f>
        <v/>
      </c>
      <c r="K654" s="67" t="n">
        <f aca="false">IF(OR(SOUS_TRAITANCE!$Q54=0,SOUS_TRAITANCE!$D54&lt;&gt;"STOCK EXISTANT"),0,-SOUS_TRAITANCE!$G54)</f>
        <v>0</v>
      </c>
      <c r="L654" s="67" t="n">
        <f aca="false">IF($K654=0,0,SOUS_TRAITANCE!$X54*$K654)</f>
        <v>0</v>
      </c>
      <c r="M654" s="26" t="str">
        <f aca="false">IF($K654=0,"",SOUS_TRAITANCE!$W54)</f>
        <v/>
      </c>
      <c r="N654" s="26" t="str">
        <f aca="false">IF($G654="","",IF($G654=R_LOT,COUNTIF($G$5:$G654,R_LOT),""))</f>
        <v/>
      </c>
    </row>
    <row r="655" customFormat="false" ht="15" hidden="false" customHeight="false" outlineLevel="0" collapsed="false">
      <c r="A655" s="28" t="str">
        <f aca="false">IF($K655=0,"",ROW()-4)</f>
        <v/>
      </c>
      <c r="B655" s="26" t="str">
        <f aca="false">IF($K655=0,"","SOUS-TRAITANCE")</f>
        <v/>
      </c>
      <c r="C655" s="26" t="str">
        <f aca="false">IF($K655=0,"",SOUS_TRAITANCE!$A55)</f>
        <v/>
      </c>
      <c r="D655" s="31" t="str">
        <f aca="false">IF($K655=0,"",SOUS_TRAITANCE!$B55)</f>
        <v/>
      </c>
      <c r="E655" s="26" t="str">
        <f aca="false">IF($K655=0,"","SORTIE")</f>
        <v/>
      </c>
      <c r="F655" s="26" t="str">
        <f aca="false">IF($K655=0,"","ENVOI SOUS-TRAITANCE")</f>
        <v/>
      </c>
      <c r="G655" s="26" t="str">
        <f aca="false">IF($K655=0,"",SOUS_TRAITANCE!$E55)</f>
        <v/>
      </c>
      <c r="H655" s="26" t="str">
        <f aca="false">IF($K655=0,"",SOUS_TRAITANCE!$F55)</f>
        <v/>
      </c>
      <c r="I655" s="26" t="str">
        <f aca="false">IF($H655="","",IFERROR(INDEX(EMPL_CLASSE,MATCH($H655,EMPL_KEY,0)),""))</f>
        <v/>
      </c>
      <c r="J655" s="26" t="str">
        <f aca="false">IF($K655=0,"",SOUS_TRAITANCE!$O55)</f>
        <v/>
      </c>
      <c r="K655" s="67" t="n">
        <f aca="false">IF(OR(SOUS_TRAITANCE!$Q55=0,SOUS_TRAITANCE!$D55&lt;&gt;"STOCK EXISTANT"),0,-SOUS_TRAITANCE!$G55)</f>
        <v>0</v>
      </c>
      <c r="L655" s="67" t="n">
        <f aca="false">IF($K655=0,0,SOUS_TRAITANCE!$X55*$K655)</f>
        <v>0</v>
      </c>
      <c r="M655" s="26" t="str">
        <f aca="false">IF($K655=0,"",SOUS_TRAITANCE!$W55)</f>
        <v/>
      </c>
      <c r="N655" s="26" t="str">
        <f aca="false">IF($G655="","",IF($G655=R_LOT,COUNTIF($G$5:$G655,R_LOT),""))</f>
        <v/>
      </c>
    </row>
    <row r="656" customFormat="false" ht="15" hidden="false" customHeight="false" outlineLevel="0" collapsed="false">
      <c r="A656" s="28" t="str">
        <f aca="false">IF($K656=0,"",ROW()-4)</f>
        <v/>
      </c>
      <c r="B656" s="26" t="str">
        <f aca="false">IF($K656=0,"","SOUS-TRAITANCE")</f>
        <v/>
      </c>
      <c r="C656" s="26" t="str">
        <f aca="false">IF($K656=0,"",SOUS_TRAITANCE!$A56)</f>
        <v/>
      </c>
      <c r="D656" s="31" t="str">
        <f aca="false">IF($K656=0,"",SOUS_TRAITANCE!$B56)</f>
        <v/>
      </c>
      <c r="E656" s="26" t="str">
        <f aca="false">IF($K656=0,"","SORTIE")</f>
        <v/>
      </c>
      <c r="F656" s="26" t="str">
        <f aca="false">IF($K656=0,"","ENVOI SOUS-TRAITANCE")</f>
        <v/>
      </c>
      <c r="G656" s="26" t="str">
        <f aca="false">IF($K656=0,"",SOUS_TRAITANCE!$E56)</f>
        <v/>
      </c>
      <c r="H656" s="26" t="str">
        <f aca="false">IF($K656=0,"",SOUS_TRAITANCE!$F56)</f>
        <v/>
      </c>
      <c r="I656" s="26" t="str">
        <f aca="false">IF($H656="","",IFERROR(INDEX(EMPL_CLASSE,MATCH($H656,EMPL_KEY,0)),""))</f>
        <v/>
      </c>
      <c r="J656" s="26" t="str">
        <f aca="false">IF($K656=0,"",SOUS_TRAITANCE!$O56)</f>
        <v/>
      </c>
      <c r="K656" s="67" t="n">
        <f aca="false">IF(OR(SOUS_TRAITANCE!$Q56=0,SOUS_TRAITANCE!$D56&lt;&gt;"STOCK EXISTANT"),0,-SOUS_TRAITANCE!$G56)</f>
        <v>0</v>
      </c>
      <c r="L656" s="67" t="n">
        <f aca="false">IF($K656=0,0,SOUS_TRAITANCE!$X56*$K656)</f>
        <v>0</v>
      </c>
      <c r="M656" s="26" t="str">
        <f aca="false">IF($K656=0,"",SOUS_TRAITANCE!$W56)</f>
        <v/>
      </c>
      <c r="N656" s="26" t="str">
        <f aca="false">IF($G656="","",IF($G656=R_LOT,COUNTIF($G$5:$G656,R_LOT),""))</f>
        <v/>
      </c>
    </row>
    <row r="657" customFormat="false" ht="15" hidden="false" customHeight="false" outlineLevel="0" collapsed="false">
      <c r="A657" s="28" t="str">
        <f aca="false">IF($K657=0,"",ROW()-4)</f>
        <v/>
      </c>
      <c r="B657" s="26" t="str">
        <f aca="false">IF($K657=0,"","SOUS-TRAITANCE")</f>
        <v/>
      </c>
      <c r="C657" s="26" t="str">
        <f aca="false">IF($K657=0,"",SOUS_TRAITANCE!$A57)</f>
        <v/>
      </c>
      <c r="D657" s="31" t="str">
        <f aca="false">IF($K657=0,"",SOUS_TRAITANCE!$B57)</f>
        <v/>
      </c>
      <c r="E657" s="26" t="str">
        <f aca="false">IF($K657=0,"","SORTIE")</f>
        <v/>
      </c>
      <c r="F657" s="26" t="str">
        <f aca="false">IF($K657=0,"","ENVOI SOUS-TRAITANCE")</f>
        <v/>
      </c>
      <c r="G657" s="26" t="str">
        <f aca="false">IF($K657=0,"",SOUS_TRAITANCE!$E57)</f>
        <v/>
      </c>
      <c r="H657" s="26" t="str">
        <f aca="false">IF($K657=0,"",SOUS_TRAITANCE!$F57)</f>
        <v/>
      </c>
      <c r="I657" s="26" t="str">
        <f aca="false">IF($H657="","",IFERROR(INDEX(EMPL_CLASSE,MATCH($H657,EMPL_KEY,0)),""))</f>
        <v/>
      </c>
      <c r="J657" s="26" t="str">
        <f aca="false">IF($K657=0,"",SOUS_TRAITANCE!$O57)</f>
        <v/>
      </c>
      <c r="K657" s="67" t="n">
        <f aca="false">IF(OR(SOUS_TRAITANCE!$Q57=0,SOUS_TRAITANCE!$D57&lt;&gt;"STOCK EXISTANT"),0,-SOUS_TRAITANCE!$G57)</f>
        <v>0</v>
      </c>
      <c r="L657" s="67" t="n">
        <f aca="false">IF($K657=0,0,SOUS_TRAITANCE!$X57*$K657)</f>
        <v>0</v>
      </c>
      <c r="M657" s="26" t="str">
        <f aca="false">IF($K657=0,"",SOUS_TRAITANCE!$W57)</f>
        <v/>
      </c>
      <c r="N657" s="26" t="str">
        <f aca="false">IF($G657="","",IF($G657=R_LOT,COUNTIF($G$5:$G657,R_LOT),""))</f>
        <v/>
      </c>
    </row>
    <row r="658" customFormat="false" ht="15" hidden="false" customHeight="false" outlineLevel="0" collapsed="false">
      <c r="A658" s="28" t="str">
        <f aca="false">IF($K658=0,"",ROW()-4)</f>
        <v/>
      </c>
      <c r="B658" s="26" t="str">
        <f aca="false">IF($K658=0,"","SOUS-TRAITANCE")</f>
        <v/>
      </c>
      <c r="C658" s="26" t="str">
        <f aca="false">IF($K658=0,"",SOUS_TRAITANCE!$A58)</f>
        <v/>
      </c>
      <c r="D658" s="31" t="str">
        <f aca="false">IF($K658=0,"",SOUS_TRAITANCE!$B58)</f>
        <v/>
      </c>
      <c r="E658" s="26" t="str">
        <f aca="false">IF($K658=0,"","SORTIE")</f>
        <v/>
      </c>
      <c r="F658" s="26" t="str">
        <f aca="false">IF($K658=0,"","ENVOI SOUS-TRAITANCE")</f>
        <v/>
      </c>
      <c r="G658" s="26" t="str">
        <f aca="false">IF($K658=0,"",SOUS_TRAITANCE!$E58)</f>
        <v/>
      </c>
      <c r="H658" s="26" t="str">
        <f aca="false">IF($K658=0,"",SOUS_TRAITANCE!$F58)</f>
        <v/>
      </c>
      <c r="I658" s="26" t="str">
        <f aca="false">IF($H658="","",IFERROR(INDEX(EMPL_CLASSE,MATCH($H658,EMPL_KEY,0)),""))</f>
        <v/>
      </c>
      <c r="J658" s="26" t="str">
        <f aca="false">IF($K658=0,"",SOUS_TRAITANCE!$O58)</f>
        <v/>
      </c>
      <c r="K658" s="67" t="n">
        <f aca="false">IF(OR(SOUS_TRAITANCE!$Q58=0,SOUS_TRAITANCE!$D58&lt;&gt;"STOCK EXISTANT"),0,-SOUS_TRAITANCE!$G58)</f>
        <v>0</v>
      </c>
      <c r="L658" s="67" t="n">
        <f aca="false">IF($K658=0,0,SOUS_TRAITANCE!$X58*$K658)</f>
        <v>0</v>
      </c>
      <c r="M658" s="26" t="str">
        <f aca="false">IF($K658=0,"",SOUS_TRAITANCE!$W58)</f>
        <v/>
      </c>
      <c r="N658" s="26" t="str">
        <f aca="false">IF($G658="","",IF($G658=R_LOT,COUNTIF($G$5:$G658,R_LOT),""))</f>
        <v/>
      </c>
    </row>
    <row r="659" customFormat="false" ht="15" hidden="false" customHeight="false" outlineLevel="0" collapsed="false">
      <c r="A659" s="28" t="str">
        <f aca="false">IF($K659=0,"",ROW()-4)</f>
        <v/>
      </c>
      <c r="B659" s="26" t="str">
        <f aca="false">IF($K659=0,"","SOUS-TRAITANCE")</f>
        <v/>
      </c>
      <c r="C659" s="26" t="str">
        <f aca="false">IF($K659=0,"",SOUS_TRAITANCE!$A59)</f>
        <v/>
      </c>
      <c r="D659" s="31" t="str">
        <f aca="false">IF($K659=0,"",SOUS_TRAITANCE!$B59)</f>
        <v/>
      </c>
      <c r="E659" s="26" t="str">
        <f aca="false">IF($K659=0,"","SORTIE")</f>
        <v/>
      </c>
      <c r="F659" s="26" t="str">
        <f aca="false">IF($K659=0,"","ENVOI SOUS-TRAITANCE")</f>
        <v/>
      </c>
      <c r="G659" s="26" t="str">
        <f aca="false">IF($K659=0,"",SOUS_TRAITANCE!$E59)</f>
        <v/>
      </c>
      <c r="H659" s="26" t="str">
        <f aca="false">IF($K659=0,"",SOUS_TRAITANCE!$F59)</f>
        <v/>
      </c>
      <c r="I659" s="26" t="str">
        <f aca="false">IF($H659="","",IFERROR(INDEX(EMPL_CLASSE,MATCH($H659,EMPL_KEY,0)),""))</f>
        <v/>
      </c>
      <c r="J659" s="26" t="str">
        <f aca="false">IF($K659=0,"",SOUS_TRAITANCE!$O59)</f>
        <v/>
      </c>
      <c r="K659" s="67" t="n">
        <f aca="false">IF(OR(SOUS_TRAITANCE!$Q59=0,SOUS_TRAITANCE!$D59&lt;&gt;"STOCK EXISTANT"),0,-SOUS_TRAITANCE!$G59)</f>
        <v>0</v>
      </c>
      <c r="L659" s="67" t="n">
        <f aca="false">IF($K659=0,0,SOUS_TRAITANCE!$X59*$K659)</f>
        <v>0</v>
      </c>
      <c r="M659" s="26" t="str">
        <f aca="false">IF($K659=0,"",SOUS_TRAITANCE!$W59)</f>
        <v/>
      </c>
      <c r="N659" s="26" t="str">
        <f aca="false">IF($G659="","",IF($G659=R_LOT,COUNTIF($G$5:$G659,R_LOT),""))</f>
        <v/>
      </c>
    </row>
    <row r="660" customFormat="false" ht="15" hidden="false" customHeight="false" outlineLevel="0" collapsed="false">
      <c r="A660" s="28" t="str">
        <f aca="false">IF($K660=0,"",ROW()-4)</f>
        <v/>
      </c>
      <c r="B660" s="26" t="str">
        <f aca="false">IF($K660=0,"","SOUS-TRAITANCE")</f>
        <v/>
      </c>
      <c r="C660" s="26" t="str">
        <f aca="false">IF($K660=0,"",SOUS_TRAITANCE!$A60)</f>
        <v/>
      </c>
      <c r="D660" s="31" t="str">
        <f aca="false">IF($K660=0,"",SOUS_TRAITANCE!$B60)</f>
        <v/>
      </c>
      <c r="E660" s="26" t="str">
        <f aca="false">IF($K660=0,"","SORTIE")</f>
        <v/>
      </c>
      <c r="F660" s="26" t="str">
        <f aca="false">IF($K660=0,"","ENVOI SOUS-TRAITANCE")</f>
        <v/>
      </c>
      <c r="G660" s="26" t="str">
        <f aca="false">IF($K660=0,"",SOUS_TRAITANCE!$E60)</f>
        <v/>
      </c>
      <c r="H660" s="26" t="str">
        <f aca="false">IF($K660=0,"",SOUS_TRAITANCE!$F60)</f>
        <v/>
      </c>
      <c r="I660" s="26" t="str">
        <f aca="false">IF($H660="","",IFERROR(INDEX(EMPL_CLASSE,MATCH($H660,EMPL_KEY,0)),""))</f>
        <v/>
      </c>
      <c r="J660" s="26" t="str">
        <f aca="false">IF($K660=0,"",SOUS_TRAITANCE!$O60)</f>
        <v/>
      </c>
      <c r="K660" s="67" t="n">
        <f aca="false">IF(OR(SOUS_TRAITANCE!$Q60=0,SOUS_TRAITANCE!$D60&lt;&gt;"STOCK EXISTANT"),0,-SOUS_TRAITANCE!$G60)</f>
        <v>0</v>
      </c>
      <c r="L660" s="67" t="n">
        <f aca="false">IF($K660=0,0,SOUS_TRAITANCE!$X60*$K660)</f>
        <v>0</v>
      </c>
      <c r="M660" s="26" t="str">
        <f aca="false">IF($K660=0,"",SOUS_TRAITANCE!$W60)</f>
        <v/>
      </c>
      <c r="N660" s="26" t="str">
        <f aca="false">IF($G660="","",IF($G660=R_LOT,COUNTIF($G$5:$G660,R_LOT),""))</f>
        <v/>
      </c>
    </row>
    <row r="661" customFormat="false" ht="15" hidden="false" customHeight="false" outlineLevel="0" collapsed="false">
      <c r="A661" s="28" t="str">
        <f aca="false">IF($K661=0,"",ROW()-4)</f>
        <v/>
      </c>
      <c r="B661" s="26" t="str">
        <f aca="false">IF($K661=0,"","SOUS-TRAITANCE")</f>
        <v/>
      </c>
      <c r="C661" s="26" t="str">
        <f aca="false">IF($K661=0,"",SOUS_TRAITANCE!$A61)</f>
        <v/>
      </c>
      <c r="D661" s="31" t="str">
        <f aca="false">IF($K661=0,"",SOUS_TRAITANCE!$B61)</f>
        <v/>
      </c>
      <c r="E661" s="26" t="str">
        <f aca="false">IF($K661=0,"","SORTIE")</f>
        <v/>
      </c>
      <c r="F661" s="26" t="str">
        <f aca="false">IF($K661=0,"","ENVOI SOUS-TRAITANCE")</f>
        <v/>
      </c>
      <c r="G661" s="26" t="str">
        <f aca="false">IF($K661=0,"",SOUS_TRAITANCE!$E61)</f>
        <v/>
      </c>
      <c r="H661" s="26" t="str">
        <f aca="false">IF($K661=0,"",SOUS_TRAITANCE!$F61)</f>
        <v/>
      </c>
      <c r="I661" s="26" t="str">
        <f aca="false">IF($H661="","",IFERROR(INDEX(EMPL_CLASSE,MATCH($H661,EMPL_KEY,0)),""))</f>
        <v/>
      </c>
      <c r="J661" s="26" t="str">
        <f aca="false">IF($K661=0,"",SOUS_TRAITANCE!$O61)</f>
        <v/>
      </c>
      <c r="K661" s="67" t="n">
        <f aca="false">IF(OR(SOUS_TRAITANCE!$Q61=0,SOUS_TRAITANCE!$D61&lt;&gt;"STOCK EXISTANT"),0,-SOUS_TRAITANCE!$G61)</f>
        <v>0</v>
      </c>
      <c r="L661" s="67" t="n">
        <f aca="false">IF($K661=0,0,SOUS_TRAITANCE!$X61*$K661)</f>
        <v>0</v>
      </c>
      <c r="M661" s="26" t="str">
        <f aca="false">IF($K661=0,"",SOUS_TRAITANCE!$W61)</f>
        <v/>
      </c>
      <c r="N661" s="26" t="str">
        <f aca="false">IF($G661="","",IF($G661=R_LOT,COUNTIF($G$5:$G661,R_LOT),""))</f>
        <v/>
      </c>
    </row>
    <row r="662" customFormat="false" ht="15" hidden="false" customHeight="false" outlineLevel="0" collapsed="false">
      <c r="A662" s="28" t="str">
        <f aca="false">IF($K662=0,"",ROW()-4)</f>
        <v/>
      </c>
      <c r="B662" s="26" t="str">
        <f aca="false">IF($K662=0,"","SOUS-TRAITANCE")</f>
        <v/>
      </c>
      <c r="C662" s="26" t="str">
        <f aca="false">IF($K662=0,"",SOUS_TRAITANCE!$A62)</f>
        <v/>
      </c>
      <c r="D662" s="31" t="str">
        <f aca="false">IF($K662=0,"",SOUS_TRAITANCE!$B62)</f>
        <v/>
      </c>
      <c r="E662" s="26" t="str">
        <f aca="false">IF($K662=0,"","SORTIE")</f>
        <v/>
      </c>
      <c r="F662" s="26" t="str">
        <f aca="false">IF($K662=0,"","ENVOI SOUS-TRAITANCE")</f>
        <v/>
      </c>
      <c r="G662" s="26" t="str">
        <f aca="false">IF($K662=0,"",SOUS_TRAITANCE!$E62)</f>
        <v/>
      </c>
      <c r="H662" s="26" t="str">
        <f aca="false">IF($K662=0,"",SOUS_TRAITANCE!$F62)</f>
        <v/>
      </c>
      <c r="I662" s="26" t="str">
        <f aca="false">IF($H662="","",IFERROR(INDEX(EMPL_CLASSE,MATCH($H662,EMPL_KEY,0)),""))</f>
        <v/>
      </c>
      <c r="J662" s="26" t="str">
        <f aca="false">IF($K662=0,"",SOUS_TRAITANCE!$O62)</f>
        <v/>
      </c>
      <c r="K662" s="67" t="n">
        <f aca="false">IF(OR(SOUS_TRAITANCE!$Q62=0,SOUS_TRAITANCE!$D62&lt;&gt;"STOCK EXISTANT"),0,-SOUS_TRAITANCE!$G62)</f>
        <v>0</v>
      </c>
      <c r="L662" s="67" t="n">
        <f aca="false">IF($K662=0,0,SOUS_TRAITANCE!$X62*$K662)</f>
        <v>0</v>
      </c>
      <c r="M662" s="26" t="str">
        <f aca="false">IF($K662=0,"",SOUS_TRAITANCE!$W62)</f>
        <v/>
      </c>
      <c r="N662" s="26" t="str">
        <f aca="false">IF($G662="","",IF($G662=R_LOT,COUNTIF($G$5:$G662,R_LOT),""))</f>
        <v/>
      </c>
    </row>
    <row r="663" customFormat="false" ht="15" hidden="false" customHeight="false" outlineLevel="0" collapsed="false">
      <c r="A663" s="28" t="str">
        <f aca="false">IF($K663=0,"",ROW()-4)</f>
        <v/>
      </c>
      <c r="B663" s="26" t="str">
        <f aca="false">IF($K663=0,"","SOUS-TRAITANCE")</f>
        <v/>
      </c>
      <c r="C663" s="26" t="str">
        <f aca="false">IF($K663=0,"",SOUS_TRAITANCE!$A63)</f>
        <v/>
      </c>
      <c r="D663" s="31" t="str">
        <f aca="false">IF($K663=0,"",SOUS_TRAITANCE!$B63)</f>
        <v/>
      </c>
      <c r="E663" s="26" t="str">
        <f aca="false">IF($K663=0,"","SORTIE")</f>
        <v/>
      </c>
      <c r="F663" s="26" t="str">
        <f aca="false">IF($K663=0,"","ENVOI SOUS-TRAITANCE")</f>
        <v/>
      </c>
      <c r="G663" s="26" t="str">
        <f aca="false">IF($K663=0,"",SOUS_TRAITANCE!$E63)</f>
        <v/>
      </c>
      <c r="H663" s="26" t="str">
        <f aca="false">IF($K663=0,"",SOUS_TRAITANCE!$F63)</f>
        <v/>
      </c>
      <c r="I663" s="26" t="str">
        <f aca="false">IF($H663="","",IFERROR(INDEX(EMPL_CLASSE,MATCH($H663,EMPL_KEY,0)),""))</f>
        <v/>
      </c>
      <c r="J663" s="26" t="str">
        <f aca="false">IF($K663=0,"",SOUS_TRAITANCE!$O63)</f>
        <v/>
      </c>
      <c r="K663" s="67" t="n">
        <f aca="false">IF(OR(SOUS_TRAITANCE!$Q63=0,SOUS_TRAITANCE!$D63&lt;&gt;"STOCK EXISTANT"),0,-SOUS_TRAITANCE!$G63)</f>
        <v>0</v>
      </c>
      <c r="L663" s="67" t="n">
        <f aca="false">IF($K663=0,0,SOUS_TRAITANCE!$X63*$K663)</f>
        <v>0</v>
      </c>
      <c r="M663" s="26" t="str">
        <f aca="false">IF($K663=0,"",SOUS_TRAITANCE!$W63)</f>
        <v/>
      </c>
      <c r="N663" s="26" t="str">
        <f aca="false">IF($G663="","",IF($G663=R_LOT,COUNTIF($G$5:$G663,R_LOT),""))</f>
        <v/>
      </c>
    </row>
    <row r="664" customFormat="false" ht="15" hidden="false" customHeight="false" outlineLevel="0" collapsed="false">
      <c r="A664" s="28" t="str">
        <f aca="false">IF($K664=0,"",ROW()-4)</f>
        <v/>
      </c>
      <c r="B664" s="26" t="str">
        <f aca="false">IF($K664=0,"","SOUS-TRAITANCE")</f>
        <v/>
      </c>
      <c r="C664" s="26" t="str">
        <f aca="false">IF($K664=0,"",SOUS_TRAITANCE!$A64)</f>
        <v/>
      </c>
      <c r="D664" s="31" t="str">
        <f aca="false">IF($K664=0,"",SOUS_TRAITANCE!$B64)</f>
        <v/>
      </c>
      <c r="E664" s="26" t="str">
        <f aca="false">IF($K664=0,"","SORTIE")</f>
        <v/>
      </c>
      <c r="F664" s="26" t="str">
        <f aca="false">IF($K664=0,"","ENVOI SOUS-TRAITANCE")</f>
        <v/>
      </c>
      <c r="G664" s="26" t="str">
        <f aca="false">IF($K664=0,"",SOUS_TRAITANCE!$E64)</f>
        <v/>
      </c>
      <c r="H664" s="26" t="str">
        <f aca="false">IF($K664=0,"",SOUS_TRAITANCE!$F64)</f>
        <v/>
      </c>
      <c r="I664" s="26" t="str">
        <f aca="false">IF($H664="","",IFERROR(INDEX(EMPL_CLASSE,MATCH($H664,EMPL_KEY,0)),""))</f>
        <v/>
      </c>
      <c r="J664" s="26" t="str">
        <f aca="false">IF($K664=0,"",SOUS_TRAITANCE!$O64)</f>
        <v/>
      </c>
      <c r="K664" s="67" t="n">
        <f aca="false">IF(OR(SOUS_TRAITANCE!$Q64=0,SOUS_TRAITANCE!$D64&lt;&gt;"STOCK EXISTANT"),0,-SOUS_TRAITANCE!$G64)</f>
        <v>0</v>
      </c>
      <c r="L664" s="67" t="n">
        <f aca="false">IF($K664=0,0,SOUS_TRAITANCE!$X64*$K664)</f>
        <v>0</v>
      </c>
      <c r="M664" s="26" t="str">
        <f aca="false">IF($K664=0,"",SOUS_TRAITANCE!$W64)</f>
        <v/>
      </c>
      <c r="N664" s="26" t="str">
        <f aca="false">IF($G664="","",IF($G664=R_LOT,COUNTIF($G$5:$G664,R_LOT),""))</f>
        <v/>
      </c>
    </row>
    <row r="665" customFormat="false" ht="15" hidden="false" customHeight="false" outlineLevel="0" collapsed="false">
      <c r="A665" s="28" t="str">
        <f aca="false">IF($K665=0,"",ROW()-4)</f>
        <v/>
      </c>
      <c r="B665" s="26" t="str">
        <f aca="false">IF($K665=0,"","SOUS-TRAITANCE")</f>
        <v/>
      </c>
      <c r="C665" s="26" t="str">
        <f aca="false">IF($K665=0,"",SOUS_TRAITANCE!$A65)</f>
        <v/>
      </c>
      <c r="D665" s="31" t="str">
        <f aca="false">IF($K665=0,"",SOUS_TRAITANCE!$B65)</f>
        <v/>
      </c>
      <c r="E665" s="26" t="str">
        <f aca="false">IF($K665=0,"","SORTIE")</f>
        <v/>
      </c>
      <c r="F665" s="26" t="str">
        <f aca="false">IF($K665=0,"","ENVOI SOUS-TRAITANCE")</f>
        <v/>
      </c>
      <c r="G665" s="26" t="str">
        <f aca="false">IF($K665=0,"",SOUS_TRAITANCE!$E65)</f>
        <v/>
      </c>
      <c r="H665" s="26" t="str">
        <f aca="false">IF($K665=0,"",SOUS_TRAITANCE!$F65)</f>
        <v/>
      </c>
      <c r="I665" s="26" t="str">
        <f aca="false">IF($H665="","",IFERROR(INDEX(EMPL_CLASSE,MATCH($H665,EMPL_KEY,0)),""))</f>
        <v/>
      </c>
      <c r="J665" s="26" t="str">
        <f aca="false">IF($K665=0,"",SOUS_TRAITANCE!$O65)</f>
        <v/>
      </c>
      <c r="K665" s="67" t="n">
        <f aca="false">IF(OR(SOUS_TRAITANCE!$Q65=0,SOUS_TRAITANCE!$D65&lt;&gt;"STOCK EXISTANT"),0,-SOUS_TRAITANCE!$G65)</f>
        <v>0</v>
      </c>
      <c r="L665" s="67" t="n">
        <f aca="false">IF($K665=0,0,SOUS_TRAITANCE!$X65*$K665)</f>
        <v>0</v>
      </c>
      <c r="M665" s="26" t="str">
        <f aca="false">IF($K665=0,"",SOUS_TRAITANCE!$W65)</f>
        <v/>
      </c>
      <c r="N665" s="26" t="str">
        <f aca="false">IF($G665="","",IF($G665=R_LOT,COUNTIF($G$5:$G665,R_LOT),""))</f>
        <v/>
      </c>
    </row>
    <row r="666" customFormat="false" ht="15" hidden="false" customHeight="false" outlineLevel="0" collapsed="false">
      <c r="A666" s="28" t="str">
        <f aca="false">IF($K666=0,"",ROW()-4)</f>
        <v/>
      </c>
      <c r="B666" s="26" t="str">
        <f aca="false">IF($K666=0,"","SOUS-TRAITANCE")</f>
        <v/>
      </c>
      <c r="C666" s="26" t="str">
        <f aca="false">IF($K666=0,"",SOUS_TRAITANCE!$A66)</f>
        <v/>
      </c>
      <c r="D666" s="31" t="str">
        <f aca="false">IF($K666=0,"",SOUS_TRAITANCE!$B66)</f>
        <v/>
      </c>
      <c r="E666" s="26" t="str">
        <f aca="false">IF($K666=0,"","SORTIE")</f>
        <v/>
      </c>
      <c r="F666" s="26" t="str">
        <f aca="false">IF($K666=0,"","ENVOI SOUS-TRAITANCE")</f>
        <v/>
      </c>
      <c r="G666" s="26" t="str">
        <f aca="false">IF($K666=0,"",SOUS_TRAITANCE!$E66)</f>
        <v/>
      </c>
      <c r="H666" s="26" t="str">
        <f aca="false">IF($K666=0,"",SOUS_TRAITANCE!$F66)</f>
        <v/>
      </c>
      <c r="I666" s="26" t="str">
        <f aca="false">IF($H666="","",IFERROR(INDEX(EMPL_CLASSE,MATCH($H666,EMPL_KEY,0)),""))</f>
        <v/>
      </c>
      <c r="J666" s="26" t="str">
        <f aca="false">IF($K666=0,"",SOUS_TRAITANCE!$O66)</f>
        <v/>
      </c>
      <c r="K666" s="67" t="n">
        <f aca="false">IF(OR(SOUS_TRAITANCE!$Q66=0,SOUS_TRAITANCE!$D66&lt;&gt;"STOCK EXISTANT"),0,-SOUS_TRAITANCE!$G66)</f>
        <v>0</v>
      </c>
      <c r="L666" s="67" t="n">
        <f aca="false">IF($K666=0,0,SOUS_TRAITANCE!$X66*$K666)</f>
        <v>0</v>
      </c>
      <c r="M666" s="26" t="str">
        <f aca="false">IF($K666=0,"",SOUS_TRAITANCE!$W66)</f>
        <v/>
      </c>
      <c r="N666" s="26" t="str">
        <f aca="false">IF($G666="","",IF($G666=R_LOT,COUNTIF($G$5:$G666,R_LOT),""))</f>
        <v/>
      </c>
    </row>
    <row r="667" customFormat="false" ht="15" hidden="false" customHeight="false" outlineLevel="0" collapsed="false">
      <c r="A667" s="28" t="str">
        <f aca="false">IF($K667=0,"",ROW()-4)</f>
        <v/>
      </c>
      <c r="B667" s="26" t="str">
        <f aca="false">IF($K667=0,"","SOUS-TRAITANCE")</f>
        <v/>
      </c>
      <c r="C667" s="26" t="str">
        <f aca="false">IF($K667=0,"",SOUS_TRAITANCE!$A67)</f>
        <v/>
      </c>
      <c r="D667" s="31" t="str">
        <f aca="false">IF($K667=0,"",SOUS_TRAITANCE!$B67)</f>
        <v/>
      </c>
      <c r="E667" s="26" t="str">
        <f aca="false">IF($K667=0,"","SORTIE")</f>
        <v/>
      </c>
      <c r="F667" s="26" t="str">
        <f aca="false">IF($K667=0,"","ENVOI SOUS-TRAITANCE")</f>
        <v/>
      </c>
      <c r="G667" s="26" t="str">
        <f aca="false">IF($K667=0,"",SOUS_TRAITANCE!$E67)</f>
        <v/>
      </c>
      <c r="H667" s="26" t="str">
        <f aca="false">IF($K667=0,"",SOUS_TRAITANCE!$F67)</f>
        <v/>
      </c>
      <c r="I667" s="26" t="str">
        <f aca="false">IF($H667="","",IFERROR(INDEX(EMPL_CLASSE,MATCH($H667,EMPL_KEY,0)),""))</f>
        <v/>
      </c>
      <c r="J667" s="26" t="str">
        <f aca="false">IF($K667=0,"",SOUS_TRAITANCE!$O67)</f>
        <v/>
      </c>
      <c r="K667" s="67" t="n">
        <f aca="false">IF(OR(SOUS_TRAITANCE!$Q67=0,SOUS_TRAITANCE!$D67&lt;&gt;"STOCK EXISTANT"),0,-SOUS_TRAITANCE!$G67)</f>
        <v>0</v>
      </c>
      <c r="L667" s="67" t="n">
        <f aca="false">IF($K667=0,0,SOUS_TRAITANCE!$X67*$K667)</f>
        <v>0</v>
      </c>
      <c r="M667" s="26" t="str">
        <f aca="false">IF($K667=0,"",SOUS_TRAITANCE!$W67)</f>
        <v/>
      </c>
      <c r="N667" s="26" t="str">
        <f aca="false">IF($G667="","",IF($G667=R_LOT,COUNTIF($G$5:$G667,R_LOT),""))</f>
        <v/>
      </c>
    </row>
    <row r="668" customFormat="false" ht="15" hidden="false" customHeight="false" outlineLevel="0" collapsed="false">
      <c r="A668" s="28" t="str">
        <f aca="false">IF($K668=0,"",ROW()-4)</f>
        <v/>
      </c>
      <c r="B668" s="26" t="str">
        <f aca="false">IF($K668=0,"","SOUS-TRAITANCE")</f>
        <v/>
      </c>
      <c r="C668" s="26" t="str">
        <f aca="false">IF($K668=0,"",SOUS_TRAITANCE!$A68)</f>
        <v/>
      </c>
      <c r="D668" s="31" t="str">
        <f aca="false">IF($K668=0,"",SOUS_TRAITANCE!$B68)</f>
        <v/>
      </c>
      <c r="E668" s="26" t="str">
        <f aca="false">IF($K668=0,"","SORTIE")</f>
        <v/>
      </c>
      <c r="F668" s="26" t="str">
        <f aca="false">IF($K668=0,"","ENVOI SOUS-TRAITANCE")</f>
        <v/>
      </c>
      <c r="G668" s="26" t="str">
        <f aca="false">IF($K668=0,"",SOUS_TRAITANCE!$E68)</f>
        <v/>
      </c>
      <c r="H668" s="26" t="str">
        <f aca="false">IF($K668=0,"",SOUS_TRAITANCE!$F68)</f>
        <v/>
      </c>
      <c r="I668" s="26" t="str">
        <f aca="false">IF($H668="","",IFERROR(INDEX(EMPL_CLASSE,MATCH($H668,EMPL_KEY,0)),""))</f>
        <v/>
      </c>
      <c r="J668" s="26" t="str">
        <f aca="false">IF($K668=0,"",SOUS_TRAITANCE!$O68)</f>
        <v/>
      </c>
      <c r="K668" s="67" t="n">
        <f aca="false">IF(OR(SOUS_TRAITANCE!$Q68=0,SOUS_TRAITANCE!$D68&lt;&gt;"STOCK EXISTANT"),0,-SOUS_TRAITANCE!$G68)</f>
        <v>0</v>
      </c>
      <c r="L668" s="67" t="n">
        <f aca="false">IF($K668=0,0,SOUS_TRAITANCE!$X68*$K668)</f>
        <v>0</v>
      </c>
      <c r="M668" s="26" t="str">
        <f aca="false">IF($K668=0,"",SOUS_TRAITANCE!$W68)</f>
        <v/>
      </c>
      <c r="N668" s="26" t="str">
        <f aca="false">IF($G668="","",IF($G668=R_LOT,COUNTIF($G$5:$G668,R_LOT),""))</f>
        <v/>
      </c>
    </row>
    <row r="669" customFormat="false" ht="15" hidden="false" customHeight="false" outlineLevel="0" collapsed="false">
      <c r="A669" s="28" t="str">
        <f aca="false">IF($K669=0,"",ROW()-4)</f>
        <v/>
      </c>
      <c r="B669" s="26" t="str">
        <f aca="false">IF($K669=0,"","SOUS-TRAITANCE")</f>
        <v/>
      </c>
      <c r="C669" s="26" t="str">
        <f aca="false">IF($K669=0,"",SOUS_TRAITANCE!$A69)</f>
        <v/>
      </c>
      <c r="D669" s="31" t="str">
        <f aca="false">IF($K669=0,"",SOUS_TRAITANCE!$B69)</f>
        <v/>
      </c>
      <c r="E669" s="26" t="str">
        <f aca="false">IF($K669=0,"","SORTIE")</f>
        <v/>
      </c>
      <c r="F669" s="26" t="str">
        <f aca="false">IF($K669=0,"","ENVOI SOUS-TRAITANCE")</f>
        <v/>
      </c>
      <c r="G669" s="26" t="str">
        <f aca="false">IF($K669=0,"",SOUS_TRAITANCE!$E69)</f>
        <v/>
      </c>
      <c r="H669" s="26" t="str">
        <f aca="false">IF($K669=0,"",SOUS_TRAITANCE!$F69)</f>
        <v/>
      </c>
      <c r="I669" s="26" t="str">
        <f aca="false">IF($H669="","",IFERROR(INDEX(EMPL_CLASSE,MATCH($H669,EMPL_KEY,0)),""))</f>
        <v/>
      </c>
      <c r="J669" s="26" t="str">
        <f aca="false">IF($K669=0,"",SOUS_TRAITANCE!$O69)</f>
        <v/>
      </c>
      <c r="K669" s="67" t="n">
        <f aca="false">IF(OR(SOUS_TRAITANCE!$Q69=0,SOUS_TRAITANCE!$D69&lt;&gt;"STOCK EXISTANT"),0,-SOUS_TRAITANCE!$G69)</f>
        <v>0</v>
      </c>
      <c r="L669" s="67" t="n">
        <f aca="false">IF($K669=0,0,SOUS_TRAITANCE!$X69*$K669)</f>
        <v>0</v>
      </c>
      <c r="M669" s="26" t="str">
        <f aca="false">IF($K669=0,"",SOUS_TRAITANCE!$W69)</f>
        <v/>
      </c>
      <c r="N669" s="26" t="str">
        <f aca="false">IF($G669="","",IF($G669=R_LOT,COUNTIF($G$5:$G669,R_LOT),""))</f>
        <v/>
      </c>
    </row>
    <row r="670" customFormat="false" ht="15" hidden="false" customHeight="false" outlineLevel="0" collapsed="false">
      <c r="A670" s="28" t="str">
        <f aca="false">IF($K670=0,"",ROW()-4)</f>
        <v/>
      </c>
      <c r="B670" s="26" t="str">
        <f aca="false">IF($K670=0,"","SOUS-TRAITANCE")</f>
        <v/>
      </c>
      <c r="C670" s="26" t="str">
        <f aca="false">IF($K670=0,"",SOUS_TRAITANCE!$A70)</f>
        <v/>
      </c>
      <c r="D670" s="31" t="str">
        <f aca="false">IF($K670=0,"",SOUS_TRAITANCE!$B70)</f>
        <v/>
      </c>
      <c r="E670" s="26" t="str">
        <f aca="false">IF($K670=0,"","SORTIE")</f>
        <v/>
      </c>
      <c r="F670" s="26" t="str">
        <f aca="false">IF($K670=0,"","ENVOI SOUS-TRAITANCE")</f>
        <v/>
      </c>
      <c r="G670" s="26" t="str">
        <f aca="false">IF($K670=0,"",SOUS_TRAITANCE!$E70)</f>
        <v/>
      </c>
      <c r="H670" s="26" t="str">
        <f aca="false">IF($K670=0,"",SOUS_TRAITANCE!$F70)</f>
        <v/>
      </c>
      <c r="I670" s="26" t="str">
        <f aca="false">IF($H670="","",IFERROR(INDEX(EMPL_CLASSE,MATCH($H670,EMPL_KEY,0)),""))</f>
        <v/>
      </c>
      <c r="J670" s="26" t="str">
        <f aca="false">IF($K670=0,"",SOUS_TRAITANCE!$O70)</f>
        <v/>
      </c>
      <c r="K670" s="67" t="n">
        <f aca="false">IF(OR(SOUS_TRAITANCE!$Q70=0,SOUS_TRAITANCE!$D70&lt;&gt;"STOCK EXISTANT"),0,-SOUS_TRAITANCE!$G70)</f>
        <v>0</v>
      </c>
      <c r="L670" s="67" t="n">
        <f aca="false">IF($K670=0,0,SOUS_TRAITANCE!$X70*$K670)</f>
        <v>0</v>
      </c>
      <c r="M670" s="26" t="str">
        <f aca="false">IF($K670=0,"",SOUS_TRAITANCE!$W70)</f>
        <v/>
      </c>
      <c r="N670" s="26" t="str">
        <f aca="false">IF($G670="","",IF($G670=R_LOT,COUNTIF($G$5:$G670,R_LOT),""))</f>
        <v/>
      </c>
    </row>
    <row r="671" customFormat="false" ht="15" hidden="false" customHeight="false" outlineLevel="0" collapsed="false">
      <c r="A671" s="28" t="str">
        <f aca="false">IF($K671=0,"",ROW()-4)</f>
        <v/>
      </c>
      <c r="B671" s="26" t="str">
        <f aca="false">IF($K671=0,"","SOUS-TRAITANCE")</f>
        <v/>
      </c>
      <c r="C671" s="26" t="str">
        <f aca="false">IF($K671=0,"",SOUS_TRAITANCE!$A71)</f>
        <v/>
      </c>
      <c r="D671" s="31" t="str">
        <f aca="false">IF($K671=0,"",SOUS_TRAITANCE!$B71)</f>
        <v/>
      </c>
      <c r="E671" s="26" t="str">
        <f aca="false">IF($K671=0,"","SORTIE")</f>
        <v/>
      </c>
      <c r="F671" s="26" t="str">
        <f aca="false">IF($K671=0,"","ENVOI SOUS-TRAITANCE")</f>
        <v/>
      </c>
      <c r="G671" s="26" t="str">
        <f aca="false">IF($K671=0,"",SOUS_TRAITANCE!$E71)</f>
        <v/>
      </c>
      <c r="H671" s="26" t="str">
        <f aca="false">IF($K671=0,"",SOUS_TRAITANCE!$F71)</f>
        <v/>
      </c>
      <c r="I671" s="26" t="str">
        <f aca="false">IF($H671="","",IFERROR(INDEX(EMPL_CLASSE,MATCH($H671,EMPL_KEY,0)),""))</f>
        <v/>
      </c>
      <c r="J671" s="26" t="str">
        <f aca="false">IF($K671=0,"",SOUS_TRAITANCE!$O71)</f>
        <v/>
      </c>
      <c r="K671" s="67" t="n">
        <f aca="false">IF(OR(SOUS_TRAITANCE!$Q71=0,SOUS_TRAITANCE!$D71&lt;&gt;"STOCK EXISTANT"),0,-SOUS_TRAITANCE!$G71)</f>
        <v>0</v>
      </c>
      <c r="L671" s="67" t="n">
        <f aca="false">IF($K671=0,0,SOUS_TRAITANCE!$X71*$K671)</f>
        <v>0</v>
      </c>
      <c r="M671" s="26" t="str">
        <f aca="false">IF($K671=0,"",SOUS_TRAITANCE!$W71)</f>
        <v/>
      </c>
      <c r="N671" s="26" t="str">
        <f aca="false">IF($G671="","",IF($G671=R_LOT,COUNTIF($G$5:$G671,R_LOT),""))</f>
        <v/>
      </c>
    </row>
    <row r="672" customFormat="false" ht="15" hidden="false" customHeight="false" outlineLevel="0" collapsed="false">
      <c r="A672" s="28" t="str">
        <f aca="false">IF($K672=0,"",ROW()-4)</f>
        <v/>
      </c>
      <c r="B672" s="26" t="str">
        <f aca="false">IF($K672=0,"","SOUS-TRAITANCE")</f>
        <v/>
      </c>
      <c r="C672" s="26" t="str">
        <f aca="false">IF($K672=0,"",SOUS_TRAITANCE!$A72)</f>
        <v/>
      </c>
      <c r="D672" s="31" t="str">
        <f aca="false">IF($K672=0,"",SOUS_TRAITANCE!$B72)</f>
        <v/>
      </c>
      <c r="E672" s="26" t="str">
        <f aca="false">IF($K672=0,"","SORTIE")</f>
        <v/>
      </c>
      <c r="F672" s="26" t="str">
        <f aca="false">IF($K672=0,"","ENVOI SOUS-TRAITANCE")</f>
        <v/>
      </c>
      <c r="G672" s="26" t="str">
        <f aca="false">IF($K672=0,"",SOUS_TRAITANCE!$E72)</f>
        <v/>
      </c>
      <c r="H672" s="26" t="str">
        <f aca="false">IF($K672=0,"",SOUS_TRAITANCE!$F72)</f>
        <v/>
      </c>
      <c r="I672" s="26" t="str">
        <f aca="false">IF($H672="","",IFERROR(INDEX(EMPL_CLASSE,MATCH($H672,EMPL_KEY,0)),""))</f>
        <v/>
      </c>
      <c r="J672" s="26" t="str">
        <f aca="false">IF($K672=0,"",SOUS_TRAITANCE!$O72)</f>
        <v/>
      </c>
      <c r="K672" s="67" t="n">
        <f aca="false">IF(OR(SOUS_TRAITANCE!$Q72=0,SOUS_TRAITANCE!$D72&lt;&gt;"STOCK EXISTANT"),0,-SOUS_TRAITANCE!$G72)</f>
        <v>0</v>
      </c>
      <c r="L672" s="67" t="n">
        <f aca="false">IF($K672=0,0,SOUS_TRAITANCE!$X72*$K672)</f>
        <v>0</v>
      </c>
      <c r="M672" s="26" t="str">
        <f aca="false">IF($K672=0,"",SOUS_TRAITANCE!$W72)</f>
        <v/>
      </c>
      <c r="N672" s="26" t="str">
        <f aca="false">IF($G672="","",IF($G672=R_LOT,COUNTIF($G$5:$G672,R_LOT),""))</f>
        <v/>
      </c>
    </row>
    <row r="673" customFormat="false" ht="15" hidden="false" customHeight="false" outlineLevel="0" collapsed="false">
      <c r="A673" s="28" t="str">
        <f aca="false">IF($K673=0,"",ROW()-4)</f>
        <v/>
      </c>
      <c r="B673" s="26" t="str">
        <f aca="false">IF($K673=0,"","SOUS-TRAITANCE")</f>
        <v/>
      </c>
      <c r="C673" s="26" t="str">
        <f aca="false">IF($K673=0,"",SOUS_TRAITANCE!$A73)</f>
        <v/>
      </c>
      <c r="D673" s="31" t="str">
        <f aca="false">IF($K673=0,"",SOUS_TRAITANCE!$B73)</f>
        <v/>
      </c>
      <c r="E673" s="26" t="str">
        <f aca="false">IF($K673=0,"","SORTIE")</f>
        <v/>
      </c>
      <c r="F673" s="26" t="str">
        <f aca="false">IF($K673=0,"","ENVOI SOUS-TRAITANCE")</f>
        <v/>
      </c>
      <c r="G673" s="26" t="str">
        <f aca="false">IF($K673=0,"",SOUS_TRAITANCE!$E73)</f>
        <v/>
      </c>
      <c r="H673" s="26" t="str">
        <f aca="false">IF($K673=0,"",SOUS_TRAITANCE!$F73)</f>
        <v/>
      </c>
      <c r="I673" s="26" t="str">
        <f aca="false">IF($H673="","",IFERROR(INDEX(EMPL_CLASSE,MATCH($H673,EMPL_KEY,0)),""))</f>
        <v/>
      </c>
      <c r="J673" s="26" t="str">
        <f aca="false">IF($K673=0,"",SOUS_TRAITANCE!$O73)</f>
        <v/>
      </c>
      <c r="K673" s="67" t="n">
        <f aca="false">IF(OR(SOUS_TRAITANCE!$Q73=0,SOUS_TRAITANCE!$D73&lt;&gt;"STOCK EXISTANT"),0,-SOUS_TRAITANCE!$G73)</f>
        <v>0</v>
      </c>
      <c r="L673" s="67" t="n">
        <f aca="false">IF($K673=0,0,SOUS_TRAITANCE!$X73*$K673)</f>
        <v>0</v>
      </c>
      <c r="M673" s="26" t="str">
        <f aca="false">IF($K673=0,"",SOUS_TRAITANCE!$W73)</f>
        <v/>
      </c>
      <c r="N673" s="26" t="str">
        <f aca="false">IF($G673="","",IF($G673=R_LOT,COUNTIF($G$5:$G673,R_LOT),""))</f>
        <v/>
      </c>
    </row>
    <row r="674" customFormat="false" ht="15" hidden="false" customHeight="false" outlineLevel="0" collapsed="false">
      <c r="A674" s="28" t="str">
        <f aca="false">IF($K674=0,"",ROW()-4)</f>
        <v/>
      </c>
      <c r="B674" s="26" t="str">
        <f aca="false">IF($K674=0,"","SOUS-TRAITANCE")</f>
        <v/>
      </c>
      <c r="C674" s="26" t="str">
        <f aca="false">IF($K674=0,"",SOUS_TRAITANCE!$A74)</f>
        <v/>
      </c>
      <c r="D674" s="31" t="str">
        <f aca="false">IF($K674=0,"",SOUS_TRAITANCE!$B74)</f>
        <v/>
      </c>
      <c r="E674" s="26" t="str">
        <f aca="false">IF($K674=0,"","SORTIE")</f>
        <v/>
      </c>
      <c r="F674" s="26" t="str">
        <f aca="false">IF($K674=0,"","ENVOI SOUS-TRAITANCE")</f>
        <v/>
      </c>
      <c r="G674" s="26" t="str">
        <f aca="false">IF($K674=0,"",SOUS_TRAITANCE!$E74)</f>
        <v/>
      </c>
      <c r="H674" s="26" t="str">
        <f aca="false">IF($K674=0,"",SOUS_TRAITANCE!$F74)</f>
        <v/>
      </c>
      <c r="I674" s="26" t="str">
        <f aca="false">IF($H674="","",IFERROR(INDEX(EMPL_CLASSE,MATCH($H674,EMPL_KEY,0)),""))</f>
        <v/>
      </c>
      <c r="J674" s="26" t="str">
        <f aca="false">IF($K674=0,"",SOUS_TRAITANCE!$O74)</f>
        <v/>
      </c>
      <c r="K674" s="67" t="n">
        <f aca="false">IF(OR(SOUS_TRAITANCE!$Q74=0,SOUS_TRAITANCE!$D74&lt;&gt;"STOCK EXISTANT"),0,-SOUS_TRAITANCE!$G74)</f>
        <v>0</v>
      </c>
      <c r="L674" s="67" t="n">
        <f aca="false">IF($K674=0,0,SOUS_TRAITANCE!$X74*$K674)</f>
        <v>0</v>
      </c>
      <c r="M674" s="26" t="str">
        <f aca="false">IF($K674=0,"",SOUS_TRAITANCE!$W74)</f>
        <v/>
      </c>
      <c r="N674" s="26" t="str">
        <f aca="false">IF($G674="","",IF($G674=R_LOT,COUNTIF($G$5:$G674,R_LOT),""))</f>
        <v/>
      </c>
    </row>
    <row r="675" customFormat="false" ht="15" hidden="false" customHeight="false" outlineLevel="0" collapsed="false">
      <c r="A675" s="28" t="str">
        <f aca="false">IF($K675=0,"",ROW()-4)</f>
        <v/>
      </c>
      <c r="B675" s="26" t="str">
        <f aca="false">IF($K675=0,"","SOUS-TRAITANCE")</f>
        <v/>
      </c>
      <c r="C675" s="26" t="str">
        <f aca="false">IF($K675=0,"",SOUS_TRAITANCE!$A75)</f>
        <v/>
      </c>
      <c r="D675" s="31" t="str">
        <f aca="false">IF($K675=0,"",SOUS_TRAITANCE!$B75)</f>
        <v/>
      </c>
      <c r="E675" s="26" t="str">
        <f aca="false">IF($K675=0,"","SORTIE")</f>
        <v/>
      </c>
      <c r="F675" s="26" t="str">
        <f aca="false">IF($K675=0,"","ENVOI SOUS-TRAITANCE")</f>
        <v/>
      </c>
      <c r="G675" s="26" t="str">
        <f aca="false">IF($K675=0,"",SOUS_TRAITANCE!$E75)</f>
        <v/>
      </c>
      <c r="H675" s="26" t="str">
        <f aca="false">IF($K675=0,"",SOUS_TRAITANCE!$F75)</f>
        <v/>
      </c>
      <c r="I675" s="26" t="str">
        <f aca="false">IF($H675="","",IFERROR(INDEX(EMPL_CLASSE,MATCH($H675,EMPL_KEY,0)),""))</f>
        <v/>
      </c>
      <c r="J675" s="26" t="str">
        <f aca="false">IF($K675=0,"",SOUS_TRAITANCE!$O75)</f>
        <v/>
      </c>
      <c r="K675" s="67" t="n">
        <f aca="false">IF(OR(SOUS_TRAITANCE!$Q75=0,SOUS_TRAITANCE!$D75&lt;&gt;"STOCK EXISTANT"),0,-SOUS_TRAITANCE!$G75)</f>
        <v>0</v>
      </c>
      <c r="L675" s="67" t="n">
        <f aca="false">IF($K675=0,0,SOUS_TRAITANCE!$X75*$K675)</f>
        <v>0</v>
      </c>
      <c r="M675" s="26" t="str">
        <f aca="false">IF($K675=0,"",SOUS_TRAITANCE!$W75)</f>
        <v/>
      </c>
      <c r="N675" s="26" t="str">
        <f aca="false">IF($G675="","",IF($G675=R_LOT,COUNTIF($G$5:$G675,R_LOT),""))</f>
        <v/>
      </c>
    </row>
    <row r="676" customFormat="false" ht="15" hidden="false" customHeight="false" outlineLevel="0" collapsed="false">
      <c r="A676" s="28" t="str">
        <f aca="false">IF($K676=0,"",ROW()-4)</f>
        <v/>
      </c>
      <c r="B676" s="26" t="str">
        <f aca="false">IF($K676=0,"","SOUS-TRAITANCE")</f>
        <v/>
      </c>
      <c r="C676" s="26" t="str">
        <f aca="false">IF($K676=0,"",SOUS_TRAITANCE!$A76)</f>
        <v/>
      </c>
      <c r="D676" s="31" t="str">
        <f aca="false">IF($K676=0,"",SOUS_TRAITANCE!$B76)</f>
        <v/>
      </c>
      <c r="E676" s="26" t="str">
        <f aca="false">IF($K676=0,"","SORTIE")</f>
        <v/>
      </c>
      <c r="F676" s="26" t="str">
        <f aca="false">IF($K676=0,"","ENVOI SOUS-TRAITANCE")</f>
        <v/>
      </c>
      <c r="G676" s="26" t="str">
        <f aca="false">IF($K676=0,"",SOUS_TRAITANCE!$E76)</f>
        <v/>
      </c>
      <c r="H676" s="26" t="str">
        <f aca="false">IF($K676=0,"",SOUS_TRAITANCE!$F76)</f>
        <v/>
      </c>
      <c r="I676" s="26" t="str">
        <f aca="false">IF($H676="","",IFERROR(INDEX(EMPL_CLASSE,MATCH($H676,EMPL_KEY,0)),""))</f>
        <v/>
      </c>
      <c r="J676" s="26" t="str">
        <f aca="false">IF($K676=0,"",SOUS_TRAITANCE!$O76)</f>
        <v/>
      </c>
      <c r="K676" s="67" t="n">
        <f aca="false">IF(OR(SOUS_TRAITANCE!$Q76=0,SOUS_TRAITANCE!$D76&lt;&gt;"STOCK EXISTANT"),0,-SOUS_TRAITANCE!$G76)</f>
        <v>0</v>
      </c>
      <c r="L676" s="67" t="n">
        <f aca="false">IF($K676=0,0,SOUS_TRAITANCE!$X76*$K676)</f>
        <v>0</v>
      </c>
      <c r="M676" s="26" t="str">
        <f aca="false">IF($K676=0,"",SOUS_TRAITANCE!$W76)</f>
        <v/>
      </c>
      <c r="N676" s="26" t="str">
        <f aca="false">IF($G676="","",IF($G676=R_LOT,COUNTIF($G$5:$G676,R_LOT),""))</f>
        <v/>
      </c>
    </row>
    <row r="677" customFormat="false" ht="15" hidden="false" customHeight="false" outlineLevel="0" collapsed="false">
      <c r="A677" s="28" t="str">
        <f aca="false">IF($K677=0,"",ROW()-4)</f>
        <v/>
      </c>
      <c r="B677" s="26" t="str">
        <f aca="false">IF($K677=0,"","SOUS-TRAITANCE")</f>
        <v/>
      </c>
      <c r="C677" s="26" t="str">
        <f aca="false">IF($K677=0,"",SOUS_TRAITANCE!$A77)</f>
        <v/>
      </c>
      <c r="D677" s="31" t="str">
        <f aca="false">IF($K677=0,"",SOUS_TRAITANCE!$B77)</f>
        <v/>
      </c>
      <c r="E677" s="26" t="str">
        <f aca="false">IF($K677=0,"","SORTIE")</f>
        <v/>
      </c>
      <c r="F677" s="26" t="str">
        <f aca="false">IF($K677=0,"","ENVOI SOUS-TRAITANCE")</f>
        <v/>
      </c>
      <c r="G677" s="26" t="str">
        <f aca="false">IF($K677=0,"",SOUS_TRAITANCE!$E77)</f>
        <v/>
      </c>
      <c r="H677" s="26" t="str">
        <f aca="false">IF($K677=0,"",SOUS_TRAITANCE!$F77)</f>
        <v/>
      </c>
      <c r="I677" s="26" t="str">
        <f aca="false">IF($H677="","",IFERROR(INDEX(EMPL_CLASSE,MATCH($H677,EMPL_KEY,0)),""))</f>
        <v/>
      </c>
      <c r="J677" s="26" t="str">
        <f aca="false">IF($K677=0,"",SOUS_TRAITANCE!$O77)</f>
        <v/>
      </c>
      <c r="K677" s="67" t="n">
        <f aca="false">IF(OR(SOUS_TRAITANCE!$Q77=0,SOUS_TRAITANCE!$D77&lt;&gt;"STOCK EXISTANT"),0,-SOUS_TRAITANCE!$G77)</f>
        <v>0</v>
      </c>
      <c r="L677" s="67" t="n">
        <f aca="false">IF($K677=0,0,SOUS_TRAITANCE!$X77*$K677)</f>
        <v>0</v>
      </c>
      <c r="M677" s="26" t="str">
        <f aca="false">IF($K677=0,"",SOUS_TRAITANCE!$W77)</f>
        <v/>
      </c>
      <c r="N677" s="26" t="str">
        <f aca="false">IF($G677="","",IF($G677=R_LOT,COUNTIF($G$5:$G677,R_LOT),""))</f>
        <v/>
      </c>
    </row>
    <row r="678" customFormat="false" ht="15" hidden="false" customHeight="false" outlineLevel="0" collapsed="false">
      <c r="A678" s="28" t="str">
        <f aca="false">IF($K678=0,"",ROW()-4)</f>
        <v/>
      </c>
      <c r="B678" s="26" t="str">
        <f aca="false">IF($K678=0,"","SOUS-TRAITANCE")</f>
        <v/>
      </c>
      <c r="C678" s="26" t="str">
        <f aca="false">IF($K678=0,"",SOUS_TRAITANCE!$A78)</f>
        <v/>
      </c>
      <c r="D678" s="31" t="str">
        <f aca="false">IF($K678=0,"",SOUS_TRAITANCE!$B78)</f>
        <v/>
      </c>
      <c r="E678" s="26" t="str">
        <f aca="false">IF($K678=0,"","SORTIE")</f>
        <v/>
      </c>
      <c r="F678" s="26" t="str">
        <f aca="false">IF($K678=0,"","ENVOI SOUS-TRAITANCE")</f>
        <v/>
      </c>
      <c r="G678" s="26" t="str">
        <f aca="false">IF($K678=0,"",SOUS_TRAITANCE!$E78)</f>
        <v/>
      </c>
      <c r="H678" s="26" t="str">
        <f aca="false">IF($K678=0,"",SOUS_TRAITANCE!$F78)</f>
        <v/>
      </c>
      <c r="I678" s="26" t="str">
        <f aca="false">IF($H678="","",IFERROR(INDEX(EMPL_CLASSE,MATCH($H678,EMPL_KEY,0)),""))</f>
        <v/>
      </c>
      <c r="J678" s="26" t="str">
        <f aca="false">IF($K678=0,"",SOUS_TRAITANCE!$O78)</f>
        <v/>
      </c>
      <c r="K678" s="67" t="n">
        <f aca="false">IF(OR(SOUS_TRAITANCE!$Q78=0,SOUS_TRAITANCE!$D78&lt;&gt;"STOCK EXISTANT"),0,-SOUS_TRAITANCE!$G78)</f>
        <v>0</v>
      </c>
      <c r="L678" s="67" t="n">
        <f aca="false">IF($K678=0,0,SOUS_TRAITANCE!$X78*$K678)</f>
        <v>0</v>
      </c>
      <c r="M678" s="26" t="str">
        <f aca="false">IF($K678=0,"",SOUS_TRAITANCE!$W78)</f>
        <v/>
      </c>
      <c r="N678" s="26" t="str">
        <f aca="false">IF($G678="","",IF($G678=R_LOT,COUNTIF($G$5:$G678,R_LOT),""))</f>
        <v/>
      </c>
    </row>
    <row r="679" customFormat="false" ht="15" hidden="false" customHeight="false" outlineLevel="0" collapsed="false">
      <c r="A679" s="28" t="str">
        <f aca="false">IF($K679=0,"",ROW()-4)</f>
        <v/>
      </c>
      <c r="B679" s="26" t="str">
        <f aca="false">IF($K679=0,"","SOUS-TRAITANCE")</f>
        <v/>
      </c>
      <c r="C679" s="26" t="str">
        <f aca="false">IF($K679=0,"",SOUS_TRAITANCE!$A79)</f>
        <v/>
      </c>
      <c r="D679" s="31" t="str">
        <f aca="false">IF($K679=0,"",SOUS_TRAITANCE!$B79)</f>
        <v/>
      </c>
      <c r="E679" s="26" t="str">
        <f aca="false">IF($K679=0,"","SORTIE")</f>
        <v/>
      </c>
      <c r="F679" s="26" t="str">
        <f aca="false">IF($K679=0,"","ENVOI SOUS-TRAITANCE")</f>
        <v/>
      </c>
      <c r="G679" s="26" t="str">
        <f aca="false">IF($K679=0,"",SOUS_TRAITANCE!$E79)</f>
        <v/>
      </c>
      <c r="H679" s="26" t="str">
        <f aca="false">IF($K679=0,"",SOUS_TRAITANCE!$F79)</f>
        <v/>
      </c>
      <c r="I679" s="26" t="str">
        <f aca="false">IF($H679="","",IFERROR(INDEX(EMPL_CLASSE,MATCH($H679,EMPL_KEY,0)),""))</f>
        <v/>
      </c>
      <c r="J679" s="26" t="str">
        <f aca="false">IF($K679=0,"",SOUS_TRAITANCE!$O79)</f>
        <v/>
      </c>
      <c r="K679" s="67" t="n">
        <f aca="false">IF(OR(SOUS_TRAITANCE!$Q79=0,SOUS_TRAITANCE!$D79&lt;&gt;"STOCK EXISTANT"),0,-SOUS_TRAITANCE!$G79)</f>
        <v>0</v>
      </c>
      <c r="L679" s="67" t="n">
        <f aca="false">IF($K679=0,0,SOUS_TRAITANCE!$X79*$K679)</f>
        <v>0</v>
      </c>
      <c r="M679" s="26" t="str">
        <f aca="false">IF($K679=0,"",SOUS_TRAITANCE!$W79)</f>
        <v/>
      </c>
      <c r="N679" s="26" t="str">
        <f aca="false">IF($G679="","",IF($G679=R_LOT,COUNTIF($G$5:$G679,R_LOT),""))</f>
        <v/>
      </c>
    </row>
    <row r="680" customFormat="false" ht="15" hidden="false" customHeight="false" outlineLevel="0" collapsed="false">
      <c r="A680" s="28" t="str">
        <f aca="false">IF($K680=0,"",ROW()-4)</f>
        <v/>
      </c>
      <c r="B680" s="26" t="str">
        <f aca="false">IF($K680=0,"","SOUS-TRAITANCE")</f>
        <v/>
      </c>
      <c r="C680" s="26" t="str">
        <f aca="false">IF($K680=0,"",SOUS_TRAITANCE!$A80)</f>
        <v/>
      </c>
      <c r="D680" s="31" t="str">
        <f aca="false">IF($K680=0,"",SOUS_TRAITANCE!$B80)</f>
        <v/>
      </c>
      <c r="E680" s="26" t="str">
        <f aca="false">IF($K680=0,"","SORTIE")</f>
        <v/>
      </c>
      <c r="F680" s="26" t="str">
        <f aca="false">IF($K680=0,"","ENVOI SOUS-TRAITANCE")</f>
        <v/>
      </c>
      <c r="G680" s="26" t="str">
        <f aca="false">IF($K680=0,"",SOUS_TRAITANCE!$E80)</f>
        <v/>
      </c>
      <c r="H680" s="26" t="str">
        <f aca="false">IF($K680=0,"",SOUS_TRAITANCE!$F80)</f>
        <v/>
      </c>
      <c r="I680" s="26" t="str">
        <f aca="false">IF($H680="","",IFERROR(INDEX(EMPL_CLASSE,MATCH($H680,EMPL_KEY,0)),""))</f>
        <v/>
      </c>
      <c r="J680" s="26" t="str">
        <f aca="false">IF($K680=0,"",SOUS_TRAITANCE!$O80)</f>
        <v/>
      </c>
      <c r="K680" s="67" t="n">
        <f aca="false">IF(OR(SOUS_TRAITANCE!$Q80=0,SOUS_TRAITANCE!$D80&lt;&gt;"STOCK EXISTANT"),0,-SOUS_TRAITANCE!$G80)</f>
        <v>0</v>
      </c>
      <c r="L680" s="67" t="n">
        <f aca="false">IF($K680=0,0,SOUS_TRAITANCE!$X80*$K680)</f>
        <v>0</v>
      </c>
      <c r="M680" s="26" t="str">
        <f aca="false">IF($K680=0,"",SOUS_TRAITANCE!$W80)</f>
        <v/>
      </c>
      <c r="N680" s="26" t="str">
        <f aca="false">IF($G680="","",IF($G680=R_LOT,COUNTIF($G$5:$G680,R_LOT),""))</f>
        <v/>
      </c>
    </row>
    <row r="681" customFormat="false" ht="15" hidden="false" customHeight="false" outlineLevel="0" collapsed="false">
      <c r="A681" s="28" t="str">
        <f aca="false">IF($K681=0,"",ROW()-4)</f>
        <v/>
      </c>
      <c r="B681" s="26" t="str">
        <f aca="false">IF($K681=0,"","SOUS-TRAITANCE")</f>
        <v/>
      </c>
      <c r="C681" s="26" t="str">
        <f aca="false">IF($K681=0,"",SOUS_TRAITANCE!$A81)</f>
        <v/>
      </c>
      <c r="D681" s="31" t="str">
        <f aca="false">IF($K681=0,"",SOUS_TRAITANCE!$B81)</f>
        <v/>
      </c>
      <c r="E681" s="26" t="str">
        <f aca="false">IF($K681=0,"","SORTIE")</f>
        <v/>
      </c>
      <c r="F681" s="26" t="str">
        <f aca="false">IF($K681=0,"","ENVOI SOUS-TRAITANCE")</f>
        <v/>
      </c>
      <c r="G681" s="26" t="str">
        <f aca="false">IF($K681=0,"",SOUS_TRAITANCE!$E81)</f>
        <v/>
      </c>
      <c r="H681" s="26" t="str">
        <f aca="false">IF($K681=0,"",SOUS_TRAITANCE!$F81)</f>
        <v/>
      </c>
      <c r="I681" s="26" t="str">
        <f aca="false">IF($H681="","",IFERROR(INDEX(EMPL_CLASSE,MATCH($H681,EMPL_KEY,0)),""))</f>
        <v/>
      </c>
      <c r="J681" s="26" t="str">
        <f aca="false">IF($K681=0,"",SOUS_TRAITANCE!$O81)</f>
        <v/>
      </c>
      <c r="K681" s="67" t="n">
        <f aca="false">IF(OR(SOUS_TRAITANCE!$Q81=0,SOUS_TRAITANCE!$D81&lt;&gt;"STOCK EXISTANT"),0,-SOUS_TRAITANCE!$G81)</f>
        <v>0</v>
      </c>
      <c r="L681" s="67" t="n">
        <f aca="false">IF($K681=0,0,SOUS_TRAITANCE!$X81*$K681)</f>
        <v>0</v>
      </c>
      <c r="M681" s="26" t="str">
        <f aca="false">IF($K681=0,"",SOUS_TRAITANCE!$W81)</f>
        <v/>
      </c>
      <c r="N681" s="26" t="str">
        <f aca="false">IF($G681="","",IF($G681=R_LOT,COUNTIF($G$5:$G681,R_LOT),""))</f>
        <v/>
      </c>
    </row>
    <row r="682" customFormat="false" ht="15" hidden="false" customHeight="false" outlineLevel="0" collapsed="false">
      <c r="A682" s="28" t="str">
        <f aca="false">IF($K682=0,"",ROW()-4)</f>
        <v/>
      </c>
      <c r="B682" s="26" t="str">
        <f aca="false">IF($K682=0,"","SOUS-TRAITANCE")</f>
        <v/>
      </c>
      <c r="C682" s="26" t="str">
        <f aca="false">IF($K682=0,"",SOUS_TRAITANCE!$A82)</f>
        <v/>
      </c>
      <c r="D682" s="31" t="str">
        <f aca="false">IF($K682=0,"",SOUS_TRAITANCE!$B82)</f>
        <v/>
      </c>
      <c r="E682" s="26" t="str">
        <f aca="false">IF($K682=0,"","SORTIE")</f>
        <v/>
      </c>
      <c r="F682" s="26" t="str">
        <f aca="false">IF($K682=0,"","ENVOI SOUS-TRAITANCE")</f>
        <v/>
      </c>
      <c r="G682" s="26" t="str">
        <f aca="false">IF($K682=0,"",SOUS_TRAITANCE!$E82)</f>
        <v/>
      </c>
      <c r="H682" s="26" t="str">
        <f aca="false">IF($K682=0,"",SOUS_TRAITANCE!$F82)</f>
        <v/>
      </c>
      <c r="I682" s="26" t="str">
        <f aca="false">IF($H682="","",IFERROR(INDEX(EMPL_CLASSE,MATCH($H682,EMPL_KEY,0)),""))</f>
        <v/>
      </c>
      <c r="J682" s="26" t="str">
        <f aca="false">IF($K682=0,"",SOUS_TRAITANCE!$O82)</f>
        <v/>
      </c>
      <c r="K682" s="67" t="n">
        <f aca="false">IF(OR(SOUS_TRAITANCE!$Q82=0,SOUS_TRAITANCE!$D82&lt;&gt;"STOCK EXISTANT"),0,-SOUS_TRAITANCE!$G82)</f>
        <v>0</v>
      </c>
      <c r="L682" s="67" t="n">
        <f aca="false">IF($K682=0,0,SOUS_TRAITANCE!$X82*$K682)</f>
        <v>0</v>
      </c>
      <c r="M682" s="26" t="str">
        <f aca="false">IF($K682=0,"",SOUS_TRAITANCE!$W82)</f>
        <v/>
      </c>
      <c r="N682" s="26" t="str">
        <f aca="false">IF($G682="","",IF($G682=R_LOT,COUNTIF($G$5:$G682,R_LOT),""))</f>
        <v/>
      </c>
    </row>
    <row r="683" customFormat="false" ht="15" hidden="false" customHeight="false" outlineLevel="0" collapsed="false">
      <c r="A683" s="28" t="str">
        <f aca="false">IF($K683=0,"",ROW()-4)</f>
        <v/>
      </c>
      <c r="B683" s="26" t="str">
        <f aca="false">IF($K683=0,"","SOUS-TRAITANCE")</f>
        <v/>
      </c>
      <c r="C683" s="26" t="str">
        <f aca="false">IF($K683=0,"",SOUS_TRAITANCE!$A83)</f>
        <v/>
      </c>
      <c r="D683" s="31" t="str">
        <f aca="false">IF($K683=0,"",SOUS_TRAITANCE!$B83)</f>
        <v/>
      </c>
      <c r="E683" s="26" t="str">
        <f aca="false">IF($K683=0,"","SORTIE")</f>
        <v/>
      </c>
      <c r="F683" s="26" t="str">
        <f aca="false">IF($K683=0,"","ENVOI SOUS-TRAITANCE")</f>
        <v/>
      </c>
      <c r="G683" s="26" t="str">
        <f aca="false">IF($K683=0,"",SOUS_TRAITANCE!$E83)</f>
        <v/>
      </c>
      <c r="H683" s="26" t="str">
        <f aca="false">IF($K683=0,"",SOUS_TRAITANCE!$F83)</f>
        <v/>
      </c>
      <c r="I683" s="26" t="str">
        <f aca="false">IF($H683="","",IFERROR(INDEX(EMPL_CLASSE,MATCH($H683,EMPL_KEY,0)),""))</f>
        <v/>
      </c>
      <c r="J683" s="26" t="str">
        <f aca="false">IF($K683=0,"",SOUS_TRAITANCE!$O83)</f>
        <v/>
      </c>
      <c r="K683" s="67" t="n">
        <f aca="false">IF(OR(SOUS_TRAITANCE!$Q83=0,SOUS_TRAITANCE!$D83&lt;&gt;"STOCK EXISTANT"),0,-SOUS_TRAITANCE!$G83)</f>
        <v>0</v>
      </c>
      <c r="L683" s="67" t="n">
        <f aca="false">IF($K683=0,0,SOUS_TRAITANCE!$X83*$K683)</f>
        <v>0</v>
      </c>
      <c r="M683" s="26" t="str">
        <f aca="false">IF($K683=0,"",SOUS_TRAITANCE!$W83)</f>
        <v/>
      </c>
      <c r="N683" s="26" t="str">
        <f aca="false">IF($G683="","",IF($G683=R_LOT,COUNTIF($G$5:$G683,R_LOT),""))</f>
        <v/>
      </c>
    </row>
    <row r="684" customFormat="false" ht="15" hidden="false" customHeight="false" outlineLevel="0" collapsed="false">
      <c r="A684" s="28" t="str">
        <f aca="false">IF($K684=0,"",ROW()-4)</f>
        <v/>
      </c>
      <c r="B684" s="26" t="str">
        <f aca="false">IF($K684=0,"","SOUS-TRAITANCE")</f>
        <v/>
      </c>
      <c r="C684" s="26" t="str">
        <f aca="false">IF($K684=0,"",SOUS_TRAITANCE!$A84)</f>
        <v/>
      </c>
      <c r="D684" s="31" t="str">
        <f aca="false">IF($K684=0,"",SOUS_TRAITANCE!$B84)</f>
        <v/>
      </c>
      <c r="E684" s="26" t="str">
        <f aca="false">IF($K684=0,"","SORTIE")</f>
        <v/>
      </c>
      <c r="F684" s="26" t="str">
        <f aca="false">IF($K684=0,"","ENVOI SOUS-TRAITANCE")</f>
        <v/>
      </c>
      <c r="G684" s="26" t="str">
        <f aca="false">IF($K684=0,"",SOUS_TRAITANCE!$E84)</f>
        <v/>
      </c>
      <c r="H684" s="26" t="str">
        <f aca="false">IF($K684=0,"",SOUS_TRAITANCE!$F84)</f>
        <v/>
      </c>
      <c r="I684" s="26" t="str">
        <f aca="false">IF($H684="","",IFERROR(INDEX(EMPL_CLASSE,MATCH($H684,EMPL_KEY,0)),""))</f>
        <v/>
      </c>
      <c r="J684" s="26" t="str">
        <f aca="false">IF($K684=0,"",SOUS_TRAITANCE!$O84)</f>
        <v/>
      </c>
      <c r="K684" s="67" t="n">
        <f aca="false">IF(OR(SOUS_TRAITANCE!$Q84=0,SOUS_TRAITANCE!$D84&lt;&gt;"STOCK EXISTANT"),0,-SOUS_TRAITANCE!$G84)</f>
        <v>0</v>
      </c>
      <c r="L684" s="67" t="n">
        <f aca="false">IF($K684=0,0,SOUS_TRAITANCE!$X84*$K684)</f>
        <v>0</v>
      </c>
      <c r="M684" s="26" t="str">
        <f aca="false">IF($K684=0,"",SOUS_TRAITANCE!$W84)</f>
        <v/>
      </c>
      <c r="N684" s="26" t="str">
        <f aca="false">IF($G684="","",IF($G684=R_LOT,COUNTIF($G$5:$G684,R_LOT),""))</f>
        <v/>
      </c>
    </row>
    <row r="685" customFormat="false" ht="15" hidden="false" customHeight="false" outlineLevel="0" collapsed="false">
      <c r="A685" s="28" t="str">
        <f aca="false">IF($K685=0,"",ROW()-4)</f>
        <v/>
      </c>
      <c r="B685" s="26" t="str">
        <f aca="false">IF($K685=0,"","SOUS-TRAITANCE")</f>
        <v/>
      </c>
      <c r="C685" s="26" t="str">
        <f aca="false">IF($K685=0,"",SOUS_TRAITANCE!$A85)</f>
        <v/>
      </c>
      <c r="D685" s="31" t="str">
        <f aca="false">IF($K685=0,"",SOUS_TRAITANCE!$B85)</f>
        <v/>
      </c>
      <c r="E685" s="26" t="str">
        <f aca="false">IF($K685=0,"","SORTIE")</f>
        <v/>
      </c>
      <c r="F685" s="26" t="str">
        <f aca="false">IF($K685=0,"","ENVOI SOUS-TRAITANCE")</f>
        <v/>
      </c>
      <c r="G685" s="26" t="str">
        <f aca="false">IF($K685=0,"",SOUS_TRAITANCE!$E85)</f>
        <v/>
      </c>
      <c r="H685" s="26" t="str">
        <f aca="false">IF($K685=0,"",SOUS_TRAITANCE!$F85)</f>
        <v/>
      </c>
      <c r="I685" s="26" t="str">
        <f aca="false">IF($H685="","",IFERROR(INDEX(EMPL_CLASSE,MATCH($H685,EMPL_KEY,0)),""))</f>
        <v/>
      </c>
      <c r="J685" s="26" t="str">
        <f aca="false">IF($K685=0,"",SOUS_TRAITANCE!$O85)</f>
        <v/>
      </c>
      <c r="K685" s="67" t="n">
        <f aca="false">IF(OR(SOUS_TRAITANCE!$Q85=0,SOUS_TRAITANCE!$D85&lt;&gt;"STOCK EXISTANT"),0,-SOUS_TRAITANCE!$G85)</f>
        <v>0</v>
      </c>
      <c r="L685" s="67" t="n">
        <f aca="false">IF($K685=0,0,SOUS_TRAITANCE!$X85*$K685)</f>
        <v>0</v>
      </c>
      <c r="M685" s="26" t="str">
        <f aca="false">IF($K685=0,"",SOUS_TRAITANCE!$W85)</f>
        <v/>
      </c>
      <c r="N685" s="26" t="str">
        <f aca="false">IF($G685="","",IF($G685=R_LOT,COUNTIF($G$5:$G685,R_LOT),""))</f>
        <v/>
      </c>
    </row>
    <row r="686" customFormat="false" ht="15" hidden="false" customHeight="false" outlineLevel="0" collapsed="false">
      <c r="A686" s="28" t="str">
        <f aca="false">IF($K686=0,"",ROW()-4)</f>
        <v/>
      </c>
      <c r="B686" s="26" t="str">
        <f aca="false">IF($K686=0,"","SOUS-TRAITANCE")</f>
        <v/>
      </c>
      <c r="C686" s="26" t="str">
        <f aca="false">IF($K686=0,"",SOUS_TRAITANCE!$A86)</f>
        <v/>
      </c>
      <c r="D686" s="31" t="str">
        <f aca="false">IF($K686=0,"",SOUS_TRAITANCE!$B86)</f>
        <v/>
      </c>
      <c r="E686" s="26" t="str">
        <f aca="false">IF($K686=0,"","SORTIE")</f>
        <v/>
      </c>
      <c r="F686" s="26" t="str">
        <f aca="false">IF($K686=0,"","ENVOI SOUS-TRAITANCE")</f>
        <v/>
      </c>
      <c r="G686" s="26" t="str">
        <f aca="false">IF($K686=0,"",SOUS_TRAITANCE!$E86)</f>
        <v/>
      </c>
      <c r="H686" s="26" t="str">
        <f aca="false">IF($K686=0,"",SOUS_TRAITANCE!$F86)</f>
        <v/>
      </c>
      <c r="I686" s="26" t="str">
        <f aca="false">IF($H686="","",IFERROR(INDEX(EMPL_CLASSE,MATCH($H686,EMPL_KEY,0)),""))</f>
        <v/>
      </c>
      <c r="J686" s="26" t="str">
        <f aca="false">IF($K686=0,"",SOUS_TRAITANCE!$O86)</f>
        <v/>
      </c>
      <c r="K686" s="67" t="n">
        <f aca="false">IF(OR(SOUS_TRAITANCE!$Q86=0,SOUS_TRAITANCE!$D86&lt;&gt;"STOCK EXISTANT"),0,-SOUS_TRAITANCE!$G86)</f>
        <v>0</v>
      </c>
      <c r="L686" s="67" t="n">
        <f aca="false">IF($K686=0,0,SOUS_TRAITANCE!$X86*$K686)</f>
        <v>0</v>
      </c>
      <c r="M686" s="26" t="str">
        <f aca="false">IF($K686=0,"",SOUS_TRAITANCE!$W86)</f>
        <v/>
      </c>
      <c r="N686" s="26" t="str">
        <f aca="false">IF($G686="","",IF($G686=R_LOT,COUNTIF($G$5:$G686,R_LOT),""))</f>
        <v/>
      </c>
    </row>
    <row r="687" customFormat="false" ht="15" hidden="false" customHeight="false" outlineLevel="0" collapsed="false">
      <c r="A687" s="28" t="str">
        <f aca="false">IF($K687=0,"",ROW()-4)</f>
        <v/>
      </c>
      <c r="B687" s="26" t="str">
        <f aca="false">IF($K687=0,"","SOUS-TRAITANCE")</f>
        <v/>
      </c>
      <c r="C687" s="26" t="str">
        <f aca="false">IF($K687=0,"",SOUS_TRAITANCE!$A87)</f>
        <v/>
      </c>
      <c r="D687" s="31" t="str">
        <f aca="false">IF($K687=0,"",SOUS_TRAITANCE!$B87)</f>
        <v/>
      </c>
      <c r="E687" s="26" t="str">
        <f aca="false">IF($K687=0,"","SORTIE")</f>
        <v/>
      </c>
      <c r="F687" s="26" t="str">
        <f aca="false">IF($K687=0,"","ENVOI SOUS-TRAITANCE")</f>
        <v/>
      </c>
      <c r="G687" s="26" t="str">
        <f aca="false">IF($K687=0,"",SOUS_TRAITANCE!$E87)</f>
        <v/>
      </c>
      <c r="H687" s="26" t="str">
        <f aca="false">IF($K687=0,"",SOUS_TRAITANCE!$F87)</f>
        <v/>
      </c>
      <c r="I687" s="26" t="str">
        <f aca="false">IF($H687="","",IFERROR(INDEX(EMPL_CLASSE,MATCH($H687,EMPL_KEY,0)),""))</f>
        <v/>
      </c>
      <c r="J687" s="26" t="str">
        <f aca="false">IF($K687=0,"",SOUS_TRAITANCE!$O87)</f>
        <v/>
      </c>
      <c r="K687" s="67" t="n">
        <f aca="false">IF(OR(SOUS_TRAITANCE!$Q87=0,SOUS_TRAITANCE!$D87&lt;&gt;"STOCK EXISTANT"),0,-SOUS_TRAITANCE!$G87)</f>
        <v>0</v>
      </c>
      <c r="L687" s="67" t="n">
        <f aca="false">IF($K687=0,0,SOUS_TRAITANCE!$X87*$K687)</f>
        <v>0</v>
      </c>
      <c r="M687" s="26" t="str">
        <f aca="false">IF($K687=0,"",SOUS_TRAITANCE!$W87)</f>
        <v/>
      </c>
      <c r="N687" s="26" t="str">
        <f aca="false">IF($G687="","",IF($G687=R_LOT,COUNTIF($G$5:$G687,R_LOT),""))</f>
        <v/>
      </c>
    </row>
    <row r="688" customFormat="false" ht="15" hidden="false" customHeight="false" outlineLevel="0" collapsed="false">
      <c r="A688" s="28" t="str">
        <f aca="false">IF($K688=0,"",ROW()-4)</f>
        <v/>
      </c>
      <c r="B688" s="26" t="str">
        <f aca="false">IF($K688=0,"","SOUS-TRAITANCE")</f>
        <v/>
      </c>
      <c r="C688" s="26" t="str">
        <f aca="false">IF($K688=0,"",SOUS_TRAITANCE!$A88)</f>
        <v/>
      </c>
      <c r="D688" s="31" t="str">
        <f aca="false">IF($K688=0,"",SOUS_TRAITANCE!$B88)</f>
        <v/>
      </c>
      <c r="E688" s="26" t="str">
        <f aca="false">IF($K688=0,"","SORTIE")</f>
        <v/>
      </c>
      <c r="F688" s="26" t="str">
        <f aca="false">IF($K688=0,"","ENVOI SOUS-TRAITANCE")</f>
        <v/>
      </c>
      <c r="G688" s="26" t="str">
        <f aca="false">IF($K688=0,"",SOUS_TRAITANCE!$E88)</f>
        <v/>
      </c>
      <c r="H688" s="26" t="str">
        <f aca="false">IF($K688=0,"",SOUS_TRAITANCE!$F88)</f>
        <v/>
      </c>
      <c r="I688" s="26" t="str">
        <f aca="false">IF($H688="","",IFERROR(INDEX(EMPL_CLASSE,MATCH($H688,EMPL_KEY,0)),""))</f>
        <v/>
      </c>
      <c r="J688" s="26" t="str">
        <f aca="false">IF($K688=0,"",SOUS_TRAITANCE!$O88)</f>
        <v/>
      </c>
      <c r="K688" s="67" t="n">
        <f aca="false">IF(OR(SOUS_TRAITANCE!$Q88=0,SOUS_TRAITANCE!$D88&lt;&gt;"STOCK EXISTANT"),0,-SOUS_TRAITANCE!$G88)</f>
        <v>0</v>
      </c>
      <c r="L688" s="67" t="n">
        <f aca="false">IF($K688=0,0,SOUS_TRAITANCE!$X88*$K688)</f>
        <v>0</v>
      </c>
      <c r="M688" s="26" t="str">
        <f aca="false">IF($K688=0,"",SOUS_TRAITANCE!$W88)</f>
        <v/>
      </c>
      <c r="N688" s="26" t="str">
        <f aca="false">IF($G688="","",IF($G688=R_LOT,COUNTIF($G$5:$G688,R_LOT),""))</f>
        <v/>
      </c>
    </row>
    <row r="689" customFormat="false" ht="15" hidden="false" customHeight="false" outlineLevel="0" collapsed="false">
      <c r="A689" s="28" t="str">
        <f aca="false">IF($K689=0,"",ROW()-4)</f>
        <v/>
      </c>
      <c r="B689" s="26" t="str">
        <f aca="false">IF($K689=0,"","SOUS-TRAITANCE")</f>
        <v/>
      </c>
      <c r="C689" s="26" t="str">
        <f aca="false">IF($K689=0,"",SOUS_TRAITANCE!$A89)</f>
        <v/>
      </c>
      <c r="D689" s="31" t="str">
        <f aca="false">IF($K689=0,"",SOUS_TRAITANCE!$B89)</f>
        <v/>
      </c>
      <c r="E689" s="26" t="str">
        <f aca="false">IF($K689=0,"","SORTIE")</f>
        <v/>
      </c>
      <c r="F689" s="26" t="str">
        <f aca="false">IF($K689=0,"","ENVOI SOUS-TRAITANCE")</f>
        <v/>
      </c>
      <c r="G689" s="26" t="str">
        <f aca="false">IF($K689=0,"",SOUS_TRAITANCE!$E89)</f>
        <v/>
      </c>
      <c r="H689" s="26" t="str">
        <f aca="false">IF($K689=0,"",SOUS_TRAITANCE!$F89)</f>
        <v/>
      </c>
      <c r="I689" s="26" t="str">
        <f aca="false">IF($H689="","",IFERROR(INDEX(EMPL_CLASSE,MATCH($H689,EMPL_KEY,0)),""))</f>
        <v/>
      </c>
      <c r="J689" s="26" t="str">
        <f aca="false">IF($K689=0,"",SOUS_TRAITANCE!$O89)</f>
        <v/>
      </c>
      <c r="K689" s="67" t="n">
        <f aca="false">IF(OR(SOUS_TRAITANCE!$Q89=0,SOUS_TRAITANCE!$D89&lt;&gt;"STOCK EXISTANT"),0,-SOUS_TRAITANCE!$G89)</f>
        <v>0</v>
      </c>
      <c r="L689" s="67" t="n">
        <f aca="false">IF($K689=0,0,SOUS_TRAITANCE!$X89*$K689)</f>
        <v>0</v>
      </c>
      <c r="M689" s="26" t="str">
        <f aca="false">IF($K689=0,"",SOUS_TRAITANCE!$W89)</f>
        <v/>
      </c>
      <c r="N689" s="26" t="str">
        <f aca="false">IF($G689="","",IF($G689=R_LOT,COUNTIF($G$5:$G689,R_LOT),""))</f>
        <v/>
      </c>
    </row>
    <row r="690" customFormat="false" ht="15" hidden="false" customHeight="false" outlineLevel="0" collapsed="false">
      <c r="A690" s="28" t="str">
        <f aca="false">IF($K690=0,"",ROW()-4)</f>
        <v/>
      </c>
      <c r="B690" s="26" t="str">
        <f aca="false">IF($K690=0,"","SOUS-TRAITANCE")</f>
        <v/>
      </c>
      <c r="C690" s="26" t="str">
        <f aca="false">IF($K690=0,"",SOUS_TRAITANCE!$A90)</f>
        <v/>
      </c>
      <c r="D690" s="31" t="str">
        <f aca="false">IF($K690=0,"",SOUS_TRAITANCE!$B90)</f>
        <v/>
      </c>
      <c r="E690" s="26" t="str">
        <f aca="false">IF($K690=0,"","SORTIE")</f>
        <v/>
      </c>
      <c r="F690" s="26" t="str">
        <f aca="false">IF($K690=0,"","ENVOI SOUS-TRAITANCE")</f>
        <v/>
      </c>
      <c r="G690" s="26" t="str">
        <f aca="false">IF($K690=0,"",SOUS_TRAITANCE!$E90)</f>
        <v/>
      </c>
      <c r="H690" s="26" t="str">
        <f aca="false">IF($K690=0,"",SOUS_TRAITANCE!$F90)</f>
        <v/>
      </c>
      <c r="I690" s="26" t="str">
        <f aca="false">IF($H690="","",IFERROR(INDEX(EMPL_CLASSE,MATCH($H690,EMPL_KEY,0)),""))</f>
        <v/>
      </c>
      <c r="J690" s="26" t="str">
        <f aca="false">IF($K690=0,"",SOUS_TRAITANCE!$O90)</f>
        <v/>
      </c>
      <c r="K690" s="67" t="n">
        <f aca="false">IF(OR(SOUS_TRAITANCE!$Q90=0,SOUS_TRAITANCE!$D90&lt;&gt;"STOCK EXISTANT"),0,-SOUS_TRAITANCE!$G90)</f>
        <v>0</v>
      </c>
      <c r="L690" s="67" t="n">
        <f aca="false">IF($K690=0,0,SOUS_TRAITANCE!$X90*$K690)</f>
        <v>0</v>
      </c>
      <c r="M690" s="26" t="str">
        <f aca="false">IF($K690=0,"",SOUS_TRAITANCE!$W90)</f>
        <v/>
      </c>
      <c r="N690" s="26" t="str">
        <f aca="false">IF($G690="","",IF($G690=R_LOT,COUNTIF($G$5:$G690,R_LOT),""))</f>
        <v/>
      </c>
    </row>
    <row r="691" customFormat="false" ht="15" hidden="false" customHeight="false" outlineLevel="0" collapsed="false">
      <c r="A691" s="28" t="str">
        <f aca="false">IF($K691=0,"",ROW()-4)</f>
        <v/>
      </c>
      <c r="B691" s="26" t="str">
        <f aca="false">IF($K691=0,"","SOUS-TRAITANCE")</f>
        <v/>
      </c>
      <c r="C691" s="26" t="str">
        <f aca="false">IF($K691=0,"",SOUS_TRAITANCE!$A91)</f>
        <v/>
      </c>
      <c r="D691" s="31" t="str">
        <f aca="false">IF($K691=0,"",SOUS_TRAITANCE!$B91)</f>
        <v/>
      </c>
      <c r="E691" s="26" t="str">
        <f aca="false">IF($K691=0,"","SORTIE")</f>
        <v/>
      </c>
      <c r="F691" s="26" t="str">
        <f aca="false">IF($K691=0,"","ENVOI SOUS-TRAITANCE")</f>
        <v/>
      </c>
      <c r="G691" s="26" t="str">
        <f aca="false">IF($K691=0,"",SOUS_TRAITANCE!$E91)</f>
        <v/>
      </c>
      <c r="H691" s="26" t="str">
        <f aca="false">IF($K691=0,"",SOUS_TRAITANCE!$F91)</f>
        <v/>
      </c>
      <c r="I691" s="26" t="str">
        <f aca="false">IF($H691="","",IFERROR(INDEX(EMPL_CLASSE,MATCH($H691,EMPL_KEY,0)),""))</f>
        <v/>
      </c>
      <c r="J691" s="26" t="str">
        <f aca="false">IF($K691=0,"",SOUS_TRAITANCE!$O91)</f>
        <v/>
      </c>
      <c r="K691" s="67" t="n">
        <f aca="false">IF(OR(SOUS_TRAITANCE!$Q91=0,SOUS_TRAITANCE!$D91&lt;&gt;"STOCK EXISTANT"),0,-SOUS_TRAITANCE!$G91)</f>
        <v>0</v>
      </c>
      <c r="L691" s="67" t="n">
        <f aca="false">IF($K691=0,0,SOUS_TRAITANCE!$X91*$K691)</f>
        <v>0</v>
      </c>
      <c r="M691" s="26" t="str">
        <f aca="false">IF($K691=0,"",SOUS_TRAITANCE!$W91)</f>
        <v/>
      </c>
      <c r="N691" s="26" t="str">
        <f aca="false">IF($G691="","",IF($G691=R_LOT,COUNTIF($G$5:$G691,R_LOT),""))</f>
        <v/>
      </c>
    </row>
    <row r="692" customFormat="false" ht="15" hidden="false" customHeight="false" outlineLevel="0" collapsed="false">
      <c r="A692" s="28" t="str">
        <f aca="false">IF($K692=0,"",ROW()-4)</f>
        <v/>
      </c>
      <c r="B692" s="26" t="str">
        <f aca="false">IF($K692=0,"","SOUS-TRAITANCE")</f>
        <v/>
      </c>
      <c r="C692" s="26" t="str">
        <f aca="false">IF($K692=0,"",SOUS_TRAITANCE!$A92)</f>
        <v/>
      </c>
      <c r="D692" s="31" t="str">
        <f aca="false">IF($K692=0,"",SOUS_TRAITANCE!$B92)</f>
        <v/>
      </c>
      <c r="E692" s="26" t="str">
        <f aca="false">IF($K692=0,"","SORTIE")</f>
        <v/>
      </c>
      <c r="F692" s="26" t="str">
        <f aca="false">IF($K692=0,"","ENVOI SOUS-TRAITANCE")</f>
        <v/>
      </c>
      <c r="G692" s="26" t="str">
        <f aca="false">IF($K692=0,"",SOUS_TRAITANCE!$E92)</f>
        <v/>
      </c>
      <c r="H692" s="26" t="str">
        <f aca="false">IF($K692=0,"",SOUS_TRAITANCE!$F92)</f>
        <v/>
      </c>
      <c r="I692" s="26" t="str">
        <f aca="false">IF($H692="","",IFERROR(INDEX(EMPL_CLASSE,MATCH($H692,EMPL_KEY,0)),""))</f>
        <v/>
      </c>
      <c r="J692" s="26" t="str">
        <f aca="false">IF($K692=0,"",SOUS_TRAITANCE!$O92)</f>
        <v/>
      </c>
      <c r="K692" s="67" t="n">
        <f aca="false">IF(OR(SOUS_TRAITANCE!$Q92=0,SOUS_TRAITANCE!$D92&lt;&gt;"STOCK EXISTANT"),0,-SOUS_TRAITANCE!$G92)</f>
        <v>0</v>
      </c>
      <c r="L692" s="67" t="n">
        <f aca="false">IF($K692=0,0,SOUS_TRAITANCE!$X92*$K692)</f>
        <v>0</v>
      </c>
      <c r="M692" s="26" t="str">
        <f aca="false">IF($K692=0,"",SOUS_TRAITANCE!$W92)</f>
        <v/>
      </c>
      <c r="N692" s="26" t="str">
        <f aca="false">IF($G692="","",IF($G692=R_LOT,COUNTIF($G$5:$G692,R_LOT),""))</f>
        <v/>
      </c>
    </row>
    <row r="693" customFormat="false" ht="15" hidden="false" customHeight="false" outlineLevel="0" collapsed="false">
      <c r="A693" s="28" t="str">
        <f aca="false">IF($K693=0,"",ROW()-4)</f>
        <v/>
      </c>
      <c r="B693" s="26" t="str">
        <f aca="false">IF($K693=0,"","SOUS-TRAITANCE")</f>
        <v/>
      </c>
      <c r="C693" s="26" t="str">
        <f aca="false">IF($K693=0,"",SOUS_TRAITANCE!$A93)</f>
        <v/>
      </c>
      <c r="D693" s="31" t="str">
        <f aca="false">IF($K693=0,"",SOUS_TRAITANCE!$B93)</f>
        <v/>
      </c>
      <c r="E693" s="26" t="str">
        <f aca="false">IF($K693=0,"","SORTIE")</f>
        <v/>
      </c>
      <c r="F693" s="26" t="str">
        <f aca="false">IF($K693=0,"","ENVOI SOUS-TRAITANCE")</f>
        <v/>
      </c>
      <c r="G693" s="26" t="str">
        <f aca="false">IF($K693=0,"",SOUS_TRAITANCE!$E93)</f>
        <v/>
      </c>
      <c r="H693" s="26" t="str">
        <f aca="false">IF($K693=0,"",SOUS_TRAITANCE!$F93)</f>
        <v/>
      </c>
      <c r="I693" s="26" t="str">
        <f aca="false">IF($H693="","",IFERROR(INDEX(EMPL_CLASSE,MATCH($H693,EMPL_KEY,0)),""))</f>
        <v/>
      </c>
      <c r="J693" s="26" t="str">
        <f aca="false">IF($K693=0,"",SOUS_TRAITANCE!$O93)</f>
        <v/>
      </c>
      <c r="K693" s="67" t="n">
        <f aca="false">IF(OR(SOUS_TRAITANCE!$Q93=0,SOUS_TRAITANCE!$D93&lt;&gt;"STOCK EXISTANT"),0,-SOUS_TRAITANCE!$G93)</f>
        <v>0</v>
      </c>
      <c r="L693" s="67" t="n">
        <f aca="false">IF($K693=0,0,SOUS_TRAITANCE!$X93*$K693)</f>
        <v>0</v>
      </c>
      <c r="M693" s="26" t="str">
        <f aca="false">IF($K693=0,"",SOUS_TRAITANCE!$W93)</f>
        <v/>
      </c>
      <c r="N693" s="26" t="str">
        <f aca="false">IF($G693="","",IF($G693=R_LOT,COUNTIF($G$5:$G693,R_LOT),""))</f>
        <v/>
      </c>
    </row>
    <row r="694" customFormat="false" ht="15" hidden="false" customHeight="false" outlineLevel="0" collapsed="false">
      <c r="A694" s="28" t="str">
        <f aca="false">IF($K694=0,"",ROW()-4)</f>
        <v/>
      </c>
      <c r="B694" s="26" t="str">
        <f aca="false">IF($K694=0,"","SOUS-TRAITANCE")</f>
        <v/>
      </c>
      <c r="C694" s="26" t="str">
        <f aca="false">IF($K694=0,"",SOUS_TRAITANCE!$A94)</f>
        <v/>
      </c>
      <c r="D694" s="31" t="str">
        <f aca="false">IF($K694=0,"",SOUS_TRAITANCE!$B94)</f>
        <v/>
      </c>
      <c r="E694" s="26" t="str">
        <f aca="false">IF($K694=0,"","SORTIE")</f>
        <v/>
      </c>
      <c r="F694" s="26" t="str">
        <f aca="false">IF($K694=0,"","ENVOI SOUS-TRAITANCE")</f>
        <v/>
      </c>
      <c r="G694" s="26" t="str">
        <f aca="false">IF($K694=0,"",SOUS_TRAITANCE!$E94)</f>
        <v/>
      </c>
      <c r="H694" s="26" t="str">
        <f aca="false">IF($K694=0,"",SOUS_TRAITANCE!$F94)</f>
        <v/>
      </c>
      <c r="I694" s="26" t="str">
        <f aca="false">IF($H694="","",IFERROR(INDEX(EMPL_CLASSE,MATCH($H694,EMPL_KEY,0)),""))</f>
        <v/>
      </c>
      <c r="J694" s="26" t="str">
        <f aca="false">IF($K694=0,"",SOUS_TRAITANCE!$O94)</f>
        <v/>
      </c>
      <c r="K694" s="67" t="n">
        <f aca="false">IF(OR(SOUS_TRAITANCE!$Q94=0,SOUS_TRAITANCE!$D94&lt;&gt;"STOCK EXISTANT"),0,-SOUS_TRAITANCE!$G94)</f>
        <v>0</v>
      </c>
      <c r="L694" s="67" t="n">
        <f aca="false">IF($K694=0,0,SOUS_TRAITANCE!$X94*$K694)</f>
        <v>0</v>
      </c>
      <c r="M694" s="26" t="str">
        <f aca="false">IF($K694=0,"",SOUS_TRAITANCE!$W94)</f>
        <v/>
      </c>
      <c r="N694" s="26" t="str">
        <f aca="false">IF($G694="","",IF($G694=R_LOT,COUNTIF($G$5:$G694,R_LOT),""))</f>
        <v/>
      </c>
    </row>
    <row r="695" customFormat="false" ht="15" hidden="false" customHeight="false" outlineLevel="0" collapsed="false">
      <c r="A695" s="28" t="str">
        <f aca="false">IF($K695=0,"",ROW()-4)</f>
        <v/>
      </c>
      <c r="B695" s="26" t="str">
        <f aca="false">IF($K695=0,"","SOUS-TRAITANCE")</f>
        <v/>
      </c>
      <c r="C695" s="26" t="str">
        <f aca="false">IF($K695=0,"",SOUS_TRAITANCE!$A95)</f>
        <v/>
      </c>
      <c r="D695" s="31" t="str">
        <f aca="false">IF($K695=0,"",SOUS_TRAITANCE!$B95)</f>
        <v/>
      </c>
      <c r="E695" s="26" t="str">
        <f aca="false">IF($K695=0,"","SORTIE")</f>
        <v/>
      </c>
      <c r="F695" s="26" t="str">
        <f aca="false">IF($K695=0,"","ENVOI SOUS-TRAITANCE")</f>
        <v/>
      </c>
      <c r="G695" s="26" t="str">
        <f aca="false">IF($K695=0,"",SOUS_TRAITANCE!$E95)</f>
        <v/>
      </c>
      <c r="H695" s="26" t="str">
        <f aca="false">IF($K695=0,"",SOUS_TRAITANCE!$F95)</f>
        <v/>
      </c>
      <c r="I695" s="26" t="str">
        <f aca="false">IF($H695="","",IFERROR(INDEX(EMPL_CLASSE,MATCH($H695,EMPL_KEY,0)),""))</f>
        <v/>
      </c>
      <c r="J695" s="26" t="str">
        <f aca="false">IF($K695=0,"",SOUS_TRAITANCE!$O95)</f>
        <v/>
      </c>
      <c r="K695" s="67" t="n">
        <f aca="false">IF(OR(SOUS_TRAITANCE!$Q95=0,SOUS_TRAITANCE!$D95&lt;&gt;"STOCK EXISTANT"),0,-SOUS_TRAITANCE!$G95)</f>
        <v>0</v>
      </c>
      <c r="L695" s="67" t="n">
        <f aca="false">IF($K695=0,0,SOUS_TRAITANCE!$X95*$K695)</f>
        <v>0</v>
      </c>
      <c r="M695" s="26" t="str">
        <f aca="false">IF($K695=0,"",SOUS_TRAITANCE!$W95)</f>
        <v/>
      </c>
      <c r="N695" s="26" t="str">
        <f aca="false">IF($G695="","",IF($G695=R_LOT,COUNTIF($G$5:$G695,R_LOT),""))</f>
        <v/>
      </c>
    </row>
    <row r="696" customFormat="false" ht="15" hidden="false" customHeight="false" outlineLevel="0" collapsed="false">
      <c r="A696" s="28" t="str">
        <f aca="false">IF($K696=0,"",ROW()-4)</f>
        <v/>
      </c>
      <c r="B696" s="26" t="str">
        <f aca="false">IF($K696=0,"","SOUS-TRAITANCE")</f>
        <v/>
      </c>
      <c r="C696" s="26" t="str">
        <f aca="false">IF($K696=0,"",SOUS_TRAITANCE!$A96)</f>
        <v/>
      </c>
      <c r="D696" s="31" t="str">
        <f aca="false">IF($K696=0,"",SOUS_TRAITANCE!$B96)</f>
        <v/>
      </c>
      <c r="E696" s="26" t="str">
        <f aca="false">IF($K696=0,"","SORTIE")</f>
        <v/>
      </c>
      <c r="F696" s="26" t="str">
        <f aca="false">IF($K696=0,"","ENVOI SOUS-TRAITANCE")</f>
        <v/>
      </c>
      <c r="G696" s="26" t="str">
        <f aca="false">IF($K696=0,"",SOUS_TRAITANCE!$E96)</f>
        <v/>
      </c>
      <c r="H696" s="26" t="str">
        <f aca="false">IF($K696=0,"",SOUS_TRAITANCE!$F96)</f>
        <v/>
      </c>
      <c r="I696" s="26" t="str">
        <f aca="false">IF($H696="","",IFERROR(INDEX(EMPL_CLASSE,MATCH($H696,EMPL_KEY,0)),""))</f>
        <v/>
      </c>
      <c r="J696" s="26" t="str">
        <f aca="false">IF($K696=0,"",SOUS_TRAITANCE!$O96)</f>
        <v/>
      </c>
      <c r="K696" s="67" t="n">
        <f aca="false">IF(OR(SOUS_TRAITANCE!$Q96=0,SOUS_TRAITANCE!$D96&lt;&gt;"STOCK EXISTANT"),0,-SOUS_TRAITANCE!$G96)</f>
        <v>0</v>
      </c>
      <c r="L696" s="67" t="n">
        <f aca="false">IF($K696=0,0,SOUS_TRAITANCE!$X96*$K696)</f>
        <v>0</v>
      </c>
      <c r="M696" s="26" t="str">
        <f aca="false">IF($K696=0,"",SOUS_TRAITANCE!$W96)</f>
        <v/>
      </c>
      <c r="N696" s="26" t="str">
        <f aca="false">IF($G696="","",IF($G696=R_LOT,COUNTIF($G$5:$G696,R_LOT),""))</f>
        <v/>
      </c>
    </row>
    <row r="697" customFormat="false" ht="15" hidden="false" customHeight="false" outlineLevel="0" collapsed="false">
      <c r="A697" s="28" t="str">
        <f aca="false">IF($K697=0,"",ROW()-4)</f>
        <v/>
      </c>
      <c r="B697" s="26" t="str">
        <f aca="false">IF($K697=0,"","SOUS-TRAITANCE")</f>
        <v/>
      </c>
      <c r="C697" s="26" t="str">
        <f aca="false">IF($K697=0,"",SOUS_TRAITANCE!$A97)</f>
        <v/>
      </c>
      <c r="D697" s="31" t="str">
        <f aca="false">IF($K697=0,"",SOUS_TRAITANCE!$B97)</f>
        <v/>
      </c>
      <c r="E697" s="26" t="str">
        <f aca="false">IF($K697=0,"","SORTIE")</f>
        <v/>
      </c>
      <c r="F697" s="26" t="str">
        <f aca="false">IF($K697=0,"","ENVOI SOUS-TRAITANCE")</f>
        <v/>
      </c>
      <c r="G697" s="26" t="str">
        <f aca="false">IF($K697=0,"",SOUS_TRAITANCE!$E97)</f>
        <v/>
      </c>
      <c r="H697" s="26" t="str">
        <f aca="false">IF($K697=0,"",SOUS_TRAITANCE!$F97)</f>
        <v/>
      </c>
      <c r="I697" s="26" t="str">
        <f aca="false">IF($H697="","",IFERROR(INDEX(EMPL_CLASSE,MATCH($H697,EMPL_KEY,0)),""))</f>
        <v/>
      </c>
      <c r="J697" s="26" t="str">
        <f aca="false">IF($K697=0,"",SOUS_TRAITANCE!$O97)</f>
        <v/>
      </c>
      <c r="K697" s="67" t="n">
        <f aca="false">IF(OR(SOUS_TRAITANCE!$Q97=0,SOUS_TRAITANCE!$D97&lt;&gt;"STOCK EXISTANT"),0,-SOUS_TRAITANCE!$G97)</f>
        <v>0</v>
      </c>
      <c r="L697" s="67" t="n">
        <f aca="false">IF($K697=0,0,SOUS_TRAITANCE!$X97*$K697)</f>
        <v>0</v>
      </c>
      <c r="M697" s="26" t="str">
        <f aca="false">IF($K697=0,"",SOUS_TRAITANCE!$W97)</f>
        <v/>
      </c>
      <c r="N697" s="26" t="str">
        <f aca="false">IF($G697="","",IF($G697=R_LOT,COUNTIF($G$5:$G697,R_LOT),""))</f>
        <v/>
      </c>
    </row>
    <row r="698" customFormat="false" ht="15" hidden="false" customHeight="false" outlineLevel="0" collapsed="false">
      <c r="A698" s="28" t="str">
        <f aca="false">IF($K698=0,"",ROW()-4)</f>
        <v/>
      </c>
      <c r="B698" s="26" t="str">
        <f aca="false">IF($K698=0,"","SOUS-TRAITANCE")</f>
        <v/>
      </c>
      <c r="C698" s="26" t="str">
        <f aca="false">IF($K698=0,"",SOUS_TRAITANCE!$A98)</f>
        <v/>
      </c>
      <c r="D698" s="31" t="str">
        <f aca="false">IF($K698=0,"",SOUS_TRAITANCE!$B98)</f>
        <v/>
      </c>
      <c r="E698" s="26" t="str">
        <f aca="false">IF($K698=0,"","SORTIE")</f>
        <v/>
      </c>
      <c r="F698" s="26" t="str">
        <f aca="false">IF($K698=0,"","ENVOI SOUS-TRAITANCE")</f>
        <v/>
      </c>
      <c r="G698" s="26" t="str">
        <f aca="false">IF($K698=0,"",SOUS_TRAITANCE!$E98)</f>
        <v/>
      </c>
      <c r="H698" s="26" t="str">
        <f aca="false">IF($K698=0,"",SOUS_TRAITANCE!$F98)</f>
        <v/>
      </c>
      <c r="I698" s="26" t="str">
        <f aca="false">IF($H698="","",IFERROR(INDEX(EMPL_CLASSE,MATCH($H698,EMPL_KEY,0)),""))</f>
        <v/>
      </c>
      <c r="J698" s="26" t="str">
        <f aca="false">IF($K698=0,"",SOUS_TRAITANCE!$O98)</f>
        <v/>
      </c>
      <c r="K698" s="67" t="n">
        <f aca="false">IF(OR(SOUS_TRAITANCE!$Q98=0,SOUS_TRAITANCE!$D98&lt;&gt;"STOCK EXISTANT"),0,-SOUS_TRAITANCE!$G98)</f>
        <v>0</v>
      </c>
      <c r="L698" s="67" t="n">
        <f aca="false">IF($K698=0,0,SOUS_TRAITANCE!$X98*$K698)</f>
        <v>0</v>
      </c>
      <c r="M698" s="26" t="str">
        <f aca="false">IF($K698=0,"",SOUS_TRAITANCE!$W98)</f>
        <v/>
      </c>
      <c r="N698" s="26" t="str">
        <f aca="false">IF($G698="","",IF($G698=R_LOT,COUNTIF($G$5:$G698,R_LOT),""))</f>
        <v/>
      </c>
    </row>
    <row r="699" customFormat="false" ht="15" hidden="false" customHeight="false" outlineLevel="0" collapsed="false">
      <c r="A699" s="28" t="str">
        <f aca="false">IF($K699=0,"",ROW()-4)</f>
        <v/>
      </c>
      <c r="B699" s="26" t="str">
        <f aca="false">IF($K699=0,"","SOUS-TRAITANCE")</f>
        <v/>
      </c>
      <c r="C699" s="26" t="str">
        <f aca="false">IF($K699=0,"",SOUS_TRAITANCE!$A99)</f>
        <v/>
      </c>
      <c r="D699" s="31" t="str">
        <f aca="false">IF($K699=0,"",SOUS_TRAITANCE!$B99)</f>
        <v/>
      </c>
      <c r="E699" s="26" t="str">
        <f aca="false">IF($K699=0,"","SORTIE")</f>
        <v/>
      </c>
      <c r="F699" s="26" t="str">
        <f aca="false">IF($K699=0,"","ENVOI SOUS-TRAITANCE")</f>
        <v/>
      </c>
      <c r="G699" s="26" t="str">
        <f aca="false">IF($K699=0,"",SOUS_TRAITANCE!$E99)</f>
        <v/>
      </c>
      <c r="H699" s="26" t="str">
        <f aca="false">IF($K699=0,"",SOUS_TRAITANCE!$F99)</f>
        <v/>
      </c>
      <c r="I699" s="26" t="str">
        <f aca="false">IF($H699="","",IFERROR(INDEX(EMPL_CLASSE,MATCH($H699,EMPL_KEY,0)),""))</f>
        <v/>
      </c>
      <c r="J699" s="26" t="str">
        <f aca="false">IF($K699=0,"",SOUS_TRAITANCE!$O99)</f>
        <v/>
      </c>
      <c r="K699" s="67" t="n">
        <f aca="false">IF(OR(SOUS_TRAITANCE!$Q99=0,SOUS_TRAITANCE!$D99&lt;&gt;"STOCK EXISTANT"),0,-SOUS_TRAITANCE!$G99)</f>
        <v>0</v>
      </c>
      <c r="L699" s="67" t="n">
        <f aca="false">IF($K699=0,0,SOUS_TRAITANCE!$X99*$K699)</f>
        <v>0</v>
      </c>
      <c r="M699" s="26" t="str">
        <f aca="false">IF($K699=0,"",SOUS_TRAITANCE!$W99)</f>
        <v/>
      </c>
      <c r="N699" s="26" t="str">
        <f aca="false">IF($G699="","",IF($G699=R_LOT,COUNTIF($G$5:$G699,R_LOT),""))</f>
        <v/>
      </c>
    </row>
    <row r="700" customFormat="false" ht="15" hidden="false" customHeight="false" outlineLevel="0" collapsed="false">
      <c r="A700" s="28" t="str">
        <f aca="false">IF($K700=0,"",ROW()-4)</f>
        <v/>
      </c>
      <c r="B700" s="26" t="str">
        <f aca="false">IF($K700=0,"","SOUS-TRAITANCE")</f>
        <v/>
      </c>
      <c r="C700" s="26" t="str">
        <f aca="false">IF($K700=0,"",SOUS_TRAITANCE!$A100)</f>
        <v/>
      </c>
      <c r="D700" s="31" t="str">
        <f aca="false">IF($K700=0,"",SOUS_TRAITANCE!$B100)</f>
        <v/>
      </c>
      <c r="E700" s="26" t="str">
        <f aca="false">IF($K700=0,"","SORTIE")</f>
        <v/>
      </c>
      <c r="F700" s="26" t="str">
        <f aca="false">IF($K700=0,"","ENVOI SOUS-TRAITANCE")</f>
        <v/>
      </c>
      <c r="G700" s="26" t="str">
        <f aca="false">IF($K700=0,"",SOUS_TRAITANCE!$E100)</f>
        <v/>
      </c>
      <c r="H700" s="26" t="str">
        <f aca="false">IF($K700=0,"",SOUS_TRAITANCE!$F100)</f>
        <v/>
      </c>
      <c r="I700" s="26" t="str">
        <f aca="false">IF($H700="","",IFERROR(INDEX(EMPL_CLASSE,MATCH($H700,EMPL_KEY,0)),""))</f>
        <v/>
      </c>
      <c r="J700" s="26" t="str">
        <f aca="false">IF($K700=0,"",SOUS_TRAITANCE!$O100)</f>
        <v/>
      </c>
      <c r="K700" s="67" t="n">
        <f aca="false">IF(OR(SOUS_TRAITANCE!$Q100=0,SOUS_TRAITANCE!$D100&lt;&gt;"STOCK EXISTANT"),0,-SOUS_TRAITANCE!$G100)</f>
        <v>0</v>
      </c>
      <c r="L700" s="67" t="n">
        <f aca="false">IF($K700=0,0,SOUS_TRAITANCE!$X100*$K700)</f>
        <v>0</v>
      </c>
      <c r="M700" s="26" t="str">
        <f aca="false">IF($K700=0,"",SOUS_TRAITANCE!$W100)</f>
        <v/>
      </c>
      <c r="N700" s="26" t="str">
        <f aca="false">IF($G700="","",IF($G700=R_LOT,COUNTIF($G$5:$G700,R_LOT),""))</f>
        <v/>
      </c>
    </row>
    <row r="701" customFormat="false" ht="15" hidden="false" customHeight="false" outlineLevel="0" collapsed="false">
      <c r="A701" s="28" t="str">
        <f aca="false">IF($K701=0,"",ROW()-4)</f>
        <v/>
      </c>
      <c r="B701" s="26" t="str">
        <f aca="false">IF($K701=0,"","SOUS-TRAITANCE")</f>
        <v/>
      </c>
      <c r="C701" s="26" t="str">
        <f aca="false">IF($K701=0,"",SOUS_TRAITANCE!$A101)</f>
        <v/>
      </c>
      <c r="D701" s="31" t="str">
        <f aca="false">IF($K701=0,"",SOUS_TRAITANCE!$B101)</f>
        <v/>
      </c>
      <c r="E701" s="26" t="str">
        <f aca="false">IF($K701=0,"","SORTIE")</f>
        <v/>
      </c>
      <c r="F701" s="26" t="str">
        <f aca="false">IF($K701=0,"","ENVOI SOUS-TRAITANCE")</f>
        <v/>
      </c>
      <c r="G701" s="26" t="str">
        <f aca="false">IF($K701=0,"",SOUS_TRAITANCE!$E101)</f>
        <v/>
      </c>
      <c r="H701" s="26" t="str">
        <f aca="false">IF($K701=0,"",SOUS_TRAITANCE!$F101)</f>
        <v/>
      </c>
      <c r="I701" s="26" t="str">
        <f aca="false">IF($H701="","",IFERROR(INDEX(EMPL_CLASSE,MATCH($H701,EMPL_KEY,0)),""))</f>
        <v/>
      </c>
      <c r="J701" s="26" t="str">
        <f aca="false">IF($K701=0,"",SOUS_TRAITANCE!$O101)</f>
        <v/>
      </c>
      <c r="K701" s="67" t="n">
        <f aca="false">IF(OR(SOUS_TRAITANCE!$Q101=0,SOUS_TRAITANCE!$D101&lt;&gt;"STOCK EXISTANT"),0,-SOUS_TRAITANCE!$G101)</f>
        <v>0</v>
      </c>
      <c r="L701" s="67" t="n">
        <f aca="false">IF($K701=0,0,SOUS_TRAITANCE!$X101*$K701)</f>
        <v>0</v>
      </c>
      <c r="M701" s="26" t="str">
        <f aca="false">IF($K701=0,"",SOUS_TRAITANCE!$W101)</f>
        <v/>
      </c>
      <c r="N701" s="26" t="str">
        <f aca="false">IF($G701="","",IF($G701=R_LOT,COUNTIF($G$5:$G701,R_LOT),""))</f>
        <v/>
      </c>
    </row>
    <row r="702" customFormat="false" ht="15" hidden="false" customHeight="false" outlineLevel="0" collapsed="false">
      <c r="A702" s="28" t="str">
        <f aca="false">IF($K702=0,"",ROW()-4)</f>
        <v/>
      </c>
      <c r="B702" s="26" t="str">
        <f aca="false">IF($K702=0,"","SOUS-TRAITANCE")</f>
        <v/>
      </c>
      <c r="C702" s="26" t="str">
        <f aca="false">IF($K702=0,"",SOUS_TRAITANCE!$A102)</f>
        <v/>
      </c>
      <c r="D702" s="31" t="str">
        <f aca="false">IF($K702=0,"",SOUS_TRAITANCE!$B102)</f>
        <v/>
      </c>
      <c r="E702" s="26" t="str">
        <f aca="false">IF($K702=0,"","SORTIE")</f>
        <v/>
      </c>
      <c r="F702" s="26" t="str">
        <f aca="false">IF($K702=0,"","ENVOI SOUS-TRAITANCE")</f>
        <v/>
      </c>
      <c r="G702" s="26" t="str">
        <f aca="false">IF($K702=0,"",SOUS_TRAITANCE!$E102)</f>
        <v/>
      </c>
      <c r="H702" s="26" t="str">
        <f aca="false">IF($K702=0,"",SOUS_TRAITANCE!$F102)</f>
        <v/>
      </c>
      <c r="I702" s="26" t="str">
        <f aca="false">IF($H702="","",IFERROR(INDEX(EMPL_CLASSE,MATCH($H702,EMPL_KEY,0)),""))</f>
        <v/>
      </c>
      <c r="J702" s="26" t="str">
        <f aca="false">IF($K702=0,"",SOUS_TRAITANCE!$O102)</f>
        <v/>
      </c>
      <c r="K702" s="67" t="n">
        <f aca="false">IF(OR(SOUS_TRAITANCE!$Q102=0,SOUS_TRAITANCE!$D102&lt;&gt;"STOCK EXISTANT"),0,-SOUS_TRAITANCE!$G102)</f>
        <v>0</v>
      </c>
      <c r="L702" s="67" t="n">
        <f aca="false">IF($K702=0,0,SOUS_TRAITANCE!$X102*$K702)</f>
        <v>0</v>
      </c>
      <c r="M702" s="26" t="str">
        <f aca="false">IF($K702=0,"",SOUS_TRAITANCE!$W102)</f>
        <v/>
      </c>
      <c r="N702" s="26" t="str">
        <f aca="false">IF($G702="","",IF($G702=R_LOT,COUNTIF($G$5:$G702,R_LOT),""))</f>
        <v/>
      </c>
    </row>
    <row r="703" customFormat="false" ht="15" hidden="false" customHeight="false" outlineLevel="0" collapsed="false">
      <c r="A703" s="28" t="str">
        <f aca="false">IF($K703=0,"",ROW()-4)</f>
        <v/>
      </c>
      <c r="B703" s="26" t="str">
        <f aca="false">IF($K703=0,"","SOUS-TRAITANCE")</f>
        <v/>
      </c>
      <c r="C703" s="26" t="str">
        <f aca="false">IF($K703=0,"",SOUS_TRAITANCE!$A103)</f>
        <v/>
      </c>
      <c r="D703" s="31" t="str">
        <f aca="false">IF($K703=0,"",SOUS_TRAITANCE!$B103)</f>
        <v/>
      </c>
      <c r="E703" s="26" t="str">
        <f aca="false">IF($K703=0,"","SORTIE")</f>
        <v/>
      </c>
      <c r="F703" s="26" t="str">
        <f aca="false">IF($K703=0,"","ENVOI SOUS-TRAITANCE")</f>
        <v/>
      </c>
      <c r="G703" s="26" t="str">
        <f aca="false">IF($K703=0,"",SOUS_TRAITANCE!$E103)</f>
        <v/>
      </c>
      <c r="H703" s="26" t="str">
        <f aca="false">IF($K703=0,"",SOUS_TRAITANCE!$F103)</f>
        <v/>
      </c>
      <c r="I703" s="26" t="str">
        <f aca="false">IF($H703="","",IFERROR(INDEX(EMPL_CLASSE,MATCH($H703,EMPL_KEY,0)),""))</f>
        <v/>
      </c>
      <c r="J703" s="26" t="str">
        <f aca="false">IF($K703=0,"",SOUS_TRAITANCE!$O103)</f>
        <v/>
      </c>
      <c r="K703" s="67" t="n">
        <f aca="false">IF(OR(SOUS_TRAITANCE!$Q103=0,SOUS_TRAITANCE!$D103&lt;&gt;"STOCK EXISTANT"),0,-SOUS_TRAITANCE!$G103)</f>
        <v>0</v>
      </c>
      <c r="L703" s="67" t="n">
        <f aca="false">IF($K703=0,0,SOUS_TRAITANCE!$X103*$K703)</f>
        <v>0</v>
      </c>
      <c r="M703" s="26" t="str">
        <f aca="false">IF($K703=0,"",SOUS_TRAITANCE!$W103)</f>
        <v/>
      </c>
      <c r="N703" s="26" t="str">
        <f aca="false">IF($G703="","",IF($G703=R_LOT,COUNTIF($G$5:$G703,R_LOT),""))</f>
        <v/>
      </c>
    </row>
    <row r="704" customFormat="false" ht="15" hidden="false" customHeight="false" outlineLevel="0" collapsed="false">
      <c r="A704" s="28" t="str">
        <f aca="false">IF($K704=0,"",ROW()-4)</f>
        <v/>
      </c>
      <c r="B704" s="26" t="str">
        <f aca="false">IF($K704=0,"","SOUS-TRAITANCE")</f>
        <v/>
      </c>
      <c r="C704" s="26" t="str">
        <f aca="false">IF($K704=0,"",SOUS_TRAITANCE!$A104)</f>
        <v/>
      </c>
      <c r="D704" s="31" t="str">
        <f aca="false">IF($K704=0,"",SOUS_TRAITANCE!$B104)</f>
        <v/>
      </c>
      <c r="E704" s="26" t="str">
        <f aca="false">IF($K704=0,"","SORTIE")</f>
        <v/>
      </c>
      <c r="F704" s="26" t="str">
        <f aca="false">IF($K704=0,"","ENVOI SOUS-TRAITANCE")</f>
        <v/>
      </c>
      <c r="G704" s="26" t="str">
        <f aca="false">IF($K704=0,"",SOUS_TRAITANCE!$E104)</f>
        <v/>
      </c>
      <c r="H704" s="26" t="str">
        <f aca="false">IF($K704=0,"",SOUS_TRAITANCE!$F104)</f>
        <v/>
      </c>
      <c r="I704" s="26" t="str">
        <f aca="false">IF($H704="","",IFERROR(INDEX(EMPL_CLASSE,MATCH($H704,EMPL_KEY,0)),""))</f>
        <v/>
      </c>
      <c r="J704" s="26" t="str">
        <f aca="false">IF($K704=0,"",SOUS_TRAITANCE!$O104)</f>
        <v/>
      </c>
      <c r="K704" s="67" t="n">
        <f aca="false">IF(OR(SOUS_TRAITANCE!$Q104=0,SOUS_TRAITANCE!$D104&lt;&gt;"STOCK EXISTANT"),0,-SOUS_TRAITANCE!$G104)</f>
        <v>0</v>
      </c>
      <c r="L704" s="67" t="n">
        <f aca="false">IF($K704=0,0,SOUS_TRAITANCE!$X104*$K704)</f>
        <v>0</v>
      </c>
      <c r="M704" s="26" t="str">
        <f aca="false">IF($K704=0,"",SOUS_TRAITANCE!$W104)</f>
        <v/>
      </c>
      <c r="N704" s="26" t="str">
        <f aca="false">IF($G704="","",IF($G704=R_LOT,COUNTIF($G$5:$G704,R_LOT),""))</f>
        <v/>
      </c>
    </row>
    <row r="705" customFormat="false" ht="15" hidden="false" customHeight="false" outlineLevel="0" collapsed="false">
      <c r="A705" s="28" t="str">
        <f aca="false">IF($K705=0,"",ROW()-4)</f>
        <v/>
      </c>
      <c r="B705" s="26" t="str">
        <f aca="false">IF($K705=0,"","SOUS-TRAITANCE")</f>
        <v/>
      </c>
      <c r="C705" s="26" t="str">
        <f aca="false">IF($K705=0,"",SOUS_TRAITANCE!$A105)</f>
        <v/>
      </c>
      <c r="D705" s="31" t="str">
        <f aca="false">IF($K705=0,"",SOUS_TRAITANCE!$B105)</f>
        <v/>
      </c>
      <c r="E705" s="26" t="str">
        <f aca="false">IF($K705=0,"","SORTIE")</f>
        <v/>
      </c>
      <c r="F705" s="26" t="str">
        <f aca="false">IF($K705=0,"","ENVOI SOUS-TRAITANCE")</f>
        <v/>
      </c>
      <c r="G705" s="26" t="str">
        <f aca="false">IF($K705=0,"",SOUS_TRAITANCE!$E105)</f>
        <v/>
      </c>
      <c r="H705" s="26" t="str">
        <f aca="false">IF($K705=0,"",SOUS_TRAITANCE!$F105)</f>
        <v/>
      </c>
      <c r="I705" s="26" t="str">
        <f aca="false">IF($H705="","",IFERROR(INDEX(EMPL_CLASSE,MATCH($H705,EMPL_KEY,0)),""))</f>
        <v/>
      </c>
      <c r="J705" s="26" t="str">
        <f aca="false">IF($K705=0,"",SOUS_TRAITANCE!$O105)</f>
        <v/>
      </c>
      <c r="K705" s="67" t="n">
        <f aca="false">IF(OR(SOUS_TRAITANCE!$Q105=0,SOUS_TRAITANCE!$D105&lt;&gt;"STOCK EXISTANT"),0,-SOUS_TRAITANCE!$G105)</f>
        <v>0</v>
      </c>
      <c r="L705" s="67" t="n">
        <f aca="false">IF($K705=0,0,SOUS_TRAITANCE!$X105*$K705)</f>
        <v>0</v>
      </c>
      <c r="M705" s="26" t="str">
        <f aca="false">IF($K705=0,"",SOUS_TRAITANCE!$W105)</f>
        <v/>
      </c>
      <c r="N705" s="26" t="str">
        <f aca="false">IF($G705="","",IF($G705=R_LOT,COUNTIF($G$5:$G705,R_LOT),""))</f>
        <v/>
      </c>
    </row>
    <row r="706" customFormat="false" ht="15" hidden="false" customHeight="false" outlineLevel="0" collapsed="false">
      <c r="A706" s="28" t="str">
        <f aca="false">IF($K706=0,"",ROW()-4)</f>
        <v/>
      </c>
      <c r="B706" s="26" t="str">
        <f aca="false">IF($K706=0,"","SOUS-TRAITANCE")</f>
        <v/>
      </c>
      <c r="C706" s="26" t="str">
        <f aca="false">IF($K706=0,"",SOUS_TRAITANCE!$A106)</f>
        <v/>
      </c>
      <c r="D706" s="31" t="str">
        <f aca="false">IF($K706=0,"",SOUS_TRAITANCE!$B106)</f>
        <v/>
      </c>
      <c r="E706" s="26" t="str">
        <f aca="false">IF($K706=0,"","SORTIE")</f>
        <v/>
      </c>
      <c r="F706" s="26" t="str">
        <f aca="false">IF($K706=0,"","ENVOI SOUS-TRAITANCE")</f>
        <v/>
      </c>
      <c r="G706" s="26" t="str">
        <f aca="false">IF($K706=0,"",SOUS_TRAITANCE!$E106)</f>
        <v/>
      </c>
      <c r="H706" s="26" t="str">
        <f aca="false">IF($K706=0,"",SOUS_TRAITANCE!$F106)</f>
        <v/>
      </c>
      <c r="I706" s="26" t="str">
        <f aca="false">IF($H706="","",IFERROR(INDEX(EMPL_CLASSE,MATCH($H706,EMPL_KEY,0)),""))</f>
        <v/>
      </c>
      <c r="J706" s="26" t="str">
        <f aca="false">IF($K706=0,"",SOUS_TRAITANCE!$O106)</f>
        <v/>
      </c>
      <c r="K706" s="67" t="n">
        <f aca="false">IF(OR(SOUS_TRAITANCE!$Q106=0,SOUS_TRAITANCE!$D106&lt;&gt;"STOCK EXISTANT"),0,-SOUS_TRAITANCE!$G106)</f>
        <v>0</v>
      </c>
      <c r="L706" s="67" t="n">
        <f aca="false">IF($K706=0,0,SOUS_TRAITANCE!$X106*$K706)</f>
        <v>0</v>
      </c>
      <c r="M706" s="26" t="str">
        <f aca="false">IF($K706=0,"",SOUS_TRAITANCE!$W106)</f>
        <v/>
      </c>
      <c r="N706" s="26" t="str">
        <f aca="false">IF($G706="","",IF($G706=R_LOT,COUNTIF($G$5:$G706,R_LOT),""))</f>
        <v/>
      </c>
    </row>
    <row r="707" customFormat="false" ht="15" hidden="false" customHeight="false" outlineLevel="0" collapsed="false">
      <c r="A707" s="28" t="str">
        <f aca="false">IF($K707=0,"",ROW()-4)</f>
        <v/>
      </c>
      <c r="B707" s="26" t="str">
        <f aca="false">IF($K707=0,"","SOUS-TRAITANCE")</f>
        <v/>
      </c>
      <c r="C707" s="26" t="str">
        <f aca="false">IF($K707=0,"",SOUS_TRAITANCE!$A107)</f>
        <v/>
      </c>
      <c r="D707" s="31" t="str">
        <f aca="false">IF($K707=0,"",SOUS_TRAITANCE!$B107)</f>
        <v/>
      </c>
      <c r="E707" s="26" t="str">
        <f aca="false">IF($K707=0,"","SORTIE")</f>
        <v/>
      </c>
      <c r="F707" s="26" t="str">
        <f aca="false">IF($K707=0,"","ENVOI SOUS-TRAITANCE")</f>
        <v/>
      </c>
      <c r="G707" s="26" t="str">
        <f aca="false">IF($K707=0,"",SOUS_TRAITANCE!$E107)</f>
        <v/>
      </c>
      <c r="H707" s="26" t="str">
        <f aca="false">IF($K707=0,"",SOUS_TRAITANCE!$F107)</f>
        <v/>
      </c>
      <c r="I707" s="26" t="str">
        <f aca="false">IF($H707="","",IFERROR(INDEX(EMPL_CLASSE,MATCH($H707,EMPL_KEY,0)),""))</f>
        <v/>
      </c>
      <c r="J707" s="26" t="str">
        <f aca="false">IF($K707=0,"",SOUS_TRAITANCE!$O107)</f>
        <v/>
      </c>
      <c r="K707" s="67" t="n">
        <f aca="false">IF(OR(SOUS_TRAITANCE!$Q107=0,SOUS_TRAITANCE!$D107&lt;&gt;"STOCK EXISTANT"),0,-SOUS_TRAITANCE!$G107)</f>
        <v>0</v>
      </c>
      <c r="L707" s="67" t="n">
        <f aca="false">IF($K707=0,0,SOUS_TRAITANCE!$X107*$K707)</f>
        <v>0</v>
      </c>
      <c r="M707" s="26" t="str">
        <f aca="false">IF($K707=0,"",SOUS_TRAITANCE!$W107)</f>
        <v/>
      </c>
      <c r="N707" s="26" t="str">
        <f aca="false">IF($G707="","",IF($G707=R_LOT,COUNTIF($G$5:$G707,R_LOT),""))</f>
        <v/>
      </c>
    </row>
    <row r="708" customFormat="false" ht="15" hidden="false" customHeight="false" outlineLevel="0" collapsed="false">
      <c r="A708" s="28" t="str">
        <f aca="false">IF($K708=0,"",ROW()-4)</f>
        <v/>
      </c>
      <c r="B708" s="26" t="str">
        <f aca="false">IF($K708=0,"","SOUS-TRAITANCE")</f>
        <v/>
      </c>
      <c r="C708" s="26" t="str">
        <f aca="false">IF($K708=0,"",SOUS_TRAITANCE!$A108)</f>
        <v/>
      </c>
      <c r="D708" s="31" t="str">
        <f aca="false">IF($K708=0,"",SOUS_TRAITANCE!$B108)</f>
        <v/>
      </c>
      <c r="E708" s="26" t="str">
        <f aca="false">IF($K708=0,"","SORTIE")</f>
        <v/>
      </c>
      <c r="F708" s="26" t="str">
        <f aca="false">IF($K708=0,"","ENVOI SOUS-TRAITANCE")</f>
        <v/>
      </c>
      <c r="G708" s="26" t="str">
        <f aca="false">IF($K708=0,"",SOUS_TRAITANCE!$E108)</f>
        <v/>
      </c>
      <c r="H708" s="26" t="str">
        <f aca="false">IF($K708=0,"",SOUS_TRAITANCE!$F108)</f>
        <v/>
      </c>
      <c r="I708" s="26" t="str">
        <f aca="false">IF($H708="","",IFERROR(INDEX(EMPL_CLASSE,MATCH($H708,EMPL_KEY,0)),""))</f>
        <v/>
      </c>
      <c r="J708" s="26" t="str">
        <f aca="false">IF($K708=0,"",SOUS_TRAITANCE!$O108)</f>
        <v/>
      </c>
      <c r="K708" s="67" t="n">
        <f aca="false">IF(OR(SOUS_TRAITANCE!$Q108=0,SOUS_TRAITANCE!$D108&lt;&gt;"STOCK EXISTANT"),0,-SOUS_TRAITANCE!$G108)</f>
        <v>0</v>
      </c>
      <c r="L708" s="67" t="n">
        <f aca="false">IF($K708=0,0,SOUS_TRAITANCE!$X108*$K708)</f>
        <v>0</v>
      </c>
      <c r="M708" s="26" t="str">
        <f aca="false">IF($K708=0,"",SOUS_TRAITANCE!$W108)</f>
        <v/>
      </c>
      <c r="N708" s="26" t="str">
        <f aca="false">IF($G708="","",IF($G708=R_LOT,COUNTIF($G$5:$G708,R_LOT),""))</f>
        <v/>
      </c>
    </row>
    <row r="709" customFormat="false" ht="15" hidden="false" customHeight="false" outlineLevel="0" collapsed="false">
      <c r="A709" s="28" t="str">
        <f aca="false">IF($K709=0,"",ROW()-4)</f>
        <v/>
      </c>
      <c r="B709" s="26" t="str">
        <f aca="false">IF($K709=0,"","SOUS-TRAITANCE")</f>
        <v/>
      </c>
      <c r="C709" s="26" t="str">
        <f aca="false">IF($K709=0,"",SOUS_TRAITANCE!$A109)</f>
        <v/>
      </c>
      <c r="D709" s="31" t="str">
        <f aca="false">IF($K709=0,"",SOUS_TRAITANCE!$B109)</f>
        <v/>
      </c>
      <c r="E709" s="26" t="str">
        <f aca="false">IF($K709=0,"","SORTIE")</f>
        <v/>
      </c>
      <c r="F709" s="26" t="str">
        <f aca="false">IF($K709=0,"","ENVOI SOUS-TRAITANCE")</f>
        <v/>
      </c>
      <c r="G709" s="26" t="str">
        <f aca="false">IF($K709=0,"",SOUS_TRAITANCE!$E109)</f>
        <v/>
      </c>
      <c r="H709" s="26" t="str">
        <f aca="false">IF($K709=0,"",SOUS_TRAITANCE!$F109)</f>
        <v/>
      </c>
      <c r="I709" s="26" t="str">
        <f aca="false">IF($H709="","",IFERROR(INDEX(EMPL_CLASSE,MATCH($H709,EMPL_KEY,0)),""))</f>
        <v/>
      </c>
      <c r="J709" s="26" t="str">
        <f aca="false">IF($K709=0,"",SOUS_TRAITANCE!$O109)</f>
        <v/>
      </c>
      <c r="K709" s="67" t="n">
        <f aca="false">IF(OR(SOUS_TRAITANCE!$Q109=0,SOUS_TRAITANCE!$D109&lt;&gt;"STOCK EXISTANT"),0,-SOUS_TRAITANCE!$G109)</f>
        <v>0</v>
      </c>
      <c r="L709" s="67" t="n">
        <f aca="false">IF($K709=0,0,SOUS_TRAITANCE!$X109*$K709)</f>
        <v>0</v>
      </c>
      <c r="M709" s="26" t="str">
        <f aca="false">IF($K709=0,"",SOUS_TRAITANCE!$W109)</f>
        <v/>
      </c>
      <c r="N709" s="26" t="str">
        <f aca="false">IF($G709="","",IF($G709=R_LOT,COUNTIF($G$5:$G709,R_LOT),""))</f>
        <v/>
      </c>
    </row>
    <row r="710" customFormat="false" ht="15" hidden="false" customHeight="false" outlineLevel="0" collapsed="false">
      <c r="A710" s="28" t="str">
        <f aca="false">IF($K710=0,"",ROW()-4)</f>
        <v/>
      </c>
      <c r="B710" s="26" t="str">
        <f aca="false">IF($K710=0,"","SOUS-TRAITANCE")</f>
        <v/>
      </c>
      <c r="C710" s="26" t="str">
        <f aca="false">IF($K710=0,"",SOUS_TRAITANCE!$A110)</f>
        <v/>
      </c>
      <c r="D710" s="31" t="str">
        <f aca="false">IF($K710=0,"",SOUS_TRAITANCE!$B110)</f>
        <v/>
      </c>
      <c r="E710" s="26" t="str">
        <f aca="false">IF($K710=0,"","SORTIE")</f>
        <v/>
      </c>
      <c r="F710" s="26" t="str">
        <f aca="false">IF($K710=0,"","ENVOI SOUS-TRAITANCE")</f>
        <v/>
      </c>
      <c r="G710" s="26" t="str">
        <f aca="false">IF($K710=0,"",SOUS_TRAITANCE!$E110)</f>
        <v/>
      </c>
      <c r="H710" s="26" t="str">
        <f aca="false">IF($K710=0,"",SOUS_TRAITANCE!$F110)</f>
        <v/>
      </c>
      <c r="I710" s="26" t="str">
        <f aca="false">IF($H710="","",IFERROR(INDEX(EMPL_CLASSE,MATCH($H710,EMPL_KEY,0)),""))</f>
        <v/>
      </c>
      <c r="J710" s="26" t="str">
        <f aca="false">IF($K710=0,"",SOUS_TRAITANCE!$O110)</f>
        <v/>
      </c>
      <c r="K710" s="67" t="n">
        <f aca="false">IF(OR(SOUS_TRAITANCE!$Q110=0,SOUS_TRAITANCE!$D110&lt;&gt;"STOCK EXISTANT"),0,-SOUS_TRAITANCE!$G110)</f>
        <v>0</v>
      </c>
      <c r="L710" s="67" t="n">
        <f aca="false">IF($K710=0,0,SOUS_TRAITANCE!$X110*$K710)</f>
        <v>0</v>
      </c>
      <c r="M710" s="26" t="str">
        <f aca="false">IF($K710=0,"",SOUS_TRAITANCE!$W110)</f>
        <v/>
      </c>
      <c r="N710" s="26" t="str">
        <f aca="false">IF($G710="","",IF($G710=R_LOT,COUNTIF($G$5:$G710,R_LOT),""))</f>
        <v/>
      </c>
    </row>
    <row r="711" customFormat="false" ht="15" hidden="false" customHeight="false" outlineLevel="0" collapsed="false">
      <c r="A711" s="28" t="str">
        <f aca="false">IF($K711=0,"",ROW()-4)</f>
        <v/>
      </c>
      <c r="B711" s="26" t="str">
        <f aca="false">IF($K711=0,"","SOUS-TRAITANCE")</f>
        <v/>
      </c>
      <c r="C711" s="26" t="str">
        <f aca="false">IF($K711=0,"",SOUS_TRAITANCE!$A111)</f>
        <v/>
      </c>
      <c r="D711" s="31" t="str">
        <f aca="false">IF($K711=0,"",SOUS_TRAITANCE!$B111)</f>
        <v/>
      </c>
      <c r="E711" s="26" t="str">
        <f aca="false">IF($K711=0,"","SORTIE")</f>
        <v/>
      </c>
      <c r="F711" s="26" t="str">
        <f aca="false">IF($K711=0,"","ENVOI SOUS-TRAITANCE")</f>
        <v/>
      </c>
      <c r="G711" s="26" t="str">
        <f aca="false">IF($K711=0,"",SOUS_TRAITANCE!$E111)</f>
        <v/>
      </c>
      <c r="H711" s="26" t="str">
        <f aca="false">IF($K711=0,"",SOUS_TRAITANCE!$F111)</f>
        <v/>
      </c>
      <c r="I711" s="26" t="str">
        <f aca="false">IF($H711="","",IFERROR(INDEX(EMPL_CLASSE,MATCH($H711,EMPL_KEY,0)),""))</f>
        <v/>
      </c>
      <c r="J711" s="26" t="str">
        <f aca="false">IF($K711=0,"",SOUS_TRAITANCE!$O111)</f>
        <v/>
      </c>
      <c r="K711" s="67" t="n">
        <f aca="false">IF(OR(SOUS_TRAITANCE!$Q111=0,SOUS_TRAITANCE!$D111&lt;&gt;"STOCK EXISTANT"),0,-SOUS_TRAITANCE!$G111)</f>
        <v>0</v>
      </c>
      <c r="L711" s="67" t="n">
        <f aca="false">IF($K711=0,0,SOUS_TRAITANCE!$X111*$K711)</f>
        <v>0</v>
      </c>
      <c r="M711" s="26" t="str">
        <f aca="false">IF($K711=0,"",SOUS_TRAITANCE!$W111)</f>
        <v/>
      </c>
      <c r="N711" s="26" t="str">
        <f aca="false">IF($G711="","",IF($G711=R_LOT,COUNTIF($G$5:$G711,R_LOT),""))</f>
        <v/>
      </c>
    </row>
    <row r="712" customFormat="false" ht="15" hidden="false" customHeight="false" outlineLevel="0" collapsed="false">
      <c r="A712" s="28" t="str">
        <f aca="false">IF($K712=0,"",ROW()-4)</f>
        <v/>
      </c>
      <c r="B712" s="26" t="str">
        <f aca="false">IF($K712=0,"","SOUS-TRAITANCE")</f>
        <v/>
      </c>
      <c r="C712" s="26" t="str">
        <f aca="false">IF($K712=0,"",SOUS_TRAITANCE!$A112)</f>
        <v/>
      </c>
      <c r="D712" s="31" t="str">
        <f aca="false">IF($K712=0,"",SOUS_TRAITANCE!$B112)</f>
        <v/>
      </c>
      <c r="E712" s="26" t="str">
        <f aca="false">IF($K712=0,"","SORTIE")</f>
        <v/>
      </c>
      <c r="F712" s="26" t="str">
        <f aca="false">IF($K712=0,"","ENVOI SOUS-TRAITANCE")</f>
        <v/>
      </c>
      <c r="G712" s="26" t="str">
        <f aca="false">IF($K712=0,"",SOUS_TRAITANCE!$E112)</f>
        <v/>
      </c>
      <c r="H712" s="26" t="str">
        <f aca="false">IF($K712=0,"",SOUS_TRAITANCE!$F112)</f>
        <v/>
      </c>
      <c r="I712" s="26" t="str">
        <f aca="false">IF($H712="","",IFERROR(INDEX(EMPL_CLASSE,MATCH($H712,EMPL_KEY,0)),""))</f>
        <v/>
      </c>
      <c r="J712" s="26" t="str">
        <f aca="false">IF($K712=0,"",SOUS_TRAITANCE!$O112)</f>
        <v/>
      </c>
      <c r="K712" s="67" t="n">
        <f aca="false">IF(OR(SOUS_TRAITANCE!$Q112=0,SOUS_TRAITANCE!$D112&lt;&gt;"STOCK EXISTANT"),0,-SOUS_TRAITANCE!$G112)</f>
        <v>0</v>
      </c>
      <c r="L712" s="67" t="n">
        <f aca="false">IF($K712=0,0,SOUS_TRAITANCE!$X112*$K712)</f>
        <v>0</v>
      </c>
      <c r="M712" s="26" t="str">
        <f aca="false">IF($K712=0,"",SOUS_TRAITANCE!$W112)</f>
        <v/>
      </c>
      <c r="N712" s="26" t="str">
        <f aca="false">IF($G712="","",IF($G712=R_LOT,COUNTIF($G$5:$G712,R_LOT),""))</f>
        <v/>
      </c>
    </row>
    <row r="713" customFormat="false" ht="15" hidden="false" customHeight="false" outlineLevel="0" collapsed="false">
      <c r="A713" s="28" t="str">
        <f aca="false">IF($K713=0,"",ROW()-4)</f>
        <v/>
      </c>
      <c r="B713" s="26" t="str">
        <f aca="false">IF($K713=0,"","SOUS-TRAITANCE")</f>
        <v/>
      </c>
      <c r="C713" s="26" t="str">
        <f aca="false">IF($K713=0,"",SOUS_TRAITANCE!$A113)</f>
        <v/>
      </c>
      <c r="D713" s="31" t="str">
        <f aca="false">IF($K713=0,"",SOUS_TRAITANCE!$B113)</f>
        <v/>
      </c>
      <c r="E713" s="26" t="str">
        <f aca="false">IF($K713=0,"","SORTIE")</f>
        <v/>
      </c>
      <c r="F713" s="26" t="str">
        <f aca="false">IF($K713=0,"","ENVOI SOUS-TRAITANCE")</f>
        <v/>
      </c>
      <c r="G713" s="26" t="str">
        <f aca="false">IF($K713=0,"",SOUS_TRAITANCE!$E113)</f>
        <v/>
      </c>
      <c r="H713" s="26" t="str">
        <f aca="false">IF($K713=0,"",SOUS_TRAITANCE!$F113)</f>
        <v/>
      </c>
      <c r="I713" s="26" t="str">
        <f aca="false">IF($H713="","",IFERROR(INDEX(EMPL_CLASSE,MATCH($H713,EMPL_KEY,0)),""))</f>
        <v/>
      </c>
      <c r="J713" s="26" t="str">
        <f aca="false">IF($K713=0,"",SOUS_TRAITANCE!$O113)</f>
        <v/>
      </c>
      <c r="K713" s="67" t="n">
        <f aca="false">IF(OR(SOUS_TRAITANCE!$Q113=0,SOUS_TRAITANCE!$D113&lt;&gt;"STOCK EXISTANT"),0,-SOUS_TRAITANCE!$G113)</f>
        <v>0</v>
      </c>
      <c r="L713" s="67" t="n">
        <f aca="false">IF($K713=0,0,SOUS_TRAITANCE!$X113*$K713)</f>
        <v>0</v>
      </c>
      <c r="M713" s="26" t="str">
        <f aca="false">IF($K713=0,"",SOUS_TRAITANCE!$W113)</f>
        <v/>
      </c>
      <c r="N713" s="26" t="str">
        <f aca="false">IF($G713="","",IF($G713=R_LOT,COUNTIF($G$5:$G713,R_LOT),""))</f>
        <v/>
      </c>
    </row>
    <row r="714" customFormat="false" ht="15" hidden="false" customHeight="false" outlineLevel="0" collapsed="false">
      <c r="A714" s="28" t="str">
        <f aca="false">IF($K714=0,"",ROW()-4)</f>
        <v/>
      </c>
      <c r="B714" s="26" t="str">
        <f aca="false">IF($K714=0,"","SOUS-TRAITANCE")</f>
        <v/>
      </c>
      <c r="C714" s="26" t="str">
        <f aca="false">IF($K714=0,"",SOUS_TRAITANCE!$A114)</f>
        <v/>
      </c>
      <c r="D714" s="31" t="str">
        <f aca="false">IF($K714=0,"",SOUS_TRAITANCE!$B114)</f>
        <v/>
      </c>
      <c r="E714" s="26" t="str">
        <f aca="false">IF($K714=0,"","SORTIE")</f>
        <v/>
      </c>
      <c r="F714" s="26" t="str">
        <f aca="false">IF($K714=0,"","ENVOI SOUS-TRAITANCE")</f>
        <v/>
      </c>
      <c r="G714" s="26" t="str">
        <f aca="false">IF($K714=0,"",SOUS_TRAITANCE!$E114)</f>
        <v/>
      </c>
      <c r="H714" s="26" t="str">
        <f aca="false">IF($K714=0,"",SOUS_TRAITANCE!$F114)</f>
        <v/>
      </c>
      <c r="I714" s="26" t="str">
        <f aca="false">IF($H714="","",IFERROR(INDEX(EMPL_CLASSE,MATCH($H714,EMPL_KEY,0)),""))</f>
        <v/>
      </c>
      <c r="J714" s="26" t="str">
        <f aca="false">IF($K714=0,"",SOUS_TRAITANCE!$O114)</f>
        <v/>
      </c>
      <c r="K714" s="67" t="n">
        <f aca="false">IF(OR(SOUS_TRAITANCE!$Q114=0,SOUS_TRAITANCE!$D114&lt;&gt;"STOCK EXISTANT"),0,-SOUS_TRAITANCE!$G114)</f>
        <v>0</v>
      </c>
      <c r="L714" s="67" t="n">
        <f aca="false">IF($K714=0,0,SOUS_TRAITANCE!$X114*$K714)</f>
        <v>0</v>
      </c>
      <c r="M714" s="26" t="str">
        <f aca="false">IF($K714=0,"",SOUS_TRAITANCE!$W114)</f>
        <v/>
      </c>
      <c r="N714" s="26" t="str">
        <f aca="false">IF($G714="","",IF($G714=R_LOT,COUNTIF($G$5:$G714,R_LOT),""))</f>
        <v/>
      </c>
    </row>
    <row r="715" customFormat="false" ht="15" hidden="false" customHeight="false" outlineLevel="0" collapsed="false">
      <c r="A715" s="28" t="str">
        <f aca="false">IF($K715=0,"",ROW()-4)</f>
        <v/>
      </c>
      <c r="B715" s="26" t="str">
        <f aca="false">IF($K715=0,"","SOUS-TRAITANCE")</f>
        <v/>
      </c>
      <c r="C715" s="26" t="str">
        <f aca="false">IF($K715=0,"",SOUS_TRAITANCE!$A115)</f>
        <v/>
      </c>
      <c r="D715" s="31" t="str">
        <f aca="false">IF($K715=0,"",SOUS_TRAITANCE!$B115)</f>
        <v/>
      </c>
      <c r="E715" s="26" t="str">
        <f aca="false">IF($K715=0,"","SORTIE")</f>
        <v/>
      </c>
      <c r="F715" s="26" t="str">
        <f aca="false">IF($K715=0,"","ENVOI SOUS-TRAITANCE")</f>
        <v/>
      </c>
      <c r="G715" s="26" t="str">
        <f aca="false">IF($K715=0,"",SOUS_TRAITANCE!$E115)</f>
        <v/>
      </c>
      <c r="H715" s="26" t="str">
        <f aca="false">IF($K715=0,"",SOUS_TRAITANCE!$F115)</f>
        <v/>
      </c>
      <c r="I715" s="26" t="str">
        <f aca="false">IF($H715="","",IFERROR(INDEX(EMPL_CLASSE,MATCH($H715,EMPL_KEY,0)),""))</f>
        <v/>
      </c>
      <c r="J715" s="26" t="str">
        <f aca="false">IF($K715=0,"",SOUS_TRAITANCE!$O115)</f>
        <v/>
      </c>
      <c r="K715" s="67" t="n">
        <f aca="false">IF(OR(SOUS_TRAITANCE!$Q115=0,SOUS_TRAITANCE!$D115&lt;&gt;"STOCK EXISTANT"),0,-SOUS_TRAITANCE!$G115)</f>
        <v>0</v>
      </c>
      <c r="L715" s="67" t="n">
        <f aca="false">IF($K715=0,0,SOUS_TRAITANCE!$X115*$K715)</f>
        <v>0</v>
      </c>
      <c r="M715" s="26" t="str">
        <f aca="false">IF($K715=0,"",SOUS_TRAITANCE!$W115)</f>
        <v/>
      </c>
      <c r="N715" s="26" t="str">
        <f aca="false">IF($G715="","",IF($G715=R_LOT,COUNTIF($G$5:$G715,R_LOT),""))</f>
        <v/>
      </c>
    </row>
    <row r="716" customFormat="false" ht="15" hidden="false" customHeight="false" outlineLevel="0" collapsed="false">
      <c r="A716" s="28" t="str">
        <f aca="false">IF($K716=0,"",ROW()-4)</f>
        <v/>
      </c>
      <c r="B716" s="26" t="str">
        <f aca="false">IF($K716=0,"","SOUS-TRAITANCE")</f>
        <v/>
      </c>
      <c r="C716" s="26" t="str">
        <f aca="false">IF($K716=0,"",SOUS_TRAITANCE!$A116)</f>
        <v/>
      </c>
      <c r="D716" s="31" t="str">
        <f aca="false">IF($K716=0,"",SOUS_TRAITANCE!$B116)</f>
        <v/>
      </c>
      <c r="E716" s="26" t="str">
        <f aca="false">IF($K716=0,"","SORTIE")</f>
        <v/>
      </c>
      <c r="F716" s="26" t="str">
        <f aca="false">IF($K716=0,"","ENVOI SOUS-TRAITANCE")</f>
        <v/>
      </c>
      <c r="G716" s="26" t="str">
        <f aca="false">IF($K716=0,"",SOUS_TRAITANCE!$E116)</f>
        <v/>
      </c>
      <c r="H716" s="26" t="str">
        <f aca="false">IF($K716=0,"",SOUS_TRAITANCE!$F116)</f>
        <v/>
      </c>
      <c r="I716" s="26" t="str">
        <f aca="false">IF($H716="","",IFERROR(INDEX(EMPL_CLASSE,MATCH($H716,EMPL_KEY,0)),""))</f>
        <v/>
      </c>
      <c r="J716" s="26" t="str">
        <f aca="false">IF($K716=0,"",SOUS_TRAITANCE!$O116)</f>
        <v/>
      </c>
      <c r="K716" s="67" t="n">
        <f aca="false">IF(OR(SOUS_TRAITANCE!$Q116=0,SOUS_TRAITANCE!$D116&lt;&gt;"STOCK EXISTANT"),0,-SOUS_TRAITANCE!$G116)</f>
        <v>0</v>
      </c>
      <c r="L716" s="67" t="n">
        <f aca="false">IF($K716=0,0,SOUS_TRAITANCE!$X116*$K716)</f>
        <v>0</v>
      </c>
      <c r="M716" s="26" t="str">
        <f aca="false">IF($K716=0,"",SOUS_TRAITANCE!$W116)</f>
        <v/>
      </c>
      <c r="N716" s="26" t="str">
        <f aca="false">IF($G716="","",IF($G716=R_LOT,COUNTIF($G$5:$G716,R_LOT),""))</f>
        <v/>
      </c>
    </row>
    <row r="717" customFormat="false" ht="15" hidden="false" customHeight="false" outlineLevel="0" collapsed="false">
      <c r="A717" s="28" t="str">
        <f aca="false">IF($K717=0,"",ROW()-4)</f>
        <v/>
      </c>
      <c r="B717" s="26" t="str">
        <f aca="false">IF($K717=0,"","SOUS-TRAITANCE")</f>
        <v/>
      </c>
      <c r="C717" s="26" t="str">
        <f aca="false">IF($K717=0,"",SOUS_TRAITANCE!$A117)</f>
        <v/>
      </c>
      <c r="D717" s="31" t="str">
        <f aca="false">IF($K717=0,"",SOUS_TRAITANCE!$B117)</f>
        <v/>
      </c>
      <c r="E717" s="26" t="str">
        <f aca="false">IF($K717=0,"","SORTIE")</f>
        <v/>
      </c>
      <c r="F717" s="26" t="str">
        <f aca="false">IF($K717=0,"","ENVOI SOUS-TRAITANCE")</f>
        <v/>
      </c>
      <c r="G717" s="26" t="str">
        <f aca="false">IF($K717=0,"",SOUS_TRAITANCE!$E117)</f>
        <v/>
      </c>
      <c r="H717" s="26" t="str">
        <f aca="false">IF($K717=0,"",SOUS_TRAITANCE!$F117)</f>
        <v/>
      </c>
      <c r="I717" s="26" t="str">
        <f aca="false">IF($H717="","",IFERROR(INDEX(EMPL_CLASSE,MATCH($H717,EMPL_KEY,0)),""))</f>
        <v/>
      </c>
      <c r="J717" s="26" t="str">
        <f aca="false">IF($K717=0,"",SOUS_TRAITANCE!$O117)</f>
        <v/>
      </c>
      <c r="K717" s="67" t="n">
        <f aca="false">IF(OR(SOUS_TRAITANCE!$Q117=0,SOUS_TRAITANCE!$D117&lt;&gt;"STOCK EXISTANT"),0,-SOUS_TRAITANCE!$G117)</f>
        <v>0</v>
      </c>
      <c r="L717" s="67" t="n">
        <f aca="false">IF($K717=0,0,SOUS_TRAITANCE!$X117*$K717)</f>
        <v>0</v>
      </c>
      <c r="M717" s="26" t="str">
        <f aca="false">IF($K717=0,"",SOUS_TRAITANCE!$W117)</f>
        <v/>
      </c>
      <c r="N717" s="26" t="str">
        <f aca="false">IF($G717="","",IF($G717=R_LOT,COUNTIF($G$5:$G717,R_LOT),""))</f>
        <v/>
      </c>
    </row>
    <row r="718" customFormat="false" ht="15" hidden="false" customHeight="false" outlineLevel="0" collapsed="false">
      <c r="A718" s="28" t="str">
        <f aca="false">IF($K718=0,"",ROW()-4)</f>
        <v/>
      </c>
      <c r="B718" s="26" t="str">
        <f aca="false">IF($K718=0,"","SOUS-TRAITANCE")</f>
        <v/>
      </c>
      <c r="C718" s="26" t="str">
        <f aca="false">IF($K718=0,"",SOUS_TRAITANCE!$A118)</f>
        <v/>
      </c>
      <c r="D718" s="31" t="str">
        <f aca="false">IF($K718=0,"",SOUS_TRAITANCE!$B118)</f>
        <v/>
      </c>
      <c r="E718" s="26" t="str">
        <f aca="false">IF($K718=0,"","SORTIE")</f>
        <v/>
      </c>
      <c r="F718" s="26" t="str">
        <f aca="false">IF($K718=0,"","ENVOI SOUS-TRAITANCE")</f>
        <v/>
      </c>
      <c r="G718" s="26" t="str">
        <f aca="false">IF($K718=0,"",SOUS_TRAITANCE!$E118)</f>
        <v/>
      </c>
      <c r="H718" s="26" t="str">
        <f aca="false">IF($K718=0,"",SOUS_TRAITANCE!$F118)</f>
        <v/>
      </c>
      <c r="I718" s="26" t="str">
        <f aca="false">IF($H718="","",IFERROR(INDEX(EMPL_CLASSE,MATCH($H718,EMPL_KEY,0)),""))</f>
        <v/>
      </c>
      <c r="J718" s="26" t="str">
        <f aca="false">IF($K718=0,"",SOUS_TRAITANCE!$O118)</f>
        <v/>
      </c>
      <c r="K718" s="67" t="n">
        <f aca="false">IF(OR(SOUS_TRAITANCE!$Q118=0,SOUS_TRAITANCE!$D118&lt;&gt;"STOCK EXISTANT"),0,-SOUS_TRAITANCE!$G118)</f>
        <v>0</v>
      </c>
      <c r="L718" s="67" t="n">
        <f aca="false">IF($K718=0,0,SOUS_TRAITANCE!$X118*$K718)</f>
        <v>0</v>
      </c>
      <c r="M718" s="26" t="str">
        <f aca="false">IF($K718=0,"",SOUS_TRAITANCE!$W118)</f>
        <v/>
      </c>
      <c r="N718" s="26" t="str">
        <f aca="false">IF($G718="","",IF($G718=R_LOT,COUNTIF($G$5:$G718,R_LOT),""))</f>
        <v/>
      </c>
    </row>
    <row r="719" customFormat="false" ht="15" hidden="false" customHeight="false" outlineLevel="0" collapsed="false">
      <c r="A719" s="28" t="str">
        <f aca="false">IF($K719=0,"",ROW()-4)</f>
        <v/>
      </c>
      <c r="B719" s="26" t="str">
        <f aca="false">IF($K719=0,"","SOUS-TRAITANCE")</f>
        <v/>
      </c>
      <c r="C719" s="26" t="str">
        <f aca="false">IF($K719=0,"",SOUS_TRAITANCE!$A119)</f>
        <v/>
      </c>
      <c r="D719" s="31" t="str">
        <f aca="false">IF($K719=0,"",SOUS_TRAITANCE!$B119)</f>
        <v/>
      </c>
      <c r="E719" s="26" t="str">
        <f aca="false">IF($K719=0,"","SORTIE")</f>
        <v/>
      </c>
      <c r="F719" s="26" t="str">
        <f aca="false">IF($K719=0,"","ENVOI SOUS-TRAITANCE")</f>
        <v/>
      </c>
      <c r="G719" s="26" t="str">
        <f aca="false">IF($K719=0,"",SOUS_TRAITANCE!$E119)</f>
        <v/>
      </c>
      <c r="H719" s="26" t="str">
        <f aca="false">IF($K719=0,"",SOUS_TRAITANCE!$F119)</f>
        <v/>
      </c>
      <c r="I719" s="26" t="str">
        <f aca="false">IF($H719="","",IFERROR(INDEX(EMPL_CLASSE,MATCH($H719,EMPL_KEY,0)),""))</f>
        <v/>
      </c>
      <c r="J719" s="26" t="str">
        <f aca="false">IF($K719=0,"",SOUS_TRAITANCE!$O119)</f>
        <v/>
      </c>
      <c r="K719" s="67" t="n">
        <f aca="false">IF(OR(SOUS_TRAITANCE!$Q119=0,SOUS_TRAITANCE!$D119&lt;&gt;"STOCK EXISTANT"),0,-SOUS_TRAITANCE!$G119)</f>
        <v>0</v>
      </c>
      <c r="L719" s="67" t="n">
        <f aca="false">IF($K719=0,0,SOUS_TRAITANCE!$X119*$K719)</f>
        <v>0</v>
      </c>
      <c r="M719" s="26" t="str">
        <f aca="false">IF($K719=0,"",SOUS_TRAITANCE!$W119)</f>
        <v/>
      </c>
      <c r="N719" s="26" t="str">
        <f aca="false">IF($G719="","",IF($G719=R_LOT,COUNTIF($G$5:$G719,R_LOT),""))</f>
        <v/>
      </c>
    </row>
    <row r="720" customFormat="false" ht="15" hidden="false" customHeight="false" outlineLevel="0" collapsed="false">
      <c r="A720" s="28" t="str">
        <f aca="false">IF($K720=0,"",ROW()-4)</f>
        <v/>
      </c>
      <c r="B720" s="26" t="str">
        <f aca="false">IF($K720=0,"","SOUS-TRAITANCE")</f>
        <v/>
      </c>
      <c r="C720" s="26" t="str">
        <f aca="false">IF($K720=0,"",SOUS_TRAITANCE!$A120)</f>
        <v/>
      </c>
      <c r="D720" s="31" t="str">
        <f aca="false">IF($K720=0,"",SOUS_TRAITANCE!$B120)</f>
        <v/>
      </c>
      <c r="E720" s="26" t="str">
        <f aca="false">IF($K720=0,"","SORTIE")</f>
        <v/>
      </c>
      <c r="F720" s="26" t="str">
        <f aca="false">IF($K720=0,"","ENVOI SOUS-TRAITANCE")</f>
        <v/>
      </c>
      <c r="G720" s="26" t="str">
        <f aca="false">IF($K720=0,"",SOUS_TRAITANCE!$E120)</f>
        <v/>
      </c>
      <c r="H720" s="26" t="str">
        <f aca="false">IF($K720=0,"",SOUS_TRAITANCE!$F120)</f>
        <v/>
      </c>
      <c r="I720" s="26" t="str">
        <f aca="false">IF($H720="","",IFERROR(INDEX(EMPL_CLASSE,MATCH($H720,EMPL_KEY,0)),""))</f>
        <v/>
      </c>
      <c r="J720" s="26" t="str">
        <f aca="false">IF($K720=0,"",SOUS_TRAITANCE!$O120)</f>
        <v/>
      </c>
      <c r="K720" s="67" t="n">
        <f aca="false">IF(OR(SOUS_TRAITANCE!$Q120=0,SOUS_TRAITANCE!$D120&lt;&gt;"STOCK EXISTANT"),0,-SOUS_TRAITANCE!$G120)</f>
        <v>0</v>
      </c>
      <c r="L720" s="67" t="n">
        <f aca="false">IF($K720=0,0,SOUS_TRAITANCE!$X120*$K720)</f>
        <v>0</v>
      </c>
      <c r="M720" s="26" t="str">
        <f aca="false">IF($K720=0,"",SOUS_TRAITANCE!$W120)</f>
        <v/>
      </c>
      <c r="N720" s="26" t="str">
        <f aca="false">IF($G720="","",IF($G720=R_LOT,COUNTIF($G$5:$G720,R_LOT),""))</f>
        <v/>
      </c>
    </row>
    <row r="721" customFormat="false" ht="15" hidden="false" customHeight="false" outlineLevel="0" collapsed="false">
      <c r="A721" s="28" t="str">
        <f aca="false">IF($K721=0,"",ROW()-4)</f>
        <v/>
      </c>
      <c r="B721" s="26" t="str">
        <f aca="false">IF($K721=0,"","SOUS-TRAITANCE")</f>
        <v/>
      </c>
      <c r="C721" s="26" t="str">
        <f aca="false">IF($K721=0,"",SOUS_TRAITANCE!$A121)</f>
        <v/>
      </c>
      <c r="D721" s="31" t="str">
        <f aca="false">IF($K721=0,"",SOUS_TRAITANCE!$B121)</f>
        <v/>
      </c>
      <c r="E721" s="26" t="str">
        <f aca="false">IF($K721=0,"","SORTIE")</f>
        <v/>
      </c>
      <c r="F721" s="26" t="str">
        <f aca="false">IF($K721=0,"","ENVOI SOUS-TRAITANCE")</f>
        <v/>
      </c>
      <c r="G721" s="26" t="str">
        <f aca="false">IF($K721=0,"",SOUS_TRAITANCE!$E121)</f>
        <v/>
      </c>
      <c r="H721" s="26" t="str">
        <f aca="false">IF($K721=0,"",SOUS_TRAITANCE!$F121)</f>
        <v/>
      </c>
      <c r="I721" s="26" t="str">
        <f aca="false">IF($H721="","",IFERROR(INDEX(EMPL_CLASSE,MATCH($H721,EMPL_KEY,0)),""))</f>
        <v/>
      </c>
      <c r="J721" s="26" t="str">
        <f aca="false">IF($K721=0,"",SOUS_TRAITANCE!$O121)</f>
        <v/>
      </c>
      <c r="K721" s="67" t="n">
        <f aca="false">IF(OR(SOUS_TRAITANCE!$Q121=0,SOUS_TRAITANCE!$D121&lt;&gt;"STOCK EXISTANT"),0,-SOUS_TRAITANCE!$G121)</f>
        <v>0</v>
      </c>
      <c r="L721" s="67" t="n">
        <f aca="false">IF($K721=0,0,SOUS_TRAITANCE!$X121*$K721)</f>
        <v>0</v>
      </c>
      <c r="M721" s="26" t="str">
        <f aca="false">IF($K721=0,"",SOUS_TRAITANCE!$W121)</f>
        <v/>
      </c>
      <c r="N721" s="26" t="str">
        <f aca="false">IF($G721="","",IF($G721=R_LOT,COUNTIF($G$5:$G721,R_LOT),""))</f>
        <v/>
      </c>
    </row>
    <row r="722" customFormat="false" ht="15" hidden="false" customHeight="false" outlineLevel="0" collapsed="false">
      <c r="A722" s="28" t="str">
        <f aca="false">IF($K722=0,"",ROW()-4)</f>
        <v/>
      </c>
      <c r="B722" s="26" t="str">
        <f aca="false">IF($K722=0,"","SOUS-TRAITANCE")</f>
        <v/>
      </c>
      <c r="C722" s="26" t="str">
        <f aca="false">IF($K722=0,"",SOUS_TRAITANCE!$A122)</f>
        <v/>
      </c>
      <c r="D722" s="31" t="str">
        <f aca="false">IF($K722=0,"",SOUS_TRAITANCE!$B122)</f>
        <v/>
      </c>
      <c r="E722" s="26" t="str">
        <f aca="false">IF($K722=0,"","SORTIE")</f>
        <v/>
      </c>
      <c r="F722" s="26" t="str">
        <f aca="false">IF($K722=0,"","ENVOI SOUS-TRAITANCE")</f>
        <v/>
      </c>
      <c r="G722" s="26" t="str">
        <f aca="false">IF($K722=0,"",SOUS_TRAITANCE!$E122)</f>
        <v/>
      </c>
      <c r="H722" s="26" t="str">
        <f aca="false">IF($K722=0,"",SOUS_TRAITANCE!$F122)</f>
        <v/>
      </c>
      <c r="I722" s="26" t="str">
        <f aca="false">IF($H722="","",IFERROR(INDEX(EMPL_CLASSE,MATCH($H722,EMPL_KEY,0)),""))</f>
        <v/>
      </c>
      <c r="J722" s="26" t="str">
        <f aca="false">IF($K722=0,"",SOUS_TRAITANCE!$O122)</f>
        <v/>
      </c>
      <c r="K722" s="67" t="n">
        <f aca="false">IF(OR(SOUS_TRAITANCE!$Q122=0,SOUS_TRAITANCE!$D122&lt;&gt;"STOCK EXISTANT"),0,-SOUS_TRAITANCE!$G122)</f>
        <v>0</v>
      </c>
      <c r="L722" s="67" t="n">
        <f aca="false">IF($K722=0,0,SOUS_TRAITANCE!$X122*$K722)</f>
        <v>0</v>
      </c>
      <c r="M722" s="26" t="str">
        <f aca="false">IF($K722=0,"",SOUS_TRAITANCE!$W122)</f>
        <v/>
      </c>
      <c r="N722" s="26" t="str">
        <f aca="false">IF($G722="","",IF($G722=R_LOT,COUNTIF($G$5:$G722,R_LOT),""))</f>
        <v/>
      </c>
    </row>
    <row r="723" customFormat="false" ht="15" hidden="false" customHeight="false" outlineLevel="0" collapsed="false">
      <c r="A723" s="28" t="str">
        <f aca="false">IF($K723=0,"",ROW()-4)</f>
        <v/>
      </c>
      <c r="B723" s="26" t="str">
        <f aca="false">IF($K723=0,"","SOUS-TRAITANCE")</f>
        <v/>
      </c>
      <c r="C723" s="26" t="str">
        <f aca="false">IF($K723=0,"",SOUS_TRAITANCE!$A123)</f>
        <v/>
      </c>
      <c r="D723" s="31" t="str">
        <f aca="false">IF($K723=0,"",SOUS_TRAITANCE!$B123)</f>
        <v/>
      </c>
      <c r="E723" s="26" t="str">
        <f aca="false">IF($K723=0,"","SORTIE")</f>
        <v/>
      </c>
      <c r="F723" s="26" t="str">
        <f aca="false">IF($K723=0,"","ENVOI SOUS-TRAITANCE")</f>
        <v/>
      </c>
      <c r="G723" s="26" t="str">
        <f aca="false">IF($K723=0,"",SOUS_TRAITANCE!$E123)</f>
        <v/>
      </c>
      <c r="H723" s="26" t="str">
        <f aca="false">IF($K723=0,"",SOUS_TRAITANCE!$F123)</f>
        <v/>
      </c>
      <c r="I723" s="26" t="str">
        <f aca="false">IF($H723="","",IFERROR(INDEX(EMPL_CLASSE,MATCH($H723,EMPL_KEY,0)),""))</f>
        <v/>
      </c>
      <c r="J723" s="26" t="str">
        <f aca="false">IF($K723=0,"",SOUS_TRAITANCE!$O123)</f>
        <v/>
      </c>
      <c r="K723" s="67" t="n">
        <f aca="false">IF(OR(SOUS_TRAITANCE!$Q123=0,SOUS_TRAITANCE!$D123&lt;&gt;"STOCK EXISTANT"),0,-SOUS_TRAITANCE!$G123)</f>
        <v>0</v>
      </c>
      <c r="L723" s="67" t="n">
        <f aca="false">IF($K723=0,0,SOUS_TRAITANCE!$X123*$K723)</f>
        <v>0</v>
      </c>
      <c r="M723" s="26" t="str">
        <f aca="false">IF($K723=0,"",SOUS_TRAITANCE!$W123)</f>
        <v/>
      </c>
      <c r="N723" s="26" t="str">
        <f aca="false">IF($G723="","",IF($G723=R_LOT,COUNTIF($G$5:$G723,R_LOT),""))</f>
        <v/>
      </c>
    </row>
    <row r="724" customFormat="false" ht="15" hidden="false" customHeight="false" outlineLevel="0" collapsed="false">
      <c r="A724" s="28" t="str">
        <f aca="false">IF($K724=0,"",ROW()-4)</f>
        <v/>
      </c>
      <c r="B724" s="26" t="str">
        <f aca="false">IF($K724=0,"","SOUS-TRAITANCE")</f>
        <v/>
      </c>
      <c r="C724" s="26" t="str">
        <f aca="false">IF($K724=0,"",SOUS_TRAITANCE!$A124)</f>
        <v/>
      </c>
      <c r="D724" s="31" t="str">
        <f aca="false">IF($K724=0,"",SOUS_TRAITANCE!$B124)</f>
        <v/>
      </c>
      <c r="E724" s="26" t="str">
        <f aca="false">IF($K724=0,"","SORTIE")</f>
        <v/>
      </c>
      <c r="F724" s="26" t="str">
        <f aca="false">IF($K724=0,"","ENVOI SOUS-TRAITANCE")</f>
        <v/>
      </c>
      <c r="G724" s="26" t="str">
        <f aca="false">IF($K724=0,"",SOUS_TRAITANCE!$E124)</f>
        <v/>
      </c>
      <c r="H724" s="26" t="str">
        <f aca="false">IF($K724=0,"",SOUS_TRAITANCE!$F124)</f>
        <v/>
      </c>
      <c r="I724" s="26" t="str">
        <f aca="false">IF($H724="","",IFERROR(INDEX(EMPL_CLASSE,MATCH($H724,EMPL_KEY,0)),""))</f>
        <v/>
      </c>
      <c r="J724" s="26" t="str">
        <f aca="false">IF($K724=0,"",SOUS_TRAITANCE!$O124)</f>
        <v/>
      </c>
      <c r="K724" s="67" t="n">
        <f aca="false">IF(OR(SOUS_TRAITANCE!$Q124=0,SOUS_TRAITANCE!$D124&lt;&gt;"STOCK EXISTANT"),0,-SOUS_TRAITANCE!$G124)</f>
        <v>0</v>
      </c>
      <c r="L724" s="67" t="n">
        <f aca="false">IF($K724=0,0,SOUS_TRAITANCE!$X124*$K724)</f>
        <v>0</v>
      </c>
      <c r="M724" s="26" t="str">
        <f aca="false">IF($K724=0,"",SOUS_TRAITANCE!$W124)</f>
        <v/>
      </c>
      <c r="N724" s="26" t="str">
        <f aca="false">IF($G724="","",IF($G724=R_LOT,COUNTIF($G$5:$G724,R_LOT),""))</f>
        <v/>
      </c>
    </row>
    <row r="725" customFormat="false" ht="15" hidden="false" customHeight="false" outlineLevel="0" collapsed="false">
      <c r="A725" s="28" t="str">
        <f aca="false">IF($K725=0,"",ROW()-4)</f>
        <v/>
      </c>
      <c r="B725" s="26" t="str">
        <f aca="false">IF($K725=0,"","SOUS-TRAITANCE")</f>
        <v/>
      </c>
      <c r="C725" s="26" t="str">
        <f aca="false">IF($K725=0,"",SOUS_TRAITANCE!$A125)</f>
        <v/>
      </c>
      <c r="D725" s="31" t="str">
        <f aca="false">IF($K725=0,"",SOUS_TRAITANCE!$B125)</f>
        <v/>
      </c>
      <c r="E725" s="26" t="str">
        <f aca="false">IF($K725=0,"","SORTIE")</f>
        <v/>
      </c>
      <c r="F725" s="26" t="str">
        <f aca="false">IF($K725=0,"","ENVOI SOUS-TRAITANCE")</f>
        <v/>
      </c>
      <c r="G725" s="26" t="str">
        <f aca="false">IF($K725=0,"",SOUS_TRAITANCE!$E125)</f>
        <v/>
      </c>
      <c r="H725" s="26" t="str">
        <f aca="false">IF($K725=0,"",SOUS_TRAITANCE!$F125)</f>
        <v/>
      </c>
      <c r="I725" s="26" t="str">
        <f aca="false">IF($H725="","",IFERROR(INDEX(EMPL_CLASSE,MATCH($H725,EMPL_KEY,0)),""))</f>
        <v/>
      </c>
      <c r="J725" s="26" t="str">
        <f aca="false">IF($K725=0,"",SOUS_TRAITANCE!$O125)</f>
        <v/>
      </c>
      <c r="K725" s="67" t="n">
        <f aca="false">IF(OR(SOUS_TRAITANCE!$Q125=0,SOUS_TRAITANCE!$D125&lt;&gt;"STOCK EXISTANT"),0,-SOUS_TRAITANCE!$G125)</f>
        <v>0</v>
      </c>
      <c r="L725" s="67" t="n">
        <f aca="false">IF($K725=0,0,SOUS_TRAITANCE!$X125*$K725)</f>
        <v>0</v>
      </c>
      <c r="M725" s="26" t="str">
        <f aca="false">IF($K725=0,"",SOUS_TRAITANCE!$W125)</f>
        <v/>
      </c>
      <c r="N725" s="26" t="str">
        <f aca="false">IF($G725="","",IF($G725=R_LOT,COUNTIF($G$5:$G725,R_LOT),""))</f>
        <v/>
      </c>
    </row>
    <row r="726" customFormat="false" ht="15" hidden="false" customHeight="false" outlineLevel="0" collapsed="false">
      <c r="A726" s="28" t="str">
        <f aca="false">IF($K726=0,"",ROW()-4)</f>
        <v/>
      </c>
      <c r="B726" s="26" t="str">
        <f aca="false">IF($K726=0,"","SOUS-TRAITANCE")</f>
        <v/>
      </c>
      <c r="C726" s="26" t="str">
        <f aca="false">IF($K726=0,"",SOUS_TRAITANCE!$A126)</f>
        <v/>
      </c>
      <c r="D726" s="31" t="str">
        <f aca="false">IF($K726=0,"",SOUS_TRAITANCE!$B126)</f>
        <v/>
      </c>
      <c r="E726" s="26" t="str">
        <f aca="false">IF($K726=0,"","SORTIE")</f>
        <v/>
      </c>
      <c r="F726" s="26" t="str">
        <f aca="false">IF($K726=0,"","ENVOI SOUS-TRAITANCE")</f>
        <v/>
      </c>
      <c r="G726" s="26" t="str">
        <f aca="false">IF($K726=0,"",SOUS_TRAITANCE!$E126)</f>
        <v/>
      </c>
      <c r="H726" s="26" t="str">
        <f aca="false">IF($K726=0,"",SOUS_TRAITANCE!$F126)</f>
        <v/>
      </c>
      <c r="I726" s="26" t="str">
        <f aca="false">IF($H726="","",IFERROR(INDEX(EMPL_CLASSE,MATCH($H726,EMPL_KEY,0)),""))</f>
        <v/>
      </c>
      <c r="J726" s="26" t="str">
        <f aca="false">IF($K726=0,"",SOUS_TRAITANCE!$O126)</f>
        <v/>
      </c>
      <c r="K726" s="67" t="n">
        <f aca="false">IF(OR(SOUS_TRAITANCE!$Q126=0,SOUS_TRAITANCE!$D126&lt;&gt;"STOCK EXISTANT"),0,-SOUS_TRAITANCE!$G126)</f>
        <v>0</v>
      </c>
      <c r="L726" s="67" t="n">
        <f aca="false">IF($K726=0,0,SOUS_TRAITANCE!$X126*$K726)</f>
        <v>0</v>
      </c>
      <c r="M726" s="26" t="str">
        <f aca="false">IF($K726=0,"",SOUS_TRAITANCE!$W126)</f>
        <v/>
      </c>
      <c r="N726" s="26" t="str">
        <f aca="false">IF($G726="","",IF($G726=R_LOT,COUNTIF($G$5:$G726,R_LOT),""))</f>
        <v/>
      </c>
    </row>
    <row r="727" customFormat="false" ht="15" hidden="false" customHeight="false" outlineLevel="0" collapsed="false">
      <c r="A727" s="28" t="str">
        <f aca="false">IF($K727=0,"",ROW()-4)</f>
        <v/>
      </c>
      <c r="B727" s="26" t="str">
        <f aca="false">IF($K727=0,"","SOUS-TRAITANCE")</f>
        <v/>
      </c>
      <c r="C727" s="26" t="str">
        <f aca="false">IF($K727=0,"",SOUS_TRAITANCE!$A127)</f>
        <v/>
      </c>
      <c r="D727" s="31" t="str">
        <f aca="false">IF($K727=0,"",SOUS_TRAITANCE!$B127)</f>
        <v/>
      </c>
      <c r="E727" s="26" t="str">
        <f aca="false">IF($K727=0,"","SORTIE")</f>
        <v/>
      </c>
      <c r="F727" s="26" t="str">
        <f aca="false">IF($K727=0,"","ENVOI SOUS-TRAITANCE")</f>
        <v/>
      </c>
      <c r="G727" s="26" t="str">
        <f aca="false">IF($K727=0,"",SOUS_TRAITANCE!$E127)</f>
        <v/>
      </c>
      <c r="H727" s="26" t="str">
        <f aca="false">IF($K727=0,"",SOUS_TRAITANCE!$F127)</f>
        <v/>
      </c>
      <c r="I727" s="26" t="str">
        <f aca="false">IF($H727="","",IFERROR(INDEX(EMPL_CLASSE,MATCH($H727,EMPL_KEY,0)),""))</f>
        <v/>
      </c>
      <c r="J727" s="26" t="str">
        <f aca="false">IF($K727=0,"",SOUS_TRAITANCE!$O127)</f>
        <v/>
      </c>
      <c r="K727" s="67" t="n">
        <f aca="false">IF(OR(SOUS_TRAITANCE!$Q127=0,SOUS_TRAITANCE!$D127&lt;&gt;"STOCK EXISTANT"),0,-SOUS_TRAITANCE!$G127)</f>
        <v>0</v>
      </c>
      <c r="L727" s="67" t="n">
        <f aca="false">IF($K727=0,0,SOUS_TRAITANCE!$X127*$K727)</f>
        <v>0</v>
      </c>
      <c r="M727" s="26" t="str">
        <f aca="false">IF($K727=0,"",SOUS_TRAITANCE!$W127)</f>
        <v/>
      </c>
      <c r="N727" s="26" t="str">
        <f aca="false">IF($G727="","",IF($G727=R_LOT,COUNTIF($G$5:$G727,R_LOT),""))</f>
        <v/>
      </c>
    </row>
    <row r="728" customFormat="false" ht="15" hidden="false" customHeight="false" outlineLevel="0" collapsed="false">
      <c r="A728" s="28" t="str">
        <f aca="false">IF($K728=0,"",ROW()-4)</f>
        <v/>
      </c>
      <c r="B728" s="26" t="str">
        <f aca="false">IF($K728=0,"","SOUS-TRAITANCE")</f>
        <v/>
      </c>
      <c r="C728" s="26" t="str">
        <f aca="false">IF($K728=0,"",SOUS_TRAITANCE!$A128)</f>
        <v/>
      </c>
      <c r="D728" s="31" t="str">
        <f aca="false">IF($K728=0,"",SOUS_TRAITANCE!$B128)</f>
        <v/>
      </c>
      <c r="E728" s="26" t="str">
        <f aca="false">IF($K728=0,"","SORTIE")</f>
        <v/>
      </c>
      <c r="F728" s="26" t="str">
        <f aca="false">IF($K728=0,"","ENVOI SOUS-TRAITANCE")</f>
        <v/>
      </c>
      <c r="G728" s="26" t="str">
        <f aca="false">IF($K728=0,"",SOUS_TRAITANCE!$E128)</f>
        <v/>
      </c>
      <c r="H728" s="26" t="str">
        <f aca="false">IF($K728=0,"",SOUS_TRAITANCE!$F128)</f>
        <v/>
      </c>
      <c r="I728" s="26" t="str">
        <f aca="false">IF($H728="","",IFERROR(INDEX(EMPL_CLASSE,MATCH($H728,EMPL_KEY,0)),""))</f>
        <v/>
      </c>
      <c r="J728" s="26" t="str">
        <f aca="false">IF($K728=0,"",SOUS_TRAITANCE!$O128)</f>
        <v/>
      </c>
      <c r="K728" s="67" t="n">
        <f aca="false">IF(OR(SOUS_TRAITANCE!$Q128=0,SOUS_TRAITANCE!$D128&lt;&gt;"STOCK EXISTANT"),0,-SOUS_TRAITANCE!$G128)</f>
        <v>0</v>
      </c>
      <c r="L728" s="67" t="n">
        <f aca="false">IF($K728=0,0,SOUS_TRAITANCE!$X128*$K728)</f>
        <v>0</v>
      </c>
      <c r="M728" s="26" t="str">
        <f aca="false">IF($K728=0,"",SOUS_TRAITANCE!$W128)</f>
        <v/>
      </c>
      <c r="N728" s="26" t="str">
        <f aca="false">IF($G728="","",IF($G728=R_LOT,COUNTIF($G$5:$G728,R_LOT),""))</f>
        <v/>
      </c>
    </row>
    <row r="729" customFormat="false" ht="15" hidden="false" customHeight="false" outlineLevel="0" collapsed="false">
      <c r="A729" s="28" t="str">
        <f aca="false">IF($K729=0,"",ROW()-4)</f>
        <v/>
      </c>
      <c r="B729" s="26" t="str">
        <f aca="false">IF($K729=0,"","SOUS-TRAITANCE")</f>
        <v/>
      </c>
      <c r="C729" s="26" t="str">
        <f aca="false">IF($K729=0,"",SOUS_TRAITANCE!$A129)</f>
        <v/>
      </c>
      <c r="D729" s="31" t="str">
        <f aca="false">IF($K729=0,"",SOUS_TRAITANCE!$B129)</f>
        <v/>
      </c>
      <c r="E729" s="26" t="str">
        <f aca="false">IF($K729=0,"","SORTIE")</f>
        <v/>
      </c>
      <c r="F729" s="26" t="str">
        <f aca="false">IF($K729=0,"","ENVOI SOUS-TRAITANCE")</f>
        <v/>
      </c>
      <c r="G729" s="26" t="str">
        <f aca="false">IF($K729=0,"",SOUS_TRAITANCE!$E129)</f>
        <v/>
      </c>
      <c r="H729" s="26" t="str">
        <f aca="false">IF($K729=0,"",SOUS_TRAITANCE!$F129)</f>
        <v/>
      </c>
      <c r="I729" s="26" t="str">
        <f aca="false">IF($H729="","",IFERROR(INDEX(EMPL_CLASSE,MATCH($H729,EMPL_KEY,0)),""))</f>
        <v/>
      </c>
      <c r="J729" s="26" t="str">
        <f aca="false">IF($K729=0,"",SOUS_TRAITANCE!$O129)</f>
        <v/>
      </c>
      <c r="K729" s="67" t="n">
        <f aca="false">IF(OR(SOUS_TRAITANCE!$Q129=0,SOUS_TRAITANCE!$D129&lt;&gt;"STOCK EXISTANT"),0,-SOUS_TRAITANCE!$G129)</f>
        <v>0</v>
      </c>
      <c r="L729" s="67" t="n">
        <f aca="false">IF($K729=0,0,SOUS_TRAITANCE!$X129*$K729)</f>
        <v>0</v>
      </c>
      <c r="M729" s="26" t="str">
        <f aca="false">IF($K729=0,"",SOUS_TRAITANCE!$W129)</f>
        <v/>
      </c>
      <c r="N729" s="26" t="str">
        <f aca="false">IF($G729="","",IF($G729=R_LOT,COUNTIF($G$5:$G729,R_LOT),""))</f>
        <v/>
      </c>
    </row>
    <row r="730" customFormat="false" ht="15" hidden="false" customHeight="false" outlineLevel="0" collapsed="false">
      <c r="A730" s="28" t="str">
        <f aca="false">IF($K730=0,"",ROW()-4)</f>
        <v/>
      </c>
      <c r="B730" s="26" t="str">
        <f aca="false">IF($K730=0,"","SOUS-TRAITANCE")</f>
        <v/>
      </c>
      <c r="C730" s="26" t="str">
        <f aca="false">IF($K730=0,"",SOUS_TRAITANCE!$A130)</f>
        <v/>
      </c>
      <c r="D730" s="31" t="str">
        <f aca="false">IF($K730=0,"",SOUS_TRAITANCE!$B130)</f>
        <v/>
      </c>
      <c r="E730" s="26" t="str">
        <f aca="false">IF($K730=0,"","SORTIE")</f>
        <v/>
      </c>
      <c r="F730" s="26" t="str">
        <f aca="false">IF($K730=0,"","ENVOI SOUS-TRAITANCE")</f>
        <v/>
      </c>
      <c r="G730" s="26" t="str">
        <f aca="false">IF($K730=0,"",SOUS_TRAITANCE!$E130)</f>
        <v/>
      </c>
      <c r="H730" s="26" t="str">
        <f aca="false">IF($K730=0,"",SOUS_TRAITANCE!$F130)</f>
        <v/>
      </c>
      <c r="I730" s="26" t="str">
        <f aca="false">IF($H730="","",IFERROR(INDEX(EMPL_CLASSE,MATCH($H730,EMPL_KEY,0)),""))</f>
        <v/>
      </c>
      <c r="J730" s="26" t="str">
        <f aca="false">IF($K730=0,"",SOUS_TRAITANCE!$O130)</f>
        <v/>
      </c>
      <c r="K730" s="67" t="n">
        <f aca="false">IF(OR(SOUS_TRAITANCE!$Q130=0,SOUS_TRAITANCE!$D130&lt;&gt;"STOCK EXISTANT"),0,-SOUS_TRAITANCE!$G130)</f>
        <v>0</v>
      </c>
      <c r="L730" s="67" t="n">
        <f aca="false">IF($K730=0,0,SOUS_TRAITANCE!$X130*$K730)</f>
        <v>0</v>
      </c>
      <c r="M730" s="26" t="str">
        <f aca="false">IF($K730=0,"",SOUS_TRAITANCE!$W130)</f>
        <v/>
      </c>
      <c r="N730" s="26" t="str">
        <f aca="false">IF($G730="","",IF($G730=R_LOT,COUNTIF($G$5:$G730,R_LOT),""))</f>
        <v/>
      </c>
    </row>
    <row r="731" customFormat="false" ht="15" hidden="false" customHeight="false" outlineLevel="0" collapsed="false">
      <c r="A731" s="28" t="str">
        <f aca="false">IF($K731=0,"",ROW()-4)</f>
        <v/>
      </c>
      <c r="B731" s="26" t="str">
        <f aca="false">IF($K731=0,"","SOUS-TRAITANCE")</f>
        <v/>
      </c>
      <c r="C731" s="26" t="str">
        <f aca="false">IF($K731=0,"",SOUS_TRAITANCE!$A131)</f>
        <v/>
      </c>
      <c r="D731" s="31" t="str">
        <f aca="false">IF($K731=0,"",SOUS_TRAITANCE!$B131)</f>
        <v/>
      </c>
      <c r="E731" s="26" t="str">
        <f aca="false">IF($K731=0,"","SORTIE")</f>
        <v/>
      </c>
      <c r="F731" s="26" t="str">
        <f aca="false">IF($K731=0,"","ENVOI SOUS-TRAITANCE")</f>
        <v/>
      </c>
      <c r="G731" s="26" t="str">
        <f aca="false">IF($K731=0,"",SOUS_TRAITANCE!$E131)</f>
        <v/>
      </c>
      <c r="H731" s="26" t="str">
        <f aca="false">IF($K731=0,"",SOUS_TRAITANCE!$F131)</f>
        <v/>
      </c>
      <c r="I731" s="26" t="str">
        <f aca="false">IF($H731="","",IFERROR(INDEX(EMPL_CLASSE,MATCH($H731,EMPL_KEY,0)),""))</f>
        <v/>
      </c>
      <c r="J731" s="26" t="str">
        <f aca="false">IF($K731=0,"",SOUS_TRAITANCE!$O131)</f>
        <v/>
      </c>
      <c r="K731" s="67" t="n">
        <f aca="false">IF(OR(SOUS_TRAITANCE!$Q131=0,SOUS_TRAITANCE!$D131&lt;&gt;"STOCK EXISTANT"),0,-SOUS_TRAITANCE!$G131)</f>
        <v>0</v>
      </c>
      <c r="L731" s="67" t="n">
        <f aca="false">IF($K731=0,0,SOUS_TRAITANCE!$X131*$K731)</f>
        <v>0</v>
      </c>
      <c r="M731" s="26" t="str">
        <f aca="false">IF($K731=0,"",SOUS_TRAITANCE!$W131)</f>
        <v/>
      </c>
      <c r="N731" s="26" t="str">
        <f aca="false">IF($G731="","",IF($G731=R_LOT,COUNTIF($G$5:$G731,R_LOT),""))</f>
        <v/>
      </c>
    </row>
    <row r="732" customFormat="false" ht="15" hidden="false" customHeight="false" outlineLevel="0" collapsed="false">
      <c r="A732" s="28" t="str">
        <f aca="false">IF($K732=0,"",ROW()-4)</f>
        <v/>
      </c>
      <c r="B732" s="26" t="str">
        <f aca="false">IF($K732=0,"","SOUS-TRAITANCE")</f>
        <v/>
      </c>
      <c r="C732" s="26" t="str">
        <f aca="false">IF($K732=0,"",SOUS_TRAITANCE!$A132)</f>
        <v/>
      </c>
      <c r="D732" s="31" t="str">
        <f aca="false">IF($K732=0,"",SOUS_TRAITANCE!$B132)</f>
        <v/>
      </c>
      <c r="E732" s="26" t="str">
        <f aca="false">IF($K732=0,"","SORTIE")</f>
        <v/>
      </c>
      <c r="F732" s="26" t="str">
        <f aca="false">IF($K732=0,"","ENVOI SOUS-TRAITANCE")</f>
        <v/>
      </c>
      <c r="G732" s="26" t="str">
        <f aca="false">IF($K732=0,"",SOUS_TRAITANCE!$E132)</f>
        <v/>
      </c>
      <c r="H732" s="26" t="str">
        <f aca="false">IF($K732=0,"",SOUS_TRAITANCE!$F132)</f>
        <v/>
      </c>
      <c r="I732" s="26" t="str">
        <f aca="false">IF($H732="","",IFERROR(INDEX(EMPL_CLASSE,MATCH($H732,EMPL_KEY,0)),""))</f>
        <v/>
      </c>
      <c r="J732" s="26" t="str">
        <f aca="false">IF($K732=0,"",SOUS_TRAITANCE!$O132)</f>
        <v/>
      </c>
      <c r="K732" s="67" t="n">
        <f aca="false">IF(OR(SOUS_TRAITANCE!$Q132=0,SOUS_TRAITANCE!$D132&lt;&gt;"STOCK EXISTANT"),0,-SOUS_TRAITANCE!$G132)</f>
        <v>0</v>
      </c>
      <c r="L732" s="67" t="n">
        <f aca="false">IF($K732=0,0,SOUS_TRAITANCE!$X132*$K732)</f>
        <v>0</v>
      </c>
      <c r="M732" s="26" t="str">
        <f aca="false">IF($K732=0,"",SOUS_TRAITANCE!$W132)</f>
        <v/>
      </c>
      <c r="N732" s="26" t="str">
        <f aca="false">IF($G732="","",IF($G732=R_LOT,COUNTIF($G$5:$G732,R_LOT),""))</f>
        <v/>
      </c>
    </row>
    <row r="733" customFormat="false" ht="15" hidden="false" customHeight="false" outlineLevel="0" collapsed="false">
      <c r="A733" s="28" t="str">
        <f aca="false">IF($K733=0,"",ROW()-4)</f>
        <v/>
      </c>
      <c r="B733" s="26" t="str">
        <f aca="false">IF($K733=0,"","SOUS-TRAITANCE")</f>
        <v/>
      </c>
      <c r="C733" s="26" t="str">
        <f aca="false">IF($K733=0,"",SOUS_TRAITANCE!$A133)</f>
        <v/>
      </c>
      <c r="D733" s="31" t="str">
        <f aca="false">IF($K733=0,"",SOUS_TRAITANCE!$B133)</f>
        <v/>
      </c>
      <c r="E733" s="26" t="str">
        <f aca="false">IF($K733=0,"","SORTIE")</f>
        <v/>
      </c>
      <c r="F733" s="26" t="str">
        <f aca="false">IF($K733=0,"","ENVOI SOUS-TRAITANCE")</f>
        <v/>
      </c>
      <c r="G733" s="26" t="str">
        <f aca="false">IF($K733=0,"",SOUS_TRAITANCE!$E133)</f>
        <v/>
      </c>
      <c r="H733" s="26" t="str">
        <f aca="false">IF($K733=0,"",SOUS_TRAITANCE!$F133)</f>
        <v/>
      </c>
      <c r="I733" s="26" t="str">
        <f aca="false">IF($H733="","",IFERROR(INDEX(EMPL_CLASSE,MATCH($H733,EMPL_KEY,0)),""))</f>
        <v/>
      </c>
      <c r="J733" s="26" t="str">
        <f aca="false">IF($K733=0,"",SOUS_TRAITANCE!$O133)</f>
        <v/>
      </c>
      <c r="K733" s="67" t="n">
        <f aca="false">IF(OR(SOUS_TRAITANCE!$Q133=0,SOUS_TRAITANCE!$D133&lt;&gt;"STOCK EXISTANT"),0,-SOUS_TRAITANCE!$G133)</f>
        <v>0</v>
      </c>
      <c r="L733" s="67" t="n">
        <f aca="false">IF($K733=0,0,SOUS_TRAITANCE!$X133*$K733)</f>
        <v>0</v>
      </c>
      <c r="M733" s="26" t="str">
        <f aca="false">IF($K733=0,"",SOUS_TRAITANCE!$W133)</f>
        <v/>
      </c>
      <c r="N733" s="26" t="str">
        <f aca="false">IF($G733="","",IF($G733=R_LOT,COUNTIF($G$5:$G733,R_LOT),""))</f>
        <v/>
      </c>
    </row>
    <row r="734" customFormat="false" ht="15" hidden="false" customHeight="false" outlineLevel="0" collapsed="false">
      <c r="A734" s="28" t="str">
        <f aca="false">IF($K734=0,"",ROW()-4)</f>
        <v/>
      </c>
      <c r="B734" s="26" t="str">
        <f aca="false">IF($K734=0,"","SOUS-TRAITANCE")</f>
        <v/>
      </c>
      <c r="C734" s="26" t="str">
        <f aca="false">IF($K734=0,"",SOUS_TRAITANCE!$A134)</f>
        <v/>
      </c>
      <c r="D734" s="31" t="str">
        <f aca="false">IF($K734=0,"",SOUS_TRAITANCE!$B134)</f>
        <v/>
      </c>
      <c r="E734" s="26" t="str">
        <f aca="false">IF($K734=0,"","SORTIE")</f>
        <v/>
      </c>
      <c r="F734" s="26" t="str">
        <f aca="false">IF($K734=0,"","ENVOI SOUS-TRAITANCE")</f>
        <v/>
      </c>
      <c r="G734" s="26" t="str">
        <f aca="false">IF($K734=0,"",SOUS_TRAITANCE!$E134)</f>
        <v/>
      </c>
      <c r="H734" s="26" t="str">
        <f aca="false">IF($K734=0,"",SOUS_TRAITANCE!$F134)</f>
        <v/>
      </c>
      <c r="I734" s="26" t="str">
        <f aca="false">IF($H734="","",IFERROR(INDEX(EMPL_CLASSE,MATCH($H734,EMPL_KEY,0)),""))</f>
        <v/>
      </c>
      <c r="J734" s="26" t="str">
        <f aca="false">IF($K734=0,"",SOUS_TRAITANCE!$O134)</f>
        <v/>
      </c>
      <c r="K734" s="67" t="n">
        <f aca="false">IF(OR(SOUS_TRAITANCE!$Q134=0,SOUS_TRAITANCE!$D134&lt;&gt;"STOCK EXISTANT"),0,-SOUS_TRAITANCE!$G134)</f>
        <v>0</v>
      </c>
      <c r="L734" s="67" t="n">
        <f aca="false">IF($K734=0,0,SOUS_TRAITANCE!$X134*$K734)</f>
        <v>0</v>
      </c>
      <c r="M734" s="26" t="str">
        <f aca="false">IF($K734=0,"",SOUS_TRAITANCE!$W134)</f>
        <v/>
      </c>
      <c r="N734" s="26" t="str">
        <f aca="false">IF($G734="","",IF($G734=R_LOT,COUNTIF($G$5:$G734,R_LOT),""))</f>
        <v/>
      </c>
    </row>
    <row r="735" customFormat="false" ht="15" hidden="false" customHeight="false" outlineLevel="0" collapsed="false">
      <c r="A735" s="28" t="str">
        <f aca="false">IF($K735=0,"",ROW()-4)</f>
        <v/>
      </c>
      <c r="B735" s="26" t="str">
        <f aca="false">IF($K735=0,"","SOUS-TRAITANCE")</f>
        <v/>
      </c>
      <c r="C735" s="26" t="str">
        <f aca="false">IF($K735=0,"",SOUS_TRAITANCE!$A135)</f>
        <v/>
      </c>
      <c r="D735" s="31" t="str">
        <f aca="false">IF($K735=0,"",SOUS_TRAITANCE!$B135)</f>
        <v/>
      </c>
      <c r="E735" s="26" t="str">
        <f aca="false">IF($K735=0,"","SORTIE")</f>
        <v/>
      </c>
      <c r="F735" s="26" t="str">
        <f aca="false">IF($K735=0,"","ENVOI SOUS-TRAITANCE")</f>
        <v/>
      </c>
      <c r="G735" s="26" t="str">
        <f aca="false">IF($K735=0,"",SOUS_TRAITANCE!$E135)</f>
        <v/>
      </c>
      <c r="H735" s="26" t="str">
        <f aca="false">IF($K735=0,"",SOUS_TRAITANCE!$F135)</f>
        <v/>
      </c>
      <c r="I735" s="26" t="str">
        <f aca="false">IF($H735="","",IFERROR(INDEX(EMPL_CLASSE,MATCH($H735,EMPL_KEY,0)),""))</f>
        <v/>
      </c>
      <c r="J735" s="26" t="str">
        <f aca="false">IF($K735=0,"",SOUS_TRAITANCE!$O135)</f>
        <v/>
      </c>
      <c r="K735" s="67" t="n">
        <f aca="false">IF(OR(SOUS_TRAITANCE!$Q135=0,SOUS_TRAITANCE!$D135&lt;&gt;"STOCK EXISTANT"),0,-SOUS_TRAITANCE!$G135)</f>
        <v>0</v>
      </c>
      <c r="L735" s="67" t="n">
        <f aca="false">IF($K735=0,0,SOUS_TRAITANCE!$X135*$K735)</f>
        <v>0</v>
      </c>
      <c r="M735" s="26" t="str">
        <f aca="false">IF($K735=0,"",SOUS_TRAITANCE!$W135)</f>
        <v/>
      </c>
      <c r="N735" s="26" t="str">
        <f aca="false">IF($G735="","",IF($G735=R_LOT,COUNTIF($G$5:$G735,R_LOT),""))</f>
        <v/>
      </c>
    </row>
    <row r="736" customFormat="false" ht="15" hidden="false" customHeight="false" outlineLevel="0" collapsed="false">
      <c r="A736" s="28" t="str">
        <f aca="false">IF($K736=0,"",ROW()-4)</f>
        <v/>
      </c>
      <c r="B736" s="26" t="str">
        <f aca="false">IF($K736=0,"","SOUS-TRAITANCE")</f>
        <v/>
      </c>
      <c r="C736" s="26" t="str">
        <f aca="false">IF($K736=0,"",SOUS_TRAITANCE!$A136)</f>
        <v/>
      </c>
      <c r="D736" s="31" t="str">
        <f aca="false">IF($K736=0,"",SOUS_TRAITANCE!$B136)</f>
        <v/>
      </c>
      <c r="E736" s="26" t="str">
        <f aca="false">IF($K736=0,"","SORTIE")</f>
        <v/>
      </c>
      <c r="F736" s="26" t="str">
        <f aca="false">IF($K736=0,"","ENVOI SOUS-TRAITANCE")</f>
        <v/>
      </c>
      <c r="G736" s="26" t="str">
        <f aca="false">IF($K736=0,"",SOUS_TRAITANCE!$E136)</f>
        <v/>
      </c>
      <c r="H736" s="26" t="str">
        <f aca="false">IF($K736=0,"",SOUS_TRAITANCE!$F136)</f>
        <v/>
      </c>
      <c r="I736" s="26" t="str">
        <f aca="false">IF($H736="","",IFERROR(INDEX(EMPL_CLASSE,MATCH($H736,EMPL_KEY,0)),""))</f>
        <v/>
      </c>
      <c r="J736" s="26" t="str">
        <f aca="false">IF($K736=0,"",SOUS_TRAITANCE!$O136)</f>
        <v/>
      </c>
      <c r="K736" s="67" t="n">
        <f aca="false">IF(OR(SOUS_TRAITANCE!$Q136=0,SOUS_TRAITANCE!$D136&lt;&gt;"STOCK EXISTANT"),0,-SOUS_TRAITANCE!$G136)</f>
        <v>0</v>
      </c>
      <c r="L736" s="67" t="n">
        <f aca="false">IF($K736=0,0,SOUS_TRAITANCE!$X136*$K736)</f>
        <v>0</v>
      </c>
      <c r="M736" s="26" t="str">
        <f aca="false">IF($K736=0,"",SOUS_TRAITANCE!$W136)</f>
        <v/>
      </c>
      <c r="N736" s="26" t="str">
        <f aca="false">IF($G736="","",IF($G736=R_LOT,COUNTIF($G$5:$G736,R_LOT),""))</f>
        <v/>
      </c>
    </row>
    <row r="737" customFormat="false" ht="15" hidden="false" customHeight="false" outlineLevel="0" collapsed="false">
      <c r="A737" s="28" t="str">
        <f aca="false">IF($K737=0,"",ROW()-4)</f>
        <v/>
      </c>
      <c r="B737" s="26" t="str">
        <f aca="false">IF($K737=0,"","SOUS-TRAITANCE")</f>
        <v/>
      </c>
      <c r="C737" s="26" t="str">
        <f aca="false">IF($K737=0,"",SOUS_TRAITANCE!$A137)</f>
        <v/>
      </c>
      <c r="D737" s="31" t="str">
        <f aca="false">IF($K737=0,"",SOUS_TRAITANCE!$B137)</f>
        <v/>
      </c>
      <c r="E737" s="26" t="str">
        <f aca="false">IF($K737=0,"","SORTIE")</f>
        <v/>
      </c>
      <c r="F737" s="26" t="str">
        <f aca="false">IF($K737=0,"","ENVOI SOUS-TRAITANCE")</f>
        <v/>
      </c>
      <c r="G737" s="26" t="str">
        <f aca="false">IF($K737=0,"",SOUS_TRAITANCE!$E137)</f>
        <v/>
      </c>
      <c r="H737" s="26" t="str">
        <f aca="false">IF($K737=0,"",SOUS_TRAITANCE!$F137)</f>
        <v/>
      </c>
      <c r="I737" s="26" t="str">
        <f aca="false">IF($H737="","",IFERROR(INDEX(EMPL_CLASSE,MATCH($H737,EMPL_KEY,0)),""))</f>
        <v/>
      </c>
      <c r="J737" s="26" t="str">
        <f aca="false">IF($K737=0,"",SOUS_TRAITANCE!$O137)</f>
        <v/>
      </c>
      <c r="K737" s="67" t="n">
        <f aca="false">IF(OR(SOUS_TRAITANCE!$Q137=0,SOUS_TRAITANCE!$D137&lt;&gt;"STOCK EXISTANT"),0,-SOUS_TRAITANCE!$G137)</f>
        <v>0</v>
      </c>
      <c r="L737" s="67" t="n">
        <f aca="false">IF($K737=0,0,SOUS_TRAITANCE!$X137*$K737)</f>
        <v>0</v>
      </c>
      <c r="M737" s="26" t="str">
        <f aca="false">IF($K737=0,"",SOUS_TRAITANCE!$W137)</f>
        <v/>
      </c>
      <c r="N737" s="26" t="str">
        <f aca="false">IF($G737="","",IF($G737=R_LOT,COUNTIF($G$5:$G737,R_LOT),""))</f>
        <v/>
      </c>
    </row>
    <row r="738" customFormat="false" ht="15" hidden="false" customHeight="false" outlineLevel="0" collapsed="false">
      <c r="A738" s="28" t="str">
        <f aca="false">IF($K738=0,"",ROW()-4)</f>
        <v/>
      </c>
      <c r="B738" s="26" t="str">
        <f aca="false">IF($K738=0,"","SOUS-TRAITANCE")</f>
        <v/>
      </c>
      <c r="C738" s="26" t="str">
        <f aca="false">IF($K738=0,"",SOUS_TRAITANCE!$A138)</f>
        <v/>
      </c>
      <c r="D738" s="31" t="str">
        <f aca="false">IF($K738=0,"",SOUS_TRAITANCE!$B138)</f>
        <v/>
      </c>
      <c r="E738" s="26" t="str">
        <f aca="false">IF($K738=0,"","SORTIE")</f>
        <v/>
      </c>
      <c r="F738" s="26" t="str">
        <f aca="false">IF($K738=0,"","ENVOI SOUS-TRAITANCE")</f>
        <v/>
      </c>
      <c r="G738" s="26" t="str">
        <f aca="false">IF($K738=0,"",SOUS_TRAITANCE!$E138)</f>
        <v/>
      </c>
      <c r="H738" s="26" t="str">
        <f aca="false">IF($K738=0,"",SOUS_TRAITANCE!$F138)</f>
        <v/>
      </c>
      <c r="I738" s="26" t="str">
        <f aca="false">IF($H738="","",IFERROR(INDEX(EMPL_CLASSE,MATCH($H738,EMPL_KEY,0)),""))</f>
        <v/>
      </c>
      <c r="J738" s="26" t="str">
        <f aca="false">IF($K738=0,"",SOUS_TRAITANCE!$O138)</f>
        <v/>
      </c>
      <c r="K738" s="67" t="n">
        <f aca="false">IF(OR(SOUS_TRAITANCE!$Q138=0,SOUS_TRAITANCE!$D138&lt;&gt;"STOCK EXISTANT"),0,-SOUS_TRAITANCE!$G138)</f>
        <v>0</v>
      </c>
      <c r="L738" s="67" t="n">
        <f aca="false">IF($K738=0,0,SOUS_TRAITANCE!$X138*$K738)</f>
        <v>0</v>
      </c>
      <c r="M738" s="26" t="str">
        <f aca="false">IF($K738=0,"",SOUS_TRAITANCE!$W138)</f>
        <v/>
      </c>
      <c r="N738" s="26" t="str">
        <f aca="false">IF($G738="","",IF($G738=R_LOT,COUNTIF($G$5:$G738,R_LOT),""))</f>
        <v/>
      </c>
    </row>
    <row r="739" customFormat="false" ht="15" hidden="false" customHeight="false" outlineLevel="0" collapsed="false">
      <c r="A739" s="28" t="str">
        <f aca="false">IF($K739=0,"",ROW()-4)</f>
        <v/>
      </c>
      <c r="B739" s="26" t="str">
        <f aca="false">IF($K739=0,"","SOUS-TRAITANCE")</f>
        <v/>
      </c>
      <c r="C739" s="26" t="str">
        <f aca="false">IF($K739=0,"",SOUS_TRAITANCE!$A139)</f>
        <v/>
      </c>
      <c r="D739" s="31" t="str">
        <f aca="false">IF($K739=0,"",SOUS_TRAITANCE!$B139)</f>
        <v/>
      </c>
      <c r="E739" s="26" t="str">
        <f aca="false">IF($K739=0,"","SORTIE")</f>
        <v/>
      </c>
      <c r="F739" s="26" t="str">
        <f aca="false">IF($K739=0,"","ENVOI SOUS-TRAITANCE")</f>
        <v/>
      </c>
      <c r="G739" s="26" t="str">
        <f aca="false">IF($K739=0,"",SOUS_TRAITANCE!$E139)</f>
        <v/>
      </c>
      <c r="H739" s="26" t="str">
        <f aca="false">IF($K739=0,"",SOUS_TRAITANCE!$F139)</f>
        <v/>
      </c>
      <c r="I739" s="26" t="str">
        <f aca="false">IF($H739="","",IFERROR(INDEX(EMPL_CLASSE,MATCH($H739,EMPL_KEY,0)),""))</f>
        <v/>
      </c>
      <c r="J739" s="26" t="str">
        <f aca="false">IF($K739=0,"",SOUS_TRAITANCE!$O139)</f>
        <v/>
      </c>
      <c r="K739" s="67" t="n">
        <f aca="false">IF(OR(SOUS_TRAITANCE!$Q139=0,SOUS_TRAITANCE!$D139&lt;&gt;"STOCK EXISTANT"),0,-SOUS_TRAITANCE!$G139)</f>
        <v>0</v>
      </c>
      <c r="L739" s="67" t="n">
        <f aca="false">IF($K739=0,0,SOUS_TRAITANCE!$X139*$K739)</f>
        <v>0</v>
      </c>
      <c r="M739" s="26" t="str">
        <f aca="false">IF($K739=0,"",SOUS_TRAITANCE!$W139)</f>
        <v/>
      </c>
      <c r="N739" s="26" t="str">
        <f aca="false">IF($G739="","",IF($G739=R_LOT,COUNTIF($G$5:$G739,R_LOT),""))</f>
        <v/>
      </c>
    </row>
    <row r="740" customFormat="false" ht="15" hidden="false" customHeight="false" outlineLevel="0" collapsed="false">
      <c r="A740" s="28" t="str">
        <f aca="false">IF($K740=0,"",ROW()-4)</f>
        <v/>
      </c>
      <c r="B740" s="26" t="str">
        <f aca="false">IF($K740=0,"","SOUS-TRAITANCE")</f>
        <v/>
      </c>
      <c r="C740" s="26" t="str">
        <f aca="false">IF($K740=0,"",SOUS_TRAITANCE!$A140)</f>
        <v/>
      </c>
      <c r="D740" s="31" t="str">
        <f aca="false">IF($K740=0,"",SOUS_TRAITANCE!$B140)</f>
        <v/>
      </c>
      <c r="E740" s="26" t="str">
        <f aca="false">IF($K740=0,"","SORTIE")</f>
        <v/>
      </c>
      <c r="F740" s="26" t="str">
        <f aca="false">IF($K740=0,"","ENVOI SOUS-TRAITANCE")</f>
        <v/>
      </c>
      <c r="G740" s="26" t="str">
        <f aca="false">IF($K740=0,"",SOUS_TRAITANCE!$E140)</f>
        <v/>
      </c>
      <c r="H740" s="26" t="str">
        <f aca="false">IF($K740=0,"",SOUS_TRAITANCE!$F140)</f>
        <v/>
      </c>
      <c r="I740" s="26" t="str">
        <f aca="false">IF($H740="","",IFERROR(INDEX(EMPL_CLASSE,MATCH($H740,EMPL_KEY,0)),""))</f>
        <v/>
      </c>
      <c r="J740" s="26" t="str">
        <f aca="false">IF($K740=0,"",SOUS_TRAITANCE!$O140)</f>
        <v/>
      </c>
      <c r="K740" s="67" t="n">
        <f aca="false">IF(OR(SOUS_TRAITANCE!$Q140=0,SOUS_TRAITANCE!$D140&lt;&gt;"STOCK EXISTANT"),0,-SOUS_TRAITANCE!$G140)</f>
        <v>0</v>
      </c>
      <c r="L740" s="67" t="n">
        <f aca="false">IF($K740=0,0,SOUS_TRAITANCE!$X140*$K740)</f>
        <v>0</v>
      </c>
      <c r="M740" s="26" t="str">
        <f aca="false">IF($K740=0,"",SOUS_TRAITANCE!$W140)</f>
        <v/>
      </c>
      <c r="N740" s="26" t="str">
        <f aca="false">IF($G740="","",IF($G740=R_LOT,COUNTIF($G$5:$G740,R_LOT),""))</f>
        <v/>
      </c>
    </row>
    <row r="741" customFormat="false" ht="15" hidden="false" customHeight="false" outlineLevel="0" collapsed="false">
      <c r="A741" s="28" t="str">
        <f aca="false">IF($K741=0,"",ROW()-4)</f>
        <v/>
      </c>
      <c r="B741" s="26" t="str">
        <f aca="false">IF($K741=0,"","SOUS-TRAITANCE")</f>
        <v/>
      </c>
      <c r="C741" s="26" t="str">
        <f aca="false">IF($K741=0,"",SOUS_TRAITANCE!$A141)</f>
        <v/>
      </c>
      <c r="D741" s="31" t="str">
        <f aca="false">IF($K741=0,"",SOUS_TRAITANCE!$B141)</f>
        <v/>
      </c>
      <c r="E741" s="26" t="str">
        <f aca="false">IF($K741=0,"","SORTIE")</f>
        <v/>
      </c>
      <c r="F741" s="26" t="str">
        <f aca="false">IF($K741=0,"","ENVOI SOUS-TRAITANCE")</f>
        <v/>
      </c>
      <c r="G741" s="26" t="str">
        <f aca="false">IF($K741=0,"",SOUS_TRAITANCE!$E141)</f>
        <v/>
      </c>
      <c r="H741" s="26" t="str">
        <f aca="false">IF($K741=0,"",SOUS_TRAITANCE!$F141)</f>
        <v/>
      </c>
      <c r="I741" s="26" t="str">
        <f aca="false">IF($H741="","",IFERROR(INDEX(EMPL_CLASSE,MATCH($H741,EMPL_KEY,0)),""))</f>
        <v/>
      </c>
      <c r="J741" s="26" t="str">
        <f aca="false">IF($K741=0,"",SOUS_TRAITANCE!$O141)</f>
        <v/>
      </c>
      <c r="K741" s="67" t="n">
        <f aca="false">IF(OR(SOUS_TRAITANCE!$Q141=0,SOUS_TRAITANCE!$D141&lt;&gt;"STOCK EXISTANT"),0,-SOUS_TRAITANCE!$G141)</f>
        <v>0</v>
      </c>
      <c r="L741" s="67" t="n">
        <f aca="false">IF($K741=0,0,SOUS_TRAITANCE!$X141*$K741)</f>
        <v>0</v>
      </c>
      <c r="M741" s="26" t="str">
        <f aca="false">IF($K741=0,"",SOUS_TRAITANCE!$W141)</f>
        <v/>
      </c>
      <c r="N741" s="26" t="str">
        <f aca="false">IF($G741="","",IF($G741=R_LOT,COUNTIF($G$5:$G741,R_LOT),""))</f>
        <v/>
      </c>
    </row>
    <row r="742" customFormat="false" ht="15" hidden="false" customHeight="false" outlineLevel="0" collapsed="false">
      <c r="A742" s="28" t="str">
        <f aca="false">IF($K742=0,"",ROW()-4)</f>
        <v/>
      </c>
      <c r="B742" s="26" t="str">
        <f aca="false">IF($K742=0,"","SOUS-TRAITANCE")</f>
        <v/>
      </c>
      <c r="C742" s="26" t="str">
        <f aca="false">IF($K742=0,"",SOUS_TRAITANCE!$A142)</f>
        <v/>
      </c>
      <c r="D742" s="31" t="str">
        <f aca="false">IF($K742=0,"",SOUS_TRAITANCE!$B142)</f>
        <v/>
      </c>
      <c r="E742" s="26" t="str">
        <f aca="false">IF($K742=0,"","SORTIE")</f>
        <v/>
      </c>
      <c r="F742" s="26" t="str">
        <f aca="false">IF($K742=0,"","ENVOI SOUS-TRAITANCE")</f>
        <v/>
      </c>
      <c r="G742" s="26" t="str">
        <f aca="false">IF($K742=0,"",SOUS_TRAITANCE!$E142)</f>
        <v/>
      </c>
      <c r="H742" s="26" t="str">
        <f aca="false">IF($K742=0,"",SOUS_TRAITANCE!$F142)</f>
        <v/>
      </c>
      <c r="I742" s="26" t="str">
        <f aca="false">IF($H742="","",IFERROR(INDEX(EMPL_CLASSE,MATCH($H742,EMPL_KEY,0)),""))</f>
        <v/>
      </c>
      <c r="J742" s="26" t="str">
        <f aca="false">IF($K742=0,"",SOUS_TRAITANCE!$O142)</f>
        <v/>
      </c>
      <c r="K742" s="67" t="n">
        <f aca="false">IF(OR(SOUS_TRAITANCE!$Q142=0,SOUS_TRAITANCE!$D142&lt;&gt;"STOCK EXISTANT"),0,-SOUS_TRAITANCE!$G142)</f>
        <v>0</v>
      </c>
      <c r="L742" s="67" t="n">
        <f aca="false">IF($K742=0,0,SOUS_TRAITANCE!$X142*$K742)</f>
        <v>0</v>
      </c>
      <c r="M742" s="26" t="str">
        <f aca="false">IF($K742=0,"",SOUS_TRAITANCE!$W142)</f>
        <v/>
      </c>
      <c r="N742" s="26" t="str">
        <f aca="false">IF($G742="","",IF($G742=R_LOT,COUNTIF($G$5:$G742,R_LOT),""))</f>
        <v/>
      </c>
    </row>
    <row r="743" customFormat="false" ht="15" hidden="false" customHeight="false" outlineLevel="0" collapsed="false">
      <c r="A743" s="28" t="str">
        <f aca="false">IF($K743=0,"",ROW()-4)</f>
        <v/>
      </c>
      <c r="B743" s="26" t="str">
        <f aca="false">IF($K743=0,"","SOUS-TRAITANCE")</f>
        <v/>
      </c>
      <c r="C743" s="26" t="str">
        <f aca="false">IF($K743=0,"",SOUS_TRAITANCE!$A143)</f>
        <v/>
      </c>
      <c r="D743" s="31" t="str">
        <f aca="false">IF($K743=0,"",SOUS_TRAITANCE!$B143)</f>
        <v/>
      </c>
      <c r="E743" s="26" t="str">
        <f aca="false">IF($K743=0,"","SORTIE")</f>
        <v/>
      </c>
      <c r="F743" s="26" t="str">
        <f aca="false">IF($K743=0,"","ENVOI SOUS-TRAITANCE")</f>
        <v/>
      </c>
      <c r="G743" s="26" t="str">
        <f aca="false">IF($K743=0,"",SOUS_TRAITANCE!$E143)</f>
        <v/>
      </c>
      <c r="H743" s="26" t="str">
        <f aca="false">IF($K743=0,"",SOUS_TRAITANCE!$F143)</f>
        <v/>
      </c>
      <c r="I743" s="26" t="str">
        <f aca="false">IF($H743="","",IFERROR(INDEX(EMPL_CLASSE,MATCH($H743,EMPL_KEY,0)),""))</f>
        <v/>
      </c>
      <c r="J743" s="26" t="str">
        <f aca="false">IF($K743=0,"",SOUS_TRAITANCE!$O143)</f>
        <v/>
      </c>
      <c r="K743" s="67" t="n">
        <f aca="false">IF(OR(SOUS_TRAITANCE!$Q143=0,SOUS_TRAITANCE!$D143&lt;&gt;"STOCK EXISTANT"),0,-SOUS_TRAITANCE!$G143)</f>
        <v>0</v>
      </c>
      <c r="L743" s="67" t="n">
        <f aca="false">IF($K743=0,0,SOUS_TRAITANCE!$X143*$K743)</f>
        <v>0</v>
      </c>
      <c r="M743" s="26" t="str">
        <f aca="false">IF($K743=0,"",SOUS_TRAITANCE!$W143)</f>
        <v/>
      </c>
      <c r="N743" s="26" t="str">
        <f aca="false">IF($G743="","",IF($G743=R_LOT,COUNTIF($G$5:$G743,R_LOT),""))</f>
        <v/>
      </c>
    </row>
    <row r="744" customFormat="false" ht="15" hidden="false" customHeight="false" outlineLevel="0" collapsed="false">
      <c r="A744" s="28" t="str">
        <f aca="false">IF($K744=0,"",ROW()-4)</f>
        <v/>
      </c>
      <c r="B744" s="26" t="str">
        <f aca="false">IF($K744=0,"","SOUS-TRAITANCE")</f>
        <v/>
      </c>
      <c r="C744" s="26" t="str">
        <f aca="false">IF($K744=0,"",SOUS_TRAITANCE!$A144)</f>
        <v/>
      </c>
      <c r="D744" s="31" t="str">
        <f aca="false">IF($K744=0,"",SOUS_TRAITANCE!$B144)</f>
        <v/>
      </c>
      <c r="E744" s="26" t="str">
        <f aca="false">IF($K744=0,"","SORTIE")</f>
        <v/>
      </c>
      <c r="F744" s="26" t="str">
        <f aca="false">IF($K744=0,"","ENVOI SOUS-TRAITANCE")</f>
        <v/>
      </c>
      <c r="G744" s="26" t="str">
        <f aca="false">IF($K744=0,"",SOUS_TRAITANCE!$E144)</f>
        <v/>
      </c>
      <c r="H744" s="26" t="str">
        <f aca="false">IF($K744=0,"",SOUS_TRAITANCE!$F144)</f>
        <v/>
      </c>
      <c r="I744" s="26" t="str">
        <f aca="false">IF($H744="","",IFERROR(INDEX(EMPL_CLASSE,MATCH($H744,EMPL_KEY,0)),""))</f>
        <v/>
      </c>
      <c r="J744" s="26" t="str">
        <f aca="false">IF($K744=0,"",SOUS_TRAITANCE!$O144)</f>
        <v/>
      </c>
      <c r="K744" s="67" t="n">
        <f aca="false">IF(OR(SOUS_TRAITANCE!$Q144=0,SOUS_TRAITANCE!$D144&lt;&gt;"STOCK EXISTANT"),0,-SOUS_TRAITANCE!$G144)</f>
        <v>0</v>
      </c>
      <c r="L744" s="67" t="n">
        <f aca="false">IF($K744=0,0,SOUS_TRAITANCE!$X144*$K744)</f>
        <v>0</v>
      </c>
      <c r="M744" s="26" t="str">
        <f aca="false">IF($K744=0,"",SOUS_TRAITANCE!$W144)</f>
        <v/>
      </c>
      <c r="N744" s="26" t="str">
        <f aca="false">IF($G744="","",IF($G744=R_LOT,COUNTIF($G$5:$G744,R_LOT),""))</f>
        <v/>
      </c>
    </row>
    <row r="745" customFormat="false" ht="15" hidden="false" customHeight="false" outlineLevel="0" collapsed="false">
      <c r="A745" s="28" t="str">
        <f aca="false">IF($K745=0,"",ROW()-4)</f>
        <v/>
      </c>
      <c r="B745" s="26" t="str">
        <f aca="false">IF($K745=0,"","SOUS-TRAITANCE")</f>
        <v/>
      </c>
      <c r="C745" s="26" t="str">
        <f aca="false">IF($K745=0,"",SOUS_TRAITANCE!$A145)</f>
        <v/>
      </c>
      <c r="D745" s="31" t="str">
        <f aca="false">IF($K745=0,"",SOUS_TRAITANCE!$B145)</f>
        <v/>
      </c>
      <c r="E745" s="26" t="str">
        <f aca="false">IF($K745=0,"","SORTIE")</f>
        <v/>
      </c>
      <c r="F745" s="26" t="str">
        <f aca="false">IF($K745=0,"","ENVOI SOUS-TRAITANCE")</f>
        <v/>
      </c>
      <c r="G745" s="26" t="str">
        <f aca="false">IF($K745=0,"",SOUS_TRAITANCE!$E145)</f>
        <v/>
      </c>
      <c r="H745" s="26" t="str">
        <f aca="false">IF($K745=0,"",SOUS_TRAITANCE!$F145)</f>
        <v/>
      </c>
      <c r="I745" s="26" t="str">
        <f aca="false">IF($H745="","",IFERROR(INDEX(EMPL_CLASSE,MATCH($H745,EMPL_KEY,0)),""))</f>
        <v/>
      </c>
      <c r="J745" s="26" t="str">
        <f aca="false">IF($K745=0,"",SOUS_TRAITANCE!$O145)</f>
        <v/>
      </c>
      <c r="K745" s="67" t="n">
        <f aca="false">IF(OR(SOUS_TRAITANCE!$Q145=0,SOUS_TRAITANCE!$D145&lt;&gt;"STOCK EXISTANT"),0,-SOUS_TRAITANCE!$G145)</f>
        <v>0</v>
      </c>
      <c r="L745" s="67" t="n">
        <f aca="false">IF($K745=0,0,SOUS_TRAITANCE!$X145*$K745)</f>
        <v>0</v>
      </c>
      <c r="M745" s="26" t="str">
        <f aca="false">IF($K745=0,"",SOUS_TRAITANCE!$W145)</f>
        <v/>
      </c>
      <c r="N745" s="26" t="str">
        <f aca="false">IF($G745="","",IF($G745=R_LOT,COUNTIF($G$5:$G745,R_LOT),""))</f>
        <v/>
      </c>
    </row>
    <row r="746" customFormat="false" ht="15" hidden="false" customHeight="false" outlineLevel="0" collapsed="false">
      <c r="A746" s="28" t="str">
        <f aca="false">IF($K746=0,"",ROW()-4)</f>
        <v/>
      </c>
      <c r="B746" s="26" t="str">
        <f aca="false">IF($K746=0,"","SOUS-TRAITANCE")</f>
        <v/>
      </c>
      <c r="C746" s="26" t="str">
        <f aca="false">IF($K746=0,"",SOUS_TRAITANCE!$A146)</f>
        <v/>
      </c>
      <c r="D746" s="31" t="str">
        <f aca="false">IF($K746=0,"",SOUS_TRAITANCE!$B146)</f>
        <v/>
      </c>
      <c r="E746" s="26" t="str">
        <f aca="false">IF($K746=0,"","SORTIE")</f>
        <v/>
      </c>
      <c r="F746" s="26" t="str">
        <f aca="false">IF($K746=0,"","ENVOI SOUS-TRAITANCE")</f>
        <v/>
      </c>
      <c r="G746" s="26" t="str">
        <f aca="false">IF($K746=0,"",SOUS_TRAITANCE!$E146)</f>
        <v/>
      </c>
      <c r="H746" s="26" t="str">
        <f aca="false">IF($K746=0,"",SOUS_TRAITANCE!$F146)</f>
        <v/>
      </c>
      <c r="I746" s="26" t="str">
        <f aca="false">IF($H746="","",IFERROR(INDEX(EMPL_CLASSE,MATCH($H746,EMPL_KEY,0)),""))</f>
        <v/>
      </c>
      <c r="J746" s="26" t="str">
        <f aca="false">IF($K746=0,"",SOUS_TRAITANCE!$O146)</f>
        <v/>
      </c>
      <c r="K746" s="67" t="n">
        <f aca="false">IF(OR(SOUS_TRAITANCE!$Q146=0,SOUS_TRAITANCE!$D146&lt;&gt;"STOCK EXISTANT"),0,-SOUS_TRAITANCE!$G146)</f>
        <v>0</v>
      </c>
      <c r="L746" s="67" t="n">
        <f aca="false">IF($K746=0,0,SOUS_TRAITANCE!$X146*$K746)</f>
        <v>0</v>
      </c>
      <c r="M746" s="26" t="str">
        <f aca="false">IF($K746=0,"",SOUS_TRAITANCE!$W146)</f>
        <v/>
      </c>
      <c r="N746" s="26" t="str">
        <f aca="false">IF($G746="","",IF($G746=R_LOT,COUNTIF($G$5:$G746,R_LOT),""))</f>
        <v/>
      </c>
    </row>
    <row r="747" customFormat="false" ht="15" hidden="false" customHeight="false" outlineLevel="0" collapsed="false">
      <c r="A747" s="28" t="str">
        <f aca="false">IF($K747=0,"",ROW()-4)</f>
        <v/>
      </c>
      <c r="B747" s="26" t="str">
        <f aca="false">IF($K747=0,"","SOUS-TRAITANCE")</f>
        <v/>
      </c>
      <c r="C747" s="26" t="str">
        <f aca="false">IF($K747=0,"",SOUS_TRAITANCE!$A147)</f>
        <v/>
      </c>
      <c r="D747" s="31" t="str">
        <f aca="false">IF($K747=0,"",SOUS_TRAITANCE!$B147)</f>
        <v/>
      </c>
      <c r="E747" s="26" t="str">
        <f aca="false">IF($K747=0,"","SORTIE")</f>
        <v/>
      </c>
      <c r="F747" s="26" t="str">
        <f aca="false">IF($K747=0,"","ENVOI SOUS-TRAITANCE")</f>
        <v/>
      </c>
      <c r="G747" s="26" t="str">
        <f aca="false">IF($K747=0,"",SOUS_TRAITANCE!$E147)</f>
        <v/>
      </c>
      <c r="H747" s="26" t="str">
        <f aca="false">IF($K747=0,"",SOUS_TRAITANCE!$F147)</f>
        <v/>
      </c>
      <c r="I747" s="26" t="str">
        <f aca="false">IF($H747="","",IFERROR(INDEX(EMPL_CLASSE,MATCH($H747,EMPL_KEY,0)),""))</f>
        <v/>
      </c>
      <c r="J747" s="26" t="str">
        <f aca="false">IF($K747=0,"",SOUS_TRAITANCE!$O147)</f>
        <v/>
      </c>
      <c r="K747" s="67" t="n">
        <f aca="false">IF(OR(SOUS_TRAITANCE!$Q147=0,SOUS_TRAITANCE!$D147&lt;&gt;"STOCK EXISTANT"),0,-SOUS_TRAITANCE!$G147)</f>
        <v>0</v>
      </c>
      <c r="L747" s="67" t="n">
        <f aca="false">IF($K747=0,0,SOUS_TRAITANCE!$X147*$K747)</f>
        <v>0</v>
      </c>
      <c r="M747" s="26" t="str">
        <f aca="false">IF($K747=0,"",SOUS_TRAITANCE!$W147)</f>
        <v/>
      </c>
      <c r="N747" s="26" t="str">
        <f aca="false">IF($G747="","",IF($G747=R_LOT,COUNTIF($G$5:$G747,R_LOT),""))</f>
        <v/>
      </c>
    </row>
    <row r="748" customFormat="false" ht="15" hidden="false" customHeight="false" outlineLevel="0" collapsed="false">
      <c r="A748" s="28" t="str">
        <f aca="false">IF($K748=0,"",ROW()-4)</f>
        <v/>
      </c>
      <c r="B748" s="26" t="str">
        <f aca="false">IF($K748=0,"","SOUS-TRAITANCE")</f>
        <v/>
      </c>
      <c r="C748" s="26" t="str">
        <f aca="false">IF($K748=0,"",SOUS_TRAITANCE!$A148)</f>
        <v/>
      </c>
      <c r="D748" s="31" t="str">
        <f aca="false">IF($K748=0,"",SOUS_TRAITANCE!$B148)</f>
        <v/>
      </c>
      <c r="E748" s="26" t="str">
        <f aca="false">IF($K748=0,"","SORTIE")</f>
        <v/>
      </c>
      <c r="F748" s="26" t="str">
        <f aca="false">IF($K748=0,"","ENVOI SOUS-TRAITANCE")</f>
        <v/>
      </c>
      <c r="G748" s="26" t="str">
        <f aca="false">IF($K748=0,"",SOUS_TRAITANCE!$E148)</f>
        <v/>
      </c>
      <c r="H748" s="26" t="str">
        <f aca="false">IF($K748=0,"",SOUS_TRAITANCE!$F148)</f>
        <v/>
      </c>
      <c r="I748" s="26" t="str">
        <f aca="false">IF($H748="","",IFERROR(INDEX(EMPL_CLASSE,MATCH($H748,EMPL_KEY,0)),""))</f>
        <v/>
      </c>
      <c r="J748" s="26" t="str">
        <f aca="false">IF($K748=0,"",SOUS_TRAITANCE!$O148)</f>
        <v/>
      </c>
      <c r="K748" s="67" t="n">
        <f aca="false">IF(OR(SOUS_TRAITANCE!$Q148=0,SOUS_TRAITANCE!$D148&lt;&gt;"STOCK EXISTANT"),0,-SOUS_TRAITANCE!$G148)</f>
        <v>0</v>
      </c>
      <c r="L748" s="67" t="n">
        <f aca="false">IF($K748=0,0,SOUS_TRAITANCE!$X148*$K748)</f>
        <v>0</v>
      </c>
      <c r="M748" s="26" t="str">
        <f aca="false">IF($K748=0,"",SOUS_TRAITANCE!$W148)</f>
        <v/>
      </c>
      <c r="N748" s="26" t="str">
        <f aca="false">IF($G748="","",IF($G748=R_LOT,COUNTIF($G$5:$G748,R_LOT),""))</f>
        <v/>
      </c>
    </row>
    <row r="749" customFormat="false" ht="15" hidden="false" customHeight="false" outlineLevel="0" collapsed="false">
      <c r="A749" s="28" t="str">
        <f aca="false">IF($K749=0,"",ROW()-4)</f>
        <v/>
      </c>
      <c r="B749" s="26" t="str">
        <f aca="false">IF($K749=0,"","SOUS-TRAITANCE")</f>
        <v/>
      </c>
      <c r="C749" s="26" t="str">
        <f aca="false">IF($K749=0,"",SOUS_TRAITANCE!$A149)</f>
        <v/>
      </c>
      <c r="D749" s="31" t="str">
        <f aca="false">IF($K749=0,"",SOUS_TRAITANCE!$B149)</f>
        <v/>
      </c>
      <c r="E749" s="26" t="str">
        <f aca="false">IF($K749=0,"","SORTIE")</f>
        <v/>
      </c>
      <c r="F749" s="26" t="str">
        <f aca="false">IF($K749=0,"","ENVOI SOUS-TRAITANCE")</f>
        <v/>
      </c>
      <c r="G749" s="26" t="str">
        <f aca="false">IF($K749=0,"",SOUS_TRAITANCE!$E149)</f>
        <v/>
      </c>
      <c r="H749" s="26" t="str">
        <f aca="false">IF($K749=0,"",SOUS_TRAITANCE!$F149)</f>
        <v/>
      </c>
      <c r="I749" s="26" t="str">
        <f aca="false">IF($H749="","",IFERROR(INDEX(EMPL_CLASSE,MATCH($H749,EMPL_KEY,0)),""))</f>
        <v/>
      </c>
      <c r="J749" s="26" t="str">
        <f aca="false">IF($K749=0,"",SOUS_TRAITANCE!$O149)</f>
        <v/>
      </c>
      <c r="K749" s="67" t="n">
        <f aca="false">IF(OR(SOUS_TRAITANCE!$Q149=0,SOUS_TRAITANCE!$D149&lt;&gt;"STOCK EXISTANT"),0,-SOUS_TRAITANCE!$G149)</f>
        <v>0</v>
      </c>
      <c r="L749" s="67" t="n">
        <f aca="false">IF($K749=0,0,SOUS_TRAITANCE!$X149*$K749)</f>
        <v>0</v>
      </c>
      <c r="M749" s="26" t="str">
        <f aca="false">IF($K749=0,"",SOUS_TRAITANCE!$W149)</f>
        <v/>
      </c>
      <c r="N749" s="26" t="str">
        <f aca="false">IF($G749="","",IF($G749=R_LOT,COUNTIF($G$5:$G749,R_LOT),""))</f>
        <v/>
      </c>
    </row>
    <row r="750" customFormat="false" ht="15" hidden="false" customHeight="false" outlineLevel="0" collapsed="false">
      <c r="A750" s="28" t="str">
        <f aca="false">IF($K750=0,"",ROW()-4)</f>
        <v/>
      </c>
      <c r="B750" s="26" t="str">
        <f aca="false">IF($K750=0,"","SOUS-TRAITANCE")</f>
        <v/>
      </c>
      <c r="C750" s="26" t="str">
        <f aca="false">IF($K750=0,"",SOUS_TRAITANCE!$A150)</f>
        <v/>
      </c>
      <c r="D750" s="31" t="str">
        <f aca="false">IF($K750=0,"",SOUS_TRAITANCE!$B150)</f>
        <v/>
      </c>
      <c r="E750" s="26" t="str">
        <f aca="false">IF($K750=0,"","SORTIE")</f>
        <v/>
      </c>
      <c r="F750" s="26" t="str">
        <f aca="false">IF($K750=0,"","ENVOI SOUS-TRAITANCE")</f>
        <v/>
      </c>
      <c r="G750" s="26" t="str">
        <f aca="false">IF($K750=0,"",SOUS_TRAITANCE!$E150)</f>
        <v/>
      </c>
      <c r="H750" s="26" t="str">
        <f aca="false">IF($K750=0,"",SOUS_TRAITANCE!$F150)</f>
        <v/>
      </c>
      <c r="I750" s="26" t="str">
        <f aca="false">IF($H750="","",IFERROR(INDEX(EMPL_CLASSE,MATCH($H750,EMPL_KEY,0)),""))</f>
        <v/>
      </c>
      <c r="J750" s="26" t="str">
        <f aca="false">IF($K750=0,"",SOUS_TRAITANCE!$O150)</f>
        <v/>
      </c>
      <c r="K750" s="67" t="n">
        <f aca="false">IF(OR(SOUS_TRAITANCE!$Q150=0,SOUS_TRAITANCE!$D150&lt;&gt;"STOCK EXISTANT"),0,-SOUS_TRAITANCE!$G150)</f>
        <v>0</v>
      </c>
      <c r="L750" s="67" t="n">
        <f aca="false">IF($K750=0,0,SOUS_TRAITANCE!$X150*$K750)</f>
        <v>0</v>
      </c>
      <c r="M750" s="26" t="str">
        <f aca="false">IF($K750=0,"",SOUS_TRAITANCE!$W150)</f>
        <v/>
      </c>
      <c r="N750" s="26" t="str">
        <f aca="false">IF($G750="","",IF($G750=R_LOT,COUNTIF($G$5:$G750,R_LOT),""))</f>
        <v/>
      </c>
    </row>
    <row r="751" customFormat="false" ht="15" hidden="false" customHeight="false" outlineLevel="0" collapsed="false">
      <c r="A751" s="28" t="str">
        <f aca="false">IF($K751=0,"",ROW()-4)</f>
        <v/>
      </c>
      <c r="B751" s="26" t="str">
        <f aca="false">IF($K751=0,"","SOUS-TRAITANCE")</f>
        <v/>
      </c>
      <c r="C751" s="26" t="str">
        <f aca="false">IF($K751=0,"",SOUS_TRAITANCE!$A151)</f>
        <v/>
      </c>
      <c r="D751" s="31" t="str">
        <f aca="false">IF($K751=0,"",SOUS_TRAITANCE!$B151)</f>
        <v/>
      </c>
      <c r="E751" s="26" t="str">
        <f aca="false">IF($K751=0,"","SORTIE")</f>
        <v/>
      </c>
      <c r="F751" s="26" t="str">
        <f aca="false">IF($K751=0,"","ENVOI SOUS-TRAITANCE")</f>
        <v/>
      </c>
      <c r="G751" s="26" t="str">
        <f aca="false">IF($K751=0,"",SOUS_TRAITANCE!$E151)</f>
        <v/>
      </c>
      <c r="H751" s="26" t="str">
        <f aca="false">IF($K751=0,"",SOUS_TRAITANCE!$F151)</f>
        <v/>
      </c>
      <c r="I751" s="26" t="str">
        <f aca="false">IF($H751="","",IFERROR(INDEX(EMPL_CLASSE,MATCH($H751,EMPL_KEY,0)),""))</f>
        <v/>
      </c>
      <c r="J751" s="26" t="str">
        <f aca="false">IF($K751=0,"",SOUS_TRAITANCE!$O151)</f>
        <v/>
      </c>
      <c r="K751" s="67" t="n">
        <f aca="false">IF(OR(SOUS_TRAITANCE!$Q151=0,SOUS_TRAITANCE!$D151&lt;&gt;"STOCK EXISTANT"),0,-SOUS_TRAITANCE!$G151)</f>
        <v>0</v>
      </c>
      <c r="L751" s="67" t="n">
        <f aca="false">IF($K751=0,0,SOUS_TRAITANCE!$X151*$K751)</f>
        <v>0</v>
      </c>
      <c r="M751" s="26" t="str">
        <f aca="false">IF($K751=0,"",SOUS_TRAITANCE!$W151)</f>
        <v/>
      </c>
      <c r="N751" s="26" t="str">
        <f aca="false">IF($G751="","",IF($G751=R_LOT,COUNTIF($G$5:$G751,R_LOT),""))</f>
        <v/>
      </c>
    </row>
    <row r="752" customFormat="false" ht="15" hidden="false" customHeight="false" outlineLevel="0" collapsed="false">
      <c r="A752" s="28" t="str">
        <f aca="false">IF($K752=0,"",ROW()-4)</f>
        <v/>
      </c>
      <c r="B752" s="26" t="str">
        <f aca="false">IF($K752=0,"","SOUS-TRAITANCE")</f>
        <v/>
      </c>
      <c r="C752" s="26" t="str">
        <f aca="false">IF($K752=0,"",SOUS_TRAITANCE!$A152)</f>
        <v/>
      </c>
      <c r="D752" s="31" t="str">
        <f aca="false">IF($K752=0,"",SOUS_TRAITANCE!$B152)</f>
        <v/>
      </c>
      <c r="E752" s="26" t="str">
        <f aca="false">IF($K752=0,"","SORTIE")</f>
        <v/>
      </c>
      <c r="F752" s="26" t="str">
        <f aca="false">IF($K752=0,"","ENVOI SOUS-TRAITANCE")</f>
        <v/>
      </c>
      <c r="G752" s="26" t="str">
        <f aca="false">IF($K752=0,"",SOUS_TRAITANCE!$E152)</f>
        <v/>
      </c>
      <c r="H752" s="26" t="str">
        <f aca="false">IF($K752=0,"",SOUS_TRAITANCE!$F152)</f>
        <v/>
      </c>
      <c r="I752" s="26" t="str">
        <f aca="false">IF($H752="","",IFERROR(INDEX(EMPL_CLASSE,MATCH($H752,EMPL_KEY,0)),""))</f>
        <v/>
      </c>
      <c r="J752" s="26" t="str">
        <f aca="false">IF($K752=0,"",SOUS_TRAITANCE!$O152)</f>
        <v/>
      </c>
      <c r="K752" s="67" t="n">
        <f aca="false">IF(OR(SOUS_TRAITANCE!$Q152=0,SOUS_TRAITANCE!$D152&lt;&gt;"STOCK EXISTANT"),0,-SOUS_TRAITANCE!$G152)</f>
        <v>0</v>
      </c>
      <c r="L752" s="67" t="n">
        <f aca="false">IF($K752=0,0,SOUS_TRAITANCE!$X152*$K752)</f>
        <v>0</v>
      </c>
      <c r="M752" s="26" t="str">
        <f aca="false">IF($K752=0,"",SOUS_TRAITANCE!$W152)</f>
        <v/>
      </c>
      <c r="N752" s="26" t="str">
        <f aca="false">IF($G752="","",IF($G752=R_LOT,COUNTIF($G$5:$G752,R_LOT),""))</f>
        <v/>
      </c>
    </row>
    <row r="753" customFormat="false" ht="15" hidden="false" customHeight="false" outlineLevel="0" collapsed="false">
      <c r="A753" s="28" t="str">
        <f aca="false">IF($K753=0,"",ROW()-4)</f>
        <v/>
      </c>
      <c r="B753" s="26" t="str">
        <f aca="false">IF($K753=0,"","SOUS-TRAITANCE")</f>
        <v/>
      </c>
      <c r="C753" s="26" t="str">
        <f aca="false">IF($K753=0,"",SOUS_TRAITANCE!$A153)</f>
        <v/>
      </c>
      <c r="D753" s="31" t="str">
        <f aca="false">IF($K753=0,"",SOUS_TRAITANCE!$B153)</f>
        <v/>
      </c>
      <c r="E753" s="26" t="str">
        <f aca="false">IF($K753=0,"","SORTIE")</f>
        <v/>
      </c>
      <c r="F753" s="26" t="str">
        <f aca="false">IF($K753=0,"","ENVOI SOUS-TRAITANCE")</f>
        <v/>
      </c>
      <c r="G753" s="26" t="str">
        <f aca="false">IF($K753=0,"",SOUS_TRAITANCE!$E153)</f>
        <v/>
      </c>
      <c r="H753" s="26" t="str">
        <f aca="false">IF($K753=0,"",SOUS_TRAITANCE!$F153)</f>
        <v/>
      </c>
      <c r="I753" s="26" t="str">
        <f aca="false">IF($H753="","",IFERROR(INDEX(EMPL_CLASSE,MATCH($H753,EMPL_KEY,0)),""))</f>
        <v/>
      </c>
      <c r="J753" s="26" t="str">
        <f aca="false">IF($K753=0,"",SOUS_TRAITANCE!$O153)</f>
        <v/>
      </c>
      <c r="K753" s="67" t="n">
        <f aca="false">IF(OR(SOUS_TRAITANCE!$Q153=0,SOUS_TRAITANCE!$D153&lt;&gt;"STOCK EXISTANT"),0,-SOUS_TRAITANCE!$G153)</f>
        <v>0</v>
      </c>
      <c r="L753" s="67" t="n">
        <f aca="false">IF($K753=0,0,SOUS_TRAITANCE!$X153*$K753)</f>
        <v>0</v>
      </c>
      <c r="M753" s="26" t="str">
        <f aca="false">IF($K753=0,"",SOUS_TRAITANCE!$W153)</f>
        <v/>
      </c>
      <c r="N753" s="26" t="str">
        <f aca="false">IF($G753="","",IF($G753=R_LOT,COUNTIF($G$5:$G753,R_LOT),""))</f>
        <v/>
      </c>
    </row>
    <row r="754" customFormat="false" ht="15" hidden="false" customHeight="false" outlineLevel="0" collapsed="false">
      <c r="A754" s="28" t="str">
        <f aca="false">IF($K754=0,"",ROW()-4)</f>
        <v/>
      </c>
      <c r="B754" s="26" t="str">
        <f aca="false">IF($K754=0,"","SOUS-TRAITANCE")</f>
        <v/>
      </c>
      <c r="C754" s="26" t="str">
        <f aca="false">IF($K754=0,"",SOUS_TRAITANCE!$A154)</f>
        <v/>
      </c>
      <c r="D754" s="31" t="str">
        <f aca="false">IF($K754=0,"",SOUS_TRAITANCE!$B154)</f>
        <v/>
      </c>
      <c r="E754" s="26" t="str">
        <f aca="false">IF($K754=0,"","SORTIE")</f>
        <v/>
      </c>
      <c r="F754" s="26" t="str">
        <f aca="false">IF($K754=0,"","ENVOI SOUS-TRAITANCE")</f>
        <v/>
      </c>
      <c r="G754" s="26" t="str">
        <f aca="false">IF($K754=0,"",SOUS_TRAITANCE!$E154)</f>
        <v/>
      </c>
      <c r="H754" s="26" t="str">
        <f aca="false">IF($K754=0,"",SOUS_TRAITANCE!$F154)</f>
        <v/>
      </c>
      <c r="I754" s="26" t="str">
        <f aca="false">IF($H754="","",IFERROR(INDEX(EMPL_CLASSE,MATCH($H754,EMPL_KEY,0)),""))</f>
        <v/>
      </c>
      <c r="J754" s="26" t="str">
        <f aca="false">IF($K754=0,"",SOUS_TRAITANCE!$O154)</f>
        <v/>
      </c>
      <c r="K754" s="67" t="n">
        <f aca="false">IF(OR(SOUS_TRAITANCE!$Q154=0,SOUS_TRAITANCE!$D154&lt;&gt;"STOCK EXISTANT"),0,-SOUS_TRAITANCE!$G154)</f>
        <v>0</v>
      </c>
      <c r="L754" s="67" t="n">
        <f aca="false">IF($K754=0,0,SOUS_TRAITANCE!$X154*$K754)</f>
        <v>0</v>
      </c>
      <c r="M754" s="26" t="str">
        <f aca="false">IF($K754=0,"",SOUS_TRAITANCE!$W154)</f>
        <v/>
      </c>
      <c r="N754" s="26" t="str">
        <f aca="false">IF($G754="","",IF($G754=R_LOT,COUNTIF($G$5:$G754,R_LOT),""))</f>
        <v/>
      </c>
    </row>
    <row r="755" customFormat="false" ht="15" hidden="false" customHeight="false" outlineLevel="0" collapsed="false">
      <c r="A755" s="28" t="n">
        <f aca="false">IF($K755=0,"",ROW()-4)</f>
        <v>751</v>
      </c>
      <c r="B755" s="26" t="str">
        <f aca="false">IF($K755=0,"","RESULTAT ST")</f>
        <v>RESULTAT ST</v>
      </c>
      <c r="C755" s="26" t="str">
        <f aca="false">IF($K755=0,"",ST_RESULTATS!$A5)</f>
        <v>RES-001</v>
      </c>
      <c r="D755" s="31" t="n">
        <f aca="false">IF($K755=0,"",ST_RESULTATS!$V5)</f>
        <v>46248</v>
      </c>
      <c r="E755" s="26" t="str">
        <f aca="false">IF($K755=0,"","ENTREE")</f>
        <v>ENTREE</v>
      </c>
      <c r="F755" s="26" t="str">
        <f aca="false">IF($K755=0,"","RETOUR SOUS-TRAITANCE")</f>
        <v>RETOUR SOUS-TRAITANCE</v>
      </c>
      <c r="G755" s="26" t="str">
        <f aca="false">IF($K755=0,"",ST_RESULTATS!$N5)</f>
        <v>255-HG</v>
      </c>
      <c r="H755" s="26" t="str">
        <f aca="false">IF($K755=0,"",ST_RESULTATS!$J5)</f>
        <v>OCEAMIC 2</v>
      </c>
      <c r="I755" s="26" t="str">
        <f aca="false">IF($H755="","",IFERROR(INDEX(EMPL_CLASSE,MATCH($H755,EMPL_KEY,0)),""))</f>
        <v>INTERNE</v>
      </c>
      <c r="J755" s="26" t="str">
        <f aca="false">IF($K755=0,"",IFERROR(INDEX(LOT_PRODE,MATCH($G755,LOT_KEY,0)),""))</f>
        <v>SARDINE</v>
      </c>
      <c r="K755" s="67" t="n">
        <f aca="false">IF(ST_RESULTATS!$P5=0,0,ST_RESULTATS!$F5)</f>
        <v>300</v>
      </c>
      <c r="L755" s="67" t="n">
        <f aca="false">IF($K755=0,0,ST_RESULTATS!$T5*$K755)</f>
        <v>300</v>
      </c>
      <c r="M755" s="26" t="str">
        <f aca="false">IF($K755=0,"",ST_RESULTATS!$S5)</f>
        <v>OK</v>
      </c>
      <c r="N755" s="26" t="str">
        <f aca="false">IF($G755="","",IF($G755=R_LOT,COUNTIF($G$5:$G755,R_LOT),""))</f>
        <v/>
      </c>
    </row>
    <row r="756" customFormat="false" ht="15" hidden="false" customHeight="false" outlineLevel="0" collapsed="false">
      <c r="A756" s="28" t="n">
        <f aca="false">IF($K756=0,"",ROW()-4)</f>
        <v>752</v>
      </c>
      <c r="B756" s="26" t="str">
        <f aca="false">IF($K756=0,"","RESULTAT ST")</f>
        <v>RESULTAT ST</v>
      </c>
      <c r="C756" s="26" t="str">
        <f aca="false">IF($K756=0,"",ST_RESULTATS!$A6)</f>
        <v>RES-002</v>
      </c>
      <c r="D756" s="31" t="n">
        <f aca="false">IF($K756=0,"",ST_RESULTATS!$V6)</f>
        <v>46248</v>
      </c>
      <c r="E756" s="26" t="str">
        <f aca="false">IF($K756=0,"","ENTREE")</f>
        <v>ENTREE</v>
      </c>
      <c r="F756" s="26" t="str">
        <f aca="false">IF($K756=0,"","RETOUR SOUS-TRAITANCE")</f>
        <v>RETOUR SOUS-TRAITANCE</v>
      </c>
      <c r="G756" s="26" t="str">
        <f aca="false">IF($K756=0,"",ST_RESULTATS!$N6)</f>
        <v>255-HGT</v>
      </c>
      <c r="H756" s="26" t="str">
        <f aca="false">IF($K756=0,"",ST_RESULTATS!$J6)</f>
        <v>COFRIGOP</v>
      </c>
      <c r="I756" s="26" t="str">
        <f aca="false">IF($H756="","",IFERROR(INDEX(EMPL_CLASSE,MATCH($H756,EMPL_KEY,0)),""))</f>
        <v>EXTERNE</v>
      </c>
      <c r="J756" s="26" t="str">
        <f aca="false">IF($K756=0,"",IFERROR(INDEX(LOT_PRODE,MATCH($G756,LOT_KEY,0)),""))</f>
        <v>SARDINE</v>
      </c>
      <c r="K756" s="67" t="n">
        <f aca="false">IF(ST_RESULTATS!$P6=0,0,ST_RESULTATS!$F6)</f>
        <v>150</v>
      </c>
      <c r="L756" s="67" t="n">
        <f aca="false">IF($K756=0,0,ST_RESULTATS!$T6*$K756)</f>
        <v>150</v>
      </c>
      <c r="M756" s="26" t="str">
        <f aca="false">IF($K756=0,"",ST_RESULTATS!$S6)</f>
        <v>OK</v>
      </c>
      <c r="N756" s="26" t="str">
        <f aca="false">IF($G756="","",IF($G756=R_LOT,COUNTIF($G$5:$G756,R_LOT),""))</f>
        <v/>
      </c>
    </row>
    <row r="757" customFormat="false" ht="15" hidden="false" customHeight="false" outlineLevel="0" collapsed="false">
      <c r="A757" s="28" t="n">
        <f aca="false">IF($K757=0,"",ROW()-4)</f>
        <v>753</v>
      </c>
      <c r="B757" s="26" t="str">
        <f aca="false">IF($K757=0,"","RESULTAT ST")</f>
        <v>RESULTAT ST</v>
      </c>
      <c r="C757" s="26" t="str">
        <f aca="false">IF($K757=0,"",ST_RESULTATS!$A7)</f>
        <v>RES-003</v>
      </c>
      <c r="D757" s="31" t="n">
        <f aca="false">IF($K757=0,"",ST_RESULTATS!$V7)</f>
        <v>46247</v>
      </c>
      <c r="E757" s="26" t="str">
        <f aca="false">IF($K757=0,"","ENTREE")</f>
        <v>ENTREE</v>
      </c>
      <c r="F757" s="26" t="str">
        <f aca="false">IF($K757=0,"","RETOUR SOUS-TRAITANCE")</f>
        <v>RETOUR SOUS-TRAITANCE</v>
      </c>
      <c r="G757" s="26" t="str">
        <f aca="false">IF($K757=0,"",ST_RESULTATS!$N7)</f>
        <v>300-FIL</v>
      </c>
      <c r="H757" s="26" t="str">
        <f aca="false">IF($K757=0,"",ST_RESULTATS!$J7)</f>
        <v>OCEAMIC 2</v>
      </c>
      <c r="I757" s="26" t="str">
        <f aca="false">IF($H757="","",IFERROR(INDEX(EMPL_CLASSE,MATCH($H757,EMPL_KEY,0)),""))</f>
        <v>INTERNE</v>
      </c>
      <c r="J757" s="26" t="str">
        <f aca="false">IF($K757=0,"",IFERROR(INDEX(LOT_PRODE,MATCH($G757,LOT_KEY,0)),""))</f>
        <v>ANCHOIS</v>
      </c>
      <c r="K757" s="67" t="n">
        <f aca="false">IF(ST_RESULTATS!$P7=0,0,ST_RESULTATS!$F7)</f>
        <v>590</v>
      </c>
      <c r="L757" s="67" t="n">
        <f aca="false">IF($K757=0,0,ST_RESULTATS!$T7*$K757)</f>
        <v>590</v>
      </c>
      <c r="M757" s="26" t="str">
        <f aca="false">IF($K757=0,"",ST_RESULTATS!$S7)</f>
        <v>OK</v>
      </c>
      <c r="N757" s="26" t="str">
        <f aca="false">IF($G757="","",IF($G757=R_LOT,COUNTIF($G$5:$G757,R_LOT),""))</f>
        <v/>
      </c>
    </row>
    <row r="758" customFormat="false" ht="15" hidden="false" customHeight="false" outlineLevel="0" collapsed="false">
      <c r="A758" s="28" t="str">
        <f aca="false">IF($K758=0,"",ROW()-4)</f>
        <v/>
      </c>
      <c r="B758" s="26" t="str">
        <f aca="false">IF($K758=0,"","RESULTAT ST")</f>
        <v/>
      </c>
      <c r="C758" s="26" t="str">
        <f aca="false">IF($K758=0,"",ST_RESULTATS!$A8)</f>
        <v/>
      </c>
      <c r="D758" s="31" t="str">
        <f aca="false">IF($K758=0,"",ST_RESULTATS!$V8)</f>
        <v/>
      </c>
      <c r="E758" s="26" t="str">
        <f aca="false">IF($K758=0,"","ENTREE")</f>
        <v/>
      </c>
      <c r="F758" s="26" t="str">
        <f aca="false">IF($K758=0,"","RETOUR SOUS-TRAITANCE")</f>
        <v/>
      </c>
      <c r="G758" s="26" t="str">
        <f aca="false">IF($K758=0,"",ST_RESULTATS!$N8)</f>
        <v/>
      </c>
      <c r="H758" s="26" t="str">
        <f aca="false">IF($K758=0,"",ST_RESULTATS!$J8)</f>
        <v/>
      </c>
      <c r="I758" s="26" t="str">
        <f aca="false">IF($H758="","",IFERROR(INDEX(EMPL_CLASSE,MATCH($H758,EMPL_KEY,0)),""))</f>
        <v/>
      </c>
      <c r="J758" s="26" t="str">
        <f aca="false">IF($K758=0,"",IFERROR(INDEX(LOT_PRODE,MATCH($G758,LOT_KEY,0)),""))</f>
        <v/>
      </c>
      <c r="K758" s="67" t="n">
        <f aca="false">IF(ST_RESULTATS!$P8=0,0,ST_RESULTATS!$F8)</f>
        <v>0</v>
      </c>
      <c r="L758" s="67" t="n">
        <f aca="false">IF($K758=0,0,ST_RESULTATS!$T8*$K758)</f>
        <v>0</v>
      </c>
      <c r="M758" s="26" t="str">
        <f aca="false">IF($K758=0,"",ST_RESULTATS!$S8)</f>
        <v/>
      </c>
      <c r="N758" s="26" t="str">
        <f aca="false">IF($G758="","",IF($G758=R_LOT,COUNTIF($G$5:$G758,R_LOT),""))</f>
        <v/>
      </c>
    </row>
    <row r="759" customFormat="false" ht="15" hidden="false" customHeight="false" outlineLevel="0" collapsed="false">
      <c r="A759" s="28" t="str">
        <f aca="false">IF($K759=0,"",ROW()-4)</f>
        <v/>
      </c>
      <c r="B759" s="26" t="str">
        <f aca="false">IF($K759=0,"","RESULTAT ST")</f>
        <v/>
      </c>
      <c r="C759" s="26" t="str">
        <f aca="false">IF($K759=0,"",ST_RESULTATS!$A9)</f>
        <v/>
      </c>
      <c r="D759" s="31" t="str">
        <f aca="false">IF($K759=0,"",ST_RESULTATS!$V9)</f>
        <v/>
      </c>
      <c r="E759" s="26" t="str">
        <f aca="false">IF($K759=0,"","ENTREE")</f>
        <v/>
      </c>
      <c r="F759" s="26" t="str">
        <f aca="false">IF($K759=0,"","RETOUR SOUS-TRAITANCE")</f>
        <v/>
      </c>
      <c r="G759" s="26" t="str">
        <f aca="false">IF($K759=0,"",ST_RESULTATS!$N9)</f>
        <v/>
      </c>
      <c r="H759" s="26" t="str">
        <f aca="false">IF($K759=0,"",ST_RESULTATS!$J9)</f>
        <v/>
      </c>
      <c r="I759" s="26" t="str">
        <f aca="false">IF($H759="","",IFERROR(INDEX(EMPL_CLASSE,MATCH($H759,EMPL_KEY,0)),""))</f>
        <v/>
      </c>
      <c r="J759" s="26" t="str">
        <f aca="false">IF($K759=0,"",IFERROR(INDEX(LOT_PRODE,MATCH($G759,LOT_KEY,0)),""))</f>
        <v/>
      </c>
      <c r="K759" s="67" t="n">
        <f aca="false">IF(ST_RESULTATS!$P9=0,0,ST_RESULTATS!$F9)</f>
        <v>0</v>
      </c>
      <c r="L759" s="67" t="n">
        <f aca="false">IF($K759=0,0,ST_RESULTATS!$T9*$K759)</f>
        <v>0</v>
      </c>
      <c r="M759" s="26" t="str">
        <f aca="false">IF($K759=0,"",ST_RESULTATS!$S9)</f>
        <v/>
      </c>
      <c r="N759" s="26" t="str">
        <f aca="false">IF($G759="","",IF($G759=R_LOT,COUNTIF($G$5:$G759,R_LOT),""))</f>
        <v/>
      </c>
    </row>
    <row r="760" customFormat="false" ht="15" hidden="false" customHeight="false" outlineLevel="0" collapsed="false">
      <c r="A760" s="28" t="str">
        <f aca="false">IF($K760=0,"",ROW()-4)</f>
        <v/>
      </c>
      <c r="B760" s="26" t="str">
        <f aca="false">IF($K760=0,"","RESULTAT ST")</f>
        <v/>
      </c>
      <c r="C760" s="26" t="str">
        <f aca="false">IF($K760=0,"",ST_RESULTATS!$A10)</f>
        <v/>
      </c>
      <c r="D760" s="31" t="str">
        <f aca="false">IF($K760=0,"",ST_RESULTATS!$V10)</f>
        <v/>
      </c>
      <c r="E760" s="26" t="str">
        <f aca="false">IF($K760=0,"","ENTREE")</f>
        <v/>
      </c>
      <c r="F760" s="26" t="str">
        <f aca="false">IF($K760=0,"","RETOUR SOUS-TRAITANCE")</f>
        <v/>
      </c>
      <c r="G760" s="26" t="str">
        <f aca="false">IF($K760=0,"",ST_RESULTATS!$N10)</f>
        <v/>
      </c>
      <c r="H760" s="26" t="str">
        <f aca="false">IF($K760=0,"",ST_RESULTATS!$J10)</f>
        <v/>
      </c>
      <c r="I760" s="26" t="str">
        <f aca="false">IF($H760="","",IFERROR(INDEX(EMPL_CLASSE,MATCH($H760,EMPL_KEY,0)),""))</f>
        <v/>
      </c>
      <c r="J760" s="26" t="str">
        <f aca="false">IF($K760=0,"",IFERROR(INDEX(LOT_PRODE,MATCH($G760,LOT_KEY,0)),""))</f>
        <v/>
      </c>
      <c r="K760" s="67" t="n">
        <f aca="false">IF(ST_RESULTATS!$P10=0,0,ST_RESULTATS!$F10)</f>
        <v>0</v>
      </c>
      <c r="L760" s="67" t="n">
        <f aca="false">IF($K760=0,0,ST_RESULTATS!$T10*$K760)</f>
        <v>0</v>
      </c>
      <c r="M760" s="26" t="str">
        <f aca="false">IF($K760=0,"",ST_RESULTATS!$S10)</f>
        <v/>
      </c>
      <c r="N760" s="26" t="str">
        <f aca="false">IF($G760="","",IF($G760=R_LOT,COUNTIF($G$5:$G760,R_LOT),""))</f>
        <v/>
      </c>
    </row>
    <row r="761" customFormat="false" ht="15" hidden="false" customHeight="false" outlineLevel="0" collapsed="false">
      <c r="A761" s="28" t="str">
        <f aca="false">IF($K761=0,"",ROW()-4)</f>
        <v/>
      </c>
      <c r="B761" s="26" t="str">
        <f aca="false">IF($K761=0,"","RESULTAT ST")</f>
        <v/>
      </c>
      <c r="C761" s="26" t="str">
        <f aca="false">IF($K761=0,"",ST_RESULTATS!$A11)</f>
        <v/>
      </c>
      <c r="D761" s="31" t="str">
        <f aca="false">IF($K761=0,"",ST_RESULTATS!$V11)</f>
        <v/>
      </c>
      <c r="E761" s="26" t="str">
        <f aca="false">IF($K761=0,"","ENTREE")</f>
        <v/>
      </c>
      <c r="F761" s="26" t="str">
        <f aca="false">IF($K761=0,"","RETOUR SOUS-TRAITANCE")</f>
        <v/>
      </c>
      <c r="G761" s="26" t="str">
        <f aca="false">IF($K761=0,"",ST_RESULTATS!$N11)</f>
        <v/>
      </c>
      <c r="H761" s="26" t="str">
        <f aca="false">IF($K761=0,"",ST_RESULTATS!$J11)</f>
        <v/>
      </c>
      <c r="I761" s="26" t="str">
        <f aca="false">IF($H761="","",IFERROR(INDEX(EMPL_CLASSE,MATCH($H761,EMPL_KEY,0)),""))</f>
        <v/>
      </c>
      <c r="J761" s="26" t="str">
        <f aca="false">IF($K761=0,"",IFERROR(INDEX(LOT_PRODE,MATCH($G761,LOT_KEY,0)),""))</f>
        <v/>
      </c>
      <c r="K761" s="67" t="n">
        <f aca="false">IF(ST_RESULTATS!$P11=0,0,ST_RESULTATS!$F11)</f>
        <v>0</v>
      </c>
      <c r="L761" s="67" t="n">
        <f aca="false">IF($K761=0,0,ST_RESULTATS!$T11*$K761)</f>
        <v>0</v>
      </c>
      <c r="M761" s="26" t="str">
        <f aca="false">IF($K761=0,"",ST_RESULTATS!$S11)</f>
        <v/>
      </c>
      <c r="N761" s="26" t="str">
        <f aca="false">IF($G761="","",IF($G761=R_LOT,COUNTIF($G$5:$G761,R_LOT),""))</f>
        <v/>
      </c>
    </row>
    <row r="762" customFormat="false" ht="15" hidden="false" customHeight="false" outlineLevel="0" collapsed="false">
      <c r="A762" s="28" t="str">
        <f aca="false">IF($K762=0,"",ROW()-4)</f>
        <v/>
      </c>
      <c r="B762" s="26" t="str">
        <f aca="false">IF($K762=0,"","RESULTAT ST")</f>
        <v/>
      </c>
      <c r="C762" s="26" t="str">
        <f aca="false">IF($K762=0,"",ST_RESULTATS!$A12)</f>
        <v/>
      </c>
      <c r="D762" s="31" t="str">
        <f aca="false">IF($K762=0,"",ST_RESULTATS!$V12)</f>
        <v/>
      </c>
      <c r="E762" s="26" t="str">
        <f aca="false">IF($K762=0,"","ENTREE")</f>
        <v/>
      </c>
      <c r="F762" s="26" t="str">
        <f aca="false">IF($K762=0,"","RETOUR SOUS-TRAITANCE")</f>
        <v/>
      </c>
      <c r="G762" s="26" t="str">
        <f aca="false">IF($K762=0,"",ST_RESULTATS!$N12)</f>
        <v/>
      </c>
      <c r="H762" s="26" t="str">
        <f aca="false">IF($K762=0,"",ST_RESULTATS!$J12)</f>
        <v/>
      </c>
      <c r="I762" s="26" t="str">
        <f aca="false">IF($H762="","",IFERROR(INDEX(EMPL_CLASSE,MATCH($H762,EMPL_KEY,0)),""))</f>
        <v/>
      </c>
      <c r="J762" s="26" t="str">
        <f aca="false">IF($K762=0,"",IFERROR(INDEX(LOT_PRODE,MATCH($G762,LOT_KEY,0)),""))</f>
        <v/>
      </c>
      <c r="K762" s="67" t="n">
        <f aca="false">IF(ST_RESULTATS!$P12=0,0,ST_RESULTATS!$F12)</f>
        <v>0</v>
      </c>
      <c r="L762" s="67" t="n">
        <f aca="false">IF($K762=0,0,ST_RESULTATS!$T12*$K762)</f>
        <v>0</v>
      </c>
      <c r="M762" s="26" t="str">
        <f aca="false">IF($K762=0,"",ST_RESULTATS!$S12)</f>
        <v/>
      </c>
      <c r="N762" s="26" t="str">
        <f aca="false">IF($G762="","",IF($G762=R_LOT,COUNTIF($G$5:$G762,R_LOT),""))</f>
        <v/>
      </c>
    </row>
    <row r="763" customFormat="false" ht="15" hidden="false" customHeight="false" outlineLevel="0" collapsed="false">
      <c r="A763" s="28" t="str">
        <f aca="false">IF($K763=0,"",ROW()-4)</f>
        <v/>
      </c>
      <c r="B763" s="26" t="str">
        <f aca="false">IF($K763=0,"","RESULTAT ST")</f>
        <v/>
      </c>
      <c r="C763" s="26" t="str">
        <f aca="false">IF($K763=0,"",ST_RESULTATS!$A13)</f>
        <v/>
      </c>
      <c r="D763" s="31" t="str">
        <f aca="false">IF($K763=0,"",ST_RESULTATS!$V13)</f>
        <v/>
      </c>
      <c r="E763" s="26" t="str">
        <f aca="false">IF($K763=0,"","ENTREE")</f>
        <v/>
      </c>
      <c r="F763" s="26" t="str">
        <f aca="false">IF($K763=0,"","RETOUR SOUS-TRAITANCE")</f>
        <v/>
      </c>
      <c r="G763" s="26" t="str">
        <f aca="false">IF($K763=0,"",ST_RESULTATS!$N13)</f>
        <v/>
      </c>
      <c r="H763" s="26" t="str">
        <f aca="false">IF($K763=0,"",ST_RESULTATS!$J13)</f>
        <v/>
      </c>
      <c r="I763" s="26" t="str">
        <f aca="false">IF($H763="","",IFERROR(INDEX(EMPL_CLASSE,MATCH($H763,EMPL_KEY,0)),""))</f>
        <v/>
      </c>
      <c r="J763" s="26" t="str">
        <f aca="false">IF($K763=0,"",IFERROR(INDEX(LOT_PRODE,MATCH($G763,LOT_KEY,0)),""))</f>
        <v/>
      </c>
      <c r="K763" s="67" t="n">
        <f aca="false">IF(ST_RESULTATS!$P13=0,0,ST_RESULTATS!$F13)</f>
        <v>0</v>
      </c>
      <c r="L763" s="67" t="n">
        <f aca="false">IF($K763=0,0,ST_RESULTATS!$T13*$K763)</f>
        <v>0</v>
      </c>
      <c r="M763" s="26" t="str">
        <f aca="false">IF($K763=0,"",ST_RESULTATS!$S13)</f>
        <v/>
      </c>
      <c r="N763" s="26" t="str">
        <f aca="false">IF($G763="","",IF($G763=R_LOT,COUNTIF($G$5:$G763,R_LOT),""))</f>
        <v/>
      </c>
    </row>
    <row r="764" customFormat="false" ht="15" hidden="false" customHeight="false" outlineLevel="0" collapsed="false">
      <c r="A764" s="28" t="str">
        <f aca="false">IF($K764=0,"",ROW()-4)</f>
        <v/>
      </c>
      <c r="B764" s="26" t="str">
        <f aca="false">IF($K764=0,"","RESULTAT ST")</f>
        <v/>
      </c>
      <c r="C764" s="26" t="str">
        <f aca="false">IF($K764=0,"",ST_RESULTATS!$A14)</f>
        <v/>
      </c>
      <c r="D764" s="31" t="str">
        <f aca="false">IF($K764=0,"",ST_RESULTATS!$V14)</f>
        <v/>
      </c>
      <c r="E764" s="26" t="str">
        <f aca="false">IF($K764=0,"","ENTREE")</f>
        <v/>
      </c>
      <c r="F764" s="26" t="str">
        <f aca="false">IF($K764=0,"","RETOUR SOUS-TRAITANCE")</f>
        <v/>
      </c>
      <c r="G764" s="26" t="str">
        <f aca="false">IF($K764=0,"",ST_RESULTATS!$N14)</f>
        <v/>
      </c>
      <c r="H764" s="26" t="str">
        <f aca="false">IF($K764=0,"",ST_RESULTATS!$J14)</f>
        <v/>
      </c>
      <c r="I764" s="26" t="str">
        <f aca="false">IF($H764="","",IFERROR(INDEX(EMPL_CLASSE,MATCH($H764,EMPL_KEY,0)),""))</f>
        <v/>
      </c>
      <c r="J764" s="26" t="str">
        <f aca="false">IF($K764=0,"",IFERROR(INDEX(LOT_PRODE,MATCH($G764,LOT_KEY,0)),""))</f>
        <v/>
      </c>
      <c r="K764" s="67" t="n">
        <f aca="false">IF(ST_RESULTATS!$P14=0,0,ST_RESULTATS!$F14)</f>
        <v>0</v>
      </c>
      <c r="L764" s="67" t="n">
        <f aca="false">IF($K764=0,0,ST_RESULTATS!$T14*$K764)</f>
        <v>0</v>
      </c>
      <c r="M764" s="26" t="str">
        <f aca="false">IF($K764=0,"",ST_RESULTATS!$S14)</f>
        <v/>
      </c>
      <c r="N764" s="26" t="str">
        <f aca="false">IF($G764="","",IF($G764=R_LOT,COUNTIF($G$5:$G764,R_LOT),""))</f>
        <v/>
      </c>
    </row>
    <row r="765" customFormat="false" ht="15" hidden="false" customHeight="false" outlineLevel="0" collapsed="false">
      <c r="A765" s="28" t="str">
        <f aca="false">IF($K765=0,"",ROW()-4)</f>
        <v/>
      </c>
      <c r="B765" s="26" t="str">
        <f aca="false">IF($K765=0,"","RESULTAT ST")</f>
        <v/>
      </c>
      <c r="C765" s="26" t="str">
        <f aca="false">IF($K765=0,"",ST_RESULTATS!$A15)</f>
        <v/>
      </c>
      <c r="D765" s="31" t="str">
        <f aca="false">IF($K765=0,"",ST_RESULTATS!$V15)</f>
        <v/>
      </c>
      <c r="E765" s="26" t="str">
        <f aca="false">IF($K765=0,"","ENTREE")</f>
        <v/>
      </c>
      <c r="F765" s="26" t="str">
        <f aca="false">IF($K765=0,"","RETOUR SOUS-TRAITANCE")</f>
        <v/>
      </c>
      <c r="G765" s="26" t="str">
        <f aca="false">IF($K765=0,"",ST_RESULTATS!$N15)</f>
        <v/>
      </c>
      <c r="H765" s="26" t="str">
        <f aca="false">IF($K765=0,"",ST_RESULTATS!$J15)</f>
        <v/>
      </c>
      <c r="I765" s="26" t="str">
        <f aca="false">IF($H765="","",IFERROR(INDEX(EMPL_CLASSE,MATCH($H765,EMPL_KEY,0)),""))</f>
        <v/>
      </c>
      <c r="J765" s="26" t="str">
        <f aca="false">IF($K765=0,"",IFERROR(INDEX(LOT_PRODE,MATCH($G765,LOT_KEY,0)),""))</f>
        <v/>
      </c>
      <c r="K765" s="67" t="n">
        <f aca="false">IF(ST_RESULTATS!$P15=0,0,ST_RESULTATS!$F15)</f>
        <v>0</v>
      </c>
      <c r="L765" s="67" t="n">
        <f aca="false">IF($K765=0,0,ST_RESULTATS!$T15*$K765)</f>
        <v>0</v>
      </c>
      <c r="M765" s="26" t="str">
        <f aca="false">IF($K765=0,"",ST_RESULTATS!$S15)</f>
        <v/>
      </c>
      <c r="N765" s="26" t="str">
        <f aca="false">IF($G765="","",IF($G765=R_LOT,COUNTIF($G$5:$G765,R_LOT),""))</f>
        <v/>
      </c>
    </row>
    <row r="766" customFormat="false" ht="15" hidden="false" customHeight="false" outlineLevel="0" collapsed="false">
      <c r="A766" s="28" t="str">
        <f aca="false">IF($K766=0,"",ROW()-4)</f>
        <v/>
      </c>
      <c r="B766" s="26" t="str">
        <f aca="false">IF($K766=0,"","RESULTAT ST")</f>
        <v/>
      </c>
      <c r="C766" s="26" t="str">
        <f aca="false">IF($K766=0,"",ST_RESULTATS!$A16)</f>
        <v/>
      </c>
      <c r="D766" s="31" t="str">
        <f aca="false">IF($K766=0,"",ST_RESULTATS!$V16)</f>
        <v/>
      </c>
      <c r="E766" s="26" t="str">
        <f aca="false">IF($K766=0,"","ENTREE")</f>
        <v/>
      </c>
      <c r="F766" s="26" t="str">
        <f aca="false">IF($K766=0,"","RETOUR SOUS-TRAITANCE")</f>
        <v/>
      </c>
      <c r="G766" s="26" t="str">
        <f aca="false">IF($K766=0,"",ST_RESULTATS!$N16)</f>
        <v/>
      </c>
      <c r="H766" s="26" t="str">
        <f aca="false">IF($K766=0,"",ST_RESULTATS!$J16)</f>
        <v/>
      </c>
      <c r="I766" s="26" t="str">
        <f aca="false">IF($H766="","",IFERROR(INDEX(EMPL_CLASSE,MATCH($H766,EMPL_KEY,0)),""))</f>
        <v/>
      </c>
      <c r="J766" s="26" t="str">
        <f aca="false">IF($K766=0,"",IFERROR(INDEX(LOT_PRODE,MATCH($G766,LOT_KEY,0)),""))</f>
        <v/>
      </c>
      <c r="K766" s="67" t="n">
        <f aca="false">IF(ST_RESULTATS!$P16=0,0,ST_RESULTATS!$F16)</f>
        <v>0</v>
      </c>
      <c r="L766" s="67" t="n">
        <f aca="false">IF($K766=0,0,ST_RESULTATS!$T16*$K766)</f>
        <v>0</v>
      </c>
      <c r="M766" s="26" t="str">
        <f aca="false">IF($K766=0,"",ST_RESULTATS!$S16)</f>
        <v/>
      </c>
      <c r="N766" s="26" t="str">
        <f aca="false">IF($G766="","",IF($G766=R_LOT,COUNTIF($G$5:$G766,R_LOT),""))</f>
        <v/>
      </c>
    </row>
    <row r="767" customFormat="false" ht="15" hidden="false" customHeight="false" outlineLevel="0" collapsed="false">
      <c r="A767" s="28" t="str">
        <f aca="false">IF($K767=0,"",ROW()-4)</f>
        <v/>
      </c>
      <c r="B767" s="26" t="str">
        <f aca="false">IF($K767=0,"","RESULTAT ST")</f>
        <v/>
      </c>
      <c r="C767" s="26" t="str">
        <f aca="false">IF($K767=0,"",ST_RESULTATS!$A17)</f>
        <v/>
      </c>
      <c r="D767" s="31" t="str">
        <f aca="false">IF($K767=0,"",ST_RESULTATS!$V17)</f>
        <v/>
      </c>
      <c r="E767" s="26" t="str">
        <f aca="false">IF($K767=0,"","ENTREE")</f>
        <v/>
      </c>
      <c r="F767" s="26" t="str">
        <f aca="false">IF($K767=0,"","RETOUR SOUS-TRAITANCE")</f>
        <v/>
      </c>
      <c r="G767" s="26" t="str">
        <f aca="false">IF($K767=0,"",ST_RESULTATS!$N17)</f>
        <v/>
      </c>
      <c r="H767" s="26" t="str">
        <f aca="false">IF($K767=0,"",ST_RESULTATS!$J17)</f>
        <v/>
      </c>
      <c r="I767" s="26" t="str">
        <f aca="false">IF($H767="","",IFERROR(INDEX(EMPL_CLASSE,MATCH($H767,EMPL_KEY,0)),""))</f>
        <v/>
      </c>
      <c r="J767" s="26" t="str">
        <f aca="false">IF($K767=0,"",IFERROR(INDEX(LOT_PRODE,MATCH($G767,LOT_KEY,0)),""))</f>
        <v/>
      </c>
      <c r="K767" s="67" t="n">
        <f aca="false">IF(ST_RESULTATS!$P17=0,0,ST_RESULTATS!$F17)</f>
        <v>0</v>
      </c>
      <c r="L767" s="67" t="n">
        <f aca="false">IF($K767=0,0,ST_RESULTATS!$T17*$K767)</f>
        <v>0</v>
      </c>
      <c r="M767" s="26" t="str">
        <f aca="false">IF($K767=0,"",ST_RESULTATS!$S17)</f>
        <v/>
      </c>
      <c r="N767" s="26" t="str">
        <f aca="false">IF($G767="","",IF($G767=R_LOT,COUNTIF($G$5:$G767,R_LOT),""))</f>
        <v/>
      </c>
    </row>
    <row r="768" customFormat="false" ht="15" hidden="false" customHeight="false" outlineLevel="0" collapsed="false">
      <c r="A768" s="28" t="str">
        <f aca="false">IF($K768=0,"",ROW()-4)</f>
        <v/>
      </c>
      <c r="B768" s="26" t="str">
        <f aca="false">IF($K768=0,"","RESULTAT ST")</f>
        <v/>
      </c>
      <c r="C768" s="26" t="str">
        <f aca="false">IF($K768=0,"",ST_RESULTATS!$A18)</f>
        <v/>
      </c>
      <c r="D768" s="31" t="str">
        <f aca="false">IF($K768=0,"",ST_RESULTATS!$V18)</f>
        <v/>
      </c>
      <c r="E768" s="26" t="str">
        <f aca="false">IF($K768=0,"","ENTREE")</f>
        <v/>
      </c>
      <c r="F768" s="26" t="str">
        <f aca="false">IF($K768=0,"","RETOUR SOUS-TRAITANCE")</f>
        <v/>
      </c>
      <c r="G768" s="26" t="str">
        <f aca="false">IF($K768=0,"",ST_RESULTATS!$N18)</f>
        <v/>
      </c>
      <c r="H768" s="26" t="str">
        <f aca="false">IF($K768=0,"",ST_RESULTATS!$J18)</f>
        <v/>
      </c>
      <c r="I768" s="26" t="str">
        <f aca="false">IF($H768="","",IFERROR(INDEX(EMPL_CLASSE,MATCH($H768,EMPL_KEY,0)),""))</f>
        <v/>
      </c>
      <c r="J768" s="26" t="str">
        <f aca="false">IF($K768=0,"",IFERROR(INDEX(LOT_PRODE,MATCH($G768,LOT_KEY,0)),""))</f>
        <v/>
      </c>
      <c r="K768" s="67" t="n">
        <f aca="false">IF(ST_RESULTATS!$P18=0,0,ST_RESULTATS!$F18)</f>
        <v>0</v>
      </c>
      <c r="L768" s="67" t="n">
        <f aca="false">IF($K768=0,0,ST_RESULTATS!$T18*$K768)</f>
        <v>0</v>
      </c>
      <c r="M768" s="26" t="str">
        <f aca="false">IF($K768=0,"",ST_RESULTATS!$S18)</f>
        <v/>
      </c>
      <c r="N768" s="26" t="str">
        <f aca="false">IF($G768="","",IF($G768=R_LOT,COUNTIF($G$5:$G768,R_LOT),""))</f>
        <v/>
      </c>
    </row>
    <row r="769" customFormat="false" ht="15" hidden="false" customHeight="false" outlineLevel="0" collapsed="false">
      <c r="A769" s="28" t="str">
        <f aca="false">IF($K769=0,"",ROW()-4)</f>
        <v/>
      </c>
      <c r="B769" s="26" t="str">
        <f aca="false">IF($K769=0,"","RESULTAT ST")</f>
        <v/>
      </c>
      <c r="C769" s="26" t="str">
        <f aca="false">IF($K769=0,"",ST_RESULTATS!$A19)</f>
        <v/>
      </c>
      <c r="D769" s="31" t="str">
        <f aca="false">IF($K769=0,"",ST_RESULTATS!$V19)</f>
        <v/>
      </c>
      <c r="E769" s="26" t="str">
        <f aca="false">IF($K769=0,"","ENTREE")</f>
        <v/>
      </c>
      <c r="F769" s="26" t="str">
        <f aca="false">IF($K769=0,"","RETOUR SOUS-TRAITANCE")</f>
        <v/>
      </c>
      <c r="G769" s="26" t="str">
        <f aca="false">IF($K769=0,"",ST_RESULTATS!$N19)</f>
        <v/>
      </c>
      <c r="H769" s="26" t="str">
        <f aca="false">IF($K769=0,"",ST_RESULTATS!$J19)</f>
        <v/>
      </c>
      <c r="I769" s="26" t="str">
        <f aca="false">IF($H769="","",IFERROR(INDEX(EMPL_CLASSE,MATCH($H769,EMPL_KEY,0)),""))</f>
        <v/>
      </c>
      <c r="J769" s="26" t="str">
        <f aca="false">IF($K769=0,"",IFERROR(INDEX(LOT_PRODE,MATCH($G769,LOT_KEY,0)),""))</f>
        <v/>
      </c>
      <c r="K769" s="67" t="n">
        <f aca="false">IF(ST_RESULTATS!$P19=0,0,ST_RESULTATS!$F19)</f>
        <v>0</v>
      </c>
      <c r="L769" s="67" t="n">
        <f aca="false">IF($K769=0,0,ST_RESULTATS!$T19*$K769)</f>
        <v>0</v>
      </c>
      <c r="M769" s="26" t="str">
        <f aca="false">IF($K769=0,"",ST_RESULTATS!$S19)</f>
        <v/>
      </c>
      <c r="N769" s="26" t="str">
        <f aca="false">IF($G769="","",IF($G769=R_LOT,COUNTIF($G$5:$G769,R_LOT),""))</f>
        <v/>
      </c>
    </row>
    <row r="770" customFormat="false" ht="15" hidden="false" customHeight="false" outlineLevel="0" collapsed="false">
      <c r="A770" s="28" t="str">
        <f aca="false">IF($K770=0,"",ROW()-4)</f>
        <v/>
      </c>
      <c r="B770" s="26" t="str">
        <f aca="false">IF($K770=0,"","RESULTAT ST")</f>
        <v/>
      </c>
      <c r="C770" s="26" t="str">
        <f aca="false">IF($K770=0,"",ST_RESULTATS!$A20)</f>
        <v/>
      </c>
      <c r="D770" s="31" t="str">
        <f aca="false">IF($K770=0,"",ST_RESULTATS!$V20)</f>
        <v/>
      </c>
      <c r="E770" s="26" t="str">
        <f aca="false">IF($K770=0,"","ENTREE")</f>
        <v/>
      </c>
      <c r="F770" s="26" t="str">
        <f aca="false">IF($K770=0,"","RETOUR SOUS-TRAITANCE")</f>
        <v/>
      </c>
      <c r="G770" s="26" t="str">
        <f aca="false">IF($K770=0,"",ST_RESULTATS!$N20)</f>
        <v/>
      </c>
      <c r="H770" s="26" t="str">
        <f aca="false">IF($K770=0,"",ST_RESULTATS!$J20)</f>
        <v/>
      </c>
      <c r="I770" s="26" t="str">
        <f aca="false">IF($H770="","",IFERROR(INDEX(EMPL_CLASSE,MATCH($H770,EMPL_KEY,0)),""))</f>
        <v/>
      </c>
      <c r="J770" s="26" t="str">
        <f aca="false">IF($K770=0,"",IFERROR(INDEX(LOT_PRODE,MATCH($G770,LOT_KEY,0)),""))</f>
        <v/>
      </c>
      <c r="K770" s="67" t="n">
        <f aca="false">IF(ST_RESULTATS!$P20=0,0,ST_RESULTATS!$F20)</f>
        <v>0</v>
      </c>
      <c r="L770" s="67" t="n">
        <f aca="false">IF($K770=0,0,ST_RESULTATS!$T20*$K770)</f>
        <v>0</v>
      </c>
      <c r="M770" s="26" t="str">
        <f aca="false">IF($K770=0,"",ST_RESULTATS!$S20)</f>
        <v/>
      </c>
      <c r="N770" s="26" t="str">
        <f aca="false">IF($G770="","",IF($G770=R_LOT,COUNTIF($G$5:$G770,R_LOT),""))</f>
        <v/>
      </c>
    </row>
    <row r="771" customFormat="false" ht="15" hidden="false" customHeight="false" outlineLevel="0" collapsed="false">
      <c r="A771" s="28" t="str">
        <f aca="false">IF($K771=0,"",ROW()-4)</f>
        <v/>
      </c>
      <c r="B771" s="26" t="str">
        <f aca="false">IF($K771=0,"","RESULTAT ST")</f>
        <v/>
      </c>
      <c r="C771" s="26" t="str">
        <f aca="false">IF($K771=0,"",ST_RESULTATS!$A21)</f>
        <v/>
      </c>
      <c r="D771" s="31" t="str">
        <f aca="false">IF($K771=0,"",ST_RESULTATS!$V21)</f>
        <v/>
      </c>
      <c r="E771" s="26" t="str">
        <f aca="false">IF($K771=0,"","ENTREE")</f>
        <v/>
      </c>
      <c r="F771" s="26" t="str">
        <f aca="false">IF($K771=0,"","RETOUR SOUS-TRAITANCE")</f>
        <v/>
      </c>
      <c r="G771" s="26" t="str">
        <f aca="false">IF($K771=0,"",ST_RESULTATS!$N21)</f>
        <v/>
      </c>
      <c r="H771" s="26" t="str">
        <f aca="false">IF($K771=0,"",ST_RESULTATS!$J21)</f>
        <v/>
      </c>
      <c r="I771" s="26" t="str">
        <f aca="false">IF($H771="","",IFERROR(INDEX(EMPL_CLASSE,MATCH($H771,EMPL_KEY,0)),""))</f>
        <v/>
      </c>
      <c r="J771" s="26" t="str">
        <f aca="false">IF($K771=0,"",IFERROR(INDEX(LOT_PRODE,MATCH($G771,LOT_KEY,0)),""))</f>
        <v/>
      </c>
      <c r="K771" s="67" t="n">
        <f aca="false">IF(ST_RESULTATS!$P21=0,0,ST_RESULTATS!$F21)</f>
        <v>0</v>
      </c>
      <c r="L771" s="67" t="n">
        <f aca="false">IF($K771=0,0,ST_RESULTATS!$T21*$K771)</f>
        <v>0</v>
      </c>
      <c r="M771" s="26" t="str">
        <f aca="false">IF($K771=0,"",ST_RESULTATS!$S21)</f>
        <v/>
      </c>
      <c r="N771" s="26" t="str">
        <f aca="false">IF($G771="","",IF($G771=R_LOT,COUNTIF($G$5:$G771,R_LOT),""))</f>
        <v/>
      </c>
    </row>
    <row r="772" customFormat="false" ht="15" hidden="false" customHeight="false" outlineLevel="0" collapsed="false">
      <c r="A772" s="28" t="str">
        <f aca="false">IF($K772=0,"",ROW()-4)</f>
        <v/>
      </c>
      <c r="B772" s="26" t="str">
        <f aca="false">IF($K772=0,"","RESULTAT ST")</f>
        <v/>
      </c>
      <c r="C772" s="26" t="str">
        <f aca="false">IF($K772=0,"",ST_RESULTATS!$A22)</f>
        <v/>
      </c>
      <c r="D772" s="31" t="str">
        <f aca="false">IF($K772=0,"",ST_RESULTATS!$V22)</f>
        <v/>
      </c>
      <c r="E772" s="26" t="str">
        <f aca="false">IF($K772=0,"","ENTREE")</f>
        <v/>
      </c>
      <c r="F772" s="26" t="str">
        <f aca="false">IF($K772=0,"","RETOUR SOUS-TRAITANCE")</f>
        <v/>
      </c>
      <c r="G772" s="26" t="str">
        <f aca="false">IF($K772=0,"",ST_RESULTATS!$N22)</f>
        <v/>
      </c>
      <c r="H772" s="26" t="str">
        <f aca="false">IF($K772=0,"",ST_RESULTATS!$J22)</f>
        <v/>
      </c>
      <c r="I772" s="26" t="str">
        <f aca="false">IF($H772="","",IFERROR(INDEX(EMPL_CLASSE,MATCH($H772,EMPL_KEY,0)),""))</f>
        <v/>
      </c>
      <c r="J772" s="26" t="str">
        <f aca="false">IF($K772=0,"",IFERROR(INDEX(LOT_PRODE,MATCH($G772,LOT_KEY,0)),""))</f>
        <v/>
      </c>
      <c r="K772" s="67" t="n">
        <f aca="false">IF(ST_RESULTATS!$P22=0,0,ST_RESULTATS!$F22)</f>
        <v>0</v>
      </c>
      <c r="L772" s="67" t="n">
        <f aca="false">IF($K772=0,0,ST_RESULTATS!$T22*$K772)</f>
        <v>0</v>
      </c>
      <c r="M772" s="26" t="str">
        <f aca="false">IF($K772=0,"",ST_RESULTATS!$S22)</f>
        <v/>
      </c>
      <c r="N772" s="26" t="str">
        <f aca="false">IF($G772="","",IF($G772=R_LOT,COUNTIF($G$5:$G772,R_LOT),""))</f>
        <v/>
      </c>
    </row>
    <row r="773" customFormat="false" ht="15" hidden="false" customHeight="false" outlineLevel="0" collapsed="false">
      <c r="A773" s="28" t="str">
        <f aca="false">IF($K773=0,"",ROW()-4)</f>
        <v/>
      </c>
      <c r="B773" s="26" t="str">
        <f aca="false">IF($K773=0,"","RESULTAT ST")</f>
        <v/>
      </c>
      <c r="C773" s="26" t="str">
        <f aca="false">IF($K773=0,"",ST_RESULTATS!$A23)</f>
        <v/>
      </c>
      <c r="D773" s="31" t="str">
        <f aca="false">IF($K773=0,"",ST_RESULTATS!$V23)</f>
        <v/>
      </c>
      <c r="E773" s="26" t="str">
        <f aca="false">IF($K773=0,"","ENTREE")</f>
        <v/>
      </c>
      <c r="F773" s="26" t="str">
        <f aca="false">IF($K773=0,"","RETOUR SOUS-TRAITANCE")</f>
        <v/>
      </c>
      <c r="G773" s="26" t="str">
        <f aca="false">IF($K773=0,"",ST_RESULTATS!$N23)</f>
        <v/>
      </c>
      <c r="H773" s="26" t="str">
        <f aca="false">IF($K773=0,"",ST_RESULTATS!$J23)</f>
        <v/>
      </c>
      <c r="I773" s="26" t="str">
        <f aca="false">IF($H773="","",IFERROR(INDEX(EMPL_CLASSE,MATCH($H773,EMPL_KEY,0)),""))</f>
        <v/>
      </c>
      <c r="J773" s="26" t="str">
        <f aca="false">IF($K773=0,"",IFERROR(INDEX(LOT_PRODE,MATCH($G773,LOT_KEY,0)),""))</f>
        <v/>
      </c>
      <c r="K773" s="67" t="n">
        <f aca="false">IF(ST_RESULTATS!$P23=0,0,ST_RESULTATS!$F23)</f>
        <v>0</v>
      </c>
      <c r="L773" s="67" t="n">
        <f aca="false">IF($K773=0,0,ST_RESULTATS!$T23*$K773)</f>
        <v>0</v>
      </c>
      <c r="M773" s="26" t="str">
        <f aca="false">IF($K773=0,"",ST_RESULTATS!$S23)</f>
        <v/>
      </c>
      <c r="N773" s="26" t="str">
        <f aca="false">IF($G773="","",IF($G773=R_LOT,COUNTIF($G$5:$G773,R_LOT),""))</f>
        <v/>
      </c>
    </row>
    <row r="774" customFormat="false" ht="15" hidden="false" customHeight="false" outlineLevel="0" collapsed="false">
      <c r="A774" s="28" t="str">
        <f aca="false">IF($K774=0,"",ROW()-4)</f>
        <v/>
      </c>
      <c r="B774" s="26" t="str">
        <f aca="false">IF($K774=0,"","RESULTAT ST")</f>
        <v/>
      </c>
      <c r="C774" s="26" t="str">
        <f aca="false">IF($K774=0,"",ST_RESULTATS!$A24)</f>
        <v/>
      </c>
      <c r="D774" s="31" t="str">
        <f aca="false">IF($K774=0,"",ST_RESULTATS!$V24)</f>
        <v/>
      </c>
      <c r="E774" s="26" t="str">
        <f aca="false">IF($K774=0,"","ENTREE")</f>
        <v/>
      </c>
      <c r="F774" s="26" t="str">
        <f aca="false">IF($K774=0,"","RETOUR SOUS-TRAITANCE")</f>
        <v/>
      </c>
      <c r="G774" s="26" t="str">
        <f aca="false">IF($K774=0,"",ST_RESULTATS!$N24)</f>
        <v/>
      </c>
      <c r="H774" s="26" t="str">
        <f aca="false">IF($K774=0,"",ST_RESULTATS!$J24)</f>
        <v/>
      </c>
      <c r="I774" s="26" t="str">
        <f aca="false">IF($H774="","",IFERROR(INDEX(EMPL_CLASSE,MATCH($H774,EMPL_KEY,0)),""))</f>
        <v/>
      </c>
      <c r="J774" s="26" t="str">
        <f aca="false">IF($K774=0,"",IFERROR(INDEX(LOT_PRODE,MATCH($G774,LOT_KEY,0)),""))</f>
        <v/>
      </c>
      <c r="K774" s="67" t="n">
        <f aca="false">IF(ST_RESULTATS!$P24=0,0,ST_RESULTATS!$F24)</f>
        <v>0</v>
      </c>
      <c r="L774" s="67" t="n">
        <f aca="false">IF($K774=0,0,ST_RESULTATS!$T24*$K774)</f>
        <v>0</v>
      </c>
      <c r="M774" s="26" t="str">
        <f aca="false">IF($K774=0,"",ST_RESULTATS!$S24)</f>
        <v/>
      </c>
      <c r="N774" s="26" t="str">
        <f aca="false">IF($G774="","",IF($G774=R_LOT,COUNTIF($G$5:$G774,R_LOT),""))</f>
        <v/>
      </c>
    </row>
    <row r="775" customFormat="false" ht="15" hidden="false" customHeight="false" outlineLevel="0" collapsed="false">
      <c r="A775" s="28" t="str">
        <f aca="false">IF($K775=0,"",ROW()-4)</f>
        <v/>
      </c>
      <c r="B775" s="26" t="str">
        <f aca="false">IF($K775=0,"","RESULTAT ST")</f>
        <v/>
      </c>
      <c r="C775" s="26" t="str">
        <f aca="false">IF($K775=0,"",ST_RESULTATS!$A25)</f>
        <v/>
      </c>
      <c r="D775" s="31" t="str">
        <f aca="false">IF($K775=0,"",ST_RESULTATS!$V25)</f>
        <v/>
      </c>
      <c r="E775" s="26" t="str">
        <f aca="false">IF($K775=0,"","ENTREE")</f>
        <v/>
      </c>
      <c r="F775" s="26" t="str">
        <f aca="false">IF($K775=0,"","RETOUR SOUS-TRAITANCE")</f>
        <v/>
      </c>
      <c r="G775" s="26" t="str">
        <f aca="false">IF($K775=0,"",ST_RESULTATS!$N25)</f>
        <v/>
      </c>
      <c r="H775" s="26" t="str">
        <f aca="false">IF($K775=0,"",ST_RESULTATS!$J25)</f>
        <v/>
      </c>
      <c r="I775" s="26" t="str">
        <f aca="false">IF($H775="","",IFERROR(INDEX(EMPL_CLASSE,MATCH($H775,EMPL_KEY,0)),""))</f>
        <v/>
      </c>
      <c r="J775" s="26" t="str">
        <f aca="false">IF($K775=0,"",IFERROR(INDEX(LOT_PRODE,MATCH($G775,LOT_KEY,0)),""))</f>
        <v/>
      </c>
      <c r="K775" s="67" t="n">
        <f aca="false">IF(ST_RESULTATS!$P25=0,0,ST_RESULTATS!$F25)</f>
        <v>0</v>
      </c>
      <c r="L775" s="67" t="n">
        <f aca="false">IF($K775=0,0,ST_RESULTATS!$T25*$K775)</f>
        <v>0</v>
      </c>
      <c r="M775" s="26" t="str">
        <f aca="false">IF($K775=0,"",ST_RESULTATS!$S25)</f>
        <v/>
      </c>
      <c r="N775" s="26" t="str">
        <f aca="false">IF($G775="","",IF($G775=R_LOT,COUNTIF($G$5:$G775,R_LOT),""))</f>
        <v/>
      </c>
    </row>
    <row r="776" customFormat="false" ht="15" hidden="false" customHeight="false" outlineLevel="0" collapsed="false">
      <c r="A776" s="28" t="str">
        <f aca="false">IF($K776=0,"",ROW()-4)</f>
        <v/>
      </c>
      <c r="B776" s="26" t="str">
        <f aca="false">IF($K776=0,"","RESULTAT ST")</f>
        <v/>
      </c>
      <c r="C776" s="26" t="str">
        <f aca="false">IF($K776=0,"",ST_RESULTATS!$A26)</f>
        <v/>
      </c>
      <c r="D776" s="31" t="str">
        <f aca="false">IF($K776=0,"",ST_RESULTATS!$V26)</f>
        <v/>
      </c>
      <c r="E776" s="26" t="str">
        <f aca="false">IF($K776=0,"","ENTREE")</f>
        <v/>
      </c>
      <c r="F776" s="26" t="str">
        <f aca="false">IF($K776=0,"","RETOUR SOUS-TRAITANCE")</f>
        <v/>
      </c>
      <c r="G776" s="26" t="str">
        <f aca="false">IF($K776=0,"",ST_RESULTATS!$N26)</f>
        <v/>
      </c>
      <c r="H776" s="26" t="str">
        <f aca="false">IF($K776=0,"",ST_RESULTATS!$J26)</f>
        <v/>
      </c>
      <c r="I776" s="26" t="str">
        <f aca="false">IF($H776="","",IFERROR(INDEX(EMPL_CLASSE,MATCH($H776,EMPL_KEY,0)),""))</f>
        <v/>
      </c>
      <c r="J776" s="26" t="str">
        <f aca="false">IF($K776=0,"",IFERROR(INDEX(LOT_PRODE,MATCH($G776,LOT_KEY,0)),""))</f>
        <v/>
      </c>
      <c r="K776" s="67" t="n">
        <f aca="false">IF(ST_RESULTATS!$P26=0,0,ST_RESULTATS!$F26)</f>
        <v>0</v>
      </c>
      <c r="L776" s="67" t="n">
        <f aca="false">IF($K776=0,0,ST_RESULTATS!$T26*$K776)</f>
        <v>0</v>
      </c>
      <c r="M776" s="26" t="str">
        <f aca="false">IF($K776=0,"",ST_RESULTATS!$S26)</f>
        <v/>
      </c>
      <c r="N776" s="26" t="str">
        <f aca="false">IF($G776="","",IF($G776=R_LOT,COUNTIF($G$5:$G776,R_LOT),""))</f>
        <v/>
      </c>
    </row>
    <row r="777" customFormat="false" ht="15" hidden="false" customHeight="false" outlineLevel="0" collapsed="false">
      <c r="A777" s="28" t="str">
        <f aca="false">IF($K777=0,"",ROW()-4)</f>
        <v/>
      </c>
      <c r="B777" s="26" t="str">
        <f aca="false">IF($K777=0,"","RESULTAT ST")</f>
        <v/>
      </c>
      <c r="C777" s="26" t="str">
        <f aca="false">IF($K777=0,"",ST_RESULTATS!$A27)</f>
        <v/>
      </c>
      <c r="D777" s="31" t="str">
        <f aca="false">IF($K777=0,"",ST_RESULTATS!$V27)</f>
        <v/>
      </c>
      <c r="E777" s="26" t="str">
        <f aca="false">IF($K777=0,"","ENTREE")</f>
        <v/>
      </c>
      <c r="F777" s="26" t="str">
        <f aca="false">IF($K777=0,"","RETOUR SOUS-TRAITANCE")</f>
        <v/>
      </c>
      <c r="G777" s="26" t="str">
        <f aca="false">IF($K777=0,"",ST_RESULTATS!$N27)</f>
        <v/>
      </c>
      <c r="H777" s="26" t="str">
        <f aca="false">IF($K777=0,"",ST_RESULTATS!$J27)</f>
        <v/>
      </c>
      <c r="I777" s="26" t="str">
        <f aca="false">IF($H777="","",IFERROR(INDEX(EMPL_CLASSE,MATCH($H777,EMPL_KEY,0)),""))</f>
        <v/>
      </c>
      <c r="J777" s="26" t="str">
        <f aca="false">IF($K777=0,"",IFERROR(INDEX(LOT_PRODE,MATCH($G777,LOT_KEY,0)),""))</f>
        <v/>
      </c>
      <c r="K777" s="67" t="n">
        <f aca="false">IF(ST_RESULTATS!$P27=0,0,ST_RESULTATS!$F27)</f>
        <v>0</v>
      </c>
      <c r="L777" s="67" t="n">
        <f aca="false">IF($K777=0,0,ST_RESULTATS!$T27*$K777)</f>
        <v>0</v>
      </c>
      <c r="M777" s="26" t="str">
        <f aca="false">IF($K777=0,"",ST_RESULTATS!$S27)</f>
        <v/>
      </c>
      <c r="N777" s="26" t="str">
        <f aca="false">IF($G777="","",IF($G777=R_LOT,COUNTIF($G$5:$G777,R_LOT),""))</f>
        <v/>
      </c>
    </row>
    <row r="778" customFormat="false" ht="15" hidden="false" customHeight="false" outlineLevel="0" collapsed="false">
      <c r="A778" s="28" t="str">
        <f aca="false">IF($K778=0,"",ROW()-4)</f>
        <v/>
      </c>
      <c r="B778" s="26" t="str">
        <f aca="false">IF($K778=0,"","RESULTAT ST")</f>
        <v/>
      </c>
      <c r="C778" s="26" t="str">
        <f aca="false">IF($K778=0,"",ST_RESULTATS!$A28)</f>
        <v/>
      </c>
      <c r="D778" s="31" t="str">
        <f aca="false">IF($K778=0,"",ST_RESULTATS!$V28)</f>
        <v/>
      </c>
      <c r="E778" s="26" t="str">
        <f aca="false">IF($K778=0,"","ENTREE")</f>
        <v/>
      </c>
      <c r="F778" s="26" t="str">
        <f aca="false">IF($K778=0,"","RETOUR SOUS-TRAITANCE")</f>
        <v/>
      </c>
      <c r="G778" s="26" t="str">
        <f aca="false">IF($K778=0,"",ST_RESULTATS!$N28)</f>
        <v/>
      </c>
      <c r="H778" s="26" t="str">
        <f aca="false">IF($K778=0,"",ST_RESULTATS!$J28)</f>
        <v/>
      </c>
      <c r="I778" s="26" t="str">
        <f aca="false">IF($H778="","",IFERROR(INDEX(EMPL_CLASSE,MATCH($H778,EMPL_KEY,0)),""))</f>
        <v/>
      </c>
      <c r="J778" s="26" t="str">
        <f aca="false">IF($K778=0,"",IFERROR(INDEX(LOT_PRODE,MATCH($G778,LOT_KEY,0)),""))</f>
        <v/>
      </c>
      <c r="K778" s="67" t="n">
        <f aca="false">IF(ST_RESULTATS!$P28=0,0,ST_RESULTATS!$F28)</f>
        <v>0</v>
      </c>
      <c r="L778" s="67" t="n">
        <f aca="false">IF($K778=0,0,ST_RESULTATS!$T28*$K778)</f>
        <v>0</v>
      </c>
      <c r="M778" s="26" t="str">
        <f aca="false">IF($K778=0,"",ST_RESULTATS!$S28)</f>
        <v/>
      </c>
      <c r="N778" s="26" t="str">
        <f aca="false">IF($G778="","",IF($G778=R_LOT,COUNTIF($G$5:$G778,R_LOT),""))</f>
        <v/>
      </c>
    </row>
    <row r="779" customFormat="false" ht="15" hidden="false" customHeight="false" outlineLevel="0" collapsed="false">
      <c r="A779" s="28" t="str">
        <f aca="false">IF($K779=0,"",ROW()-4)</f>
        <v/>
      </c>
      <c r="B779" s="26" t="str">
        <f aca="false">IF($K779=0,"","RESULTAT ST")</f>
        <v/>
      </c>
      <c r="C779" s="26" t="str">
        <f aca="false">IF($K779=0,"",ST_RESULTATS!$A29)</f>
        <v/>
      </c>
      <c r="D779" s="31" t="str">
        <f aca="false">IF($K779=0,"",ST_RESULTATS!$V29)</f>
        <v/>
      </c>
      <c r="E779" s="26" t="str">
        <f aca="false">IF($K779=0,"","ENTREE")</f>
        <v/>
      </c>
      <c r="F779" s="26" t="str">
        <f aca="false">IF($K779=0,"","RETOUR SOUS-TRAITANCE")</f>
        <v/>
      </c>
      <c r="G779" s="26" t="str">
        <f aca="false">IF($K779=0,"",ST_RESULTATS!$N29)</f>
        <v/>
      </c>
      <c r="H779" s="26" t="str">
        <f aca="false">IF($K779=0,"",ST_RESULTATS!$J29)</f>
        <v/>
      </c>
      <c r="I779" s="26" t="str">
        <f aca="false">IF($H779="","",IFERROR(INDEX(EMPL_CLASSE,MATCH($H779,EMPL_KEY,0)),""))</f>
        <v/>
      </c>
      <c r="J779" s="26" t="str">
        <f aca="false">IF($K779=0,"",IFERROR(INDEX(LOT_PRODE,MATCH($G779,LOT_KEY,0)),""))</f>
        <v/>
      </c>
      <c r="K779" s="67" t="n">
        <f aca="false">IF(ST_RESULTATS!$P29=0,0,ST_RESULTATS!$F29)</f>
        <v>0</v>
      </c>
      <c r="L779" s="67" t="n">
        <f aca="false">IF($K779=0,0,ST_RESULTATS!$T29*$K779)</f>
        <v>0</v>
      </c>
      <c r="M779" s="26" t="str">
        <f aca="false">IF($K779=0,"",ST_RESULTATS!$S29)</f>
        <v/>
      </c>
      <c r="N779" s="26" t="str">
        <f aca="false">IF($G779="","",IF($G779=R_LOT,COUNTIF($G$5:$G779,R_LOT),""))</f>
        <v/>
      </c>
    </row>
    <row r="780" customFormat="false" ht="15" hidden="false" customHeight="false" outlineLevel="0" collapsed="false">
      <c r="A780" s="28" t="str">
        <f aca="false">IF($K780=0,"",ROW()-4)</f>
        <v/>
      </c>
      <c r="B780" s="26" t="str">
        <f aca="false">IF($K780=0,"","RESULTAT ST")</f>
        <v/>
      </c>
      <c r="C780" s="26" t="str">
        <f aca="false">IF($K780=0,"",ST_RESULTATS!$A30)</f>
        <v/>
      </c>
      <c r="D780" s="31" t="str">
        <f aca="false">IF($K780=0,"",ST_RESULTATS!$V30)</f>
        <v/>
      </c>
      <c r="E780" s="26" t="str">
        <f aca="false">IF($K780=0,"","ENTREE")</f>
        <v/>
      </c>
      <c r="F780" s="26" t="str">
        <f aca="false">IF($K780=0,"","RETOUR SOUS-TRAITANCE")</f>
        <v/>
      </c>
      <c r="G780" s="26" t="str">
        <f aca="false">IF($K780=0,"",ST_RESULTATS!$N30)</f>
        <v/>
      </c>
      <c r="H780" s="26" t="str">
        <f aca="false">IF($K780=0,"",ST_RESULTATS!$J30)</f>
        <v/>
      </c>
      <c r="I780" s="26" t="str">
        <f aca="false">IF($H780="","",IFERROR(INDEX(EMPL_CLASSE,MATCH($H780,EMPL_KEY,0)),""))</f>
        <v/>
      </c>
      <c r="J780" s="26" t="str">
        <f aca="false">IF($K780=0,"",IFERROR(INDEX(LOT_PRODE,MATCH($G780,LOT_KEY,0)),""))</f>
        <v/>
      </c>
      <c r="K780" s="67" t="n">
        <f aca="false">IF(ST_RESULTATS!$P30=0,0,ST_RESULTATS!$F30)</f>
        <v>0</v>
      </c>
      <c r="L780" s="67" t="n">
        <f aca="false">IF($K780=0,0,ST_RESULTATS!$T30*$K780)</f>
        <v>0</v>
      </c>
      <c r="M780" s="26" t="str">
        <f aca="false">IF($K780=0,"",ST_RESULTATS!$S30)</f>
        <v/>
      </c>
      <c r="N780" s="26" t="str">
        <f aca="false">IF($G780="","",IF($G780=R_LOT,COUNTIF($G$5:$G780,R_LOT),""))</f>
        <v/>
      </c>
    </row>
    <row r="781" customFormat="false" ht="15" hidden="false" customHeight="false" outlineLevel="0" collapsed="false">
      <c r="A781" s="28" t="str">
        <f aca="false">IF($K781=0,"",ROW()-4)</f>
        <v/>
      </c>
      <c r="B781" s="26" t="str">
        <f aca="false">IF($K781=0,"","RESULTAT ST")</f>
        <v/>
      </c>
      <c r="C781" s="26" t="str">
        <f aca="false">IF($K781=0,"",ST_RESULTATS!$A31)</f>
        <v/>
      </c>
      <c r="D781" s="31" t="str">
        <f aca="false">IF($K781=0,"",ST_RESULTATS!$V31)</f>
        <v/>
      </c>
      <c r="E781" s="26" t="str">
        <f aca="false">IF($K781=0,"","ENTREE")</f>
        <v/>
      </c>
      <c r="F781" s="26" t="str">
        <f aca="false">IF($K781=0,"","RETOUR SOUS-TRAITANCE")</f>
        <v/>
      </c>
      <c r="G781" s="26" t="str">
        <f aca="false">IF($K781=0,"",ST_RESULTATS!$N31)</f>
        <v/>
      </c>
      <c r="H781" s="26" t="str">
        <f aca="false">IF($K781=0,"",ST_RESULTATS!$J31)</f>
        <v/>
      </c>
      <c r="I781" s="26" t="str">
        <f aca="false">IF($H781="","",IFERROR(INDEX(EMPL_CLASSE,MATCH($H781,EMPL_KEY,0)),""))</f>
        <v/>
      </c>
      <c r="J781" s="26" t="str">
        <f aca="false">IF($K781=0,"",IFERROR(INDEX(LOT_PRODE,MATCH($G781,LOT_KEY,0)),""))</f>
        <v/>
      </c>
      <c r="K781" s="67" t="n">
        <f aca="false">IF(ST_RESULTATS!$P31=0,0,ST_RESULTATS!$F31)</f>
        <v>0</v>
      </c>
      <c r="L781" s="67" t="n">
        <f aca="false">IF($K781=0,0,ST_RESULTATS!$T31*$K781)</f>
        <v>0</v>
      </c>
      <c r="M781" s="26" t="str">
        <f aca="false">IF($K781=0,"",ST_RESULTATS!$S31)</f>
        <v/>
      </c>
      <c r="N781" s="26" t="str">
        <f aca="false">IF($G781="","",IF($G781=R_LOT,COUNTIF($G$5:$G781,R_LOT),""))</f>
        <v/>
      </c>
    </row>
    <row r="782" customFormat="false" ht="15" hidden="false" customHeight="false" outlineLevel="0" collapsed="false">
      <c r="A782" s="28" t="str">
        <f aca="false">IF($K782=0,"",ROW()-4)</f>
        <v/>
      </c>
      <c r="B782" s="26" t="str">
        <f aca="false">IF($K782=0,"","RESULTAT ST")</f>
        <v/>
      </c>
      <c r="C782" s="26" t="str">
        <f aca="false">IF($K782=0,"",ST_RESULTATS!$A32)</f>
        <v/>
      </c>
      <c r="D782" s="31" t="str">
        <f aca="false">IF($K782=0,"",ST_RESULTATS!$V32)</f>
        <v/>
      </c>
      <c r="E782" s="26" t="str">
        <f aca="false">IF($K782=0,"","ENTREE")</f>
        <v/>
      </c>
      <c r="F782" s="26" t="str">
        <f aca="false">IF($K782=0,"","RETOUR SOUS-TRAITANCE")</f>
        <v/>
      </c>
      <c r="G782" s="26" t="str">
        <f aca="false">IF($K782=0,"",ST_RESULTATS!$N32)</f>
        <v/>
      </c>
      <c r="H782" s="26" t="str">
        <f aca="false">IF($K782=0,"",ST_RESULTATS!$J32)</f>
        <v/>
      </c>
      <c r="I782" s="26" t="str">
        <f aca="false">IF($H782="","",IFERROR(INDEX(EMPL_CLASSE,MATCH($H782,EMPL_KEY,0)),""))</f>
        <v/>
      </c>
      <c r="J782" s="26" t="str">
        <f aca="false">IF($K782=0,"",IFERROR(INDEX(LOT_PRODE,MATCH($G782,LOT_KEY,0)),""))</f>
        <v/>
      </c>
      <c r="K782" s="67" t="n">
        <f aca="false">IF(ST_RESULTATS!$P32=0,0,ST_RESULTATS!$F32)</f>
        <v>0</v>
      </c>
      <c r="L782" s="67" t="n">
        <f aca="false">IF($K782=0,0,ST_RESULTATS!$T32*$K782)</f>
        <v>0</v>
      </c>
      <c r="M782" s="26" t="str">
        <f aca="false">IF($K782=0,"",ST_RESULTATS!$S32)</f>
        <v/>
      </c>
      <c r="N782" s="26" t="str">
        <f aca="false">IF($G782="","",IF($G782=R_LOT,COUNTIF($G$5:$G782,R_LOT),""))</f>
        <v/>
      </c>
    </row>
    <row r="783" customFormat="false" ht="15" hidden="false" customHeight="false" outlineLevel="0" collapsed="false">
      <c r="A783" s="28" t="str">
        <f aca="false">IF($K783=0,"",ROW()-4)</f>
        <v/>
      </c>
      <c r="B783" s="26" t="str">
        <f aca="false">IF($K783=0,"","RESULTAT ST")</f>
        <v/>
      </c>
      <c r="C783" s="26" t="str">
        <f aca="false">IF($K783=0,"",ST_RESULTATS!$A33)</f>
        <v/>
      </c>
      <c r="D783" s="31" t="str">
        <f aca="false">IF($K783=0,"",ST_RESULTATS!$V33)</f>
        <v/>
      </c>
      <c r="E783" s="26" t="str">
        <f aca="false">IF($K783=0,"","ENTREE")</f>
        <v/>
      </c>
      <c r="F783" s="26" t="str">
        <f aca="false">IF($K783=0,"","RETOUR SOUS-TRAITANCE")</f>
        <v/>
      </c>
      <c r="G783" s="26" t="str">
        <f aca="false">IF($K783=0,"",ST_RESULTATS!$N33)</f>
        <v/>
      </c>
      <c r="H783" s="26" t="str">
        <f aca="false">IF($K783=0,"",ST_RESULTATS!$J33)</f>
        <v/>
      </c>
      <c r="I783" s="26" t="str">
        <f aca="false">IF($H783="","",IFERROR(INDEX(EMPL_CLASSE,MATCH($H783,EMPL_KEY,0)),""))</f>
        <v/>
      </c>
      <c r="J783" s="26" t="str">
        <f aca="false">IF($K783=0,"",IFERROR(INDEX(LOT_PRODE,MATCH($G783,LOT_KEY,0)),""))</f>
        <v/>
      </c>
      <c r="K783" s="67" t="n">
        <f aca="false">IF(ST_RESULTATS!$P33=0,0,ST_RESULTATS!$F33)</f>
        <v>0</v>
      </c>
      <c r="L783" s="67" t="n">
        <f aca="false">IF($K783=0,0,ST_RESULTATS!$T33*$K783)</f>
        <v>0</v>
      </c>
      <c r="M783" s="26" t="str">
        <f aca="false">IF($K783=0,"",ST_RESULTATS!$S33)</f>
        <v/>
      </c>
      <c r="N783" s="26" t="str">
        <f aca="false">IF($G783="","",IF($G783=R_LOT,COUNTIF($G$5:$G783,R_LOT),""))</f>
        <v/>
      </c>
    </row>
    <row r="784" customFormat="false" ht="15" hidden="false" customHeight="false" outlineLevel="0" collapsed="false">
      <c r="A784" s="28" t="str">
        <f aca="false">IF($K784=0,"",ROW()-4)</f>
        <v/>
      </c>
      <c r="B784" s="26" t="str">
        <f aca="false">IF($K784=0,"","RESULTAT ST")</f>
        <v/>
      </c>
      <c r="C784" s="26" t="str">
        <f aca="false">IF($K784=0,"",ST_RESULTATS!$A34)</f>
        <v/>
      </c>
      <c r="D784" s="31" t="str">
        <f aca="false">IF($K784=0,"",ST_RESULTATS!$V34)</f>
        <v/>
      </c>
      <c r="E784" s="26" t="str">
        <f aca="false">IF($K784=0,"","ENTREE")</f>
        <v/>
      </c>
      <c r="F784" s="26" t="str">
        <f aca="false">IF($K784=0,"","RETOUR SOUS-TRAITANCE")</f>
        <v/>
      </c>
      <c r="G784" s="26" t="str">
        <f aca="false">IF($K784=0,"",ST_RESULTATS!$N34)</f>
        <v/>
      </c>
      <c r="H784" s="26" t="str">
        <f aca="false">IF($K784=0,"",ST_RESULTATS!$J34)</f>
        <v/>
      </c>
      <c r="I784" s="26" t="str">
        <f aca="false">IF($H784="","",IFERROR(INDEX(EMPL_CLASSE,MATCH($H784,EMPL_KEY,0)),""))</f>
        <v/>
      </c>
      <c r="J784" s="26" t="str">
        <f aca="false">IF($K784=0,"",IFERROR(INDEX(LOT_PRODE,MATCH($G784,LOT_KEY,0)),""))</f>
        <v/>
      </c>
      <c r="K784" s="67" t="n">
        <f aca="false">IF(ST_RESULTATS!$P34=0,0,ST_RESULTATS!$F34)</f>
        <v>0</v>
      </c>
      <c r="L784" s="67" t="n">
        <f aca="false">IF($K784=0,0,ST_RESULTATS!$T34*$K784)</f>
        <v>0</v>
      </c>
      <c r="M784" s="26" t="str">
        <f aca="false">IF($K784=0,"",ST_RESULTATS!$S34)</f>
        <v/>
      </c>
      <c r="N784" s="26" t="str">
        <f aca="false">IF($G784="","",IF($G784=R_LOT,COUNTIF($G$5:$G784,R_LOT),""))</f>
        <v/>
      </c>
    </row>
    <row r="785" customFormat="false" ht="15" hidden="false" customHeight="false" outlineLevel="0" collapsed="false">
      <c r="A785" s="28" t="str">
        <f aca="false">IF($K785=0,"",ROW()-4)</f>
        <v/>
      </c>
      <c r="B785" s="26" t="str">
        <f aca="false">IF($K785=0,"","RESULTAT ST")</f>
        <v/>
      </c>
      <c r="C785" s="26" t="str">
        <f aca="false">IF($K785=0,"",ST_RESULTATS!$A35)</f>
        <v/>
      </c>
      <c r="D785" s="31" t="str">
        <f aca="false">IF($K785=0,"",ST_RESULTATS!$V35)</f>
        <v/>
      </c>
      <c r="E785" s="26" t="str">
        <f aca="false">IF($K785=0,"","ENTREE")</f>
        <v/>
      </c>
      <c r="F785" s="26" t="str">
        <f aca="false">IF($K785=0,"","RETOUR SOUS-TRAITANCE")</f>
        <v/>
      </c>
      <c r="G785" s="26" t="str">
        <f aca="false">IF($K785=0,"",ST_RESULTATS!$N35)</f>
        <v/>
      </c>
      <c r="H785" s="26" t="str">
        <f aca="false">IF($K785=0,"",ST_RESULTATS!$J35)</f>
        <v/>
      </c>
      <c r="I785" s="26" t="str">
        <f aca="false">IF($H785="","",IFERROR(INDEX(EMPL_CLASSE,MATCH($H785,EMPL_KEY,0)),""))</f>
        <v/>
      </c>
      <c r="J785" s="26" t="str">
        <f aca="false">IF($K785=0,"",IFERROR(INDEX(LOT_PRODE,MATCH($G785,LOT_KEY,0)),""))</f>
        <v/>
      </c>
      <c r="K785" s="67" t="n">
        <f aca="false">IF(ST_RESULTATS!$P35=0,0,ST_RESULTATS!$F35)</f>
        <v>0</v>
      </c>
      <c r="L785" s="67" t="n">
        <f aca="false">IF($K785=0,0,ST_RESULTATS!$T35*$K785)</f>
        <v>0</v>
      </c>
      <c r="M785" s="26" t="str">
        <f aca="false">IF($K785=0,"",ST_RESULTATS!$S35)</f>
        <v/>
      </c>
      <c r="N785" s="26" t="str">
        <f aca="false">IF($G785="","",IF($G785=R_LOT,COUNTIF($G$5:$G785,R_LOT),""))</f>
        <v/>
      </c>
    </row>
    <row r="786" customFormat="false" ht="15" hidden="false" customHeight="false" outlineLevel="0" collapsed="false">
      <c r="A786" s="28" t="str">
        <f aca="false">IF($K786=0,"",ROW()-4)</f>
        <v/>
      </c>
      <c r="B786" s="26" t="str">
        <f aca="false">IF($K786=0,"","RESULTAT ST")</f>
        <v/>
      </c>
      <c r="C786" s="26" t="str">
        <f aca="false">IF($K786=0,"",ST_RESULTATS!$A36)</f>
        <v/>
      </c>
      <c r="D786" s="31" t="str">
        <f aca="false">IF($K786=0,"",ST_RESULTATS!$V36)</f>
        <v/>
      </c>
      <c r="E786" s="26" t="str">
        <f aca="false">IF($K786=0,"","ENTREE")</f>
        <v/>
      </c>
      <c r="F786" s="26" t="str">
        <f aca="false">IF($K786=0,"","RETOUR SOUS-TRAITANCE")</f>
        <v/>
      </c>
      <c r="G786" s="26" t="str">
        <f aca="false">IF($K786=0,"",ST_RESULTATS!$N36)</f>
        <v/>
      </c>
      <c r="H786" s="26" t="str">
        <f aca="false">IF($K786=0,"",ST_RESULTATS!$J36)</f>
        <v/>
      </c>
      <c r="I786" s="26" t="str">
        <f aca="false">IF($H786="","",IFERROR(INDEX(EMPL_CLASSE,MATCH($H786,EMPL_KEY,0)),""))</f>
        <v/>
      </c>
      <c r="J786" s="26" t="str">
        <f aca="false">IF($K786=0,"",IFERROR(INDEX(LOT_PRODE,MATCH($G786,LOT_KEY,0)),""))</f>
        <v/>
      </c>
      <c r="K786" s="67" t="n">
        <f aca="false">IF(ST_RESULTATS!$P36=0,0,ST_RESULTATS!$F36)</f>
        <v>0</v>
      </c>
      <c r="L786" s="67" t="n">
        <f aca="false">IF($K786=0,0,ST_RESULTATS!$T36*$K786)</f>
        <v>0</v>
      </c>
      <c r="M786" s="26" t="str">
        <f aca="false">IF($K786=0,"",ST_RESULTATS!$S36)</f>
        <v/>
      </c>
      <c r="N786" s="26" t="str">
        <f aca="false">IF($G786="","",IF($G786=R_LOT,COUNTIF($G$5:$G786,R_LOT),""))</f>
        <v/>
      </c>
    </row>
    <row r="787" customFormat="false" ht="15" hidden="false" customHeight="false" outlineLevel="0" collapsed="false">
      <c r="A787" s="28" t="str">
        <f aca="false">IF($K787=0,"",ROW()-4)</f>
        <v/>
      </c>
      <c r="B787" s="26" t="str">
        <f aca="false">IF($K787=0,"","RESULTAT ST")</f>
        <v/>
      </c>
      <c r="C787" s="26" t="str">
        <f aca="false">IF($K787=0,"",ST_RESULTATS!$A37)</f>
        <v/>
      </c>
      <c r="D787" s="31" t="str">
        <f aca="false">IF($K787=0,"",ST_RESULTATS!$V37)</f>
        <v/>
      </c>
      <c r="E787" s="26" t="str">
        <f aca="false">IF($K787=0,"","ENTREE")</f>
        <v/>
      </c>
      <c r="F787" s="26" t="str">
        <f aca="false">IF($K787=0,"","RETOUR SOUS-TRAITANCE")</f>
        <v/>
      </c>
      <c r="G787" s="26" t="str">
        <f aca="false">IF($K787=0,"",ST_RESULTATS!$N37)</f>
        <v/>
      </c>
      <c r="H787" s="26" t="str">
        <f aca="false">IF($K787=0,"",ST_RESULTATS!$J37)</f>
        <v/>
      </c>
      <c r="I787" s="26" t="str">
        <f aca="false">IF($H787="","",IFERROR(INDEX(EMPL_CLASSE,MATCH($H787,EMPL_KEY,0)),""))</f>
        <v/>
      </c>
      <c r="J787" s="26" t="str">
        <f aca="false">IF($K787=0,"",IFERROR(INDEX(LOT_PRODE,MATCH($G787,LOT_KEY,0)),""))</f>
        <v/>
      </c>
      <c r="K787" s="67" t="n">
        <f aca="false">IF(ST_RESULTATS!$P37=0,0,ST_RESULTATS!$F37)</f>
        <v>0</v>
      </c>
      <c r="L787" s="67" t="n">
        <f aca="false">IF($K787=0,0,ST_RESULTATS!$T37*$K787)</f>
        <v>0</v>
      </c>
      <c r="M787" s="26" t="str">
        <f aca="false">IF($K787=0,"",ST_RESULTATS!$S37)</f>
        <v/>
      </c>
      <c r="N787" s="26" t="str">
        <f aca="false">IF($G787="","",IF($G787=R_LOT,COUNTIF($G$5:$G787,R_LOT),""))</f>
        <v/>
      </c>
    </row>
    <row r="788" customFormat="false" ht="15" hidden="false" customHeight="false" outlineLevel="0" collapsed="false">
      <c r="A788" s="28" t="str">
        <f aca="false">IF($K788=0,"",ROW()-4)</f>
        <v/>
      </c>
      <c r="B788" s="26" t="str">
        <f aca="false">IF($K788=0,"","RESULTAT ST")</f>
        <v/>
      </c>
      <c r="C788" s="26" t="str">
        <f aca="false">IF($K788=0,"",ST_RESULTATS!$A38)</f>
        <v/>
      </c>
      <c r="D788" s="31" t="str">
        <f aca="false">IF($K788=0,"",ST_RESULTATS!$V38)</f>
        <v/>
      </c>
      <c r="E788" s="26" t="str">
        <f aca="false">IF($K788=0,"","ENTREE")</f>
        <v/>
      </c>
      <c r="F788" s="26" t="str">
        <f aca="false">IF($K788=0,"","RETOUR SOUS-TRAITANCE")</f>
        <v/>
      </c>
      <c r="G788" s="26" t="str">
        <f aca="false">IF($K788=0,"",ST_RESULTATS!$N38)</f>
        <v/>
      </c>
      <c r="H788" s="26" t="str">
        <f aca="false">IF($K788=0,"",ST_RESULTATS!$J38)</f>
        <v/>
      </c>
      <c r="I788" s="26" t="str">
        <f aca="false">IF($H788="","",IFERROR(INDEX(EMPL_CLASSE,MATCH($H788,EMPL_KEY,0)),""))</f>
        <v/>
      </c>
      <c r="J788" s="26" t="str">
        <f aca="false">IF($K788=0,"",IFERROR(INDEX(LOT_PRODE,MATCH($G788,LOT_KEY,0)),""))</f>
        <v/>
      </c>
      <c r="K788" s="67" t="n">
        <f aca="false">IF(ST_RESULTATS!$P38=0,0,ST_RESULTATS!$F38)</f>
        <v>0</v>
      </c>
      <c r="L788" s="67" t="n">
        <f aca="false">IF($K788=0,0,ST_RESULTATS!$T38*$K788)</f>
        <v>0</v>
      </c>
      <c r="M788" s="26" t="str">
        <f aca="false">IF($K788=0,"",ST_RESULTATS!$S38)</f>
        <v/>
      </c>
      <c r="N788" s="26" t="str">
        <f aca="false">IF($G788="","",IF($G788=R_LOT,COUNTIF($G$5:$G788,R_LOT),""))</f>
        <v/>
      </c>
    </row>
    <row r="789" customFormat="false" ht="15" hidden="false" customHeight="false" outlineLevel="0" collapsed="false">
      <c r="A789" s="28" t="str">
        <f aca="false">IF($K789=0,"",ROW()-4)</f>
        <v/>
      </c>
      <c r="B789" s="26" t="str">
        <f aca="false">IF($K789=0,"","RESULTAT ST")</f>
        <v/>
      </c>
      <c r="C789" s="26" t="str">
        <f aca="false">IF($K789=0,"",ST_RESULTATS!$A39)</f>
        <v/>
      </c>
      <c r="D789" s="31" t="str">
        <f aca="false">IF($K789=0,"",ST_RESULTATS!$V39)</f>
        <v/>
      </c>
      <c r="E789" s="26" t="str">
        <f aca="false">IF($K789=0,"","ENTREE")</f>
        <v/>
      </c>
      <c r="F789" s="26" t="str">
        <f aca="false">IF($K789=0,"","RETOUR SOUS-TRAITANCE")</f>
        <v/>
      </c>
      <c r="G789" s="26" t="str">
        <f aca="false">IF($K789=0,"",ST_RESULTATS!$N39)</f>
        <v/>
      </c>
      <c r="H789" s="26" t="str">
        <f aca="false">IF($K789=0,"",ST_RESULTATS!$J39)</f>
        <v/>
      </c>
      <c r="I789" s="26" t="str">
        <f aca="false">IF($H789="","",IFERROR(INDEX(EMPL_CLASSE,MATCH($H789,EMPL_KEY,0)),""))</f>
        <v/>
      </c>
      <c r="J789" s="26" t="str">
        <f aca="false">IF($K789=0,"",IFERROR(INDEX(LOT_PRODE,MATCH($G789,LOT_KEY,0)),""))</f>
        <v/>
      </c>
      <c r="K789" s="67" t="n">
        <f aca="false">IF(ST_RESULTATS!$P39=0,0,ST_RESULTATS!$F39)</f>
        <v>0</v>
      </c>
      <c r="L789" s="67" t="n">
        <f aca="false">IF($K789=0,0,ST_RESULTATS!$T39*$K789)</f>
        <v>0</v>
      </c>
      <c r="M789" s="26" t="str">
        <f aca="false">IF($K789=0,"",ST_RESULTATS!$S39)</f>
        <v/>
      </c>
      <c r="N789" s="26" t="str">
        <f aca="false">IF($G789="","",IF($G789=R_LOT,COUNTIF($G$5:$G789,R_LOT),""))</f>
        <v/>
      </c>
    </row>
    <row r="790" customFormat="false" ht="15" hidden="false" customHeight="false" outlineLevel="0" collapsed="false">
      <c r="A790" s="28" t="str">
        <f aca="false">IF($K790=0,"",ROW()-4)</f>
        <v/>
      </c>
      <c r="B790" s="26" t="str">
        <f aca="false">IF($K790=0,"","RESULTAT ST")</f>
        <v/>
      </c>
      <c r="C790" s="26" t="str">
        <f aca="false">IF($K790=0,"",ST_RESULTATS!$A40)</f>
        <v/>
      </c>
      <c r="D790" s="31" t="str">
        <f aca="false">IF($K790=0,"",ST_RESULTATS!$V40)</f>
        <v/>
      </c>
      <c r="E790" s="26" t="str">
        <f aca="false">IF($K790=0,"","ENTREE")</f>
        <v/>
      </c>
      <c r="F790" s="26" t="str">
        <f aca="false">IF($K790=0,"","RETOUR SOUS-TRAITANCE")</f>
        <v/>
      </c>
      <c r="G790" s="26" t="str">
        <f aca="false">IF($K790=0,"",ST_RESULTATS!$N40)</f>
        <v/>
      </c>
      <c r="H790" s="26" t="str">
        <f aca="false">IF($K790=0,"",ST_RESULTATS!$J40)</f>
        <v/>
      </c>
      <c r="I790" s="26" t="str">
        <f aca="false">IF($H790="","",IFERROR(INDEX(EMPL_CLASSE,MATCH($H790,EMPL_KEY,0)),""))</f>
        <v/>
      </c>
      <c r="J790" s="26" t="str">
        <f aca="false">IF($K790=0,"",IFERROR(INDEX(LOT_PRODE,MATCH($G790,LOT_KEY,0)),""))</f>
        <v/>
      </c>
      <c r="K790" s="67" t="n">
        <f aca="false">IF(ST_RESULTATS!$P40=0,0,ST_RESULTATS!$F40)</f>
        <v>0</v>
      </c>
      <c r="L790" s="67" t="n">
        <f aca="false">IF($K790=0,0,ST_RESULTATS!$T40*$K790)</f>
        <v>0</v>
      </c>
      <c r="M790" s="26" t="str">
        <f aca="false">IF($K790=0,"",ST_RESULTATS!$S40)</f>
        <v/>
      </c>
      <c r="N790" s="26" t="str">
        <f aca="false">IF($G790="","",IF($G790=R_LOT,COUNTIF($G$5:$G790,R_LOT),""))</f>
        <v/>
      </c>
    </row>
    <row r="791" customFormat="false" ht="15" hidden="false" customHeight="false" outlineLevel="0" collapsed="false">
      <c r="A791" s="28" t="str">
        <f aca="false">IF($K791=0,"",ROW()-4)</f>
        <v/>
      </c>
      <c r="B791" s="26" t="str">
        <f aca="false">IF($K791=0,"","RESULTAT ST")</f>
        <v/>
      </c>
      <c r="C791" s="26" t="str">
        <f aca="false">IF($K791=0,"",ST_RESULTATS!$A41)</f>
        <v/>
      </c>
      <c r="D791" s="31" t="str">
        <f aca="false">IF($K791=0,"",ST_RESULTATS!$V41)</f>
        <v/>
      </c>
      <c r="E791" s="26" t="str">
        <f aca="false">IF($K791=0,"","ENTREE")</f>
        <v/>
      </c>
      <c r="F791" s="26" t="str">
        <f aca="false">IF($K791=0,"","RETOUR SOUS-TRAITANCE")</f>
        <v/>
      </c>
      <c r="G791" s="26" t="str">
        <f aca="false">IF($K791=0,"",ST_RESULTATS!$N41)</f>
        <v/>
      </c>
      <c r="H791" s="26" t="str">
        <f aca="false">IF($K791=0,"",ST_RESULTATS!$J41)</f>
        <v/>
      </c>
      <c r="I791" s="26" t="str">
        <f aca="false">IF($H791="","",IFERROR(INDEX(EMPL_CLASSE,MATCH($H791,EMPL_KEY,0)),""))</f>
        <v/>
      </c>
      <c r="J791" s="26" t="str">
        <f aca="false">IF($K791=0,"",IFERROR(INDEX(LOT_PRODE,MATCH($G791,LOT_KEY,0)),""))</f>
        <v/>
      </c>
      <c r="K791" s="67" t="n">
        <f aca="false">IF(ST_RESULTATS!$P41=0,0,ST_RESULTATS!$F41)</f>
        <v>0</v>
      </c>
      <c r="L791" s="67" t="n">
        <f aca="false">IF($K791=0,0,ST_RESULTATS!$T41*$K791)</f>
        <v>0</v>
      </c>
      <c r="M791" s="26" t="str">
        <f aca="false">IF($K791=0,"",ST_RESULTATS!$S41)</f>
        <v/>
      </c>
      <c r="N791" s="26" t="str">
        <f aca="false">IF($G791="","",IF($G791=R_LOT,COUNTIF($G$5:$G791,R_LOT),""))</f>
        <v/>
      </c>
    </row>
    <row r="792" customFormat="false" ht="15" hidden="false" customHeight="false" outlineLevel="0" collapsed="false">
      <c r="A792" s="28" t="str">
        <f aca="false">IF($K792=0,"",ROW()-4)</f>
        <v/>
      </c>
      <c r="B792" s="26" t="str">
        <f aca="false">IF($K792=0,"","RESULTAT ST")</f>
        <v/>
      </c>
      <c r="C792" s="26" t="str">
        <f aca="false">IF($K792=0,"",ST_RESULTATS!$A42)</f>
        <v/>
      </c>
      <c r="D792" s="31" t="str">
        <f aca="false">IF($K792=0,"",ST_RESULTATS!$V42)</f>
        <v/>
      </c>
      <c r="E792" s="26" t="str">
        <f aca="false">IF($K792=0,"","ENTREE")</f>
        <v/>
      </c>
      <c r="F792" s="26" t="str">
        <f aca="false">IF($K792=0,"","RETOUR SOUS-TRAITANCE")</f>
        <v/>
      </c>
      <c r="G792" s="26" t="str">
        <f aca="false">IF($K792=0,"",ST_RESULTATS!$N42)</f>
        <v/>
      </c>
      <c r="H792" s="26" t="str">
        <f aca="false">IF($K792=0,"",ST_RESULTATS!$J42)</f>
        <v/>
      </c>
      <c r="I792" s="26" t="str">
        <f aca="false">IF($H792="","",IFERROR(INDEX(EMPL_CLASSE,MATCH($H792,EMPL_KEY,0)),""))</f>
        <v/>
      </c>
      <c r="J792" s="26" t="str">
        <f aca="false">IF($K792=0,"",IFERROR(INDEX(LOT_PRODE,MATCH($G792,LOT_KEY,0)),""))</f>
        <v/>
      </c>
      <c r="K792" s="67" t="n">
        <f aca="false">IF(ST_RESULTATS!$P42=0,0,ST_RESULTATS!$F42)</f>
        <v>0</v>
      </c>
      <c r="L792" s="67" t="n">
        <f aca="false">IF($K792=0,0,ST_RESULTATS!$T42*$K792)</f>
        <v>0</v>
      </c>
      <c r="M792" s="26" t="str">
        <f aca="false">IF($K792=0,"",ST_RESULTATS!$S42)</f>
        <v/>
      </c>
      <c r="N792" s="26" t="str">
        <f aca="false">IF($G792="","",IF($G792=R_LOT,COUNTIF($G$5:$G792,R_LOT),""))</f>
        <v/>
      </c>
    </row>
    <row r="793" customFormat="false" ht="15" hidden="false" customHeight="false" outlineLevel="0" collapsed="false">
      <c r="A793" s="28" t="str">
        <f aca="false">IF($K793=0,"",ROW()-4)</f>
        <v/>
      </c>
      <c r="B793" s="26" t="str">
        <f aca="false">IF($K793=0,"","RESULTAT ST")</f>
        <v/>
      </c>
      <c r="C793" s="26" t="str">
        <f aca="false">IF($K793=0,"",ST_RESULTATS!$A43)</f>
        <v/>
      </c>
      <c r="D793" s="31" t="str">
        <f aca="false">IF($K793=0,"",ST_RESULTATS!$V43)</f>
        <v/>
      </c>
      <c r="E793" s="26" t="str">
        <f aca="false">IF($K793=0,"","ENTREE")</f>
        <v/>
      </c>
      <c r="F793" s="26" t="str">
        <f aca="false">IF($K793=0,"","RETOUR SOUS-TRAITANCE")</f>
        <v/>
      </c>
      <c r="G793" s="26" t="str">
        <f aca="false">IF($K793=0,"",ST_RESULTATS!$N43)</f>
        <v/>
      </c>
      <c r="H793" s="26" t="str">
        <f aca="false">IF($K793=0,"",ST_RESULTATS!$J43)</f>
        <v/>
      </c>
      <c r="I793" s="26" t="str">
        <f aca="false">IF($H793="","",IFERROR(INDEX(EMPL_CLASSE,MATCH($H793,EMPL_KEY,0)),""))</f>
        <v/>
      </c>
      <c r="J793" s="26" t="str">
        <f aca="false">IF($K793=0,"",IFERROR(INDEX(LOT_PRODE,MATCH($G793,LOT_KEY,0)),""))</f>
        <v/>
      </c>
      <c r="K793" s="67" t="n">
        <f aca="false">IF(ST_RESULTATS!$P43=0,0,ST_RESULTATS!$F43)</f>
        <v>0</v>
      </c>
      <c r="L793" s="67" t="n">
        <f aca="false">IF($K793=0,0,ST_RESULTATS!$T43*$K793)</f>
        <v>0</v>
      </c>
      <c r="M793" s="26" t="str">
        <f aca="false">IF($K793=0,"",ST_RESULTATS!$S43)</f>
        <v/>
      </c>
      <c r="N793" s="26" t="str">
        <f aca="false">IF($G793="","",IF($G793=R_LOT,COUNTIF($G$5:$G793,R_LOT),""))</f>
        <v/>
      </c>
    </row>
    <row r="794" customFormat="false" ht="15" hidden="false" customHeight="false" outlineLevel="0" collapsed="false">
      <c r="A794" s="28" t="str">
        <f aca="false">IF($K794=0,"",ROW()-4)</f>
        <v/>
      </c>
      <c r="B794" s="26" t="str">
        <f aca="false">IF($K794=0,"","RESULTAT ST")</f>
        <v/>
      </c>
      <c r="C794" s="26" t="str">
        <f aca="false">IF($K794=0,"",ST_RESULTATS!$A44)</f>
        <v/>
      </c>
      <c r="D794" s="31" t="str">
        <f aca="false">IF($K794=0,"",ST_RESULTATS!$V44)</f>
        <v/>
      </c>
      <c r="E794" s="26" t="str">
        <f aca="false">IF($K794=0,"","ENTREE")</f>
        <v/>
      </c>
      <c r="F794" s="26" t="str">
        <f aca="false">IF($K794=0,"","RETOUR SOUS-TRAITANCE")</f>
        <v/>
      </c>
      <c r="G794" s="26" t="str">
        <f aca="false">IF($K794=0,"",ST_RESULTATS!$N44)</f>
        <v/>
      </c>
      <c r="H794" s="26" t="str">
        <f aca="false">IF($K794=0,"",ST_RESULTATS!$J44)</f>
        <v/>
      </c>
      <c r="I794" s="26" t="str">
        <f aca="false">IF($H794="","",IFERROR(INDEX(EMPL_CLASSE,MATCH($H794,EMPL_KEY,0)),""))</f>
        <v/>
      </c>
      <c r="J794" s="26" t="str">
        <f aca="false">IF($K794=0,"",IFERROR(INDEX(LOT_PRODE,MATCH($G794,LOT_KEY,0)),""))</f>
        <v/>
      </c>
      <c r="K794" s="67" t="n">
        <f aca="false">IF(ST_RESULTATS!$P44=0,0,ST_RESULTATS!$F44)</f>
        <v>0</v>
      </c>
      <c r="L794" s="67" t="n">
        <f aca="false">IF($K794=0,0,ST_RESULTATS!$T44*$K794)</f>
        <v>0</v>
      </c>
      <c r="M794" s="26" t="str">
        <f aca="false">IF($K794=0,"",ST_RESULTATS!$S44)</f>
        <v/>
      </c>
      <c r="N794" s="26" t="str">
        <f aca="false">IF($G794="","",IF($G794=R_LOT,COUNTIF($G$5:$G794,R_LOT),""))</f>
        <v/>
      </c>
    </row>
    <row r="795" customFormat="false" ht="15" hidden="false" customHeight="false" outlineLevel="0" collapsed="false">
      <c r="A795" s="28" t="str">
        <f aca="false">IF($K795=0,"",ROW()-4)</f>
        <v/>
      </c>
      <c r="B795" s="26" t="str">
        <f aca="false">IF($K795=0,"","RESULTAT ST")</f>
        <v/>
      </c>
      <c r="C795" s="26" t="str">
        <f aca="false">IF($K795=0,"",ST_RESULTATS!$A45)</f>
        <v/>
      </c>
      <c r="D795" s="31" t="str">
        <f aca="false">IF($K795=0,"",ST_RESULTATS!$V45)</f>
        <v/>
      </c>
      <c r="E795" s="26" t="str">
        <f aca="false">IF($K795=0,"","ENTREE")</f>
        <v/>
      </c>
      <c r="F795" s="26" t="str">
        <f aca="false">IF($K795=0,"","RETOUR SOUS-TRAITANCE")</f>
        <v/>
      </c>
      <c r="G795" s="26" t="str">
        <f aca="false">IF($K795=0,"",ST_RESULTATS!$N45)</f>
        <v/>
      </c>
      <c r="H795" s="26" t="str">
        <f aca="false">IF($K795=0,"",ST_RESULTATS!$J45)</f>
        <v/>
      </c>
      <c r="I795" s="26" t="str">
        <f aca="false">IF($H795="","",IFERROR(INDEX(EMPL_CLASSE,MATCH($H795,EMPL_KEY,0)),""))</f>
        <v/>
      </c>
      <c r="J795" s="26" t="str">
        <f aca="false">IF($K795=0,"",IFERROR(INDEX(LOT_PRODE,MATCH($G795,LOT_KEY,0)),""))</f>
        <v/>
      </c>
      <c r="K795" s="67" t="n">
        <f aca="false">IF(ST_RESULTATS!$P45=0,0,ST_RESULTATS!$F45)</f>
        <v>0</v>
      </c>
      <c r="L795" s="67" t="n">
        <f aca="false">IF($K795=0,0,ST_RESULTATS!$T45*$K795)</f>
        <v>0</v>
      </c>
      <c r="M795" s="26" t="str">
        <f aca="false">IF($K795=0,"",ST_RESULTATS!$S45)</f>
        <v/>
      </c>
      <c r="N795" s="26" t="str">
        <f aca="false">IF($G795="","",IF($G795=R_LOT,COUNTIF($G$5:$G795,R_LOT),""))</f>
        <v/>
      </c>
    </row>
    <row r="796" customFormat="false" ht="15" hidden="false" customHeight="false" outlineLevel="0" collapsed="false">
      <c r="A796" s="28" t="str">
        <f aca="false">IF($K796=0,"",ROW()-4)</f>
        <v/>
      </c>
      <c r="B796" s="26" t="str">
        <f aca="false">IF($K796=0,"","RESULTAT ST")</f>
        <v/>
      </c>
      <c r="C796" s="26" t="str">
        <f aca="false">IF($K796=0,"",ST_RESULTATS!$A46)</f>
        <v/>
      </c>
      <c r="D796" s="31" t="str">
        <f aca="false">IF($K796=0,"",ST_RESULTATS!$V46)</f>
        <v/>
      </c>
      <c r="E796" s="26" t="str">
        <f aca="false">IF($K796=0,"","ENTREE")</f>
        <v/>
      </c>
      <c r="F796" s="26" t="str">
        <f aca="false">IF($K796=0,"","RETOUR SOUS-TRAITANCE")</f>
        <v/>
      </c>
      <c r="G796" s="26" t="str">
        <f aca="false">IF($K796=0,"",ST_RESULTATS!$N46)</f>
        <v/>
      </c>
      <c r="H796" s="26" t="str">
        <f aca="false">IF($K796=0,"",ST_RESULTATS!$J46)</f>
        <v/>
      </c>
      <c r="I796" s="26" t="str">
        <f aca="false">IF($H796="","",IFERROR(INDEX(EMPL_CLASSE,MATCH($H796,EMPL_KEY,0)),""))</f>
        <v/>
      </c>
      <c r="J796" s="26" t="str">
        <f aca="false">IF($K796=0,"",IFERROR(INDEX(LOT_PRODE,MATCH($G796,LOT_KEY,0)),""))</f>
        <v/>
      </c>
      <c r="K796" s="67" t="n">
        <f aca="false">IF(ST_RESULTATS!$P46=0,0,ST_RESULTATS!$F46)</f>
        <v>0</v>
      </c>
      <c r="L796" s="67" t="n">
        <f aca="false">IF($K796=0,0,ST_RESULTATS!$T46*$K796)</f>
        <v>0</v>
      </c>
      <c r="M796" s="26" t="str">
        <f aca="false">IF($K796=0,"",ST_RESULTATS!$S46)</f>
        <v/>
      </c>
      <c r="N796" s="26" t="str">
        <f aca="false">IF($G796="","",IF($G796=R_LOT,COUNTIF($G$5:$G796,R_LOT),""))</f>
        <v/>
      </c>
    </row>
    <row r="797" customFormat="false" ht="15" hidden="false" customHeight="false" outlineLevel="0" collapsed="false">
      <c r="A797" s="28" t="str">
        <f aca="false">IF($K797=0,"",ROW()-4)</f>
        <v/>
      </c>
      <c r="B797" s="26" t="str">
        <f aca="false">IF($K797=0,"","RESULTAT ST")</f>
        <v/>
      </c>
      <c r="C797" s="26" t="str">
        <f aca="false">IF($K797=0,"",ST_RESULTATS!$A47)</f>
        <v/>
      </c>
      <c r="D797" s="31" t="str">
        <f aca="false">IF($K797=0,"",ST_RESULTATS!$V47)</f>
        <v/>
      </c>
      <c r="E797" s="26" t="str">
        <f aca="false">IF($K797=0,"","ENTREE")</f>
        <v/>
      </c>
      <c r="F797" s="26" t="str">
        <f aca="false">IF($K797=0,"","RETOUR SOUS-TRAITANCE")</f>
        <v/>
      </c>
      <c r="G797" s="26" t="str">
        <f aca="false">IF($K797=0,"",ST_RESULTATS!$N47)</f>
        <v/>
      </c>
      <c r="H797" s="26" t="str">
        <f aca="false">IF($K797=0,"",ST_RESULTATS!$J47)</f>
        <v/>
      </c>
      <c r="I797" s="26" t="str">
        <f aca="false">IF($H797="","",IFERROR(INDEX(EMPL_CLASSE,MATCH($H797,EMPL_KEY,0)),""))</f>
        <v/>
      </c>
      <c r="J797" s="26" t="str">
        <f aca="false">IF($K797=0,"",IFERROR(INDEX(LOT_PRODE,MATCH($G797,LOT_KEY,0)),""))</f>
        <v/>
      </c>
      <c r="K797" s="67" t="n">
        <f aca="false">IF(ST_RESULTATS!$P47=0,0,ST_RESULTATS!$F47)</f>
        <v>0</v>
      </c>
      <c r="L797" s="67" t="n">
        <f aca="false">IF($K797=0,0,ST_RESULTATS!$T47*$K797)</f>
        <v>0</v>
      </c>
      <c r="M797" s="26" t="str">
        <f aca="false">IF($K797=0,"",ST_RESULTATS!$S47)</f>
        <v/>
      </c>
      <c r="N797" s="26" t="str">
        <f aca="false">IF($G797="","",IF($G797=R_LOT,COUNTIF($G$5:$G797,R_LOT),""))</f>
        <v/>
      </c>
    </row>
    <row r="798" customFormat="false" ht="15" hidden="false" customHeight="false" outlineLevel="0" collapsed="false">
      <c r="A798" s="28" t="str">
        <f aca="false">IF($K798=0,"",ROW()-4)</f>
        <v/>
      </c>
      <c r="B798" s="26" t="str">
        <f aca="false">IF($K798=0,"","RESULTAT ST")</f>
        <v/>
      </c>
      <c r="C798" s="26" t="str">
        <f aca="false">IF($K798=0,"",ST_RESULTATS!$A48)</f>
        <v/>
      </c>
      <c r="D798" s="31" t="str">
        <f aca="false">IF($K798=0,"",ST_RESULTATS!$V48)</f>
        <v/>
      </c>
      <c r="E798" s="26" t="str">
        <f aca="false">IF($K798=0,"","ENTREE")</f>
        <v/>
      </c>
      <c r="F798" s="26" t="str">
        <f aca="false">IF($K798=0,"","RETOUR SOUS-TRAITANCE")</f>
        <v/>
      </c>
      <c r="G798" s="26" t="str">
        <f aca="false">IF($K798=0,"",ST_RESULTATS!$N48)</f>
        <v/>
      </c>
      <c r="H798" s="26" t="str">
        <f aca="false">IF($K798=0,"",ST_RESULTATS!$J48)</f>
        <v/>
      </c>
      <c r="I798" s="26" t="str">
        <f aca="false">IF($H798="","",IFERROR(INDEX(EMPL_CLASSE,MATCH($H798,EMPL_KEY,0)),""))</f>
        <v/>
      </c>
      <c r="J798" s="26" t="str">
        <f aca="false">IF($K798=0,"",IFERROR(INDEX(LOT_PRODE,MATCH($G798,LOT_KEY,0)),""))</f>
        <v/>
      </c>
      <c r="K798" s="67" t="n">
        <f aca="false">IF(ST_RESULTATS!$P48=0,0,ST_RESULTATS!$F48)</f>
        <v>0</v>
      </c>
      <c r="L798" s="67" t="n">
        <f aca="false">IF($K798=0,0,ST_RESULTATS!$T48*$K798)</f>
        <v>0</v>
      </c>
      <c r="M798" s="26" t="str">
        <f aca="false">IF($K798=0,"",ST_RESULTATS!$S48)</f>
        <v/>
      </c>
      <c r="N798" s="26" t="str">
        <f aca="false">IF($G798="","",IF($G798=R_LOT,COUNTIF($G$5:$G798,R_LOT),""))</f>
        <v/>
      </c>
    </row>
    <row r="799" customFormat="false" ht="15" hidden="false" customHeight="false" outlineLevel="0" collapsed="false">
      <c r="A799" s="28" t="str">
        <f aca="false">IF($K799=0,"",ROW()-4)</f>
        <v/>
      </c>
      <c r="B799" s="26" t="str">
        <f aca="false">IF($K799=0,"","RESULTAT ST")</f>
        <v/>
      </c>
      <c r="C799" s="26" t="str">
        <f aca="false">IF($K799=0,"",ST_RESULTATS!$A49)</f>
        <v/>
      </c>
      <c r="D799" s="31" t="str">
        <f aca="false">IF($K799=0,"",ST_RESULTATS!$V49)</f>
        <v/>
      </c>
      <c r="E799" s="26" t="str">
        <f aca="false">IF($K799=0,"","ENTREE")</f>
        <v/>
      </c>
      <c r="F799" s="26" t="str">
        <f aca="false">IF($K799=0,"","RETOUR SOUS-TRAITANCE")</f>
        <v/>
      </c>
      <c r="G799" s="26" t="str">
        <f aca="false">IF($K799=0,"",ST_RESULTATS!$N49)</f>
        <v/>
      </c>
      <c r="H799" s="26" t="str">
        <f aca="false">IF($K799=0,"",ST_RESULTATS!$J49)</f>
        <v/>
      </c>
      <c r="I799" s="26" t="str">
        <f aca="false">IF($H799="","",IFERROR(INDEX(EMPL_CLASSE,MATCH($H799,EMPL_KEY,0)),""))</f>
        <v/>
      </c>
      <c r="J799" s="26" t="str">
        <f aca="false">IF($K799=0,"",IFERROR(INDEX(LOT_PRODE,MATCH($G799,LOT_KEY,0)),""))</f>
        <v/>
      </c>
      <c r="K799" s="67" t="n">
        <f aca="false">IF(ST_RESULTATS!$P49=0,0,ST_RESULTATS!$F49)</f>
        <v>0</v>
      </c>
      <c r="L799" s="67" t="n">
        <f aca="false">IF($K799=0,0,ST_RESULTATS!$T49*$K799)</f>
        <v>0</v>
      </c>
      <c r="M799" s="26" t="str">
        <f aca="false">IF($K799=0,"",ST_RESULTATS!$S49)</f>
        <v/>
      </c>
      <c r="N799" s="26" t="str">
        <f aca="false">IF($G799="","",IF($G799=R_LOT,COUNTIF($G$5:$G799,R_LOT),""))</f>
        <v/>
      </c>
    </row>
    <row r="800" customFormat="false" ht="15" hidden="false" customHeight="false" outlineLevel="0" collapsed="false">
      <c r="A800" s="28" t="str">
        <f aca="false">IF($K800=0,"",ROW()-4)</f>
        <v/>
      </c>
      <c r="B800" s="26" t="str">
        <f aca="false">IF($K800=0,"","RESULTAT ST")</f>
        <v/>
      </c>
      <c r="C800" s="26" t="str">
        <f aca="false">IF($K800=0,"",ST_RESULTATS!$A50)</f>
        <v/>
      </c>
      <c r="D800" s="31" t="str">
        <f aca="false">IF($K800=0,"",ST_RESULTATS!$V50)</f>
        <v/>
      </c>
      <c r="E800" s="26" t="str">
        <f aca="false">IF($K800=0,"","ENTREE")</f>
        <v/>
      </c>
      <c r="F800" s="26" t="str">
        <f aca="false">IF($K800=0,"","RETOUR SOUS-TRAITANCE")</f>
        <v/>
      </c>
      <c r="G800" s="26" t="str">
        <f aca="false">IF($K800=0,"",ST_RESULTATS!$N50)</f>
        <v/>
      </c>
      <c r="H800" s="26" t="str">
        <f aca="false">IF($K800=0,"",ST_RESULTATS!$J50)</f>
        <v/>
      </c>
      <c r="I800" s="26" t="str">
        <f aca="false">IF($H800="","",IFERROR(INDEX(EMPL_CLASSE,MATCH($H800,EMPL_KEY,0)),""))</f>
        <v/>
      </c>
      <c r="J800" s="26" t="str">
        <f aca="false">IF($K800=0,"",IFERROR(INDEX(LOT_PRODE,MATCH($G800,LOT_KEY,0)),""))</f>
        <v/>
      </c>
      <c r="K800" s="67" t="n">
        <f aca="false">IF(ST_RESULTATS!$P50=0,0,ST_RESULTATS!$F50)</f>
        <v>0</v>
      </c>
      <c r="L800" s="67" t="n">
        <f aca="false">IF($K800=0,0,ST_RESULTATS!$T50*$K800)</f>
        <v>0</v>
      </c>
      <c r="M800" s="26" t="str">
        <f aca="false">IF($K800=0,"",ST_RESULTATS!$S50)</f>
        <v/>
      </c>
      <c r="N800" s="26" t="str">
        <f aca="false">IF($G800="","",IF($G800=R_LOT,COUNTIF($G$5:$G800,R_LOT),""))</f>
        <v/>
      </c>
    </row>
    <row r="801" customFormat="false" ht="15" hidden="false" customHeight="false" outlineLevel="0" collapsed="false">
      <c r="A801" s="28" t="str">
        <f aca="false">IF($K801=0,"",ROW()-4)</f>
        <v/>
      </c>
      <c r="B801" s="26" t="str">
        <f aca="false">IF($K801=0,"","RESULTAT ST")</f>
        <v/>
      </c>
      <c r="C801" s="26" t="str">
        <f aca="false">IF($K801=0,"",ST_RESULTATS!$A51)</f>
        <v/>
      </c>
      <c r="D801" s="31" t="str">
        <f aca="false">IF($K801=0,"",ST_RESULTATS!$V51)</f>
        <v/>
      </c>
      <c r="E801" s="26" t="str">
        <f aca="false">IF($K801=0,"","ENTREE")</f>
        <v/>
      </c>
      <c r="F801" s="26" t="str">
        <f aca="false">IF($K801=0,"","RETOUR SOUS-TRAITANCE")</f>
        <v/>
      </c>
      <c r="G801" s="26" t="str">
        <f aca="false">IF($K801=0,"",ST_RESULTATS!$N51)</f>
        <v/>
      </c>
      <c r="H801" s="26" t="str">
        <f aca="false">IF($K801=0,"",ST_RESULTATS!$J51)</f>
        <v/>
      </c>
      <c r="I801" s="26" t="str">
        <f aca="false">IF($H801="","",IFERROR(INDEX(EMPL_CLASSE,MATCH($H801,EMPL_KEY,0)),""))</f>
        <v/>
      </c>
      <c r="J801" s="26" t="str">
        <f aca="false">IF($K801=0,"",IFERROR(INDEX(LOT_PRODE,MATCH($G801,LOT_KEY,0)),""))</f>
        <v/>
      </c>
      <c r="K801" s="67" t="n">
        <f aca="false">IF(ST_RESULTATS!$P51=0,0,ST_RESULTATS!$F51)</f>
        <v>0</v>
      </c>
      <c r="L801" s="67" t="n">
        <f aca="false">IF($K801=0,0,ST_RESULTATS!$T51*$K801)</f>
        <v>0</v>
      </c>
      <c r="M801" s="26" t="str">
        <f aca="false">IF($K801=0,"",ST_RESULTATS!$S51)</f>
        <v/>
      </c>
      <c r="N801" s="26" t="str">
        <f aca="false">IF($G801="","",IF($G801=R_LOT,COUNTIF($G$5:$G801,R_LOT),""))</f>
        <v/>
      </c>
    </row>
    <row r="802" customFormat="false" ht="15" hidden="false" customHeight="false" outlineLevel="0" collapsed="false">
      <c r="A802" s="28" t="str">
        <f aca="false">IF($K802=0,"",ROW()-4)</f>
        <v/>
      </c>
      <c r="B802" s="26" t="str">
        <f aca="false">IF($K802=0,"","RESULTAT ST")</f>
        <v/>
      </c>
      <c r="C802" s="26" t="str">
        <f aca="false">IF($K802=0,"",ST_RESULTATS!$A52)</f>
        <v/>
      </c>
      <c r="D802" s="31" t="str">
        <f aca="false">IF($K802=0,"",ST_RESULTATS!$V52)</f>
        <v/>
      </c>
      <c r="E802" s="26" t="str">
        <f aca="false">IF($K802=0,"","ENTREE")</f>
        <v/>
      </c>
      <c r="F802" s="26" t="str">
        <f aca="false">IF($K802=0,"","RETOUR SOUS-TRAITANCE")</f>
        <v/>
      </c>
      <c r="G802" s="26" t="str">
        <f aca="false">IF($K802=0,"",ST_RESULTATS!$N52)</f>
        <v/>
      </c>
      <c r="H802" s="26" t="str">
        <f aca="false">IF($K802=0,"",ST_RESULTATS!$J52)</f>
        <v/>
      </c>
      <c r="I802" s="26" t="str">
        <f aca="false">IF($H802="","",IFERROR(INDEX(EMPL_CLASSE,MATCH($H802,EMPL_KEY,0)),""))</f>
        <v/>
      </c>
      <c r="J802" s="26" t="str">
        <f aca="false">IF($K802=0,"",IFERROR(INDEX(LOT_PRODE,MATCH($G802,LOT_KEY,0)),""))</f>
        <v/>
      </c>
      <c r="K802" s="67" t="n">
        <f aca="false">IF(ST_RESULTATS!$P52=0,0,ST_RESULTATS!$F52)</f>
        <v>0</v>
      </c>
      <c r="L802" s="67" t="n">
        <f aca="false">IF($K802=0,0,ST_RESULTATS!$T52*$K802)</f>
        <v>0</v>
      </c>
      <c r="M802" s="26" t="str">
        <f aca="false">IF($K802=0,"",ST_RESULTATS!$S52)</f>
        <v/>
      </c>
      <c r="N802" s="26" t="str">
        <f aca="false">IF($G802="","",IF($G802=R_LOT,COUNTIF($G$5:$G802,R_LOT),""))</f>
        <v/>
      </c>
    </row>
    <row r="803" customFormat="false" ht="15" hidden="false" customHeight="false" outlineLevel="0" collapsed="false">
      <c r="A803" s="28" t="str">
        <f aca="false">IF($K803=0,"",ROW()-4)</f>
        <v/>
      </c>
      <c r="B803" s="26" t="str">
        <f aca="false">IF($K803=0,"","RESULTAT ST")</f>
        <v/>
      </c>
      <c r="C803" s="26" t="str">
        <f aca="false">IF($K803=0,"",ST_RESULTATS!$A53)</f>
        <v/>
      </c>
      <c r="D803" s="31" t="str">
        <f aca="false">IF($K803=0,"",ST_RESULTATS!$V53)</f>
        <v/>
      </c>
      <c r="E803" s="26" t="str">
        <f aca="false">IF($K803=0,"","ENTREE")</f>
        <v/>
      </c>
      <c r="F803" s="26" t="str">
        <f aca="false">IF($K803=0,"","RETOUR SOUS-TRAITANCE")</f>
        <v/>
      </c>
      <c r="G803" s="26" t="str">
        <f aca="false">IF($K803=0,"",ST_RESULTATS!$N53)</f>
        <v/>
      </c>
      <c r="H803" s="26" t="str">
        <f aca="false">IF($K803=0,"",ST_RESULTATS!$J53)</f>
        <v/>
      </c>
      <c r="I803" s="26" t="str">
        <f aca="false">IF($H803="","",IFERROR(INDEX(EMPL_CLASSE,MATCH($H803,EMPL_KEY,0)),""))</f>
        <v/>
      </c>
      <c r="J803" s="26" t="str">
        <f aca="false">IF($K803=0,"",IFERROR(INDEX(LOT_PRODE,MATCH($G803,LOT_KEY,0)),""))</f>
        <v/>
      </c>
      <c r="K803" s="67" t="n">
        <f aca="false">IF(ST_RESULTATS!$P53=0,0,ST_RESULTATS!$F53)</f>
        <v>0</v>
      </c>
      <c r="L803" s="67" t="n">
        <f aca="false">IF($K803=0,0,ST_RESULTATS!$T53*$K803)</f>
        <v>0</v>
      </c>
      <c r="M803" s="26" t="str">
        <f aca="false">IF($K803=0,"",ST_RESULTATS!$S53)</f>
        <v/>
      </c>
      <c r="N803" s="26" t="str">
        <f aca="false">IF($G803="","",IF($G803=R_LOT,COUNTIF($G$5:$G803,R_LOT),""))</f>
        <v/>
      </c>
    </row>
    <row r="804" customFormat="false" ht="15" hidden="false" customHeight="false" outlineLevel="0" collapsed="false">
      <c r="A804" s="28" t="str">
        <f aca="false">IF($K804=0,"",ROW()-4)</f>
        <v/>
      </c>
      <c r="B804" s="26" t="str">
        <f aca="false">IF($K804=0,"","RESULTAT ST")</f>
        <v/>
      </c>
      <c r="C804" s="26" t="str">
        <f aca="false">IF($K804=0,"",ST_RESULTATS!$A54)</f>
        <v/>
      </c>
      <c r="D804" s="31" t="str">
        <f aca="false">IF($K804=0,"",ST_RESULTATS!$V54)</f>
        <v/>
      </c>
      <c r="E804" s="26" t="str">
        <f aca="false">IF($K804=0,"","ENTREE")</f>
        <v/>
      </c>
      <c r="F804" s="26" t="str">
        <f aca="false">IF($K804=0,"","RETOUR SOUS-TRAITANCE")</f>
        <v/>
      </c>
      <c r="G804" s="26" t="str">
        <f aca="false">IF($K804=0,"",ST_RESULTATS!$N54)</f>
        <v/>
      </c>
      <c r="H804" s="26" t="str">
        <f aca="false">IF($K804=0,"",ST_RESULTATS!$J54)</f>
        <v/>
      </c>
      <c r="I804" s="26" t="str">
        <f aca="false">IF($H804="","",IFERROR(INDEX(EMPL_CLASSE,MATCH($H804,EMPL_KEY,0)),""))</f>
        <v/>
      </c>
      <c r="J804" s="26" t="str">
        <f aca="false">IF($K804=0,"",IFERROR(INDEX(LOT_PRODE,MATCH($G804,LOT_KEY,0)),""))</f>
        <v/>
      </c>
      <c r="K804" s="67" t="n">
        <f aca="false">IF(ST_RESULTATS!$P54=0,0,ST_RESULTATS!$F54)</f>
        <v>0</v>
      </c>
      <c r="L804" s="67" t="n">
        <f aca="false">IF($K804=0,0,ST_RESULTATS!$T54*$K804)</f>
        <v>0</v>
      </c>
      <c r="M804" s="26" t="str">
        <f aca="false">IF($K804=0,"",ST_RESULTATS!$S54)</f>
        <v/>
      </c>
      <c r="N804" s="26" t="str">
        <f aca="false">IF($G804="","",IF($G804=R_LOT,COUNTIF($G$5:$G804,R_LOT),""))</f>
        <v/>
      </c>
    </row>
    <row r="805" customFormat="false" ht="15" hidden="false" customHeight="false" outlineLevel="0" collapsed="false">
      <c r="A805" s="28" t="str">
        <f aca="false">IF($K805=0,"",ROW()-4)</f>
        <v/>
      </c>
      <c r="B805" s="26" t="str">
        <f aca="false">IF($K805=0,"","RESULTAT ST")</f>
        <v/>
      </c>
      <c r="C805" s="26" t="str">
        <f aca="false">IF($K805=0,"",ST_RESULTATS!$A55)</f>
        <v/>
      </c>
      <c r="D805" s="31" t="str">
        <f aca="false">IF($K805=0,"",ST_RESULTATS!$V55)</f>
        <v/>
      </c>
      <c r="E805" s="26" t="str">
        <f aca="false">IF($K805=0,"","ENTREE")</f>
        <v/>
      </c>
      <c r="F805" s="26" t="str">
        <f aca="false">IF($K805=0,"","RETOUR SOUS-TRAITANCE")</f>
        <v/>
      </c>
      <c r="G805" s="26" t="str">
        <f aca="false">IF($K805=0,"",ST_RESULTATS!$N55)</f>
        <v/>
      </c>
      <c r="H805" s="26" t="str">
        <f aca="false">IF($K805=0,"",ST_RESULTATS!$J55)</f>
        <v/>
      </c>
      <c r="I805" s="26" t="str">
        <f aca="false">IF($H805="","",IFERROR(INDEX(EMPL_CLASSE,MATCH($H805,EMPL_KEY,0)),""))</f>
        <v/>
      </c>
      <c r="J805" s="26" t="str">
        <f aca="false">IF($K805=0,"",IFERROR(INDEX(LOT_PRODE,MATCH($G805,LOT_KEY,0)),""))</f>
        <v/>
      </c>
      <c r="K805" s="67" t="n">
        <f aca="false">IF(ST_RESULTATS!$P55=0,0,ST_RESULTATS!$F55)</f>
        <v>0</v>
      </c>
      <c r="L805" s="67" t="n">
        <f aca="false">IF($K805=0,0,ST_RESULTATS!$T55*$K805)</f>
        <v>0</v>
      </c>
      <c r="M805" s="26" t="str">
        <f aca="false">IF($K805=0,"",ST_RESULTATS!$S55)</f>
        <v/>
      </c>
      <c r="N805" s="26" t="str">
        <f aca="false">IF($G805="","",IF($G805=R_LOT,COUNTIF($G$5:$G805,R_LOT),""))</f>
        <v/>
      </c>
    </row>
    <row r="806" customFormat="false" ht="15" hidden="false" customHeight="false" outlineLevel="0" collapsed="false">
      <c r="A806" s="28" t="str">
        <f aca="false">IF($K806=0,"",ROW()-4)</f>
        <v/>
      </c>
      <c r="B806" s="26" t="str">
        <f aca="false">IF($K806=0,"","RESULTAT ST")</f>
        <v/>
      </c>
      <c r="C806" s="26" t="str">
        <f aca="false">IF($K806=0,"",ST_RESULTATS!$A56)</f>
        <v/>
      </c>
      <c r="D806" s="31" t="str">
        <f aca="false">IF($K806=0,"",ST_RESULTATS!$V56)</f>
        <v/>
      </c>
      <c r="E806" s="26" t="str">
        <f aca="false">IF($K806=0,"","ENTREE")</f>
        <v/>
      </c>
      <c r="F806" s="26" t="str">
        <f aca="false">IF($K806=0,"","RETOUR SOUS-TRAITANCE")</f>
        <v/>
      </c>
      <c r="G806" s="26" t="str">
        <f aca="false">IF($K806=0,"",ST_RESULTATS!$N56)</f>
        <v/>
      </c>
      <c r="H806" s="26" t="str">
        <f aca="false">IF($K806=0,"",ST_RESULTATS!$J56)</f>
        <v/>
      </c>
      <c r="I806" s="26" t="str">
        <f aca="false">IF($H806="","",IFERROR(INDEX(EMPL_CLASSE,MATCH($H806,EMPL_KEY,0)),""))</f>
        <v/>
      </c>
      <c r="J806" s="26" t="str">
        <f aca="false">IF($K806=0,"",IFERROR(INDEX(LOT_PRODE,MATCH($G806,LOT_KEY,0)),""))</f>
        <v/>
      </c>
      <c r="K806" s="67" t="n">
        <f aca="false">IF(ST_RESULTATS!$P56=0,0,ST_RESULTATS!$F56)</f>
        <v>0</v>
      </c>
      <c r="L806" s="67" t="n">
        <f aca="false">IF($K806=0,0,ST_RESULTATS!$T56*$K806)</f>
        <v>0</v>
      </c>
      <c r="M806" s="26" t="str">
        <f aca="false">IF($K806=0,"",ST_RESULTATS!$S56)</f>
        <v/>
      </c>
      <c r="N806" s="26" t="str">
        <f aca="false">IF($G806="","",IF($G806=R_LOT,COUNTIF($G$5:$G806,R_LOT),""))</f>
        <v/>
      </c>
    </row>
    <row r="807" customFormat="false" ht="15" hidden="false" customHeight="false" outlineLevel="0" collapsed="false">
      <c r="A807" s="28" t="str">
        <f aca="false">IF($K807=0,"",ROW()-4)</f>
        <v/>
      </c>
      <c r="B807" s="26" t="str">
        <f aca="false">IF($K807=0,"","RESULTAT ST")</f>
        <v/>
      </c>
      <c r="C807" s="26" t="str">
        <f aca="false">IF($K807=0,"",ST_RESULTATS!$A57)</f>
        <v/>
      </c>
      <c r="D807" s="31" t="str">
        <f aca="false">IF($K807=0,"",ST_RESULTATS!$V57)</f>
        <v/>
      </c>
      <c r="E807" s="26" t="str">
        <f aca="false">IF($K807=0,"","ENTREE")</f>
        <v/>
      </c>
      <c r="F807" s="26" t="str">
        <f aca="false">IF($K807=0,"","RETOUR SOUS-TRAITANCE")</f>
        <v/>
      </c>
      <c r="G807" s="26" t="str">
        <f aca="false">IF($K807=0,"",ST_RESULTATS!$N57)</f>
        <v/>
      </c>
      <c r="H807" s="26" t="str">
        <f aca="false">IF($K807=0,"",ST_RESULTATS!$J57)</f>
        <v/>
      </c>
      <c r="I807" s="26" t="str">
        <f aca="false">IF($H807="","",IFERROR(INDEX(EMPL_CLASSE,MATCH($H807,EMPL_KEY,0)),""))</f>
        <v/>
      </c>
      <c r="J807" s="26" t="str">
        <f aca="false">IF($K807=0,"",IFERROR(INDEX(LOT_PRODE,MATCH($G807,LOT_KEY,0)),""))</f>
        <v/>
      </c>
      <c r="K807" s="67" t="n">
        <f aca="false">IF(ST_RESULTATS!$P57=0,0,ST_RESULTATS!$F57)</f>
        <v>0</v>
      </c>
      <c r="L807" s="67" t="n">
        <f aca="false">IF($K807=0,0,ST_RESULTATS!$T57*$K807)</f>
        <v>0</v>
      </c>
      <c r="M807" s="26" t="str">
        <f aca="false">IF($K807=0,"",ST_RESULTATS!$S57)</f>
        <v/>
      </c>
      <c r="N807" s="26" t="str">
        <f aca="false">IF($G807="","",IF($G807=R_LOT,COUNTIF($G$5:$G807,R_LOT),""))</f>
        <v/>
      </c>
    </row>
    <row r="808" customFormat="false" ht="15" hidden="false" customHeight="false" outlineLevel="0" collapsed="false">
      <c r="A808" s="28" t="str">
        <f aca="false">IF($K808=0,"",ROW()-4)</f>
        <v/>
      </c>
      <c r="B808" s="26" t="str">
        <f aca="false">IF($K808=0,"","RESULTAT ST")</f>
        <v/>
      </c>
      <c r="C808" s="26" t="str">
        <f aca="false">IF($K808=0,"",ST_RESULTATS!$A58)</f>
        <v/>
      </c>
      <c r="D808" s="31" t="str">
        <f aca="false">IF($K808=0,"",ST_RESULTATS!$V58)</f>
        <v/>
      </c>
      <c r="E808" s="26" t="str">
        <f aca="false">IF($K808=0,"","ENTREE")</f>
        <v/>
      </c>
      <c r="F808" s="26" t="str">
        <f aca="false">IF($K808=0,"","RETOUR SOUS-TRAITANCE")</f>
        <v/>
      </c>
      <c r="G808" s="26" t="str">
        <f aca="false">IF($K808=0,"",ST_RESULTATS!$N58)</f>
        <v/>
      </c>
      <c r="H808" s="26" t="str">
        <f aca="false">IF($K808=0,"",ST_RESULTATS!$J58)</f>
        <v/>
      </c>
      <c r="I808" s="26" t="str">
        <f aca="false">IF($H808="","",IFERROR(INDEX(EMPL_CLASSE,MATCH($H808,EMPL_KEY,0)),""))</f>
        <v/>
      </c>
      <c r="J808" s="26" t="str">
        <f aca="false">IF($K808=0,"",IFERROR(INDEX(LOT_PRODE,MATCH($G808,LOT_KEY,0)),""))</f>
        <v/>
      </c>
      <c r="K808" s="67" t="n">
        <f aca="false">IF(ST_RESULTATS!$P58=0,0,ST_RESULTATS!$F58)</f>
        <v>0</v>
      </c>
      <c r="L808" s="67" t="n">
        <f aca="false">IF($K808=0,0,ST_RESULTATS!$T58*$K808)</f>
        <v>0</v>
      </c>
      <c r="M808" s="26" t="str">
        <f aca="false">IF($K808=0,"",ST_RESULTATS!$S58)</f>
        <v/>
      </c>
      <c r="N808" s="26" t="str">
        <f aca="false">IF($G808="","",IF($G808=R_LOT,COUNTIF($G$5:$G808,R_LOT),""))</f>
        <v/>
      </c>
    </row>
    <row r="809" customFormat="false" ht="15" hidden="false" customHeight="false" outlineLevel="0" collapsed="false">
      <c r="A809" s="28" t="str">
        <f aca="false">IF($K809=0,"",ROW()-4)</f>
        <v/>
      </c>
      <c r="B809" s="26" t="str">
        <f aca="false">IF($K809=0,"","RESULTAT ST")</f>
        <v/>
      </c>
      <c r="C809" s="26" t="str">
        <f aca="false">IF($K809=0,"",ST_RESULTATS!$A59)</f>
        <v/>
      </c>
      <c r="D809" s="31" t="str">
        <f aca="false">IF($K809=0,"",ST_RESULTATS!$V59)</f>
        <v/>
      </c>
      <c r="E809" s="26" t="str">
        <f aca="false">IF($K809=0,"","ENTREE")</f>
        <v/>
      </c>
      <c r="F809" s="26" t="str">
        <f aca="false">IF($K809=0,"","RETOUR SOUS-TRAITANCE")</f>
        <v/>
      </c>
      <c r="G809" s="26" t="str">
        <f aca="false">IF($K809=0,"",ST_RESULTATS!$N59)</f>
        <v/>
      </c>
      <c r="H809" s="26" t="str">
        <f aca="false">IF($K809=0,"",ST_RESULTATS!$J59)</f>
        <v/>
      </c>
      <c r="I809" s="26" t="str">
        <f aca="false">IF($H809="","",IFERROR(INDEX(EMPL_CLASSE,MATCH($H809,EMPL_KEY,0)),""))</f>
        <v/>
      </c>
      <c r="J809" s="26" t="str">
        <f aca="false">IF($K809=0,"",IFERROR(INDEX(LOT_PRODE,MATCH($G809,LOT_KEY,0)),""))</f>
        <v/>
      </c>
      <c r="K809" s="67" t="n">
        <f aca="false">IF(ST_RESULTATS!$P59=0,0,ST_RESULTATS!$F59)</f>
        <v>0</v>
      </c>
      <c r="L809" s="67" t="n">
        <f aca="false">IF($K809=0,0,ST_RESULTATS!$T59*$K809)</f>
        <v>0</v>
      </c>
      <c r="M809" s="26" t="str">
        <f aca="false">IF($K809=0,"",ST_RESULTATS!$S59)</f>
        <v/>
      </c>
      <c r="N809" s="26" t="str">
        <f aca="false">IF($G809="","",IF($G809=R_LOT,COUNTIF($G$5:$G809,R_LOT),""))</f>
        <v/>
      </c>
    </row>
    <row r="810" customFormat="false" ht="15" hidden="false" customHeight="false" outlineLevel="0" collapsed="false">
      <c r="A810" s="28" t="str">
        <f aca="false">IF($K810=0,"",ROW()-4)</f>
        <v/>
      </c>
      <c r="B810" s="26" t="str">
        <f aca="false">IF($K810=0,"","RESULTAT ST")</f>
        <v/>
      </c>
      <c r="C810" s="26" t="str">
        <f aca="false">IF($K810=0,"",ST_RESULTATS!$A60)</f>
        <v/>
      </c>
      <c r="D810" s="31" t="str">
        <f aca="false">IF($K810=0,"",ST_RESULTATS!$V60)</f>
        <v/>
      </c>
      <c r="E810" s="26" t="str">
        <f aca="false">IF($K810=0,"","ENTREE")</f>
        <v/>
      </c>
      <c r="F810" s="26" t="str">
        <f aca="false">IF($K810=0,"","RETOUR SOUS-TRAITANCE")</f>
        <v/>
      </c>
      <c r="G810" s="26" t="str">
        <f aca="false">IF($K810=0,"",ST_RESULTATS!$N60)</f>
        <v/>
      </c>
      <c r="H810" s="26" t="str">
        <f aca="false">IF($K810=0,"",ST_RESULTATS!$J60)</f>
        <v/>
      </c>
      <c r="I810" s="26" t="str">
        <f aca="false">IF($H810="","",IFERROR(INDEX(EMPL_CLASSE,MATCH($H810,EMPL_KEY,0)),""))</f>
        <v/>
      </c>
      <c r="J810" s="26" t="str">
        <f aca="false">IF($K810=0,"",IFERROR(INDEX(LOT_PRODE,MATCH($G810,LOT_KEY,0)),""))</f>
        <v/>
      </c>
      <c r="K810" s="67" t="n">
        <f aca="false">IF(ST_RESULTATS!$P60=0,0,ST_RESULTATS!$F60)</f>
        <v>0</v>
      </c>
      <c r="L810" s="67" t="n">
        <f aca="false">IF($K810=0,0,ST_RESULTATS!$T60*$K810)</f>
        <v>0</v>
      </c>
      <c r="M810" s="26" t="str">
        <f aca="false">IF($K810=0,"",ST_RESULTATS!$S60)</f>
        <v/>
      </c>
      <c r="N810" s="26" t="str">
        <f aca="false">IF($G810="","",IF($G810=R_LOT,COUNTIF($G$5:$G810,R_LOT),""))</f>
        <v/>
      </c>
    </row>
    <row r="811" customFormat="false" ht="15" hidden="false" customHeight="false" outlineLevel="0" collapsed="false">
      <c r="A811" s="28" t="str">
        <f aca="false">IF($K811=0,"",ROW()-4)</f>
        <v/>
      </c>
      <c r="B811" s="26" t="str">
        <f aca="false">IF($K811=0,"","RESULTAT ST")</f>
        <v/>
      </c>
      <c r="C811" s="26" t="str">
        <f aca="false">IF($K811=0,"",ST_RESULTATS!$A61)</f>
        <v/>
      </c>
      <c r="D811" s="31" t="str">
        <f aca="false">IF($K811=0,"",ST_RESULTATS!$V61)</f>
        <v/>
      </c>
      <c r="E811" s="26" t="str">
        <f aca="false">IF($K811=0,"","ENTREE")</f>
        <v/>
      </c>
      <c r="F811" s="26" t="str">
        <f aca="false">IF($K811=0,"","RETOUR SOUS-TRAITANCE")</f>
        <v/>
      </c>
      <c r="G811" s="26" t="str">
        <f aca="false">IF($K811=0,"",ST_RESULTATS!$N61)</f>
        <v/>
      </c>
      <c r="H811" s="26" t="str">
        <f aca="false">IF($K811=0,"",ST_RESULTATS!$J61)</f>
        <v/>
      </c>
      <c r="I811" s="26" t="str">
        <f aca="false">IF($H811="","",IFERROR(INDEX(EMPL_CLASSE,MATCH($H811,EMPL_KEY,0)),""))</f>
        <v/>
      </c>
      <c r="J811" s="26" t="str">
        <f aca="false">IF($K811=0,"",IFERROR(INDEX(LOT_PRODE,MATCH($G811,LOT_KEY,0)),""))</f>
        <v/>
      </c>
      <c r="K811" s="67" t="n">
        <f aca="false">IF(ST_RESULTATS!$P61=0,0,ST_RESULTATS!$F61)</f>
        <v>0</v>
      </c>
      <c r="L811" s="67" t="n">
        <f aca="false">IF($K811=0,0,ST_RESULTATS!$T61*$K811)</f>
        <v>0</v>
      </c>
      <c r="M811" s="26" t="str">
        <f aca="false">IF($K811=0,"",ST_RESULTATS!$S61)</f>
        <v/>
      </c>
      <c r="N811" s="26" t="str">
        <f aca="false">IF($G811="","",IF($G811=R_LOT,COUNTIF($G$5:$G811,R_LOT),""))</f>
        <v/>
      </c>
    </row>
    <row r="812" customFormat="false" ht="15" hidden="false" customHeight="false" outlineLevel="0" collapsed="false">
      <c r="A812" s="28" t="str">
        <f aca="false">IF($K812=0,"",ROW()-4)</f>
        <v/>
      </c>
      <c r="B812" s="26" t="str">
        <f aca="false">IF($K812=0,"","RESULTAT ST")</f>
        <v/>
      </c>
      <c r="C812" s="26" t="str">
        <f aca="false">IF($K812=0,"",ST_RESULTATS!$A62)</f>
        <v/>
      </c>
      <c r="D812" s="31" t="str">
        <f aca="false">IF($K812=0,"",ST_RESULTATS!$V62)</f>
        <v/>
      </c>
      <c r="E812" s="26" t="str">
        <f aca="false">IF($K812=0,"","ENTREE")</f>
        <v/>
      </c>
      <c r="F812" s="26" t="str">
        <f aca="false">IF($K812=0,"","RETOUR SOUS-TRAITANCE")</f>
        <v/>
      </c>
      <c r="G812" s="26" t="str">
        <f aca="false">IF($K812=0,"",ST_RESULTATS!$N62)</f>
        <v/>
      </c>
      <c r="H812" s="26" t="str">
        <f aca="false">IF($K812=0,"",ST_RESULTATS!$J62)</f>
        <v/>
      </c>
      <c r="I812" s="26" t="str">
        <f aca="false">IF($H812="","",IFERROR(INDEX(EMPL_CLASSE,MATCH($H812,EMPL_KEY,0)),""))</f>
        <v/>
      </c>
      <c r="J812" s="26" t="str">
        <f aca="false">IF($K812=0,"",IFERROR(INDEX(LOT_PRODE,MATCH($G812,LOT_KEY,0)),""))</f>
        <v/>
      </c>
      <c r="K812" s="67" t="n">
        <f aca="false">IF(ST_RESULTATS!$P62=0,0,ST_RESULTATS!$F62)</f>
        <v>0</v>
      </c>
      <c r="L812" s="67" t="n">
        <f aca="false">IF($K812=0,0,ST_RESULTATS!$T62*$K812)</f>
        <v>0</v>
      </c>
      <c r="M812" s="26" t="str">
        <f aca="false">IF($K812=0,"",ST_RESULTATS!$S62)</f>
        <v/>
      </c>
      <c r="N812" s="26" t="str">
        <f aca="false">IF($G812="","",IF($G812=R_LOT,COUNTIF($G$5:$G812,R_LOT),""))</f>
        <v/>
      </c>
    </row>
    <row r="813" customFormat="false" ht="15" hidden="false" customHeight="false" outlineLevel="0" collapsed="false">
      <c r="A813" s="28" t="str">
        <f aca="false">IF($K813=0,"",ROW()-4)</f>
        <v/>
      </c>
      <c r="B813" s="26" t="str">
        <f aca="false">IF($K813=0,"","RESULTAT ST")</f>
        <v/>
      </c>
      <c r="C813" s="26" t="str">
        <f aca="false">IF($K813=0,"",ST_RESULTATS!$A63)</f>
        <v/>
      </c>
      <c r="D813" s="31" t="str">
        <f aca="false">IF($K813=0,"",ST_RESULTATS!$V63)</f>
        <v/>
      </c>
      <c r="E813" s="26" t="str">
        <f aca="false">IF($K813=0,"","ENTREE")</f>
        <v/>
      </c>
      <c r="F813" s="26" t="str">
        <f aca="false">IF($K813=0,"","RETOUR SOUS-TRAITANCE")</f>
        <v/>
      </c>
      <c r="G813" s="26" t="str">
        <f aca="false">IF($K813=0,"",ST_RESULTATS!$N63)</f>
        <v/>
      </c>
      <c r="H813" s="26" t="str">
        <f aca="false">IF($K813=0,"",ST_RESULTATS!$J63)</f>
        <v/>
      </c>
      <c r="I813" s="26" t="str">
        <f aca="false">IF($H813="","",IFERROR(INDEX(EMPL_CLASSE,MATCH($H813,EMPL_KEY,0)),""))</f>
        <v/>
      </c>
      <c r="J813" s="26" t="str">
        <f aca="false">IF($K813=0,"",IFERROR(INDEX(LOT_PRODE,MATCH($G813,LOT_KEY,0)),""))</f>
        <v/>
      </c>
      <c r="K813" s="67" t="n">
        <f aca="false">IF(ST_RESULTATS!$P63=0,0,ST_RESULTATS!$F63)</f>
        <v>0</v>
      </c>
      <c r="L813" s="67" t="n">
        <f aca="false">IF($K813=0,0,ST_RESULTATS!$T63*$K813)</f>
        <v>0</v>
      </c>
      <c r="M813" s="26" t="str">
        <f aca="false">IF($K813=0,"",ST_RESULTATS!$S63)</f>
        <v/>
      </c>
      <c r="N813" s="26" t="str">
        <f aca="false">IF($G813="","",IF($G813=R_LOT,COUNTIF($G$5:$G813,R_LOT),""))</f>
        <v/>
      </c>
    </row>
    <row r="814" customFormat="false" ht="15" hidden="false" customHeight="false" outlineLevel="0" collapsed="false">
      <c r="A814" s="28" t="str">
        <f aca="false">IF($K814=0,"",ROW()-4)</f>
        <v/>
      </c>
      <c r="B814" s="26" t="str">
        <f aca="false">IF($K814=0,"","RESULTAT ST")</f>
        <v/>
      </c>
      <c r="C814" s="26" t="str">
        <f aca="false">IF($K814=0,"",ST_RESULTATS!$A64)</f>
        <v/>
      </c>
      <c r="D814" s="31" t="str">
        <f aca="false">IF($K814=0,"",ST_RESULTATS!$V64)</f>
        <v/>
      </c>
      <c r="E814" s="26" t="str">
        <f aca="false">IF($K814=0,"","ENTREE")</f>
        <v/>
      </c>
      <c r="F814" s="26" t="str">
        <f aca="false">IF($K814=0,"","RETOUR SOUS-TRAITANCE")</f>
        <v/>
      </c>
      <c r="G814" s="26" t="str">
        <f aca="false">IF($K814=0,"",ST_RESULTATS!$N64)</f>
        <v/>
      </c>
      <c r="H814" s="26" t="str">
        <f aca="false">IF($K814=0,"",ST_RESULTATS!$J64)</f>
        <v/>
      </c>
      <c r="I814" s="26" t="str">
        <f aca="false">IF($H814="","",IFERROR(INDEX(EMPL_CLASSE,MATCH($H814,EMPL_KEY,0)),""))</f>
        <v/>
      </c>
      <c r="J814" s="26" t="str">
        <f aca="false">IF($K814=0,"",IFERROR(INDEX(LOT_PRODE,MATCH($G814,LOT_KEY,0)),""))</f>
        <v/>
      </c>
      <c r="K814" s="67" t="n">
        <f aca="false">IF(ST_RESULTATS!$P64=0,0,ST_RESULTATS!$F64)</f>
        <v>0</v>
      </c>
      <c r="L814" s="67" t="n">
        <f aca="false">IF($K814=0,0,ST_RESULTATS!$T64*$K814)</f>
        <v>0</v>
      </c>
      <c r="M814" s="26" t="str">
        <f aca="false">IF($K814=0,"",ST_RESULTATS!$S64)</f>
        <v/>
      </c>
      <c r="N814" s="26" t="str">
        <f aca="false">IF($G814="","",IF($G814=R_LOT,COUNTIF($G$5:$G814,R_LOT),""))</f>
        <v/>
      </c>
    </row>
    <row r="815" customFormat="false" ht="15" hidden="false" customHeight="false" outlineLevel="0" collapsed="false">
      <c r="A815" s="28" t="str">
        <f aca="false">IF($K815=0,"",ROW()-4)</f>
        <v/>
      </c>
      <c r="B815" s="26" t="str">
        <f aca="false">IF($K815=0,"","RESULTAT ST")</f>
        <v/>
      </c>
      <c r="C815" s="26" t="str">
        <f aca="false">IF($K815=0,"",ST_RESULTATS!$A65)</f>
        <v/>
      </c>
      <c r="D815" s="31" t="str">
        <f aca="false">IF($K815=0,"",ST_RESULTATS!$V65)</f>
        <v/>
      </c>
      <c r="E815" s="26" t="str">
        <f aca="false">IF($K815=0,"","ENTREE")</f>
        <v/>
      </c>
      <c r="F815" s="26" t="str">
        <f aca="false">IF($K815=0,"","RETOUR SOUS-TRAITANCE")</f>
        <v/>
      </c>
      <c r="G815" s="26" t="str">
        <f aca="false">IF($K815=0,"",ST_RESULTATS!$N65)</f>
        <v/>
      </c>
      <c r="H815" s="26" t="str">
        <f aca="false">IF($K815=0,"",ST_RESULTATS!$J65)</f>
        <v/>
      </c>
      <c r="I815" s="26" t="str">
        <f aca="false">IF($H815="","",IFERROR(INDEX(EMPL_CLASSE,MATCH($H815,EMPL_KEY,0)),""))</f>
        <v/>
      </c>
      <c r="J815" s="26" t="str">
        <f aca="false">IF($K815=0,"",IFERROR(INDEX(LOT_PRODE,MATCH($G815,LOT_KEY,0)),""))</f>
        <v/>
      </c>
      <c r="K815" s="67" t="n">
        <f aca="false">IF(ST_RESULTATS!$P65=0,0,ST_RESULTATS!$F65)</f>
        <v>0</v>
      </c>
      <c r="L815" s="67" t="n">
        <f aca="false">IF($K815=0,0,ST_RESULTATS!$T65*$K815)</f>
        <v>0</v>
      </c>
      <c r="M815" s="26" t="str">
        <f aca="false">IF($K815=0,"",ST_RESULTATS!$S65)</f>
        <v/>
      </c>
      <c r="N815" s="26" t="str">
        <f aca="false">IF($G815="","",IF($G815=R_LOT,COUNTIF($G$5:$G815,R_LOT),""))</f>
        <v/>
      </c>
    </row>
    <row r="816" customFormat="false" ht="15" hidden="false" customHeight="false" outlineLevel="0" collapsed="false">
      <c r="A816" s="28" t="str">
        <f aca="false">IF($K816=0,"",ROW()-4)</f>
        <v/>
      </c>
      <c r="B816" s="26" t="str">
        <f aca="false">IF($K816=0,"","RESULTAT ST")</f>
        <v/>
      </c>
      <c r="C816" s="26" t="str">
        <f aca="false">IF($K816=0,"",ST_RESULTATS!$A66)</f>
        <v/>
      </c>
      <c r="D816" s="31" t="str">
        <f aca="false">IF($K816=0,"",ST_RESULTATS!$V66)</f>
        <v/>
      </c>
      <c r="E816" s="26" t="str">
        <f aca="false">IF($K816=0,"","ENTREE")</f>
        <v/>
      </c>
      <c r="F816" s="26" t="str">
        <f aca="false">IF($K816=0,"","RETOUR SOUS-TRAITANCE")</f>
        <v/>
      </c>
      <c r="G816" s="26" t="str">
        <f aca="false">IF($K816=0,"",ST_RESULTATS!$N66)</f>
        <v/>
      </c>
      <c r="H816" s="26" t="str">
        <f aca="false">IF($K816=0,"",ST_RESULTATS!$J66)</f>
        <v/>
      </c>
      <c r="I816" s="26" t="str">
        <f aca="false">IF($H816="","",IFERROR(INDEX(EMPL_CLASSE,MATCH($H816,EMPL_KEY,0)),""))</f>
        <v/>
      </c>
      <c r="J816" s="26" t="str">
        <f aca="false">IF($K816=0,"",IFERROR(INDEX(LOT_PRODE,MATCH($G816,LOT_KEY,0)),""))</f>
        <v/>
      </c>
      <c r="K816" s="67" t="n">
        <f aca="false">IF(ST_RESULTATS!$P66=0,0,ST_RESULTATS!$F66)</f>
        <v>0</v>
      </c>
      <c r="L816" s="67" t="n">
        <f aca="false">IF($K816=0,0,ST_RESULTATS!$T66*$K816)</f>
        <v>0</v>
      </c>
      <c r="M816" s="26" t="str">
        <f aca="false">IF($K816=0,"",ST_RESULTATS!$S66)</f>
        <v/>
      </c>
      <c r="N816" s="26" t="str">
        <f aca="false">IF($G816="","",IF($G816=R_LOT,COUNTIF($G$5:$G816,R_LOT),""))</f>
        <v/>
      </c>
    </row>
    <row r="817" customFormat="false" ht="15" hidden="false" customHeight="false" outlineLevel="0" collapsed="false">
      <c r="A817" s="28" t="str">
        <f aca="false">IF($K817=0,"",ROW()-4)</f>
        <v/>
      </c>
      <c r="B817" s="26" t="str">
        <f aca="false">IF($K817=0,"","RESULTAT ST")</f>
        <v/>
      </c>
      <c r="C817" s="26" t="str">
        <f aca="false">IF($K817=0,"",ST_RESULTATS!$A67)</f>
        <v/>
      </c>
      <c r="D817" s="31" t="str">
        <f aca="false">IF($K817=0,"",ST_RESULTATS!$V67)</f>
        <v/>
      </c>
      <c r="E817" s="26" t="str">
        <f aca="false">IF($K817=0,"","ENTREE")</f>
        <v/>
      </c>
      <c r="F817" s="26" t="str">
        <f aca="false">IF($K817=0,"","RETOUR SOUS-TRAITANCE")</f>
        <v/>
      </c>
      <c r="G817" s="26" t="str">
        <f aca="false">IF($K817=0,"",ST_RESULTATS!$N67)</f>
        <v/>
      </c>
      <c r="H817" s="26" t="str">
        <f aca="false">IF($K817=0,"",ST_RESULTATS!$J67)</f>
        <v/>
      </c>
      <c r="I817" s="26" t="str">
        <f aca="false">IF($H817="","",IFERROR(INDEX(EMPL_CLASSE,MATCH($H817,EMPL_KEY,0)),""))</f>
        <v/>
      </c>
      <c r="J817" s="26" t="str">
        <f aca="false">IF($K817=0,"",IFERROR(INDEX(LOT_PRODE,MATCH($G817,LOT_KEY,0)),""))</f>
        <v/>
      </c>
      <c r="K817" s="67" t="n">
        <f aca="false">IF(ST_RESULTATS!$P67=0,0,ST_RESULTATS!$F67)</f>
        <v>0</v>
      </c>
      <c r="L817" s="67" t="n">
        <f aca="false">IF($K817=0,0,ST_RESULTATS!$T67*$K817)</f>
        <v>0</v>
      </c>
      <c r="M817" s="26" t="str">
        <f aca="false">IF($K817=0,"",ST_RESULTATS!$S67)</f>
        <v/>
      </c>
      <c r="N817" s="26" t="str">
        <f aca="false">IF($G817="","",IF($G817=R_LOT,COUNTIF($G$5:$G817,R_LOT),""))</f>
        <v/>
      </c>
    </row>
    <row r="818" customFormat="false" ht="15" hidden="false" customHeight="false" outlineLevel="0" collapsed="false">
      <c r="A818" s="28" t="str">
        <f aca="false">IF($K818=0,"",ROW()-4)</f>
        <v/>
      </c>
      <c r="B818" s="26" t="str">
        <f aca="false">IF($K818=0,"","RESULTAT ST")</f>
        <v/>
      </c>
      <c r="C818" s="26" t="str">
        <f aca="false">IF($K818=0,"",ST_RESULTATS!$A68)</f>
        <v/>
      </c>
      <c r="D818" s="31" t="str">
        <f aca="false">IF($K818=0,"",ST_RESULTATS!$V68)</f>
        <v/>
      </c>
      <c r="E818" s="26" t="str">
        <f aca="false">IF($K818=0,"","ENTREE")</f>
        <v/>
      </c>
      <c r="F818" s="26" t="str">
        <f aca="false">IF($K818=0,"","RETOUR SOUS-TRAITANCE")</f>
        <v/>
      </c>
      <c r="G818" s="26" t="str">
        <f aca="false">IF($K818=0,"",ST_RESULTATS!$N68)</f>
        <v/>
      </c>
      <c r="H818" s="26" t="str">
        <f aca="false">IF($K818=0,"",ST_RESULTATS!$J68)</f>
        <v/>
      </c>
      <c r="I818" s="26" t="str">
        <f aca="false">IF($H818="","",IFERROR(INDEX(EMPL_CLASSE,MATCH($H818,EMPL_KEY,0)),""))</f>
        <v/>
      </c>
      <c r="J818" s="26" t="str">
        <f aca="false">IF($K818=0,"",IFERROR(INDEX(LOT_PRODE,MATCH($G818,LOT_KEY,0)),""))</f>
        <v/>
      </c>
      <c r="K818" s="67" t="n">
        <f aca="false">IF(ST_RESULTATS!$P68=0,0,ST_RESULTATS!$F68)</f>
        <v>0</v>
      </c>
      <c r="L818" s="67" t="n">
        <f aca="false">IF($K818=0,0,ST_RESULTATS!$T68*$K818)</f>
        <v>0</v>
      </c>
      <c r="M818" s="26" t="str">
        <f aca="false">IF($K818=0,"",ST_RESULTATS!$S68)</f>
        <v/>
      </c>
      <c r="N818" s="26" t="str">
        <f aca="false">IF($G818="","",IF($G818=R_LOT,COUNTIF($G$5:$G818,R_LOT),""))</f>
        <v/>
      </c>
    </row>
    <row r="819" customFormat="false" ht="15" hidden="false" customHeight="false" outlineLevel="0" collapsed="false">
      <c r="A819" s="28" t="str">
        <f aca="false">IF($K819=0,"",ROW()-4)</f>
        <v/>
      </c>
      <c r="B819" s="26" t="str">
        <f aca="false">IF($K819=0,"","RESULTAT ST")</f>
        <v/>
      </c>
      <c r="C819" s="26" t="str">
        <f aca="false">IF($K819=0,"",ST_RESULTATS!$A69)</f>
        <v/>
      </c>
      <c r="D819" s="31" t="str">
        <f aca="false">IF($K819=0,"",ST_RESULTATS!$V69)</f>
        <v/>
      </c>
      <c r="E819" s="26" t="str">
        <f aca="false">IF($K819=0,"","ENTREE")</f>
        <v/>
      </c>
      <c r="F819" s="26" t="str">
        <f aca="false">IF($K819=0,"","RETOUR SOUS-TRAITANCE")</f>
        <v/>
      </c>
      <c r="G819" s="26" t="str">
        <f aca="false">IF($K819=0,"",ST_RESULTATS!$N69)</f>
        <v/>
      </c>
      <c r="H819" s="26" t="str">
        <f aca="false">IF($K819=0,"",ST_RESULTATS!$J69)</f>
        <v/>
      </c>
      <c r="I819" s="26" t="str">
        <f aca="false">IF($H819="","",IFERROR(INDEX(EMPL_CLASSE,MATCH($H819,EMPL_KEY,0)),""))</f>
        <v/>
      </c>
      <c r="J819" s="26" t="str">
        <f aca="false">IF($K819=0,"",IFERROR(INDEX(LOT_PRODE,MATCH($G819,LOT_KEY,0)),""))</f>
        <v/>
      </c>
      <c r="K819" s="67" t="n">
        <f aca="false">IF(ST_RESULTATS!$P69=0,0,ST_RESULTATS!$F69)</f>
        <v>0</v>
      </c>
      <c r="L819" s="67" t="n">
        <f aca="false">IF($K819=0,0,ST_RESULTATS!$T69*$K819)</f>
        <v>0</v>
      </c>
      <c r="M819" s="26" t="str">
        <f aca="false">IF($K819=0,"",ST_RESULTATS!$S69)</f>
        <v/>
      </c>
      <c r="N819" s="26" t="str">
        <f aca="false">IF($G819="","",IF($G819=R_LOT,COUNTIF($G$5:$G819,R_LOT),""))</f>
        <v/>
      </c>
    </row>
    <row r="820" customFormat="false" ht="15" hidden="false" customHeight="false" outlineLevel="0" collapsed="false">
      <c r="A820" s="28" t="str">
        <f aca="false">IF($K820=0,"",ROW()-4)</f>
        <v/>
      </c>
      <c r="B820" s="26" t="str">
        <f aca="false">IF($K820=0,"","RESULTAT ST")</f>
        <v/>
      </c>
      <c r="C820" s="26" t="str">
        <f aca="false">IF($K820=0,"",ST_RESULTATS!$A70)</f>
        <v/>
      </c>
      <c r="D820" s="31" t="str">
        <f aca="false">IF($K820=0,"",ST_RESULTATS!$V70)</f>
        <v/>
      </c>
      <c r="E820" s="26" t="str">
        <f aca="false">IF($K820=0,"","ENTREE")</f>
        <v/>
      </c>
      <c r="F820" s="26" t="str">
        <f aca="false">IF($K820=0,"","RETOUR SOUS-TRAITANCE")</f>
        <v/>
      </c>
      <c r="G820" s="26" t="str">
        <f aca="false">IF($K820=0,"",ST_RESULTATS!$N70)</f>
        <v/>
      </c>
      <c r="H820" s="26" t="str">
        <f aca="false">IF($K820=0,"",ST_RESULTATS!$J70)</f>
        <v/>
      </c>
      <c r="I820" s="26" t="str">
        <f aca="false">IF($H820="","",IFERROR(INDEX(EMPL_CLASSE,MATCH($H820,EMPL_KEY,0)),""))</f>
        <v/>
      </c>
      <c r="J820" s="26" t="str">
        <f aca="false">IF($K820=0,"",IFERROR(INDEX(LOT_PRODE,MATCH($G820,LOT_KEY,0)),""))</f>
        <v/>
      </c>
      <c r="K820" s="67" t="n">
        <f aca="false">IF(ST_RESULTATS!$P70=0,0,ST_RESULTATS!$F70)</f>
        <v>0</v>
      </c>
      <c r="L820" s="67" t="n">
        <f aca="false">IF($K820=0,0,ST_RESULTATS!$T70*$K820)</f>
        <v>0</v>
      </c>
      <c r="M820" s="26" t="str">
        <f aca="false">IF($K820=0,"",ST_RESULTATS!$S70)</f>
        <v/>
      </c>
      <c r="N820" s="26" t="str">
        <f aca="false">IF($G820="","",IF($G820=R_LOT,COUNTIF($G$5:$G820,R_LOT),""))</f>
        <v/>
      </c>
    </row>
    <row r="821" customFormat="false" ht="15" hidden="false" customHeight="false" outlineLevel="0" collapsed="false">
      <c r="A821" s="28" t="str">
        <f aca="false">IF($K821=0,"",ROW()-4)</f>
        <v/>
      </c>
      <c r="B821" s="26" t="str">
        <f aca="false">IF($K821=0,"","RESULTAT ST")</f>
        <v/>
      </c>
      <c r="C821" s="26" t="str">
        <f aca="false">IF($K821=0,"",ST_RESULTATS!$A71)</f>
        <v/>
      </c>
      <c r="D821" s="31" t="str">
        <f aca="false">IF($K821=0,"",ST_RESULTATS!$V71)</f>
        <v/>
      </c>
      <c r="E821" s="26" t="str">
        <f aca="false">IF($K821=0,"","ENTREE")</f>
        <v/>
      </c>
      <c r="F821" s="26" t="str">
        <f aca="false">IF($K821=0,"","RETOUR SOUS-TRAITANCE")</f>
        <v/>
      </c>
      <c r="G821" s="26" t="str">
        <f aca="false">IF($K821=0,"",ST_RESULTATS!$N71)</f>
        <v/>
      </c>
      <c r="H821" s="26" t="str">
        <f aca="false">IF($K821=0,"",ST_RESULTATS!$J71)</f>
        <v/>
      </c>
      <c r="I821" s="26" t="str">
        <f aca="false">IF($H821="","",IFERROR(INDEX(EMPL_CLASSE,MATCH($H821,EMPL_KEY,0)),""))</f>
        <v/>
      </c>
      <c r="J821" s="26" t="str">
        <f aca="false">IF($K821=0,"",IFERROR(INDEX(LOT_PRODE,MATCH($G821,LOT_KEY,0)),""))</f>
        <v/>
      </c>
      <c r="K821" s="67" t="n">
        <f aca="false">IF(ST_RESULTATS!$P71=0,0,ST_RESULTATS!$F71)</f>
        <v>0</v>
      </c>
      <c r="L821" s="67" t="n">
        <f aca="false">IF($K821=0,0,ST_RESULTATS!$T71*$K821)</f>
        <v>0</v>
      </c>
      <c r="M821" s="26" t="str">
        <f aca="false">IF($K821=0,"",ST_RESULTATS!$S71)</f>
        <v/>
      </c>
      <c r="N821" s="26" t="str">
        <f aca="false">IF($G821="","",IF($G821=R_LOT,COUNTIF($G$5:$G821,R_LOT),""))</f>
        <v/>
      </c>
    </row>
    <row r="822" customFormat="false" ht="15" hidden="false" customHeight="false" outlineLevel="0" collapsed="false">
      <c r="A822" s="28" t="str">
        <f aca="false">IF($K822=0,"",ROW()-4)</f>
        <v/>
      </c>
      <c r="B822" s="26" t="str">
        <f aca="false">IF($K822=0,"","RESULTAT ST")</f>
        <v/>
      </c>
      <c r="C822" s="26" t="str">
        <f aca="false">IF($K822=0,"",ST_RESULTATS!$A72)</f>
        <v/>
      </c>
      <c r="D822" s="31" t="str">
        <f aca="false">IF($K822=0,"",ST_RESULTATS!$V72)</f>
        <v/>
      </c>
      <c r="E822" s="26" t="str">
        <f aca="false">IF($K822=0,"","ENTREE")</f>
        <v/>
      </c>
      <c r="F822" s="26" t="str">
        <f aca="false">IF($K822=0,"","RETOUR SOUS-TRAITANCE")</f>
        <v/>
      </c>
      <c r="G822" s="26" t="str">
        <f aca="false">IF($K822=0,"",ST_RESULTATS!$N72)</f>
        <v/>
      </c>
      <c r="H822" s="26" t="str">
        <f aca="false">IF($K822=0,"",ST_RESULTATS!$J72)</f>
        <v/>
      </c>
      <c r="I822" s="26" t="str">
        <f aca="false">IF($H822="","",IFERROR(INDEX(EMPL_CLASSE,MATCH($H822,EMPL_KEY,0)),""))</f>
        <v/>
      </c>
      <c r="J822" s="26" t="str">
        <f aca="false">IF($K822=0,"",IFERROR(INDEX(LOT_PRODE,MATCH($G822,LOT_KEY,0)),""))</f>
        <v/>
      </c>
      <c r="K822" s="67" t="n">
        <f aca="false">IF(ST_RESULTATS!$P72=0,0,ST_RESULTATS!$F72)</f>
        <v>0</v>
      </c>
      <c r="L822" s="67" t="n">
        <f aca="false">IF($K822=0,0,ST_RESULTATS!$T72*$K822)</f>
        <v>0</v>
      </c>
      <c r="M822" s="26" t="str">
        <f aca="false">IF($K822=0,"",ST_RESULTATS!$S72)</f>
        <v/>
      </c>
      <c r="N822" s="26" t="str">
        <f aca="false">IF($G822="","",IF($G822=R_LOT,COUNTIF($G$5:$G822,R_LOT),""))</f>
        <v/>
      </c>
    </row>
    <row r="823" customFormat="false" ht="15" hidden="false" customHeight="false" outlineLevel="0" collapsed="false">
      <c r="A823" s="28" t="str">
        <f aca="false">IF($K823=0,"",ROW()-4)</f>
        <v/>
      </c>
      <c r="B823" s="26" t="str">
        <f aca="false">IF($K823=0,"","RESULTAT ST")</f>
        <v/>
      </c>
      <c r="C823" s="26" t="str">
        <f aca="false">IF($K823=0,"",ST_RESULTATS!$A73)</f>
        <v/>
      </c>
      <c r="D823" s="31" t="str">
        <f aca="false">IF($K823=0,"",ST_RESULTATS!$V73)</f>
        <v/>
      </c>
      <c r="E823" s="26" t="str">
        <f aca="false">IF($K823=0,"","ENTREE")</f>
        <v/>
      </c>
      <c r="F823" s="26" t="str">
        <f aca="false">IF($K823=0,"","RETOUR SOUS-TRAITANCE")</f>
        <v/>
      </c>
      <c r="G823" s="26" t="str">
        <f aca="false">IF($K823=0,"",ST_RESULTATS!$N73)</f>
        <v/>
      </c>
      <c r="H823" s="26" t="str">
        <f aca="false">IF($K823=0,"",ST_RESULTATS!$J73)</f>
        <v/>
      </c>
      <c r="I823" s="26" t="str">
        <f aca="false">IF($H823="","",IFERROR(INDEX(EMPL_CLASSE,MATCH($H823,EMPL_KEY,0)),""))</f>
        <v/>
      </c>
      <c r="J823" s="26" t="str">
        <f aca="false">IF($K823=0,"",IFERROR(INDEX(LOT_PRODE,MATCH($G823,LOT_KEY,0)),""))</f>
        <v/>
      </c>
      <c r="K823" s="67" t="n">
        <f aca="false">IF(ST_RESULTATS!$P73=0,0,ST_RESULTATS!$F73)</f>
        <v>0</v>
      </c>
      <c r="L823" s="67" t="n">
        <f aca="false">IF($K823=0,0,ST_RESULTATS!$T73*$K823)</f>
        <v>0</v>
      </c>
      <c r="M823" s="26" t="str">
        <f aca="false">IF($K823=0,"",ST_RESULTATS!$S73)</f>
        <v/>
      </c>
      <c r="N823" s="26" t="str">
        <f aca="false">IF($G823="","",IF($G823=R_LOT,COUNTIF($G$5:$G823,R_LOT),""))</f>
        <v/>
      </c>
    </row>
    <row r="824" customFormat="false" ht="15" hidden="false" customHeight="false" outlineLevel="0" collapsed="false">
      <c r="A824" s="28" t="str">
        <f aca="false">IF($K824=0,"",ROW()-4)</f>
        <v/>
      </c>
      <c r="B824" s="26" t="str">
        <f aca="false">IF($K824=0,"","RESULTAT ST")</f>
        <v/>
      </c>
      <c r="C824" s="26" t="str">
        <f aca="false">IF($K824=0,"",ST_RESULTATS!$A74)</f>
        <v/>
      </c>
      <c r="D824" s="31" t="str">
        <f aca="false">IF($K824=0,"",ST_RESULTATS!$V74)</f>
        <v/>
      </c>
      <c r="E824" s="26" t="str">
        <f aca="false">IF($K824=0,"","ENTREE")</f>
        <v/>
      </c>
      <c r="F824" s="26" t="str">
        <f aca="false">IF($K824=0,"","RETOUR SOUS-TRAITANCE")</f>
        <v/>
      </c>
      <c r="G824" s="26" t="str">
        <f aca="false">IF($K824=0,"",ST_RESULTATS!$N74)</f>
        <v/>
      </c>
      <c r="H824" s="26" t="str">
        <f aca="false">IF($K824=0,"",ST_RESULTATS!$J74)</f>
        <v/>
      </c>
      <c r="I824" s="26" t="str">
        <f aca="false">IF($H824="","",IFERROR(INDEX(EMPL_CLASSE,MATCH($H824,EMPL_KEY,0)),""))</f>
        <v/>
      </c>
      <c r="J824" s="26" t="str">
        <f aca="false">IF($K824=0,"",IFERROR(INDEX(LOT_PRODE,MATCH($G824,LOT_KEY,0)),""))</f>
        <v/>
      </c>
      <c r="K824" s="67" t="n">
        <f aca="false">IF(ST_RESULTATS!$P74=0,0,ST_RESULTATS!$F74)</f>
        <v>0</v>
      </c>
      <c r="L824" s="67" t="n">
        <f aca="false">IF($K824=0,0,ST_RESULTATS!$T74*$K824)</f>
        <v>0</v>
      </c>
      <c r="M824" s="26" t="str">
        <f aca="false">IF($K824=0,"",ST_RESULTATS!$S74)</f>
        <v/>
      </c>
      <c r="N824" s="26" t="str">
        <f aca="false">IF($G824="","",IF($G824=R_LOT,COUNTIF($G$5:$G824,R_LOT),""))</f>
        <v/>
      </c>
    </row>
    <row r="825" customFormat="false" ht="15" hidden="false" customHeight="false" outlineLevel="0" collapsed="false">
      <c r="A825" s="28" t="str">
        <f aca="false">IF($K825=0,"",ROW()-4)</f>
        <v/>
      </c>
      <c r="B825" s="26" t="str">
        <f aca="false">IF($K825=0,"","RESULTAT ST")</f>
        <v/>
      </c>
      <c r="C825" s="26" t="str">
        <f aca="false">IF($K825=0,"",ST_RESULTATS!$A75)</f>
        <v/>
      </c>
      <c r="D825" s="31" t="str">
        <f aca="false">IF($K825=0,"",ST_RESULTATS!$V75)</f>
        <v/>
      </c>
      <c r="E825" s="26" t="str">
        <f aca="false">IF($K825=0,"","ENTREE")</f>
        <v/>
      </c>
      <c r="F825" s="26" t="str">
        <f aca="false">IF($K825=0,"","RETOUR SOUS-TRAITANCE")</f>
        <v/>
      </c>
      <c r="G825" s="26" t="str">
        <f aca="false">IF($K825=0,"",ST_RESULTATS!$N75)</f>
        <v/>
      </c>
      <c r="H825" s="26" t="str">
        <f aca="false">IF($K825=0,"",ST_RESULTATS!$J75)</f>
        <v/>
      </c>
      <c r="I825" s="26" t="str">
        <f aca="false">IF($H825="","",IFERROR(INDEX(EMPL_CLASSE,MATCH($H825,EMPL_KEY,0)),""))</f>
        <v/>
      </c>
      <c r="J825" s="26" t="str">
        <f aca="false">IF($K825=0,"",IFERROR(INDEX(LOT_PRODE,MATCH($G825,LOT_KEY,0)),""))</f>
        <v/>
      </c>
      <c r="K825" s="67" t="n">
        <f aca="false">IF(ST_RESULTATS!$P75=0,0,ST_RESULTATS!$F75)</f>
        <v>0</v>
      </c>
      <c r="L825" s="67" t="n">
        <f aca="false">IF($K825=0,0,ST_RESULTATS!$T75*$K825)</f>
        <v>0</v>
      </c>
      <c r="M825" s="26" t="str">
        <f aca="false">IF($K825=0,"",ST_RESULTATS!$S75)</f>
        <v/>
      </c>
      <c r="N825" s="26" t="str">
        <f aca="false">IF($G825="","",IF($G825=R_LOT,COUNTIF($G$5:$G825,R_LOT),""))</f>
        <v/>
      </c>
    </row>
    <row r="826" customFormat="false" ht="15" hidden="false" customHeight="false" outlineLevel="0" collapsed="false">
      <c r="A826" s="28" t="str">
        <f aca="false">IF($K826=0,"",ROW()-4)</f>
        <v/>
      </c>
      <c r="B826" s="26" t="str">
        <f aca="false">IF($K826=0,"","RESULTAT ST")</f>
        <v/>
      </c>
      <c r="C826" s="26" t="str">
        <f aca="false">IF($K826=0,"",ST_RESULTATS!$A76)</f>
        <v/>
      </c>
      <c r="D826" s="31" t="str">
        <f aca="false">IF($K826=0,"",ST_RESULTATS!$V76)</f>
        <v/>
      </c>
      <c r="E826" s="26" t="str">
        <f aca="false">IF($K826=0,"","ENTREE")</f>
        <v/>
      </c>
      <c r="F826" s="26" t="str">
        <f aca="false">IF($K826=0,"","RETOUR SOUS-TRAITANCE")</f>
        <v/>
      </c>
      <c r="G826" s="26" t="str">
        <f aca="false">IF($K826=0,"",ST_RESULTATS!$N76)</f>
        <v/>
      </c>
      <c r="H826" s="26" t="str">
        <f aca="false">IF($K826=0,"",ST_RESULTATS!$J76)</f>
        <v/>
      </c>
      <c r="I826" s="26" t="str">
        <f aca="false">IF($H826="","",IFERROR(INDEX(EMPL_CLASSE,MATCH($H826,EMPL_KEY,0)),""))</f>
        <v/>
      </c>
      <c r="J826" s="26" t="str">
        <f aca="false">IF($K826=0,"",IFERROR(INDEX(LOT_PRODE,MATCH($G826,LOT_KEY,0)),""))</f>
        <v/>
      </c>
      <c r="K826" s="67" t="n">
        <f aca="false">IF(ST_RESULTATS!$P76=0,0,ST_RESULTATS!$F76)</f>
        <v>0</v>
      </c>
      <c r="L826" s="67" t="n">
        <f aca="false">IF($K826=0,0,ST_RESULTATS!$T76*$K826)</f>
        <v>0</v>
      </c>
      <c r="M826" s="26" t="str">
        <f aca="false">IF($K826=0,"",ST_RESULTATS!$S76)</f>
        <v/>
      </c>
      <c r="N826" s="26" t="str">
        <f aca="false">IF($G826="","",IF($G826=R_LOT,COUNTIF($G$5:$G826,R_LOT),""))</f>
        <v/>
      </c>
    </row>
    <row r="827" customFormat="false" ht="15" hidden="false" customHeight="false" outlineLevel="0" collapsed="false">
      <c r="A827" s="28" t="str">
        <f aca="false">IF($K827=0,"",ROW()-4)</f>
        <v/>
      </c>
      <c r="B827" s="26" t="str">
        <f aca="false">IF($K827=0,"","RESULTAT ST")</f>
        <v/>
      </c>
      <c r="C827" s="26" t="str">
        <f aca="false">IF($K827=0,"",ST_RESULTATS!$A77)</f>
        <v/>
      </c>
      <c r="D827" s="31" t="str">
        <f aca="false">IF($K827=0,"",ST_RESULTATS!$V77)</f>
        <v/>
      </c>
      <c r="E827" s="26" t="str">
        <f aca="false">IF($K827=0,"","ENTREE")</f>
        <v/>
      </c>
      <c r="F827" s="26" t="str">
        <f aca="false">IF($K827=0,"","RETOUR SOUS-TRAITANCE")</f>
        <v/>
      </c>
      <c r="G827" s="26" t="str">
        <f aca="false">IF($K827=0,"",ST_RESULTATS!$N77)</f>
        <v/>
      </c>
      <c r="H827" s="26" t="str">
        <f aca="false">IF($K827=0,"",ST_RESULTATS!$J77)</f>
        <v/>
      </c>
      <c r="I827" s="26" t="str">
        <f aca="false">IF($H827="","",IFERROR(INDEX(EMPL_CLASSE,MATCH($H827,EMPL_KEY,0)),""))</f>
        <v/>
      </c>
      <c r="J827" s="26" t="str">
        <f aca="false">IF($K827=0,"",IFERROR(INDEX(LOT_PRODE,MATCH($G827,LOT_KEY,0)),""))</f>
        <v/>
      </c>
      <c r="K827" s="67" t="n">
        <f aca="false">IF(ST_RESULTATS!$P77=0,0,ST_RESULTATS!$F77)</f>
        <v>0</v>
      </c>
      <c r="L827" s="67" t="n">
        <f aca="false">IF($K827=0,0,ST_RESULTATS!$T77*$K827)</f>
        <v>0</v>
      </c>
      <c r="M827" s="26" t="str">
        <f aca="false">IF($K827=0,"",ST_RESULTATS!$S77)</f>
        <v/>
      </c>
      <c r="N827" s="26" t="str">
        <f aca="false">IF($G827="","",IF($G827=R_LOT,COUNTIF($G$5:$G827,R_LOT),""))</f>
        <v/>
      </c>
    </row>
    <row r="828" customFormat="false" ht="15" hidden="false" customHeight="false" outlineLevel="0" collapsed="false">
      <c r="A828" s="28" t="str">
        <f aca="false">IF($K828=0,"",ROW()-4)</f>
        <v/>
      </c>
      <c r="B828" s="26" t="str">
        <f aca="false">IF($K828=0,"","RESULTAT ST")</f>
        <v/>
      </c>
      <c r="C828" s="26" t="str">
        <f aca="false">IF($K828=0,"",ST_RESULTATS!$A78)</f>
        <v/>
      </c>
      <c r="D828" s="31" t="str">
        <f aca="false">IF($K828=0,"",ST_RESULTATS!$V78)</f>
        <v/>
      </c>
      <c r="E828" s="26" t="str">
        <f aca="false">IF($K828=0,"","ENTREE")</f>
        <v/>
      </c>
      <c r="F828" s="26" t="str">
        <f aca="false">IF($K828=0,"","RETOUR SOUS-TRAITANCE")</f>
        <v/>
      </c>
      <c r="G828" s="26" t="str">
        <f aca="false">IF($K828=0,"",ST_RESULTATS!$N78)</f>
        <v/>
      </c>
      <c r="H828" s="26" t="str">
        <f aca="false">IF($K828=0,"",ST_RESULTATS!$J78)</f>
        <v/>
      </c>
      <c r="I828" s="26" t="str">
        <f aca="false">IF($H828="","",IFERROR(INDEX(EMPL_CLASSE,MATCH($H828,EMPL_KEY,0)),""))</f>
        <v/>
      </c>
      <c r="J828" s="26" t="str">
        <f aca="false">IF($K828=0,"",IFERROR(INDEX(LOT_PRODE,MATCH($G828,LOT_KEY,0)),""))</f>
        <v/>
      </c>
      <c r="K828" s="67" t="n">
        <f aca="false">IF(ST_RESULTATS!$P78=0,0,ST_RESULTATS!$F78)</f>
        <v>0</v>
      </c>
      <c r="L828" s="67" t="n">
        <f aca="false">IF($K828=0,0,ST_RESULTATS!$T78*$K828)</f>
        <v>0</v>
      </c>
      <c r="M828" s="26" t="str">
        <f aca="false">IF($K828=0,"",ST_RESULTATS!$S78)</f>
        <v/>
      </c>
      <c r="N828" s="26" t="str">
        <f aca="false">IF($G828="","",IF($G828=R_LOT,COUNTIF($G$5:$G828,R_LOT),""))</f>
        <v/>
      </c>
    </row>
    <row r="829" customFormat="false" ht="15" hidden="false" customHeight="false" outlineLevel="0" collapsed="false">
      <c r="A829" s="28" t="str">
        <f aca="false">IF($K829=0,"",ROW()-4)</f>
        <v/>
      </c>
      <c r="B829" s="26" t="str">
        <f aca="false">IF($K829=0,"","RESULTAT ST")</f>
        <v/>
      </c>
      <c r="C829" s="26" t="str">
        <f aca="false">IF($K829=0,"",ST_RESULTATS!$A79)</f>
        <v/>
      </c>
      <c r="D829" s="31" t="str">
        <f aca="false">IF($K829=0,"",ST_RESULTATS!$V79)</f>
        <v/>
      </c>
      <c r="E829" s="26" t="str">
        <f aca="false">IF($K829=0,"","ENTREE")</f>
        <v/>
      </c>
      <c r="F829" s="26" t="str">
        <f aca="false">IF($K829=0,"","RETOUR SOUS-TRAITANCE")</f>
        <v/>
      </c>
      <c r="G829" s="26" t="str">
        <f aca="false">IF($K829=0,"",ST_RESULTATS!$N79)</f>
        <v/>
      </c>
      <c r="H829" s="26" t="str">
        <f aca="false">IF($K829=0,"",ST_RESULTATS!$J79)</f>
        <v/>
      </c>
      <c r="I829" s="26" t="str">
        <f aca="false">IF($H829="","",IFERROR(INDEX(EMPL_CLASSE,MATCH($H829,EMPL_KEY,0)),""))</f>
        <v/>
      </c>
      <c r="J829" s="26" t="str">
        <f aca="false">IF($K829=0,"",IFERROR(INDEX(LOT_PRODE,MATCH($G829,LOT_KEY,0)),""))</f>
        <v/>
      </c>
      <c r="K829" s="67" t="n">
        <f aca="false">IF(ST_RESULTATS!$P79=0,0,ST_RESULTATS!$F79)</f>
        <v>0</v>
      </c>
      <c r="L829" s="67" t="n">
        <f aca="false">IF($K829=0,0,ST_RESULTATS!$T79*$K829)</f>
        <v>0</v>
      </c>
      <c r="M829" s="26" t="str">
        <f aca="false">IF($K829=0,"",ST_RESULTATS!$S79)</f>
        <v/>
      </c>
      <c r="N829" s="26" t="str">
        <f aca="false">IF($G829="","",IF($G829=R_LOT,COUNTIF($G$5:$G829,R_LOT),""))</f>
        <v/>
      </c>
    </row>
    <row r="830" customFormat="false" ht="15" hidden="false" customHeight="false" outlineLevel="0" collapsed="false">
      <c r="A830" s="28" t="str">
        <f aca="false">IF($K830=0,"",ROW()-4)</f>
        <v/>
      </c>
      <c r="B830" s="26" t="str">
        <f aca="false">IF($K830=0,"","RESULTAT ST")</f>
        <v/>
      </c>
      <c r="C830" s="26" t="str">
        <f aca="false">IF($K830=0,"",ST_RESULTATS!$A80)</f>
        <v/>
      </c>
      <c r="D830" s="31" t="str">
        <f aca="false">IF($K830=0,"",ST_RESULTATS!$V80)</f>
        <v/>
      </c>
      <c r="E830" s="26" t="str">
        <f aca="false">IF($K830=0,"","ENTREE")</f>
        <v/>
      </c>
      <c r="F830" s="26" t="str">
        <f aca="false">IF($K830=0,"","RETOUR SOUS-TRAITANCE")</f>
        <v/>
      </c>
      <c r="G830" s="26" t="str">
        <f aca="false">IF($K830=0,"",ST_RESULTATS!$N80)</f>
        <v/>
      </c>
      <c r="H830" s="26" t="str">
        <f aca="false">IF($K830=0,"",ST_RESULTATS!$J80)</f>
        <v/>
      </c>
      <c r="I830" s="26" t="str">
        <f aca="false">IF($H830="","",IFERROR(INDEX(EMPL_CLASSE,MATCH($H830,EMPL_KEY,0)),""))</f>
        <v/>
      </c>
      <c r="J830" s="26" t="str">
        <f aca="false">IF($K830=0,"",IFERROR(INDEX(LOT_PRODE,MATCH($G830,LOT_KEY,0)),""))</f>
        <v/>
      </c>
      <c r="K830" s="67" t="n">
        <f aca="false">IF(ST_RESULTATS!$P80=0,0,ST_RESULTATS!$F80)</f>
        <v>0</v>
      </c>
      <c r="L830" s="67" t="n">
        <f aca="false">IF($K830=0,0,ST_RESULTATS!$T80*$K830)</f>
        <v>0</v>
      </c>
      <c r="M830" s="26" t="str">
        <f aca="false">IF($K830=0,"",ST_RESULTATS!$S80)</f>
        <v/>
      </c>
      <c r="N830" s="26" t="str">
        <f aca="false">IF($G830="","",IF($G830=R_LOT,COUNTIF($G$5:$G830,R_LOT),""))</f>
        <v/>
      </c>
    </row>
    <row r="831" customFormat="false" ht="15" hidden="false" customHeight="false" outlineLevel="0" collapsed="false">
      <c r="A831" s="28" t="str">
        <f aca="false">IF($K831=0,"",ROW()-4)</f>
        <v/>
      </c>
      <c r="B831" s="26" t="str">
        <f aca="false">IF($K831=0,"","RESULTAT ST")</f>
        <v/>
      </c>
      <c r="C831" s="26" t="str">
        <f aca="false">IF($K831=0,"",ST_RESULTATS!$A81)</f>
        <v/>
      </c>
      <c r="D831" s="31" t="str">
        <f aca="false">IF($K831=0,"",ST_RESULTATS!$V81)</f>
        <v/>
      </c>
      <c r="E831" s="26" t="str">
        <f aca="false">IF($K831=0,"","ENTREE")</f>
        <v/>
      </c>
      <c r="F831" s="26" t="str">
        <f aca="false">IF($K831=0,"","RETOUR SOUS-TRAITANCE")</f>
        <v/>
      </c>
      <c r="G831" s="26" t="str">
        <f aca="false">IF($K831=0,"",ST_RESULTATS!$N81)</f>
        <v/>
      </c>
      <c r="H831" s="26" t="str">
        <f aca="false">IF($K831=0,"",ST_RESULTATS!$J81)</f>
        <v/>
      </c>
      <c r="I831" s="26" t="str">
        <f aca="false">IF($H831="","",IFERROR(INDEX(EMPL_CLASSE,MATCH($H831,EMPL_KEY,0)),""))</f>
        <v/>
      </c>
      <c r="J831" s="26" t="str">
        <f aca="false">IF($K831=0,"",IFERROR(INDEX(LOT_PRODE,MATCH($G831,LOT_KEY,0)),""))</f>
        <v/>
      </c>
      <c r="K831" s="67" t="n">
        <f aca="false">IF(ST_RESULTATS!$P81=0,0,ST_RESULTATS!$F81)</f>
        <v>0</v>
      </c>
      <c r="L831" s="67" t="n">
        <f aca="false">IF($K831=0,0,ST_RESULTATS!$T81*$K831)</f>
        <v>0</v>
      </c>
      <c r="M831" s="26" t="str">
        <f aca="false">IF($K831=0,"",ST_RESULTATS!$S81)</f>
        <v/>
      </c>
      <c r="N831" s="26" t="str">
        <f aca="false">IF($G831="","",IF($G831=R_LOT,COUNTIF($G$5:$G831,R_LOT),""))</f>
        <v/>
      </c>
    </row>
    <row r="832" customFormat="false" ht="15" hidden="false" customHeight="false" outlineLevel="0" collapsed="false">
      <c r="A832" s="28" t="str">
        <f aca="false">IF($K832=0,"",ROW()-4)</f>
        <v/>
      </c>
      <c r="B832" s="26" t="str">
        <f aca="false">IF($K832=0,"","RESULTAT ST")</f>
        <v/>
      </c>
      <c r="C832" s="26" t="str">
        <f aca="false">IF($K832=0,"",ST_RESULTATS!$A82)</f>
        <v/>
      </c>
      <c r="D832" s="31" t="str">
        <f aca="false">IF($K832=0,"",ST_RESULTATS!$V82)</f>
        <v/>
      </c>
      <c r="E832" s="26" t="str">
        <f aca="false">IF($K832=0,"","ENTREE")</f>
        <v/>
      </c>
      <c r="F832" s="26" t="str">
        <f aca="false">IF($K832=0,"","RETOUR SOUS-TRAITANCE")</f>
        <v/>
      </c>
      <c r="G832" s="26" t="str">
        <f aca="false">IF($K832=0,"",ST_RESULTATS!$N82)</f>
        <v/>
      </c>
      <c r="H832" s="26" t="str">
        <f aca="false">IF($K832=0,"",ST_RESULTATS!$J82)</f>
        <v/>
      </c>
      <c r="I832" s="26" t="str">
        <f aca="false">IF($H832="","",IFERROR(INDEX(EMPL_CLASSE,MATCH($H832,EMPL_KEY,0)),""))</f>
        <v/>
      </c>
      <c r="J832" s="26" t="str">
        <f aca="false">IF($K832=0,"",IFERROR(INDEX(LOT_PRODE,MATCH($G832,LOT_KEY,0)),""))</f>
        <v/>
      </c>
      <c r="K832" s="67" t="n">
        <f aca="false">IF(ST_RESULTATS!$P82=0,0,ST_RESULTATS!$F82)</f>
        <v>0</v>
      </c>
      <c r="L832" s="67" t="n">
        <f aca="false">IF($K832=0,0,ST_RESULTATS!$T82*$K832)</f>
        <v>0</v>
      </c>
      <c r="M832" s="26" t="str">
        <f aca="false">IF($K832=0,"",ST_RESULTATS!$S82)</f>
        <v/>
      </c>
      <c r="N832" s="26" t="str">
        <f aca="false">IF($G832="","",IF($G832=R_LOT,COUNTIF($G$5:$G832,R_LOT),""))</f>
        <v/>
      </c>
    </row>
    <row r="833" customFormat="false" ht="15" hidden="false" customHeight="false" outlineLevel="0" collapsed="false">
      <c r="A833" s="28" t="str">
        <f aca="false">IF($K833=0,"",ROW()-4)</f>
        <v/>
      </c>
      <c r="B833" s="26" t="str">
        <f aca="false">IF($K833=0,"","RESULTAT ST")</f>
        <v/>
      </c>
      <c r="C833" s="26" t="str">
        <f aca="false">IF($K833=0,"",ST_RESULTATS!$A83)</f>
        <v/>
      </c>
      <c r="D833" s="31" t="str">
        <f aca="false">IF($K833=0,"",ST_RESULTATS!$V83)</f>
        <v/>
      </c>
      <c r="E833" s="26" t="str">
        <f aca="false">IF($K833=0,"","ENTREE")</f>
        <v/>
      </c>
      <c r="F833" s="26" t="str">
        <f aca="false">IF($K833=0,"","RETOUR SOUS-TRAITANCE")</f>
        <v/>
      </c>
      <c r="G833" s="26" t="str">
        <f aca="false">IF($K833=0,"",ST_RESULTATS!$N83)</f>
        <v/>
      </c>
      <c r="H833" s="26" t="str">
        <f aca="false">IF($K833=0,"",ST_RESULTATS!$J83)</f>
        <v/>
      </c>
      <c r="I833" s="26" t="str">
        <f aca="false">IF($H833="","",IFERROR(INDEX(EMPL_CLASSE,MATCH($H833,EMPL_KEY,0)),""))</f>
        <v/>
      </c>
      <c r="J833" s="26" t="str">
        <f aca="false">IF($K833=0,"",IFERROR(INDEX(LOT_PRODE,MATCH($G833,LOT_KEY,0)),""))</f>
        <v/>
      </c>
      <c r="K833" s="67" t="n">
        <f aca="false">IF(ST_RESULTATS!$P83=0,0,ST_RESULTATS!$F83)</f>
        <v>0</v>
      </c>
      <c r="L833" s="67" t="n">
        <f aca="false">IF($K833=0,0,ST_RESULTATS!$T83*$K833)</f>
        <v>0</v>
      </c>
      <c r="M833" s="26" t="str">
        <f aca="false">IF($K833=0,"",ST_RESULTATS!$S83)</f>
        <v/>
      </c>
      <c r="N833" s="26" t="str">
        <f aca="false">IF($G833="","",IF($G833=R_LOT,COUNTIF($G$5:$G833,R_LOT),""))</f>
        <v/>
      </c>
    </row>
    <row r="834" customFormat="false" ht="15" hidden="false" customHeight="false" outlineLevel="0" collapsed="false">
      <c r="A834" s="28" t="str">
        <f aca="false">IF($K834=0,"",ROW()-4)</f>
        <v/>
      </c>
      <c r="B834" s="26" t="str">
        <f aca="false">IF($K834=0,"","RESULTAT ST")</f>
        <v/>
      </c>
      <c r="C834" s="26" t="str">
        <f aca="false">IF($K834=0,"",ST_RESULTATS!$A84)</f>
        <v/>
      </c>
      <c r="D834" s="31" t="str">
        <f aca="false">IF($K834=0,"",ST_RESULTATS!$V84)</f>
        <v/>
      </c>
      <c r="E834" s="26" t="str">
        <f aca="false">IF($K834=0,"","ENTREE")</f>
        <v/>
      </c>
      <c r="F834" s="26" t="str">
        <f aca="false">IF($K834=0,"","RETOUR SOUS-TRAITANCE")</f>
        <v/>
      </c>
      <c r="G834" s="26" t="str">
        <f aca="false">IF($K834=0,"",ST_RESULTATS!$N84)</f>
        <v/>
      </c>
      <c r="H834" s="26" t="str">
        <f aca="false">IF($K834=0,"",ST_RESULTATS!$J84)</f>
        <v/>
      </c>
      <c r="I834" s="26" t="str">
        <f aca="false">IF($H834="","",IFERROR(INDEX(EMPL_CLASSE,MATCH($H834,EMPL_KEY,0)),""))</f>
        <v/>
      </c>
      <c r="J834" s="26" t="str">
        <f aca="false">IF($K834=0,"",IFERROR(INDEX(LOT_PRODE,MATCH($G834,LOT_KEY,0)),""))</f>
        <v/>
      </c>
      <c r="K834" s="67" t="n">
        <f aca="false">IF(ST_RESULTATS!$P84=0,0,ST_RESULTATS!$F84)</f>
        <v>0</v>
      </c>
      <c r="L834" s="67" t="n">
        <f aca="false">IF($K834=0,0,ST_RESULTATS!$T84*$K834)</f>
        <v>0</v>
      </c>
      <c r="M834" s="26" t="str">
        <f aca="false">IF($K834=0,"",ST_RESULTATS!$S84)</f>
        <v/>
      </c>
      <c r="N834" s="26" t="str">
        <f aca="false">IF($G834="","",IF($G834=R_LOT,COUNTIF($G$5:$G834,R_LOT),""))</f>
        <v/>
      </c>
    </row>
    <row r="835" customFormat="false" ht="15" hidden="false" customHeight="false" outlineLevel="0" collapsed="false">
      <c r="A835" s="28" t="str">
        <f aca="false">IF($K835=0,"",ROW()-4)</f>
        <v/>
      </c>
      <c r="B835" s="26" t="str">
        <f aca="false">IF($K835=0,"","RESULTAT ST")</f>
        <v/>
      </c>
      <c r="C835" s="26" t="str">
        <f aca="false">IF($K835=0,"",ST_RESULTATS!$A85)</f>
        <v/>
      </c>
      <c r="D835" s="31" t="str">
        <f aca="false">IF($K835=0,"",ST_RESULTATS!$V85)</f>
        <v/>
      </c>
      <c r="E835" s="26" t="str">
        <f aca="false">IF($K835=0,"","ENTREE")</f>
        <v/>
      </c>
      <c r="F835" s="26" t="str">
        <f aca="false">IF($K835=0,"","RETOUR SOUS-TRAITANCE")</f>
        <v/>
      </c>
      <c r="G835" s="26" t="str">
        <f aca="false">IF($K835=0,"",ST_RESULTATS!$N85)</f>
        <v/>
      </c>
      <c r="H835" s="26" t="str">
        <f aca="false">IF($K835=0,"",ST_RESULTATS!$J85)</f>
        <v/>
      </c>
      <c r="I835" s="26" t="str">
        <f aca="false">IF($H835="","",IFERROR(INDEX(EMPL_CLASSE,MATCH($H835,EMPL_KEY,0)),""))</f>
        <v/>
      </c>
      <c r="J835" s="26" t="str">
        <f aca="false">IF($K835=0,"",IFERROR(INDEX(LOT_PRODE,MATCH($G835,LOT_KEY,0)),""))</f>
        <v/>
      </c>
      <c r="K835" s="67" t="n">
        <f aca="false">IF(ST_RESULTATS!$P85=0,0,ST_RESULTATS!$F85)</f>
        <v>0</v>
      </c>
      <c r="L835" s="67" t="n">
        <f aca="false">IF($K835=0,0,ST_RESULTATS!$T85*$K835)</f>
        <v>0</v>
      </c>
      <c r="M835" s="26" t="str">
        <f aca="false">IF($K835=0,"",ST_RESULTATS!$S85)</f>
        <v/>
      </c>
      <c r="N835" s="26" t="str">
        <f aca="false">IF($G835="","",IF($G835=R_LOT,COUNTIF($G$5:$G835,R_LOT),""))</f>
        <v/>
      </c>
    </row>
    <row r="836" customFormat="false" ht="15" hidden="false" customHeight="false" outlineLevel="0" collapsed="false">
      <c r="A836" s="28" t="str">
        <f aca="false">IF($K836=0,"",ROW()-4)</f>
        <v/>
      </c>
      <c r="B836" s="26" t="str">
        <f aca="false">IF($K836=0,"","RESULTAT ST")</f>
        <v/>
      </c>
      <c r="C836" s="26" t="str">
        <f aca="false">IF($K836=0,"",ST_RESULTATS!$A86)</f>
        <v/>
      </c>
      <c r="D836" s="31" t="str">
        <f aca="false">IF($K836=0,"",ST_RESULTATS!$V86)</f>
        <v/>
      </c>
      <c r="E836" s="26" t="str">
        <f aca="false">IF($K836=0,"","ENTREE")</f>
        <v/>
      </c>
      <c r="F836" s="26" t="str">
        <f aca="false">IF($K836=0,"","RETOUR SOUS-TRAITANCE")</f>
        <v/>
      </c>
      <c r="G836" s="26" t="str">
        <f aca="false">IF($K836=0,"",ST_RESULTATS!$N86)</f>
        <v/>
      </c>
      <c r="H836" s="26" t="str">
        <f aca="false">IF($K836=0,"",ST_RESULTATS!$J86)</f>
        <v/>
      </c>
      <c r="I836" s="26" t="str">
        <f aca="false">IF($H836="","",IFERROR(INDEX(EMPL_CLASSE,MATCH($H836,EMPL_KEY,0)),""))</f>
        <v/>
      </c>
      <c r="J836" s="26" t="str">
        <f aca="false">IF($K836=0,"",IFERROR(INDEX(LOT_PRODE,MATCH($G836,LOT_KEY,0)),""))</f>
        <v/>
      </c>
      <c r="K836" s="67" t="n">
        <f aca="false">IF(ST_RESULTATS!$P86=0,0,ST_RESULTATS!$F86)</f>
        <v>0</v>
      </c>
      <c r="L836" s="67" t="n">
        <f aca="false">IF($K836=0,0,ST_RESULTATS!$T86*$K836)</f>
        <v>0</v>
      </c>
      <c r="M836" s="26" t="str">
        <f aca="false">IF($K836=0,"",ST_RESULTATS!$S86)</f>
        <v/>
      </c>
      <c r="N836" s="26" t="str">
        <f aca="false">IF($G836="","",IF($G836=R_LOT,COUNTIF($G$5:$G836,R_LOT),""))</f>
        <v/>
      </c>
    </row>
    <row r="837" customFormat="false" ht="15" hidden="false" customHeight="false" outlineLevel="0" collapsed="false">
      <c r="A837" s="28" t="str">
        <f aca="false">IF($K837=0,"",ROW()-4)</f>
        <v/>
      </c>
      <c r="B837" s="26" t="str">
        <f aca="false">IF($K837=0,"","RESULTAT ST")</f>
        <v/>
      </c>
      <c r="C837" s="26" t="str">
        <f aca="false">IF($K837=0,"",ST_RESULTATS!$A87)</f>
        <v/>
      </c>
      <c r="D837" s="31" t="str">
        <f aca="false">IF($K837=0,"",ST_RESULTATS!$V87)</f>
        <v/>
      </c>
      <c r="E837" s="26" t="str">
        <f aca="false">IF($K837=0,"","ENTREE")</f>
        <v/>
      </c>
      <c r="F837" s="26" t="str">
        <f aca="false">IF($K837=0,"","RETOUR SOUS-TRAITANCE")</f>
        <v/>
      </c>
      <c r="G837" s="26" t="str">
        <f aca="false">IF($K837=0,"",ST_RESULTATS!$N87)</f>
        <v/>
      </c>
      <c r="H837" s="26" t="str">
        <f aca="false">IF($K837=0,"",ST_RESULTATS!$J87)</f>
        <v/>
      </c>
      <c r="I837" s="26" t="str">
        <f aca="false">IF($H837="","",IFERROR(INDEX(EMPL_CLASSE,MATCH($H837,EMPL_KEY,0)),""))</f>
        <v/>
      </c>
      <c r="J837" s="26" t="str">
        <f aca="false">IF($K837=0,"",IFERROR(INDEX(LOT_PRODE,MATCH($G837,LOT_KEY,0)),""))</f>
        <v/>
      </c>
      <c r="K837" s="67" t="n">
        <f aca="false">IF(ST_RESULTATS!$P87=0,0,ST_RESULTATS!$F87)</f>
        <v>0</v>
      </c>
      <c r="L837" s="67" t="n">
        <f aca="false">IF($K837=0,0,ST_RESULTATS!$T87*$K837)</f>
        <v>0</v>
      </c>
      <c r="M837" s="26" t="str">
        <f aca="false">IF($K837=0,"",ST_RESULTATS!$S87)</f>
        <v/>
      </c>
      <c r="N837" s="26" t="str">
        <f aca="false">IF($G837="","",IF($G837=R_LOT,COUNTIF($G$5:$G837,R_LOT),""))</f>
        <v/>
      </c>
    </row>
    <row r="838" customFormat="false" ht="15" hidden="false" customHeight="false" outlineLevel="0" collapsed="false">
      <c r="A838" s="28" t="str">
        <f aca="false">IF($K838=0,"",ROW()-4)</f>
        <v/>
      </c>
      <c r="B838" s="26" t="str">
        <f aca="false">IF($K838=0,"","RESULTAT ST")</f>
        <v/>
      </c>
      <c r="C838" s="26" t="str">
        <f aca="false">IF($K838=0,"",ST_RESULTATS!$A88)</f>
        <v/>
      </c>
      <c r="D838" s="31" t="str">
        <f aca="false">IF($K838=0,"",ST_RESULTATS!$V88)</f>
        <v/>
      </c>
      <c r="E838" s="26" t="str">
        <f aca="false">IF($K838=0,"","ENTREE")</f>
        <v/>
      </c>
      <c r="F838" s="26" t="str">
        <f aca="false">IF($K838=0,"","RETOUR SOUS-TRAITANCE")</f>
        <v/>
      </c>
      <c r="G838" s="26" t="str">
        <f aca="false">IF($K838=0,"",ST_RESULTATS!$N88)</f>
        <v/>
      </c>
      <c r="H838" s="26" t="str">
        <f aca="false">IF($K838=0,"",ST_RESULTATS!$J88)</f>
        <v/>
      </c>
      <c r="I838" s="26" t="str">
        <f aca="false">IF($H838="","",IFERROR(INDEX(EMPL_CLASSE,MATCH($H838,EMPL_KEY,0)),""))</f>
        <v/>
      </c>
      <c r="J838" s="26" t="str">
        <f aca="false">IF($K838=0,"",IFERROR(INDEX(LOT_PRODE,MATCH($G838,LOT_KEY,0)),""))</f>
        <v/>
      </c>
      <c r="K838" s="67" t="n">
        <f aca="false">IF(ST_RESULTATS!$P88=0,0,ST_RESULTATS!$F88)</f>
        <v>0</v>
      </c>
      <c r="L838" s="67" t="n">
        <f aca="false">IF($K838=0,0,ST_RESULTATS!$T88*$K838)</f>
        <v>0</v>
      </c>
      <c r="M838" s="26" t="str">
        <f aca="false">IF($K838=0,"",ST_RESULTATS!$S88)</f>
        <v/>
      </c>
      <c r="N838" s="26" t="str">
        <f aca="false">IF($G838="","",IF($G838=R_LOT,COUNTIF($G$5:$G838,R_LOT),""))</f>
        <v/>
      </c>
    </row>
    <row r="839" customFormat="false" ht="15" hidden="false" customHeight="false" outlineLevel="0" collapsed="false">
      <c r="A839" s="28" t="str">
        <f aca="false">IF($K839=0,"",ROW()-4)</f>
        <v/>
      </c>
      <c r="B839" s="26" t="str">
        <f aca="false">IF($K839=0,"","RESULTAT ST")</f>
        <v/>
      </c>
      <c r="C839" s="26" t="str">
        <f aca="false">IF($K839=0,"",ST_RESULTATS!$A89)</f>
        <v/>
      </c>
      <c r="D839" s="31" t="str">
        <f aca="false">IF($K839=0,"",ST_RESULTATS!$V89)</f>
        <v/>
      </c>
      <c r="E839" s="26" t="str">
        <f aca="false">IF($K839=0,"","ENTREE")</f>
        <v/>
      </c>
      <c r="F839" s="26" t="str">
        <f aca="false">IF($K839=0,"","RETOUR SOUS-TRAITANCE")</f>
        <v/>
      </c>
      <c r="G839" s="26" t="str">
        <f aca="false">IF($K839=0,"",ST_RESULTATS!$N89)</f>
        <v/>
      </c>
      <c r="H839" s="26" t="str">
        <f aca="false">IF($K839=0,"",ST_RESULTATS!$J89)</f>
        <v/>
      </c>
      <c r="I839" s="26" t="str">
        <f aca="false">IF($H839="","",IFERROR(INDEX(EMPL_CLASSE,MATCH($H839,EMPL_KEY,0)),""))</f>
        <v/>
      </c>
      <c r="J839" s="26" t="str">
        <f aca="false">IF($K839=0,"",IFERROR(INDEX(LOT_PRODE,MATCH($G839,LOT_KEY,0)),""))</f>
        <v/>
      </c>
      <c r="K839" s="67" t="n">
        <f aca="false">IF(ST_RESULTATS!$P89=0,0,ST_RESULTATS!$F89)</f>
        <v>0</v>
      </c>
      <c r="L839" s="67" t="n">
        <f aca="false">IF($K839=0,0,ST_RESULTATS!$T89*$K839)</f>
        <v>0</v>
      </c>
      <c r="M839" s="26" t="str">
        <f aca="false">IF($K839=0,"",ST_RESULTATS!$S89)</f>
        <v/>
      </c>
      <c r="N839" s="26" t="str">
        <f aca="false">IF($G839="","",IF($G839=R_LOT,COUNTIF($G$5:$G839,R_LOT),""))</f>
        <v/>
      </c>
    </row>
    <row r="840" customFormat="false" ht="15" hidden="false" customHeight="false" outlineLevel="0" collapsed="false">
      <c r="A840" s="28" t="str">
        <f aca="false">IF($K840=0,"",ROW()-4)</f>
        <v/>
      </c>
      <c r="B840" s="26" t="str">
        <f aca="false">IF($K840=0,"","RESULTAT ST")</f>
        <v/>
      </c>
      <c r="C840" s="26" t="str">
        <f aca="false">IF($K840=0,"",ST_RESULTATS!$A90)</f>
        <v/>
      </c>
      <c r="D840" s="31" t="str">
        <f aca="false">IF($K840=0,"",ST_RESULTATS!$V90)</f>
        <v/>
      </c>
      <c r="E840" s="26" t="str">
        <f aca="false">IF($K840=0,"","ENTREE")</f>
        <v/>
      </c>
      <c r="F840" s="26" t="str">
        <f aca="false">IF($K840=0,"","RETOUR SOUS-TRAITANCE")</f>
        <v/>
      </c>
      <c r="G840" s="26" t="str">
        <f aca="false">IF($K840=0,"",ST_RESULTATS!$N90)</f>
        <v/>
      </c>
      <c r="H840" s="26" t="str">
        <f aca="false">IF($K840=0,"",ST_RESULTATS!$J90)</f>
        <v/>
      </c>
      <c r="I840" s="26" t="str">
        <f aca="false">IF($H840="","",IFERROR(INDEX(EMPL_CLASSE,MATCH($H840,EMPL_KEY,0)),""))</f>
        <v/>
      </c>
      <c r="J840" s="26" t="str">
        <f aca="false">IF($K840=0,"",IFERROR(INDEX(LOT_PRODE,MATCH($G840,LOT_KEY,0)),""))</f>
        <v/>
      </c>
      <c r="K840" s="67" t="n">
        <f aca="false">IF(ST_RESULTATS!$P90=0,0,ST_RESULTATS!$F90)</f>
        <v>0</v>
      </c>
      <c r="L840" s="67" t="n">
        <f aca="false">IF($K840=0,0,ST_RESULTATS!$T90*$K840)</f>
        <v>0</v>
      </c>
      <c r="M840" s="26" t="str">
        <f aca="false">IF($K840=0,"",ST_RESULTATS!$S90)</f>
        <v/>
      </c>
      <c r="N840" s="26" t="str">
        <f aca="false">IF($G840="","",IF($G840=R_LOT,COUNTIF($G$5:$G840,R_LOT),""))</f>
        <v/>
      </c>
    </row>
    <row r="841" customFormat="false" ht="15" hidden="false" customHeight="false" outlineLevel="0" collapsed="false">
      <c r="A841" s="28" t="str">
        <f aca="false">IF($K841=0,"",ROW()-4)</f>
        <v/>
      </c>
      <c r="B841" s="26" t="str">
        <f aca="false">IF($K841=0,"","RESULTAT ST")</f>
        <v/>
      </c>
      <c r="C841" s="26" t="str">
        <f aca="false">IF($K841=0,"",ST_RESULTATS!$A91)</f>
        <v/>
      </c>
      <c r="D841" s="31" t="str">
        <f aca="false">IF($K841=0,"",ST_RESULTATS!$V91)</f>
        <v/>
      </c>
      <c r="E841" s="26" t="str">
        <f aca="false">IF($K841=0,"","ENTREE")</f>
        <v/>
      </c>
      <c r="F841" s="26" t="str">
        <f aca="false">IF($K841=0,"","RETOUR SOUS-TRAITANCE")</f>
        <v/>
      </c>
      <c r="G841" s="26" t="str">
        <f aca="false">IF($K841=0,"",ST_RESULTATS!$N91)</f>
        <v/>
      </c>
      <c r="H841" s="26" t="str">
        <f aca="false">IF($K841=0,"",ST_RESULTATS!$J91)</f>
        <v/>
      </c>
      <c r="I841" s="26" t="str">
        <f aca="false">IF($H841="","",IFERROR(INDEX(EMPL_CLASSE,MATCH($H841,EMPL_KEY,0)),""))</f>
        <v/>
      </c>
      <c r="J841" s="26" t="str">
        <f aca="false">IF($K841=0,"",IFERROR(INDEX(LOT_PRODE,MATCH($G841,LOT_KEY,0)),""))</f>
        <v/>
      </c>
      <c r="K841" s="67" t="n">
        <f aca="false">IF(ST_RESULTATS!$P91=0,0,ST_RESULTATS!$F91)</f>
        <v>0</v>
      </c>
      <c r="L841" s="67" t="n">
        <f aca="false">IF($K841=0,0,ST_RESULTATS!$T91*$K841)</f>
        <v>0</v>
      </c>
      <c r="M841" s="26" t="str">
        <f aca="false">IF($K841=0,"",ST_RESULTATS!$S91)</f>
        <v/>
      </c>
      <c r="N841" s="26" t="str">
        <f aca="false">IF($G841="","",IF($G841=R_LOT,COUNTIF($G$5:$G841,R_LOT),""))</f>
        <v/>
      </c>
    </row>
    <row r="842" customFormat="false" ht="15" hidden="false" customHeight="false" outlineLevel="0" collapsed="false">
      <c r="A842" s="28" t="str">
        <f aca="false">IF($K842=0,"",ROW()-4)</f>
        <v/>
      </c>
      <c r="B842" s="26" t="str">
        <f aca="false">IF($K842=0,"","RESULTAT ST")</f>
        <v/>
      </c>
      <c r="C842" s="26" t="str">
        <f aca="false">IF($K842=0,"",ST_RESULTATS!$A92)</f>
        <v/>
      </c>
      <c r="D842" s="31" t="str">
        <f aca="false">IF($K842=0,"",ST_RESULTATS!$V92)</f>
        <v/>
      </c>
      <c r="E842" s="26" t="str">
        <f aca="false">IF($K842=0,"","ENTREE")</f>
        <v/>
      </c>
      <c r="F842" s="26" t="str">
        <f aca="false">IF($K842=0,"","RETOUR SOUS-TRAITANCE")</f>
        <v/>
      </c>
      <c r="G842" s="26" t="str">
        <f aca="false">IF($K842=0,"",ST_RESULTATS!$N92)</f>
        <v/>
      </c>
      <c r="H842" s="26" t="str">
        <f aca="false">IF($K842=0,"",ST_RESULTATS!$J92)</f>
        <v/>
      </c>
      <c r="I842" s="26" t="str">
        <f aca="false">IF($H842="","",IFERROR(INDEX(EMPL_CLASSE,MATCH($H842,EMPL_KEY,0)),""))</f>
        <v/>
      </c>
      <c r="J842" s="26" t="str">
        <f aca="false">IF($K842=0,"",IFERROR(INDEX(LOT_PRODE,MATCH($G842,LOT_KEY,0)),""))</f>
        <v/>
      </c>
      <c r="K842" s="67" t="n">
        <f aca="false">IF(ST_RESULTATS!$P92=0,0,ST_RESULTATS!$F92)</f>
        <v>0</v>
      </c>
      <c r="L842" s="67" t="n">
        <f aca="false">IF($K842=0,0,ST_RESULTATS!$T92*$K842)</f>
        <v>0</v>
      </c>
      <c r="M842" s="26" t="str">
        <f aca="false">IF($K842=0,"",ST_RESULTATS!$S92)</f>
        <v/>
      </c>
      <c r="N842" s="26" t="str">
        <f aca="false">IF($G842="","",IF($G842=R_LOT,COUNTIF($G$5:$G842,R_LOT),""))</f>
        <v/>
      </c>
    </row>
    <row r="843" customFormat="false" ht="15" hidden="false" customHeight="false" outlineLevel="0" collapsed="false">
      <c r="A843" s="28" t="str">
        <f aca="false">IF($K843=0,"",ROW()-4)</f>
        <v/>
      </c>
      <c r="B843" s="26" t="str">
        <f aca="false">IF($K843=0,"","RESULTAT ST")</f>
        <v/>
      </c>
      <c r="C843" s="26" t="str">
        <f aca="false">IF($K843=0,"",ST_RESULTATS!$A93)</f>
        <v/>
      </c>
      <c r="D843" s="31" t="str">
        <f aca="false">IF($K843=0,"",ST_RESULTATS!$V93)</f>
        <v/>
      </c>
      <c r="E843" s="26" t="str">
        <f aca="false">IF($K843=0,"","ENTREE")</f>
        <v/>
      </c>
      <c r="F843" s="26" t="str">
        <f aca="false">IF($K843=0,"","RETOUR SOUS-TRAITANCE")</f>
        <v/>
      </c>
      <c r="G843" s="26" t="str">
        <f aca="false">IF($K843=0,"",ST_RESULTATS!$N93)</f>
        <v/>
      </c>
      <c r="H843" s="26" t="str">
        <f aca="false">IF($K843=0,"",ST_RESULTATS!$J93)</f>
        <v/>
      </c>
      <c r="I843" s="26" t="str">
        <f aca="false">IF($H843="","",IFERROR(INDEX(EMPL_CLASSE,MATCH($H843,EMPL_KEY,0)),""))</f>
        <v/>
      </c>
      <c r="J843" s="26" t="str">
        <f aca="false">IF($K843=0,"",IFERROR(INDEX(LOT_PRODE,MATCH($G843,LOT_KEY,0)),""))</f>
        <v/>
      </c>
      <c r="K843" s="67" t="n">
        <f aca="false">IF(ST_RESULTATS!$P93=0,0,ST_RESULTATS!$F93)</f>
        <v>0</v>
      </c>
      <c r="L843" s="67" t="n">
        <f aca="false">IF($K843=0,0,ST_RESULTATS!$T93*$K843)</f>
        <v>0</v>
      </c>
      <c r="M843" s="26" t="str">
        <f aca="false">IF($K843=0,"",ST_RESULTATS!$S93)</f>
        <v/>
      </c>
      <c r="N843" s="26" t="str">
        <f aca="false">IF($G843="","",IF($G843=R_LOT,COUNTIF($G$5:$G843,R_LOT),""))</f>
        <v/>
      </c>
    </row>
    <row r="844" customFormat="false" ht="15" hidden="false" customHeight="false" outlineLevel="0" collapsed="false">
      <c r="A844" s="28" t="str">
        <f aca="false">IF($K844=0,"",ROW()-4)</f>
        <v/>
      </c>
      <c r="B844" s="26" t="str">
        <f aca="false">IF($K844=0,"","RESULTAT ST")</f>
        <v/>
      </c>
      <c r="C844" s="26" t="str">
        <f aca="false">IF($K844=0,"",ST_RESULTATS!$A94)</f>
        <v/>
      </c>
      <c r="D844" s="31" t="str">
        <f aca="false">IF($K844=0,"",ST_RESULTATS!$V94)</f>
        <v/>
      </c>
      <c r="E844" s="26" t="str">
        <f aca="false">IF($K844=0,"","ENTREE")</f>
        <v/>
      </c>
      <c r="F844" s="26" t="str">
        <f aca="false">IF($K844=0,"","RETOUR SOUS-TRAITANCE")</f>
        <v/>
      </c>
      <c r="G844" s="26" t="str">
        <f aca="false">IF($K844=0,"",ST_RESULTATS!$N94)</f>
        <v/>
      </c>
      <c r="H844" s="26" t="str">
        <f aca="false">IF($K844=0,"",ST_RESULTATS!$J94)</f>
        <v/>
      </c>
      <c r="I844" s="26" t="str">
        <f aca="false">IF($H844="","",IFERROR(INDEX(EMPL_CLASSE,MATCH($H844,EMPL_KEY,0)),""))</f>
        <v/>
      </c>
      <c r="J844" s="26" t="str">
        <f aca="false">IF($K844=0,"",IFERROR(INDEX(LOT_PRODE,MATCH($G844,LOT_KEY,0)),""))</f>
        <v/>
      </c>
      <c r="K844" s="67" t="n">
        <f aca="false">IF(ST_RESULTATS!$P94=0,0,ST_RESULTATS!$F94)</f>
        <v>0</v>
      </c>
      <c r="L844" s="67" t="n">
        <f aca="false">IF($K844=0,0,ST_RESULTATS!$T94*$K844)</f>
        <v>0</v>
      </c>
      <c r="M844" s="26" t="str">
        <f aca="false">IF($K844=0,"",ST_RESULTATS!$S94)</f>
        <v/>
      </c>
      <c r="N844" s="26" t="str">
        <f aca="false">IF($G844="","",IF($G844=R_LOT,COUNTIF($G$5:$G844,R_LOT),""))</f>
        <v/>
      </c>
    </row>
    <row r="845" customFormat="false" ht="15" hidden="false" customHeight="false" outlineLevel="0" collapsed="false">
      <c r="A845" s="28" t="str">
        <f aca="false">IF($K845=0,"",ROW()-4)</f>
        <v/>
      </c>
      <c r="B845" s="26" t="str">
        <f aca="false">IF($K845=0,"","RESULTAT ST")</f>
        <v/>
      </c>
      <c r="C845" s="26" t="str">
        <f aca="false">IF($K845=0,"",ST_RESULTATS!$A95)</f>
        <v/>
      </c>
      <c r="D845" s="31" t="str">
        <f aca="false">IF($K845=0,"",ST_RESULTATS!$V95)</f>
        <v/>
      </c>
      <c r="E845" s="26" t="str">
        <f aca="false">IF($K845=0,"","ENTREE")</f>
        <v/>
      </c>
      <c r="F845" s="26" t="str">
        <f aca="false">IF($K845=0,"","RETOUR SOUS-TRAITANCE")</f>
        <v/>
      </c>
      <c r="G845" s="26" t="str">
        <f aca="false">IF($K845=0,"",ST_RESULTATS!$N95)</f>
        <v/>
      </c>
      <c r="H845" s="26" t="str">
        <f aca="false">IF($K845=0,"",ST_RESULTATS!$J95)</f>
        <v/>
      </c>
      <c r="I845" s="26" t="str">
        <f aca="false">IF($H845="","",IFERROR(INDEX(EMPL_CLASSE,MATCH($H845,EMPL_KEY,0)),""))</f>
        <v/>
      </c>
      <c r="J845" s="26" t="str">
        <f aca="false">IF($K845=0,"",IFERROR(INDEX(LOT_PRODE,MATCH($G845,LOT_KEY,0)),""))</f>
        <v/>
      </c>
      <c r="K845" s="67" t="n">
        <f aca="false">IF(ST_RESULTATS!$P95=0,0,ST_RESULTATS!$F95)</f>
        <v>0</v>
      </c>
      <c r="L845" s="67" t="n">
        <f aca="false">IF($K845=0,0,ST_RESULTATS!$T95*$K845)</f>
        <v>0</v>
      </c>
      <c r="M845" s="26" t="str">
        <f aca="false">IF($K845=0,"",ST_RESULTATS!$S95)</f>
        <v/>
      </c>
      <c r="N845" s="26" t="str">
        <f aca="false">IF($G845="","",IF($G845=R_LOT,COUNTIF($G$5:$G845,R_LOT),""))</f>
        <v/>
      </c>
    </row>
    <row r="846" customFormat="false" ht="15" hidden="false" customHeight="false" outlineLevel="0" collapsed="false">
      <c r="A846" s="28" t="str">
        <f aca="false">IF($K846=0,"",ROW()-4)</f>
        <v/>
      </c>
      <c r="B846" s="26" t="str">
        <f aca="false">IF($K846=0,"","RESULTAT ST")</f>
        <v/>
      </c>
      <c r="C846" s="26" t="str">
        <f aca="false">IF($K846=0,"",ST_RESULTATS!$A96)</f>
        <v/>
      </c>
      <c r="D846" s="31" t="str">
        <f aca="false">IF($K846=0,"",ST_RESULTATS!$V96)</f>
        <v/>
      </c>
      <c r="E846" s="26" t="str">
        <f aca="false">IF($K846=0,"","ENTREE")</f>
        <v/>
      </c>
      <c r="F846" s="26" t="str">
        <f aca="false">IF($K846=0,"","RETOUR SOUS-TRAITANCE")</f>
        <v/>
      </c>
      <c r="G846" s="26" t="str">
        <f aca="false">IF($K846=0,"",ST_RESULTATS!$N96)</f>
        <v/>
      </c>
      <c r="H846" s="26" t="str">
        <f aca="false">IF($K846=0,"",ST_RESULTATS!$J96)</f>
        <v/>
      </c>
      <c r="I846" s="26" t="str">
        <f aca="false">IF($H846="","",IFERROR(INDEX(EMPL_CLASSE,MATCH($H846,EMPL_KEY,0)),""))</f>
        <v/>
      </c>
      <c r="J846" s="26" t="str">
        <f aca="false">IF($K846=0,"",IFERROR(INDEX(LOT_PRODE,MATCH($G846,LOT_KEY,0)),""))</f>
        <v/>
      </c>
      <c r="K846" s="67" t="n">
        <f aca="false">IF(ST_RESULTATS!$P96=0,0,ST_RESULTATS!$F96)</f>
        <v>0</v>
      </c>
      <c r="L846" s="67" t="n">
        <f aca="false">IF($K846=0,0,ST_RESULTATS!$T96*$K846)</f>
        <v>0</v>
      </c>
      <c r="M846" s="26" t="str">
        <f aca="false">IF($K846=0,"",ST_RESULTATS!$S96)</f>
        <v/>
      </c>
      <c r="N846" s="26" t="str">
        <f aca="false">IF($G846="","",IF($G846=R_LOT,COUNTIF($G$5:$G846,R_LOT),""))</f>
        <v/>
      </c>
    </row>
    <row r="847" customFormat="false" ht="15" hidden="false" customHeight="false" outlineLevel="0" collapsed="false">
      <c r="A847" s="28" t="str">
        <f aca="false">IF($K847=0,"",ROW()-4)</f>
        <v/>
      </c>
      <c r="B847" s="26" t="str">
        <f aca="false">IF($K847=0,"","RESULTAT ST")</f>
        <v/>
      </c>
      <c r="C847" s="26" t="str">
        <f aca="false">IF($K847=0,"",ST_RESULTATS!$A97)</f>
        <v/>
      </c>
      <c r="D847" s="31" t="str">
        <f aca="false">IF($K847=0,"",ST_RESULTATS!$V97)</f>
        <v/>
      </c>
      <c r="E847" s="26" t="str">
        <f aca="false">IF($K847=0,"","ENTREE")</f>
        <v/>
      </c>
      <c r="F847" s="26" t="str">
        <f aca="false">IF($K847=0,"","RETOUR SOUS-TRAITANCE")</f>
        <v/>
      </c>
      <c r="G847" s="26" t="str">
        <f aca="false">IF($K847=0,"",ST_RESULTATS!$N97)</f>
        <v/>
      </c>
      <c r="H847" s="26" t="str">
        <f aca="false">IF($K847=0,"",ST_RESULTATS!$J97)</f>
        <v/>
      </c>
      <c r="I847" s="26" t="str">
        <f aca="false">IF($H847="","",IFERROR(INDEX(EMPL_CLASSE,MATCH($H847,EMPL_KEY,0)),""))</f>
        <v/>
      </c>
      <c r="J847" s="26" t="str">
        <f aca="false">IF($K847=0,"",IFERROR(INDEX(LOT_PRODE,MATCH($G847,LOT_KEY,0)),""))</f>
        <v/>
      </c>
      <c r="K847" s="67" t="n">
        <f aca="false">IF(ST_RESULTATS!$P97=0,0,ST_RESULTATS!$F97)</f>
        <v>0</v>
      </c>
      <c r="L847" s="67" t="n">
        <f aca="false">IF($K847=0,0,ST_RESULTATS!$T97*$K847)</f>
        <v>0</v>
      </c>
      <c r="M847" s="26" t="str">
        <f aca="false">IF($K847=0,"",ST_RESULTATS!$S97)</f>
        <v/>
      </c>
      <c r="N847" s="26" t="str">
        <f aca="false">IF($G847="","",IF($G847=R_LOT,COUNTIF($G$5:$G847,R_LOT),""))</f>
        <v/>
      </c>
    </row>
    <row r="848" customFormat="false" ht="15" hidden="false" customHeight="false" outlineLevel="0" collapsed="false">
      <c r="A848" s="28" t="str">
        <f aca="false">IF($K848=0,"",ROW()-4)</f>
        <v/>
      </c>
      <c r="B848" s="26" t="str">
        <f aca="false">IF($K848=0,"","RESULTAT ST")</f>
        <v/>
      </c>
      <c r="C848" s="26" t="str">
        <f aca="false">IF($K848=0,"",ST_RESULTATS!$A98)</f>
        <v/>
      </c>
      <c r="D848" s="31" t="str">
        <f aca="false">IF($K848=0,"",ST_RESULTATS!$V98)</f>
        <v/>
      </c>
      <c r="E848" s="26" t="str">
        <f aca="false">IF($K848=0,"","ENTREE")</f>
        <v/>
      </c>
      <c r="F848" s="26" t="str">
        <f aca="false">IF($K848=0,"","RETOUR SOUS-TRAITANCE")</f>
        <v/>
      </c>
      <c r="G848" s="26" t="str">
        <f aca="false">IF($K848=0,"",ST_RESULTATS!$N98)</f>
        <v/>
      </c>
      <c r="H848" s="26" t="str">
        <f aca="false">IF($K848=0,"",ST_RESULTATS!$J98)</f>
        <v/>
      </c>
      <c r="I848" s="26" t="str">
        <f aca="false">IF($H848="","",IFERROR(INDEX(EMPL_CLASSE,MATCH($H848,EMPL_KEY,0)),""))</f>
        <v/>
      </c>
      <c r="J848" s="26" t="str">
        <f aca="false">IF($K848=0,"",IFERROR(INDEX(LOT_PRODE,MATCH($G848,LOT_KEY,0)),""))</f>
        <v/>
      </c>
      <c r="K848" s="67" t="n">
        <f aca="false">IF(ST_RESULTATS!$P98=0,0,ST_RESULTATS!$F98)</f>
        <v>0</v>
      </c>
      <c r="L848" s="67" t="n">
        <f aca="false">IF($K848=0,0,ST_RESULTATS!$T98*$K848)</f>
        <v>0</v>
      </c>
      <c r="M848" s="26" t="str">
        <f aca="false">IF($K848=0,"",ST_RESULTATS!$S98)</f>
        <v/>
      </c>
      <c r="N848" s="26" t="str">
        <f aca="false">IF($G848="","",IF($G848=R_LOT,COUNTIF($G$5:$G848,R_LOT),""))</f>
        <v/>
      </c>
    </row>
    <row r="849" customFormat="false" ht="15" hidden="false" customHeight="false" outlineLevel="0" collapsed="false">
      <c r="A849" s="28" t="str">
        <f aca="false">IF($K849=0,"",ROW()-4)</f>
        <v/>
      </c>
      <c r="B849" s="26" t="str">
        <f aca="false">IF($K849=0,"","RESULTAT ST")</f>
        <v/>
      </c>
      <c r="C849" s="26" t="str">
        <f aca="false">IF($K849=0,"",ST_RESULTATS!$A99)</f>
        <v/>
      </c>
      <c r="D849" s="31" t="str">
        <f aca="false">IF($K849=0,"",ST_RESULTATS!$V99)</f>
        <v/>
      </c>
      <c r="E849" s="26" t="str">
        <f aca="false">IF($K849=0,"","ENTREE")</f>
        <v/>
      </c>
      <c r="F849" s="26" t="str">
        <f aca="false">IF($K849=0,"","RETOUR SOUS-TRAITANCE")</f>
        <v/>
      </c>
      <c r="G849" s="26" t="str">
        <f aca="false">IF($K849=0,"",ST_RESULTATS!$N99)</f>
        <v/>
      </c>
      <c r="H849" s="26" t="str">
        <f aca="false">IF($K849=0,"",ST_RESULTATS!$J99)</f>
        <v/>
      </c>
      <c r="I849" s="26" t="str">
        <f aca="false">IF($H849="","",IFERROR(INDEX(EMPL_CLASSE,MATCH($H849,EMPL_KEY,0)),""))</f>
        <v/>
      </c>
      <c r="J849" s="26" t="str">
        <f aca="false">IF($K849=0,"",IFERROR(INDEX(LOT_PRODE,MATCH($G849,LOT_KEY,0)),""))</f>
        <v/>
      </c>
      <c r="K849" s="67" t="n">
        <f aca="false">IF(ST_RESULTATS!$P99=0,0,ST_RESULTATS!$F99)</f>
        <v>0</v>
      </c>
      <c r="L849" s="67" t="n">
        <f aca="false">IF($K849=0,0,ST_RESULTATS!$T99*$K849)</f>
        <v>0</v>
      </c>
      <c r="M849" s="26" t="str">
        <f aca="false">IF($K849=0,"",ST_RESULTATS!$S99)</f>
        <v/>
      </c>
      <c r="N849" s="26" t="str">
        <f aca="false">IF($G849="","",IF($G849=R_LOT,COUNTIF($G$5:$G849,R_LOT),""))</f>
        <v/>
      </c>
    </row>
    <row r="850" customFormat="false" ht="15" hidden="false" customHeight="false" outlineLevel="0" collapsed="false">
      <c r="A850" s="28" t="str">
        <f aca="false">IF($K850=0,"",ROW()-4)</f>
        <v/>
      </c>
      <c r="B850" s="26" t="str">
        <f aca="false">IF($K850=0,"","RESULTAT ST")</f>
        <v/>
      </c>
      <c r="C850" s="26" t="str">
        <f aca="false">IF($K850=0,"",ST_RESULTATS!$A100)</f>
        <v/>
      </c>
      <c r="D850" s="31" t="str">
        <f aca="false">IF($K850=0,"",ST_RESULTATS!$V100)</f>
        <v/>
      </c>
      <c r="E850" s="26" t="str">
        <f aca="false">IF($K850=0,"","ENTREE")</f>
        <v/>
      </c>
      <c r="F850" s="26" t="str">
        <f aca="false">IF($K850=0,"","RETOUR SOUS-TRAITANCE")</f>
        <v/>
      </c>
      <c r="G850" s="26" t="str">
        <f aca="false">IF($K850=0,"",ST_RESULTATS!$N100)</f>
        <v/>
      </c>
      <c r="H850" s="26" t="str">
        <f aca="false">IF($K850=0,"",ST_RESULTATS!$J100)</f>
        <v/>
      </c>
      <c r="I850" s="26" t="str">
        <f aca="false">IF($H850="","",IFERROR(INDEX(EMPL_CLASSE,MATCH($H850,EMPL_KEY,0)),""))</f>
        <v/>
      </c>
      <c r="J850" s="26" t="str">
        <f aca="false">IF($K850=0,"",IFERROR(INDEX(LOT_PRODE,MATCH($G850,LOT_KEY,0)),""))</f>
        <v/>
      </c>
      <c r="K850" s="67" t="n">
        <f aca="false">IF(ST_RESULTATS!$P100=0,0,ST_RESULTATS!$F100)</f>
        <v>0</v>
      </c>
      <c r="L850" s="67" t="n">
        <f aca="false">IF($K850=0,0,ST_RESULTATS!$T100*$K850)</f>
        <v>0</v>
      </c>
      <c r="M850" s="26" t="str">
        <f aca="false">IF($K850=0,"",ST_RESULTATS!$S100)</f>
        <v/>
      </c>
      <c r="N850" s="26" t="str">
        <f aca="false">IF($G850="","",IF($G850=R_LOT,COUNTIF($G$5:$G850,R_LOT),""))</f>
        <v/>
      </c>
    </row>
    <row r="851" customFormat="false" ht="15" hidden="false" customHeight="false" outlineLevel="0" collapsed="false">
      <c r="A851" s="28" t="str">
        <f aca="false">IF($K851=0,"",ROW()-4)</f>
        <v/>
      </c>
      <c r="B851" s="26" t="str">
        <f aca="false">IF($K851=0,"","RESULTAT ST")</f>
        <v/>
      </c>
      <c r="C851" s="26" t="str">
        <f aca="false">IF($K851=0,"",ST_RESULTATS!$A101)</f>
        <v/>
      </c>
      <c r="D851" s="31" t="str">
        <f aca="false">IF($K851=0,"",ST_RESULTATS!$V101)</f>
        <v/>
      </c>
      <c r="E851" s="26" t="str">
        <f aca="false">IF($K851=0,"","ENTREE")</f>
        <v/>
      </c>
      <c r="F851" s="26" t="str">
        <f aca="false">IF($K851=0,"","RETOUR SOUS-TRAITANCE")</f>
        <v/>
      </c>
      <c r="G851" s="26" t="str">
        <f aca="false">IF($K851=0,"",ST_RESULTATS!$N101)</f>
        <v/>
      </c>
      <c r="H851" s="26" t="str">
        <f aca="false">IF($K851=0,"",ST_RESULTATS!$J101)</f>
        <v/>
      </c>
      <c r="I851" s="26" t="str">
        <f aca="false">IF($H851="","",IFERROR(INDEX(EMPL_CLASSE,MATCH($H851,EMPL_KEY,0)),""))</f>
        <v/>
      </c>
      <c r="J851" s="26" t="str">
        <f aca="false">IF($K851=0,"",IFERROR(INDEX(LOT_PRODE,MATCH($G851,LOT_KEY,0)),""))</f>
        <v/>
      </c>
      <c r="K851" s="67" t="n">
        <f aca="false">IF(ST_RESULTATS!$P101=0,0,ST_RESULTATS!$F101)</f>
        <v>0</v>
      </c>
      <c r="L851" s="67" t="n">
        <f aca="false">IF($K851=0,0,ST_RESULTATS!$T101*$K851)</f>
        <v>0</v>
      </c>
      <c r="M851" s="26" t="str">
        <f aca="false">IF($K851=0,"",ST_RESULTATS!$S101)</f>
        <v/>
      </c>
      <c r="N851" s="26" t="str">
        <f aca="false">IF($G851="","",IF($G851=R_LOT,COUNTIF($G$5:$G851,R_LOT),""))</f>
        <v/>
      </c>
    </row>
    <row r="852" customFormat="false" ht="15" hidden="false" customHeight="false" outlineLevel="0" collapsed="false">
      <c r="A852" s="28" t="str">
        <f aca="false">IF($K852=0,"",ROW()-4)</f>
        <v/>
      </c>
      <c r="B852" s="26" t="str">
        <f aca="false">IF($K852=0,"","RESULTAT ST")</f>
        <v/>
      </c>
      <c r="C852" s="26" t="str">
        <f aca="false">IF($K852=0,"",ST_RESULTATS!$A102)</f>
        <v/>
      </c>
      <c r="D852" s="31" t="str">
        <f aca="false">IF($K852=0,"",ST_RESULTATS!$V102)</f>
        <v/>
      </c>
      <c r="E852" s="26" t="str">
        <f aca="false">IF($K852=0,"","ENTREE")</f>
        <v/>
      </c>
      <c r="F852" s="26" t="str">
        <f aca="false">IF($K852=0,"","RETOUR SOUS-TRAITANCE")</f>
        <v/>
      </c>
      <c r="G852" s="26" t="str">
        <f aca="false">IF($K852=0,"",ST_RESULTATS!$N102)</f>
        <v/>
      </c>
      <c r="H852" s="26" t="str">
        <f aca="false">IF($K852=0,"",ST_RESULTATS!$J102)</f>
        <v/>
      </c>
      <c r="I852" s="26" t="str">
        <f aca="false">IF($H852="","",IFERROR(INDEX(EMPL_CLASSE,MATCH($H852,EMPL_KEY,0)),""))</f>
        <v/>
      </c>
      <c r="J852" s="26" t="str">
        <f aca="false">IF($K852=0,"",IFERROR(INDEX(LOT_PRODE,MATCH($G852,LOT_KEY,0)),""))</f>
        <v/>
      </c>
      <c r="K852" s="67" t="n">
        <f aca="false">IF(ST_RESULTATS!$P102=0,0,ST_RESULTATS!$F102)</f>
        <v>0</v>
      </c>
      <c r="L852" s="67" t="n">
        <f aca="false">IF($K852=0,0,ST_RESULTATS!$T102*$K852)</f>
        <v>0</v>
      </c>
      <c r="M852" s="26" t="str">
        <f aca="false">IF($K852=0,"",ST_RESULTATS!$S102)</f>
        <v/>
      </c>
      <c r="N852" s="26" t="str">
        <f aca="false">IF($G852="","",IF($G852=R_LOT,COUNTIF($G$5:$G852,R_LOT),""))</f>
        <v/>
      </c>
    </row>
    <row r="853" customFormat="false" ht="15" hidden="false" customHeight="false" outlineLevel="0" collapsed="false">
      <c r="A853" s="28" t="str">
        <f aca="false">IF($K853=0,"",ROW()-4)</f>
        <v/>
      </c>
      <c r="B853" s="26" t="str">
        <f aca="false">IF($K853=0,"","RESULTAT ST")</f>
        <v/>
      </c>
      <c r="C853" s="26" t="str">
        <f aca="false">IF($K853=0,"",ST_RESULTATS!$A103)</f>
        <v/>
      </c>
      <c r="D853" s="31" t="str">
        <f aca="false">IF($K853=0,"",ST_RESULTATS!$V103)</f>
        <v/>
      </c>
      <c r="E853" s="26" t="str">
        <f aca="false">IF($K853=0,"","ENTREE")</f>
        <v/>
      </c>
      <c r="F853" s="26" t="str">
        <f aca="false">IF($K853=0,"","RETOUR SOUS-TRAITANCE")</f>
        <v/>
      </c>
      <c r="G853" s="26" t="str">
        <f aca="false">IF($K853=0,"",ST_RESULTATS!$N103)</f>
        <v/>
      </c>
      <c r="H853" s="26" t="str">
        <f aca="false">IF($K853=0,"",ST_RESULTATS!$J103)</f>
        <v/>
      </c>
      <c r="I853" s="26" t="str">
        <f aca="false">IF($H853="","",IFERROR(INDEX(EMPL_CLASSE,MATCH($H853,EMPL_KEY,0)),""))</f>
        <v/>
      </c>
      <c r="J853" s="26" t="str">
        <f aca="false">IF($K853=0,"",IFERROR(INDEX(LOT_PRODE,MATCH($G853,LOT_KEY,0)),""))</f>
        <v/>
      </c>
      <c r="K853" s="67" t="n">
        <f aca="false">IF(ST_RESULTATS!$P103=0,0,ST_RESULTATS!$F103)</f>
        <v>0</v>
      </c>
      <c r="L853" s="67" t="n">
        <f aca="false">IF($K853=0,0,ST_RESULTATS!$T103*$K853)</f>
        <v>0</v>
      </c>
      <c r="M853" s="26" t="str">
        <f aca="false">IF($K853=0,"",ST_RESULTATS!$S103)</f>
        <v/>
      </c>
      <c r="N853" s="26" t="str">
        <f aca="false">IF($G853="","",IF($G853=R_LOT,COUNTIF($G$5:$G853,R_LOT),""))</f>
        <v/>
      </c>
    </row>
    <row r="854" customFormat="false" ht="15" hidden="false" customHeight="false" outlineLevel="0" collapsed="false">
      <c r="A854" s="28" t="str">
        <f aca="false">IF($K854=0,"",ROW()-4)</f>
        <v/>
      </c>
      <c r="B854" s="26" t="str">
        <f aca="false">IF($K854=0,"","RESULTAT ST")</f>
        <v/>
      </c>
      <c r="C854" s="26" t="str">
        <f aca="false">IF($K854=0,"",ST_RESULTATS!$A104)</f>
        <v/>
      </c>
      <c r="D854" s="31" t="str">
        <f aca="false">IF($K854=0,"",ST_RESULTATS!$V104)</f>
        <v/>
      </c>
      <c r="E854" s="26" t="str">
        <f aca="false">IF($K854=0,"","ENTREE")</f>
        <v/>
      </c>
      <c r="F854" s="26" t="str">
        <f aca="false">IF($K854=0,"","RETOUR SOUS-TRAITANCE")</f>
        <v/>
      </c>
      <c r="G854" s="26" t="str">
        <f aca="false">IF($K854=0,"",ST_RESULTATS!$N104)</f>
        <v/>
      </c>
      <c r="H854" s="26" t="str">
        <f aca="false">IF($K854=0,"",ST_RESULTATS!$J104)</f>
        <v/>
      </c>
      <c r="I854" s="26" t="str">
        <f aca="false">IF($H854="","",IFERROR(INDEX(EMPL_CLASSE,MATCH($H854,EMPL_KEY,0)),""))</f>
        <v/>
      </c>
      <c r="J854" s="26" t="str">
        <f aca="false">IF($K854=0,"",IFERROR(INDEX(LOT_PRODE,MATCH($G854,LOT_KEY,0)),""))</f>
        <v/>
      </c>
      <c r="K854" s="67" t="n">
        <f aca="false">IF(ST_RESULTATS!$P104=0,0,ST_RESULTATS!$F104)</f>
        <v>0</v>
      </c>
      <c r="L854" s="67" t="n">
        <f aca="false">IF($K854=0,0,ST_RESULTATS!$T104*$K854)</f>
        <v>0</v>
      </c>
      <c r="M854" s="26" t="str">
        <f aca="false">IF($K854=0,"",ST_RESULTATS!$S104)</f>
        <v/>
      </c>
      <c r="N854" s="26" t="str">
        <f aca="false">IF($G854="","",IF($G854=R_LOT,COUNTIF($G$5:$G854,R_LOT),""))</f>
        <v/>
      </c>
    </row>
    <row r="855" customFormat="false" ht="15" hidden="false" customHeight="false" outlineLevel="0" collapsed="false">
      <c r="A855" s="28" t="str">
        <f aca="false">IF($K855=0,"",ROW()-4)</f>
        <v/>
      </c>
      <c r="B855" s="26" t="str">
        <f aca="false">IF($K855=0,"","RESULTAT ST")</f>
        <v/>
      </c>
      <c r="C855" s="26" t="str">
        <f aca="false">IF($K855=0,"",ST_RESULTATS!$A105)</f>
        <v/>
      </c>
      <c r="D855" s="31" t="str">
        <f aca="false">IF($K855=0,"",ST_RESULTATS!$V105)</f>
        <v/>
      </c>
      <c r="E855" s="26" t="str">
        <f aca="false">IF($K855=0,"","ENTREE")</f>
        <v/>
      </c>
      <c r="F855" s="26" t="str">
        <f aca="false">IF($K855=0,"","RETOUR SOUS-TRAITANCE")</f>
        <v/>
      </c>
      <c r="G855" s="26" t="str">
        <f aca="false">IF($K855=0,"",ST_RESULTATS!$N105)</f>
        <v/>
      </c>
      <c r="H855" s="26" t="str">
        <f aca="false">IF($K855=0,"",ST_RESULTATS!$J105)</f>
        <v/>
      </c>
      <c r="I855" s="26" t="str">
        <f aca="false">IF($H855="","",IFERROR(INDEX(EMPL_CLASSE,MATCH($H855,EMPL_KEY,0)),""))</f>
        <v/>
      </c>
      <c r="J855" s="26" t="str">
        <f aca="false">IF($K855=0,"",IFERROR(INDEX(LOT_PRODE,MATCH($G855,LOT_KEY,0)),""))</f>
        <v/>
      </c>
      <c r="K855" s="67" t="n">
        <f aca="false">IF(ST_RESULTATS!$P105=0,0,ST_RESULTATS!$F105)</f>
        <v>0</v>
      </c>
      <c r="L855" s="67" t="n">
        <f aca="false">IF($K855=0,0,ST_RESULTATS!$T105*$K855)</f>
        <v>0</v>
      </c>
      <c r="M855" s="26" t="str">
        <f aca="false">IF($K855=0,"",ST_RESULTATS!$S105)</f>
        <v/>
      </c>
      <c r="N855" s="26" t="str">
        <f aca="false">IF($G855="","",IF($G855=R_LOT,COUNTIF($G$5:$G855,R_LOT),""))</f>
        <v/>
      </c>
    </row>
    <row r="856" customFormat="false" ht="15" hidden="false" customHeight="false" outlineLevel="0" collapsed="false">
      <c r="A856" s="28" t="str">
        <f aca="false">IF($K856=0,"",ROW()-4)</f>
        <v/>
      </c>
      <c r="B856" s="26" t="str">
        <f aca="false">IF($K856=0,"","RESULTAT ST")</f>
        <v/>
      </c>
      <c r="C856" s="26" t="str">
        <f aca="false">IF($K856=0,"",ST_RESULTATS!$A106)</f>
        <v/>
      </c>
      <c r="D856" s="31" t="str">
        <f aca="false">IF($K856=0,"",ST_RESULTATS!$V106)</f>
        <v/>
      </c>
      <c r="E856" s="26" t="str">
        <f aca="false">IF($K856=0,"","ENTREE")</f>
        <v/>
      </c>
      <c r="F856" s="26" t="str">
        <f aca="false">IF($K856=0,"","RETOUR SOUS-TRAITANCE")</f>
        <v/>
      </c>
      <c r="G856" s="26" t="str">
        <f aca="false">IF($K856=0,"",ST_RESULTATS!$N106)</f>
        <v/>
      </c>
      <c r="H856" s="26" t="str">
        <f aca="false">IF($K856=0,"",ST_RESULTATS!$J106)</f>
        <v/>
      </c>
      <c r="I856" s="26" t="str">
        <f aca="false">IF($H856="","",IFERROR(INDEX(EMPL_CLASSE,MATCH($H856,EMPL_KEY,0)),""))</f>
        <v/>
      </c>
      <c r="J856" s="26" t="str">
        <f aca="false">IF($K856=0,"",IFERROR(INDEX(LOT_PRODE,MATCH($G856,LOT_KEY,0)),""))</f>
        <v/>
      </c>
      <c r="K856" s="67" t="n">
        <f aca="false">IF(ST_RESULTATS!$P106=0,0,ST_RESULTATS!$F106)</f>
        <v>0</v>
      </c>
      <c r="L856" s="67" t="n">
        <f aca="false">IF($K856=0,0,ST_RESULTATS!$T106*$K856)</f>
        <v>0</v>
      </c>
      <c r="M856" s="26" t="str">
        <f aca="false">IF($K856=0,"",ST_RESULTATS!$S106)</f>
        <v/>
      </c>
      <c r="N856" s="26" t="str">
        <f aca="false">IF($G856="","",IF($G856=R_LOT,COUNTIF($G$5:$G856,R_LOT),""))</f>
        <v/>
      </c>
    </row>
    <row r="857" customFormat="false" ht="15" hidden="false" customHeight="false" outlineLevel="0" collapsed="false">
      <c r="A857" s="28" t="str">
        <f aca="false">IF($K857=0,"",ROW()-4)</f>
        <v/>
      </c>
      <c r="B857" s="26" t="str">
        <f aca="false">IF($K857=0,"","RESULTAT ST")</f>
        <v/>
      </c>
      <c r="C857" s="26" t="str">
        <f aca="false">IF($K857=0,"",ST_RESULTATS!$A107)</f>
        <v/>
      </c>
      <c r="D857" s="31" t="str">
        <f aca="false">IF($K857=0,"",ST_RESULTATS!$V107)</f>
        <v/>
      </c>
      <c r="E857" s="26" t="str">
        <f aca="false">IF($K857=0,"","ENTREE")</f>
        <v/>
      </c>
      <c r="F857" s="26" t="str">
        <f aca="false">IF($K857=0,"","RETOUR SOUS-TRAITANCE")</f>
        <v/>
      </c>
      <c r="G857" s="26" t="str">
        <f aca="false">IF($K857=0,"",ST_RESULTATS!$N107)</f>
        <v/>
      </c>
      <c r="H857" s="26" t="str">
        <f aca="false">IF($K857=0,"",ST_RESULTATS!$J107)</f>
        <v/>
      </c>
      <c r="I857" s="26" t="str">
        <f aca="false">IF($H857="","",IFERROR(INDEX(EMPL_CLASSE,MATCH($H857,EMPL_KEY,0)),""))</f>
        <v/>
      </c>
      <c r="J857" s="26" t="str">
        <f aca="false">IF($K857=0,"",IFERROR(INDEX(LOT_PRODE,MATCH($G857,LOT_KEY,0)),""))</f>
        <v/>
      </c>
      <c r="K857" s="67" t="n">
        <f aca="false">IF(ST_RESULTATS!$P107=0,0,ST_RESULTATS!$F107)</f>
        <v>0</v>
      </c>
      <c r="L857" s="67" t="n">
        <f aca="false">IF($K857=0,0,ST_RESULTATS!$T107*$K857)</f>
        <v>0</v>
      </c>
      <c r="M857" s="26" t="str">
        <f aca="false">IF($K857=0,"",ST_RESULTATS!$S107)</f>
        <v/>
      </c>
      <c r="N857" s="26" t="str">
        <f aca="false">IF($G857="","",IF($G857=R_LOT,COUNTIF($G$5:$G857,R_LOT),""))</f>
        <v/>
      </c>
    </row>
    <row r="858" customFormat="false" ht="15" hidden="false" customHeight="false" outlineLevel="0" collapsed="false">
      <c r="A858" s="28" t="str">
        <f aca="false">IF($K858=0,"",ROW()-4)</f>
        <v/>
      </c>
      <c r="B858" s="26" t="str">
        <f aca="false">IF($K858=0,"","RESULTAT ST")</f>
        <v/>
      </c>
      <c r="C858" s="26" t="str">
        <f aca="false">IF($K858=0,"",ST_RESULTATS!$A108)</f>
        <v/>
      </c>
      <c r="D858" s="31" t="str">
        <f aca="false">IF($K858=0,"",ST_RESULTATS!$V108)</f>
        <v/>
      </c>
      <c r="E858" s="26" t="str">
        <f aca="false">IF($K858=0,"","ENTREE")</f>
        <v/>
      </c>
      <c r="F858" s="26" t="str">
        <f aca="false">IF($K858=0,"","RETOUR SOUS-TRAITANCE")</f>
        <v/>
      </c>
      <c r="G858" s="26" t="str">
        <f aca="false">IF($K858=0,"",ST_RESULTATS!$N108)</f>
        <v/>
      </c>
      <c r="H858" s="26" t="str">
        <f aca="false">IF($K858=0,"",ST_RESULTATS!$J108)</f>
        <v/>
      </c>
      <c r="I858" s="26" t="str">
        <f aca="false">IF($H858="","",IFERROR(INDEX(EMPL_CLASSE,MATCH($H858,EMPL_KEY,0)),""))</f>
        <v/>
      </c>
      <c r="J858" s="26" t="str">
        <f aca="false">IF($K858=0,"",IFERROR(INDEX(LOT_PRODE,MATCH($G858,LOT_KEY,0)),""))</f>
        <v/>
      </c>
      <c r="K858" s="67" t="n">
        <f aca="false">IF(ST_RESULTATS!$P108=0,0,ST_RESULTATS!$F108)</f>
        <v>0</v>
      </c>
      <c r="L858" s="67" t="n">
        <f aca="false">IF($K858=0,0,ST_RESULTATS!$T108*$K858)</f>
        <v>0</v>
      </c>
      <c r="M858" s="26" t="str">
        <f aca="false">IF($K858=0,"",ST_RESULTATS!$S108)</f>
        <v/>
      </c>
      <c r="N858" s="26" t="str">
        <f aca="false">IF($G858="","",IF($G858=R_LOT,COUNTIF($G$5:$G858,R_LOT),""))</f>
        <v/>
      </c>
    </row>
    <row r="859" customFormat="false" ht="15" hidden="false" customHeight="false" outlineLevel="0" collapsed="false">
      <c r="A859" s="28" t="str">
        <f aca="false">IF($K859=0,"",ROW()-4)</f>
        <v/>
      </c>
      <c r="B859" s="26" t="str">
        <f aca="false">IF($K859=0,"","RESULTAT ST")</f>
        <v/>
      </c>
      <c r="C859" s="26" t="str">
        <f aca="false">IF($K859=0,"",ST_RESULTATS!$A109)</f>
        <v/>
      </c>
      <c r="D859" s="31" t="str">
        <f aca="false">IF($K859=0,"",ST_RESULTATS!$V109)</f>
        <v/>
      </c>
      <c r="E859" s="26" t="str">
        <f aca="false">IF($K859=0,"","ENTREE")</f>
        <v/>
      </c>
      <c r="F859" s="26" t="str">
        <f aca="false">IF($K859=0,"","RETOUR SOUS-TRAITANCE")</f>
        <v/>
      </c>
      <c r="G859" s="26" t="str">
        <f aca="false">IF($K859=0,"",ST_RESULTATS!$N109)</f>
        <v/>
      </c>
      <c r="H859" s="26" t="str">
        <f aca="false">IF($K859=0,"",ST_RESULTATS!$J109)</f>
        <v/>
      </c>
      <c r="I859" s="26" t="str">
        <f aca="false">IF($H859="","",IFERROR(INDEX(EMPL_CLASSE,MATCH($H859,EMPL_KEY,0)),""))</f>
        <v/>
      </c>
      <c r="J859" s="26" t="str">
        <f aca="false">IF($K859=0,"",IFERROR(INDEX(LOT_PRODE,MATCH($G859,LOT_KEY,0)),""))</f>
        <v/>
      </c>
      <c r="K859" s="67" t="n">
        <f aca="false">IF(ST_RESULTATS!$P109=0,0,ST_RESULTATS!$F109)</f>
        <v>0</v>
      </c>
      <c r="L859" s="67" t="n">
        <f aca="false">IF($K859=0,0,ST_RESULTATS!$T109*$K859)</f>
        <v>0</v>
      </c>
      <c r="M859" s="26" t="str">
        <f aca="false">IF($K859=0,"",ST_RESULTATS!$S109)</f>
        <v/>
      </c>
      <c r="N859" s="26" t="str">
        <f aca="false">IF($G859="","",IF($G859=R_LOT,COUNTIF($G$5:$G859,R_LOT),""))</f>
        <v/>
      </c>
    </row>
    <row r="860" customFormat="false" ht="15" hidden="false" customHeight="false" outlineLevel="0" collapsed="false">
      <c r="A860" s="28" t="str">
        <f aca="false">IF($K860=0,"",ROW()-4)</f>
        <v/>
      </c>
      <c r="B860" s="26" t="str">
        <f aca="false">IF($K860=0,"","RESULTAT ST")</f>
        <v/>
      </c>
      <c r="C860" s="26" t="str">
        <f aca="false">IF($K860=0,"",ST_RESULTATS!$A110)</f>
        <v/>
      </c>
      <c r="D860" s="31" t="str">
        <f aca="false">IF($K860=0,"",ST_RESULTATS!$V110)</f>
        <v/>
      </c>
      <c r="E860" s="26" t="str">
        <f aca="false">IF($K860=0,"","ENTREE")</f>
        <v/>
      </c>
      <c r="F860" s="26" t="str">
        <f aca="false">IF($K860=0,"","RETOUR SOUS-TRAITANCE")</f>
        <v/>
      </c>
      <c r="G860" s="26" t="str">
        <f aca="false">IF($K860=0,"",ST_RESULTATS!$N110)</f>
        <v/>
      </c>
      <c r="H860" s="26" t="str">
        <f aca="false">IF($K860=0,"",ST_RESULTATS!$J110)</f>
        <v/>
      </c>
      <c r="I860" s="26" t="str">
        <f aca="false">IF($H860="","",IFERROR(INDEX(EMPL_CLASSE,MATCH($H860,EMPL_KEY,0)),""))</f>
        <v/>
      </c>
      <c r="J860" s="26" t="str">
        <f aca="false">IF($K860=0,"",IFERROR(INDEX(LOT_PRODE,MATCH($G860,LOT_KEY,0)),""))</f>
        <v/>
      </c>
      <c r="K860" s="67" t="n">
        <f aca="false">IF(ST_RESULTATS!$P110=0,0,ST_RESULTATS!$F110)</f>
        <v>0</v>
      </c>
      <c r="L860" s="67" t="n">
        <f aca="false">IF($K860=0,0,ST_RESULTATS!$T110*$K860)</f>
        <v>0</v>
      </c>
      <c r="M860" s="26" t="str">
        <f aca="false">IF($K860=0,"",ST_RESULTATS!$S110)</f>
        <v/>
      </c>
      <c r="N860" s="26" t="str">
        <f aca="false">IF($G860="","",IF($G860=R_LOT,COUNTIF($G$5:$G860,R_LOT),""))</f>
        <v/>
      </c>
    </row>
    <row r="861" customFormat="false" ht="15" hidden="false" customHeight="false" outlineLevel="0" collapsed="false">
      <c r="A861" s="28" t="str">
        <f aca="false">IF($K861=0,"",ROW()-4)</f>
        <v/>
      </c>
      <c r="B861" s="26" t="str">
        <f aca="false">IF($K861=0,"","RESULTAT ST")</f>
        <v/>
      </c>
      <c r="C861" s="26" t="str">
        <f aca="false">IF($K861=0,"",ST_RESULTATS!$A111)</f>
        <v/>
      </c>
      <c r="D861" s="31" t="str">
        <f aca="false">IF($K861=0,"",ST_RESULTATS!$V111)</f>
        <v/>
      </c>
      <c r="E861" s="26" t="str">
        <f aca="false">IF($K861=0,"","ENTREE")</f>
        <v/>
      </c>
      <c r="F861" s="26" t="str">
        <f aca="false">IF($K861=0,"","RETOUR SOUS-TRAITANCE")</f>
        <v/>
      </c>
      <c r="G861" s="26" t="str">
        <f aca="false">IF($K861=0,"",ST_RESULTATS!$N111)</f>
        <v/>
      </c>
      <c r="H861" s="26" t="str">
        <f aca="false">IF($K861=0,"",ST_RESULTATS!$J111)</f>
        <v/>
      </c>
      <c r="I861" s="26" t="str">
        <f aca="false">IF($H861="","",IFERROR(INDEX(EMPL_CLASSE,MATCH($H861,EMPL_KEY,0)),""))</f>
        <v/>
      </c>
      <c r="J861" s="26" t="str">
        <f aca="false">IF($K861=0,"",IFERROR(INDEX(LOT_PRODE,MATCH($G861,LOT_KEY,0)),""))</f>
        <v/>
      </c>
      <c r="K861" s="67" t="n">
        <f aca="false">IF(ST_RESULTATS!$P111=0,0,ST_RESULTATS!$F111)</f>
        <v>0</v>
      </c>
      <c r="L861" s="67" t="n">
        <f aca="false">IF($K861=0,0,ST_RESULTATS!$T111*$K861)</f>
        <v>0</v>
      </c>
      <c r="M861" s="26" t="str">
        <f aca="false">IF($K861=0,"",ST_RESULTATS!$S111)</f>
        <v/>
      </c>
      <c r="N861" s="26" t="str">
        <f aca="false">IF($G861="","",IF($G861=R_LOT,COUNTIF($G$5:$G861,R_LOT),""))</f>
        <v/>
      </c>
    </row>
    <row r="862" customFormat="false" ht="15" hidden="false" customHeight="false" outlineLevel="0" collapsed="false">
      <c r="A862" s="28" t="str">
        <f aca="false">IF($K862=0,"",ROW()-4)</f>
        <v/>
      </c>
      <c r="B862" s="26" t="str">
        <f aca="false">IF($K862=0,"","RESULTAT ST")</f>
        <v/>
      </c>
      <c r="C862" s="26" t="str">
        <f aca="false">IF($K862=0,"",ST_RESULTATS!$A112)</f>
        <v/>
      </c>
      <c r="D862" s="31" t="str">
        <f aca="false">IF($K862=0,"",ST_RESULTATS!$V112)</f>
        <v/>
      </c>
      <c r="E862" s="26" t="str">
        <f aca="false">IF($K862=0,"","ENTREE")</f>
        <v/>
      </c>
      <c r="F862" s="26" t="str">
        <f aca="false">IF($K862=0,"","RETOUR SOUS-TRAITANCE")</f>
        <v/>
      </c>
      <c r="G862" s="26" t="str">
        <f aca="false">IF($K862=0,"",ST_RESULTATS!$N112)</f>
        <v/>
      </c>
      <c r="H862" s="26" t="str">
        <f aca="false">IF($K862=0,"",ST_RESULTATS!$J112)</f>
        <v/>
      </c>
      <c r="I862" s="26" t="str">
        <f aca="false">IF($H862="","",IFERROR(INDEX(EMPL_CLASSE,MATCH($H862,EMPL_KEY,0)),""))</f>
        <v/>
      </c>
      <c r="J862" s="26" t="str">
        <f aca="false">IF($K862=0,"",IFERROR(INDEX(LOT_PRODE,MATCH($G862,LOT_KEY,0)),""))</f>
        <v/>
      </c>
      <c r="K862" s="67" t="n">
        <f aca="false">IF(ST_RESULTATS!$P112=0,0,ST_RESULTATS!$F112)</f>
        <v>0</v>
      </c>
      <c r="L862" s="67" t="n">
        <f aca="false">IF($K862=0,0,ST_RESULTATS!$T112*$K862)</f>
        <v>0</v>
      </c>
      <c r="M862" s="26" t="str">
        <f aca="false">IF($K862=0,"",ST_RESULTATS!$S112)</f>
        <v/>
      </c>
      <c r="N862" s="26" t="str">
        <f aca="false">IF($G862="","",IF($G862=R_LOT,COUNTIF($G$5:$G862,R_LOT),""))</f>
        <v/>
      </c>
    </row>
    <row r="863" customFormat="false" ht="15" hidden="false" customHeight="false" outlineLevel="0" collapsed="false">
      <c r="A863" s="28" t="str">
        <f aca="false">IF($K863=0,"",ROW()-4)</f>
        <v/>
      </c>
      <c r="B863" s="26" t="str">
        <f aca="false">IF($K863=0,"","RESULTAT ST")</f>
        <v/>
      </c>
      <c r="C863" s="26" t="str">
        <f aca="false">IF($K863=0,"",ST_RESULTATS!$A113)</f>
        <v/>
      </c>
      <c r="D863" s="31" t="str">
        <f aca="false">IF($K863=0,"",ST_RESULTATS!$V113)</f>
        <v/>
      </c>
      <c r="E863" s="26" t="str">
        <f aca="false">IF($K863=0,"","ENTREE")</f>
        <v/>
      </c>
      <c r="F863" s="26" t="str">
        <f aca="false">IF($K863=0,"","RETOUR SOUS-TRAITANCE")</f>
        <v/>
      </c>
      <c r="G863" s="26" t="str">
        <f aca="false">IF($K863=0,"",ST_RESULTATS!$N113)</f>
        <v/>
      </c>
      <c r="H863" s="26" t="str">
        <f aca="false">IF($K863=0,"",ST_RESULTATS!$J113)</f>
        <v/>
      </c>
      <c r="I863" s="26" t="str">
        <f aca="false">IF($H863="","",IFERROR(INDEX(EMPL_CLASSE,MATCH($H863,EMPL_KEY,0)),""))</f>
        <v/>
      </c>
      <c r="J863" s="26" t="str">
        <f aca="false">IF($K863=0,"",IFERROR(INDEX(LOT_PRODE,MATCH($G863,LOT_KEY,0)),""))</f>
        <v/>
      </c>
      <c r="K863" s="67" t="n">
        <f aca="false">IF(ST_RESULTATS!$P113=0,0,ST_RESULTATS!$F113)</f>
        <v>0</v>
      </c>
      <c r="L863" s="67" t="n">
        <f aca="false">IF($K863=0,0,ST_RESULTATS!$T113*$K863)</f>
        <v>0</v>
      </c>
      <c r="M863" s="26" t="str">
        <f aca="false">IF($K863=0,"",ST_RESULTATS!$S113)</f>
        <v/>
      </c>
      <c r="N863" s="26" t="str">
        <f aca="false">IF($G863="","",IF($G863=R_LOT,COUNTIF($G$5:$G863,R_LOT),""))</f>
        <v/>
      </c>
    </row>
    <row r="864" customFormat="false" ht="15" hidden="false" customHeight="false" outlineLevel="0" collapsed="false">
      <c r="A864" s="28" t="str">
        <f aca="false">IF($K864=0,"",ROW()-4)</f>
        <v/>
      </c>
      <c r="B864" s="26" t="str">
        <f aca="false">IF($K864=0,"","RESULTAT ST")</f>
        <v/>
      </c>
      <c r="C864" s="26" t="str">
        <f aca="false">IF($K864=0,"",ST_RESULTATS!$A114)</f>
        <v/>
      </c>
      <c r="D864" s="31" t="str">
        <f aca="false">IF($K864=0,"",ST_RESULTATS!$V114)</f>
        <v/>
      </c>
      <c r="E864" s="26" t="str">
        <f aca="false">IF($K864=0,"","ENTREE")</f>
        <v/>
      </c>
      <c r="F864" s="26" t="str">
        <f aca="false">IF($K864=0,"","RETOUR SOUS-TRAITANCE")</f>
        <v/>
      </c>
      <c r="G864" s="26" t="str">
        <f aca="false">IF($K864=0,"",ST_RESULTATS!$N114)</f>
        <v/>
      </c>
      <c r="H864" s="26" t="str">
        <f aca="false">IF($K864=0,"",ST_RESULTATS!$J114)</f>
        <v/>
      </c>
      <c r="I864" s="26" t="str">
        <f aca="false">IF($H864="","",IFERROR(INDEX(EMPL_CLASSE,MATCH($H864,EMPL_KEY,0)),""))</f>
        <v/>
      </c>
      <c r="J864" s="26" t="str">
        <f aca="false">IF($K864=0,"",IFERROR(INDEX(LOT_PRODE,MATCH($G864,LOT_KEY,0)),""))</f>
        <v/>
      </c>
      <c r="K864" s="67" t="n">
        <f aca="false">IF(ST_RESULTATS!$P114=0,0,ST_RESULTATS!$F114)</f>
        <v>0</v>
      </c>
      <c r="L864" s="67" t="n">
        <f aca="false">IF($K864=0,0,ST_RESULTATS!$T114*$K864)</f>
        <v>0</v>
      </c>
      <c r="M864" s="26" t="str">
        <f aca="false">IF($K864=0,"",ST_RESULTATS!$S114)</f>
        <v/>
      </c>
      <c r="N864" s="26" t="str">
        <f aca="false">IF($G864="","",IF($G864=R_LOT,COUNTIF($G$5:$G864,R_LOT),""))</f>
        <v/>
      </c>
    </row>
    <row r="865" customFormat="false" ht="15" hidden="false" customHeight="false" outlineLevel="0" collapsed="false">
      <c r="A865" s="28" t="str">
        <f aca="false">IF($K865=0,"",ROW()-4)</f>
        <v/>
      </c>
      <c r="B865" s="26" t="str">
        <f aca="false">IF($K865=0,"","RESULTAT ST")</f>
        <v/>
      </c>
      <c r="C865" s="26" t="str">
        <f aca="false">IF($K865=0,"",ST_RESULTATS!$A115)</f>
        <v/>
      </c>
      <c r="D865" s="31" t="str">
        <f aca="false">IF($K865=0,"",ST_RESULTATS!$V115)</f>
        <v/>
      </c>
      <c r="E865" s="26" t="str">
        <f aca="false">IF($K865=0,"","ENTREE")</f>
        <v/>
      </c>
      <c r="F865" s="26" t="str">
        <f aca="false">IF($K865=0,"","RETOUR SOUS-TRAITANCE")</f>
        <v/>
      </c>
      <c r="G865" s="26" t="str">
        <f aca="false">IF($K865=0,"",ST_RESULTATS!$N115)</f>
        <v/>
      </c>
      <c r="H865" s="26" t="str">
        <f aca="false">IF($K865=0,"",ST_RESULTATS!$J115)</f>
        <v/>
      </c>
      <c r="I865" s="26" t="str">
        <f aca="false">IF($H865="","",IFERROR(INDEX(EMPL_CLASSE,MATCH($H865,EMPL_KEY,0)),""))</f>
        <v/>
      </c>
      <c r="J865" s="26" t="str">
        <f aca="false">IF($K865=0,"",IFERROR(INDEX(LOT_PRODE,MATCH($G865,LOT_KEY,0)),""))</f>
        <v/>
      </c>
      <c r="K865" s="67" t="n">
        <f aca="false">IF(ST_RESULTATS!$P115=0,0,ST_RESULTATS!$F115)</f>
        <v>0</v>
      </c>
      <c r="L865" s="67" t="n">
        <f aca="false">IF($K865=0,0,ST_RESULTATS!$T115*$K865)</f>
        <v>0</v>
      </c>
      <c r="M865" s="26" t="str">
        <f aca="false">IF($K865=0,"",ST_RESULTATS!$S115)</f>
        <v/>
      </c>
      <c r="N865" s="26" t="str">
        <f aca="false">IF($G865="","",IF($G865=R_LOT,COUNTIF($G$5:$G865,R_LOT),""))</f>
        <v/>
      </c>
    </row>
    <row r="866" customFormat="false" ht="15" hidden="false" customHeight="false" outlineLevel="0" collapsed="false">
      <c r="A866" s="28" t="str">
        <f aca="false">IF($K866=0,"",ROW()-4)</f>
        <v/>
      </c>
      <c r="B866" s="26" t="str">
        <f aca="false">IF($K866=0,"","RESULTAT ST")</f>
        <v/>
      </c>
      <c r="C866" s="26" t="str">
        <f aca="false">IF($K866=0,"",ST_RESULTATS!$A116)</f>
        <v/>
      </c>
      <c r="D866" s="31" t="str">
        <f aca="false">IF($K866=0,"",ST_RESULTATS!$V116)</f>
        <v/>
      </c>
      <c r="E866" s="26" t="str">
        <f aca="false">IF($K866=0,"","ENTREE")</f>
        <v/>
      </c>
      <c r="F866" s="26" t="str">
        <f aca="false">IF($K866=0,"","RETOUR SOUS-TRAITANCE")</f>
        <v/>
      </c>
      <c r="G866" s="26" t="str">
        <f aca="false">IF($K866=0,"",ST_RESULTATS!$N116)</f>
        <v/>
      </c>
      <c r="H866" s="26" t="str">
        <f aca="false">IF($K866=0,"",ST_RESULTATS!$J116)</f>
        <v/>
      </c>
      <c r="I866" s="26" t="str">
        <f aca="false">IF($H866="","",IFERROR(INDEX(EMPL_CLASSE,MATCH($H866,EMPL_KEY,0)),""))</f>
        <v/>
      </c>
      <c r="J866" s="26" t="str">
        <f aca="false">IF($K866=0,"",IFERROR(INDEX(LOT_PRODE,MATCH($G866,LOT_KEY,0)),""))</f>
        <v/>
      </c>
      <c r="K866" s="67" t="n">
        <f aca="false">IF(ST_RESULTATS!$P116=0,0,ST_RESULTATS!$F116)</f>
        <v>0</v>
      </c>
      <c r="L866" s="67" t="n">
        <f aca="false">IF($K866=0,0,ST_RESULTATS!$T116*$K866)</f>
        <v>0</v>
      </c>
      <c r="M866" s="26" t="str">
        <f aca="false">IF($K866=0,"",ST_RESULTATS!$S116)</f>
        <v/>
      </c>
      <c r="N866" s="26" t="str">
        <f aca="false">IF($G866="","",IF($G866=R_LOT,COUNTIF($G$5:$G866,R_LOT),""))</f>
        <v/>
      </c>
    </row>
    <row r="867" customFormat="false" ht="15" hidden="false" customHeight="false" outlineLevel="0" collapsed="false">
      <c r="A867" s="28" t="str">
        <f aca="false">IF($K867=0,"",ROW()-4)</f>
        <v/>
      </c>
      <c r="B867" s="26" t="str">
        <f aca="false">IF($K867=0,"","RESULTAT ST")</f>
        <v/>
      </c>
      <c r="C867" s="26" t="str">
        <f aca="false">IF($K867=0,"",ST_RESULTATS!$A117)</f>
        <v/>
      </c>
      <c r="D867" s="31" t="str">
        <f aca="false">IF($K867=0,"",ST_RESULTATS!$V117)</f>
        <v/>
      </c>
      <c r="E867" s="26" t="str">
        <f aca="false">IF($K867=0,"","ENTREE")</f>
        <v/>
      </c>
      <c r="F867" s="26" t="str">
        <f aca="false">IF($K867=0,"","RETOUR SOUS-TRAITANCE")</f>
        <v/>
      </c>
      <c r="G867" s="26" t="str">
        <f aca="false">IF($K867=0,"",ST_RESULTATS!$N117)</f>
        <v/>
      </c>
      <c r="H867" s="26" t="str">
        <f aca="false">IF($K867=0,"",ST_RESULTATS!$J117)</f>
        <v/>
      </c>
      <c r="I867" s="26" t="str">
        <f aca="false">IF($H867="","",IFERROR(INDEX(EMPL_CLASSE,MATCH($H867,EMPL_KEY,0)),""))</f>
        <v/>
      </c>
      <c r="J867" s="26" t="str">
        <f aca="false">IF($K867=0,"",IFERROR(INDEX(LOT_PRODE,MATCH($G867,LOT_KEY,0)),""))</f>
        <v/>
      </c>
      <c r="K867" s="67" t="n">
        <f aca="false">IF(ST_RESULTATS!$P117=0,0,ST_RESULTATS!$F117)</f>
        <v>0</v>
      </c>
      <c r="L867" s="67" t="n">
        <f aca="false">IF($K867=0,0,ST_RESULTATS!$T117*$K867)</f>
        <v>0</v>
      </c>
      <c r="M867" s="26" t="str">
        <f aca="false">IF($K867=0,"",ST_RESULTATS!$S117)</f>
        <v/>
      </c>
      <c r="N867" s="26" t="str">
        <f aca="false">IF($G867="","",IF($G867=R_LOT,COUNTIF($G$5:$G867,R_LOT),""))</f>
        <v/>
      </c>
    </row>
    <row r="868" customFormat="false" ht="15" hidden="false" customHeight="false" outlineLevel="0" collapsed="false">
      <c r="A868" s="28" t="str">
        <f aca="false">IF($K868=0,"",ROW()-4)</f>
        <v/>
      </c>
      <c r="B868" s="26" t="str">
        <f aca="false">IF($K868=0,"","RESULTAT ST")</f>
        <v/>
      </c>
      <c r="C868" s="26" t="str">
        <f aca="false">IF($K868=0,"",ST_RESULTATS!$A118)</f>
        <v/>
      </c>
      <c r="D868" s="31" t="str">
        <f aca="false">IF($K868=0,"",ST_RESULTATS!$V118)</f>
        <v/>
      </c>
      <c r="E868" s="26" t="str">
        <f aca="false">IF($K868=0,"","ENTREE")</f>
        <v/>
      </c>
      <c r="F868" s="26" t="str">
        <f aca="false">IF($K868=0,"","RETOUR SOUS-TRAITANCE")</f>
        <v/>
      </c>
      <c r="G868" s="26" t="str">
        <f aca="false">IF($K868=0,"",ST_RESULTATS!$N118)</f>
        <v/>
      </c>
      <c r="H868" s="26" t="str">
        <f aca="false">IF($K868=0,"",ST_RESULTATS!$J118)</f>
        <v/>
      </c>
      <c r="I868" s="26" t="str">
        <f aca="false">IF($H868="","",IFERROR(INDEX(EMPL_CLASSE,MATCH($H868,EMPL_KEY,0)),""))</f>
        <v/>
      </c>
      <c r="J868" s="26" t="str">
        <f aca="false">IF($K868=0,"",IFERROR(INDEX(LOT_PRODE,MATCH($G868,LOT_KEY,0)),""))</f>
        <v/>
      </c>
      <c r="K868" s="67" t="n">
        <f aca="false">IF(ST_RESULTATS!$P118=0,0,ST_RESULTATS!$F118)</f>
        <v>0</v>
      </c>
      <c r="L868" s="67" t="n">
        <f aca="false">IF($K868=0,0,ST_RESULTATS!$T118*$K868)</f>
        <v>0</v>
      </c>
      <c r="M868" s="26" t="str">
        <f aca="false">IF($K868=0,"",ST_RESULTATS!$S118)</f>
        <v/>
      </c>
      <c r="N868" s="26" t="str">
        <f aca="false">IF($G868="","",IF($G868=R_LOT,COUNTIF($G$5:$G868,R_LOT),""))</f>
        <v/>
      </c>
    </row>
    <row r="869" customFormat="false" ht="15" hidden="false" customHeight="false" outlineLevel="0" collapsed="false">
      <c r="A869" s="28" t="str">
        <f aca="false">IF($K869=0,"",ROW()-4)</f>
        <v/>
      </c>
      <c r="B869" s="26" t="str">
        <f aca="false">IF($K869=0,"","RESULTAT ST")</f>
        <v/>
      </c>
      <c r="C869" s="26" t="str">
        <f aca="false">IF($K869=0,"",ST_RESULTATS!$A119)</f>
        <v/>
      </c>
      <c r="D869" s="31" t="str">
        <f aca="false">IF($K869=0,"",ST_RESULTATS!$V119)</f>
        <v/>
      </c>
      <c r="E869" s="26" t="str">
        <f aca="false">IF($K869=0,"","ENTREE")</f>
        <v/>
      </c>
      <c r="F869" s="26" t="str">
        <f aca="false">IF($K869=0,"","RETOUR SOUS-TRAITANCE")</f>
        <v/>
      </c>
      <c r="G869" s="26" t="str">
        <f aca="false">IF($K869=0,"",ST_RESULTATS!$N119)</f>
        <v/>
      </c>
      <c r="H869" s="26" t="str">
        <f aca="false">IF($K869=0,"",ST_RESULTATS!$J119)</f>
        <v/>
      </c>
      <c r="I869" s="26" t="str">
        <f aca="false">IF($H869="","",IFERROR(INDEX(EMPL_CLASSE,MATCH($H869,EMPL_KEY,0)),""))</f>
        <v/>
      </c>
      <c r="J869" s="26" t="str">
        <f aca="false">IF($K869=0,"",IFERROR(INDEX(LOT_PRODE,MATCH($G869,LOT_KEY,0)),""))</f>
        <v/>
      </c>
      <c r="K869" s="67" t="n">
        <f aca="false">IF(ST_RESULTATS!$P119=0,0,ST_RESULTATS!$F119)</f>
        <v>0</v>
      </c>
      <c r="L869" s="67" t="n">
        <f aca="false">IF($K869=0,0,ST_RESULTATS!$T119*$K869)</f>
        <v>0</v>
      </c>
      <c r="M869" s="26" t="str">
        <f aca="false">IF($K869=0,"",ST_RESULTATS!$S119)</f>
        <v/>
      </c>
      <c r="N869" s="26" t="str">
        <f aca="false">IF($G869="","",IF($G869=R_LOT,COUNTIF($G$5:$G869,R_LOT),""))</f>
        <v/>
      </c>
    </row>
    <row r="870" customFormat="false" ht="15" hidden="false" customHeight="false" outlineLevel="0" collapsed="false">
      <c r="A870" s="28" t="str">
        <f aca="false">IF($K870=0,"",ROW()-4)</f>
        <v/>
      </c>
      <c r="B870" s="26" t="str">
        <f aca="false">IF($K870=0,"","RESULTAT ST")</f>
        <v/>
      </c>
      <c r="C870" s="26" t="str">
        <f aca="false">IF($K870=0,"",ST_RESULTATS!$A120)</f>
        <v/>
      </c>
      <c r="D870" s="31" t="str">
        <f aca="false">IF($K870=0,"",ST_RESULTATS!$V120)</f>
        <v/>
      </c>
      <c r="E870" s="26" t="str">
        <f aca="false">IF($K870=0,"","ENTREE")</f>
        <v/>
      </c>
      <c r="F870" s="26" t="str">
        <f aca="false">IF($K870=0,"","RETOUR SOUS-TRAITANCE")</f>
        <v/>
      </c>
      <c r="G870" s="26" t="str">
        <f aca="false">IF($K870=0,"",ST_RESULTATS!$N120)</f>
        <v/>
      </c>
      <c r="H870" s="26" t="str">
        <f aca="false">IF($K870=0,"",ST_RESULTATS!$J120)</f>
        <v/>
      </c>
      <c r="I870" s="26" t="str">
        <f aca="false">IF($H870="","",IFERROR(INDEX(EMPL_CLASSE,MATCH($H870,EMPL_KEY,0)),""))</f>
        <v/>
      </c>
      <c r="J870" s="26" t="str">
        <f aca="false">IF($K870=0,"",IFERROR(INDEX(LOT_PRODE,MATCH($G870,LOT_KEY,0)),""))</f>
        <v/>
      </c>
      <c r="K870" s="67" t="n">
        <f aca="false">IF(ST_RESULTATS!$P120=0,0,ST_RESULTATS!$F120)</f>
        <v>0</v>
      </c>
      <c r="L870" s="67" t="n">
        <f aca="false">IF($K870=0,0,ST_RESULTATS!$T120*$K870)</f>
        <v>0</v>
      </c>
      <c r="M870" s="26" t="str">
        <f aca="false">IF($K870=0,"",ST_RESULTATS!$S120)</f>
        <v/>
      </c>
      <c r="N870" s="26" t="str">
        <f aca="false">IF($G870="","",IF($G870=R_LOT,COUNTIF($G$5:$G870,R_LOT),""))</f>
        <v/>
      </c>
    </row>
    <row r="871" customFormat="false" ht="15" hidden="false" customHeight="false" outlineLevel="0" collapsed="false">
      <c r="A871" s="28" t="str">
        <f aca="false">IF($K871=0,"",ROW()-4)</f>
        <v/>
      </c>
      <c r="B871" s="26" t="str">
        <f aca="false">IF($K871=0,"","RESULTAT ST")</f>
        <v/>
      </c>
      <c r="C871" s="26" t="str">
        <f aca="false">IF($K871=0,"",ST_RESULTATS!$A121)</f>
        <v/>
      </c>
      <c r="D871" s="31" t="str">
        <f aca="false">IF($K871=0,"",ST_RESULTATS!$V121)</f>
        <v/>
      </c>
      <c r="E871" s="26" t="str">
        <f aca="false">IF($K871=0,"","ENTREE")</f>
        <v/>
      </c>
      <c r="F871" s="26" t="str">
        <f aca="false">IF($K871=0,"","RETOUR SOUS-TRAITANCE")</f>
        <v/>
      </c>
      <c r="G871" s="26" t="str">
        <f aca="false">IF($K871=0,"",ST_RESULTATS!$N121)</f>
        <v/>
      </c>
      <c r="H871" s="26" t="str">
        <f aca="false">IF($K871=0,"",ST_RESULTATS!$J121)</f>
        <v/>
      </c>
      <c r="I871" s="26" t="str">
        <f aca="false">IF($H871="","",IFERROR(INDEX(EMPL_CLASSE,MATCH($H871,EMPL_KEY,0)),""))</f>
        <v/>
      </c>
      <c r="J871" s="26" t="str">
        <f aca="false">IF($K871=0,"",IFERROR(INDEX(LOT_PRODE,MATCH($G871,LOT_KEY,0)),""))</f>
        <v/>
      </c>
      <c r="K871" s="67" t="n">
        <f aca="false">IF(ST_RESULTATS!$P121=0,0,ST_RESULTATS!$F121)</f>
        <v>0</v>
      </c>
      <c r="L871" s="67" t="n">
        <f aca="false">IF($K871=0,0,ST_RESULTATS!$T121*$K871)</f>
        <v>0</v>
      </c>
      <c r="M871" s="26" t="str">
        <f aca="false">IF($K871=0,"",ST_RESULTATS!$S121)</f>
        <v/>
      </c>
      <c r="N871" s="26" t="str">
        <f aca="false">IF($G871="","",IF($G871=R_LOT,COUNTIF($G$5:$G871,R_LOT),""))</f>
        <v/>
      </c>
    </row>
    <row r="872" customFormat="false" ht="15" hidden="false" customHeight="false" outlineLevel="0" collapsed="false">
      <c r="A872" s="28" t="str">
        <f aca="false">IF($K872=0,"",ROW()-4)</f>
        <v/>
      </c>
      <c r="B872" s="26" t="str">
        <f aca="false">IF($K872=0,"","RESULTAT ST")</f>
        <v/>
      </c>
      <c r="C872" s="26" t="str">
        <f aca="false">IF($K872=0,"",ST_RESULTATS!$A122)</f>
        <v/>
      </c>
      <c r="D872" s="31" t="str">
        <f aca="false">IF($K872=0,"",ST_RESULTATS!$V122)</f>
        <v/>
      </c>
      <c r="E872" s="26" t="str">
        <f aca="false">IF($K872=0,"","ENTREE")</f>
        <v/>
      </c>
      <c r="F872" s="26" t="str">
        <f aca="false">IF($K872=0,"","RETOUR SOUS-TRAITANCE")</f>
        <v/>
      </c>
      <c r="G872" s="26" t="str">
        <f aca="false">IF($K872=0,"",ST_RESULTATS!$N122)</f>
        <v/>
      </c>
      <c r="H872" s="26" t="str">
        <f aca="false">IF($K872=0,"",ST_RESULTATS!$J122)</f>
        <v/>
      </c>
      <c r="I872" s="26" t="str">
        <f aca="false">IF($H872="","",IFERROR(INDEX(EMPL_CLASSE,MATCH($H872,EMPL_KEY,0)),""))</f>
        <v/>
      </c>
      <c r="J872" s="26" t="str">
        <f aca="false">IF($K872=0,"",IFERROR(INDEX(LOT_PRODE,MATCH($G872,LOT_KEY,0)),""))</f>
        <v/>
      </c>
      <c r="K872" s="67" t="n">
        <f aca="false">IF(ST_RESULTATS!$P122=0,0,ST_RESULTATS!$F122)</f>
        <v>0</v>
      </c>
      <c r="L872" s="67" t="n">
        <f aca="false">IF($K872=0,0,ST_RESULTATS!$T122*$K872)</f>
        <v>0</v>
      </c>
      <c r="M872" s="26" t="str">
        <f aca="false">IF($K872=0,"",ST_RESULTATS!$S122)</f>
        <v/>
      </c>
      <c r="N872" s="26" t="str">
        <f aca="false">IF($G872="","",IF($G872=R_LOT,COUNTIF($G$5:$G872,R_LOT),""))</f>
        <v/>
      </c>
    </row>
    <row r="873" customFormat="false" ht="15" hidden="false" customHeight="false" outlineLevel="0" collapsed="false">
      <c r="A873" s="28" t="str">
        <f aca="false">IF($K873=0,"",ROW()-4)</f>
        <v/>
      </c>
      <c r="B873" s="26" t="str">
        <f aca="false">IF($K873=0,"","RESULTAT ST")</f>
        <v/>
      </c>
      <c r="C873" s="26" t="str">
        <f aca="false">IF($K873=0,"",ST_RESULTATS!$A123)</f>
        <v/>
      </c>
      <c r="D873" s="31" t="str">
        <f aca="false">IF($K873=0,"",ST_RESULTATS!$V123)</f>
        <v/>
      </c>
      <c r="E873" s="26" t="str">
        <f aca="false">IF($K873=0,"","ENTREE")</f>
        <v/>
      </c>
      <c r="F873" s="26" t="str">
        <f aca="false">IF($K873=0,"","RETOUR SOUS-TRAITANCE")</f>
        <v/>
      </c>
      <c r="G873" s="26" t="str">
        <f aca="false">IF($K873=0,"",ST_RESULTATS!$N123)</f>
        <v/>
      </c>
      <c r="H873" s="26" t="str">
        <f aca="false">IF($K873=0,"",ST_RESULTATS!$J123)</f>
        <v/>
      </c>
      <c r="I873" s="26" t="str">
        <f aca="false">IF($H873="","",IFERROR(INDEX(EMPL_CLASSE,MATCH($H873,EMPL_KEY,0)),""))</f>
        <v/>
      </c>
      <c r="J873" s="26" t="str">
        <f aca="false">IF($K873=0,"",IFERROR(INDEX(LOT_PRODE,MATCH($G873,LOT_KEY,0)),""))</f>
        <v/>
      </c>
      <c r="K873" s="67" t="n">
        <f aca="false">IF(ST_RESULTATS!$P123=0,0,ST_RESULTATS!$F123)</f>
        <v>0</v>
      </c>
      <c r="L873" s="67" t="n">
        <f aca="false">IF($K873=0,0,ST_RESULTATS!$T123*$K873)</f>
        <v>0</v>
      </c>
      <c r="M873" s="26" t="str">
        <f aca="false">IF($K873=0,"",ST_RESULTATS!$S123)</f>
        <v/>
      </c>
      <c r="N873" s="26" t="str">
        <f aca="false">IF($G873="","",IF($G873=R_LOT,COUNTIF($G$5:$G873,R_LOT),""))</f>
        <v/>
      </c>
    </row>
    <row r="874" customFormat="false" ht="15" hidden="false" customHeight="false" outlineLevel="0" collapsed="false">
      <c r="A874" s="28" t="str">
        <f aca="false">IF($K874=0,"",ROW()-4)</f>
        <v/>
      </c>
      <c r="B874" s="26" t="str">
        <f aca="false">IF($K874=0,"","RESULTAT ST")</f>
        <v/>
      </c>
      <c r="C874" s="26" t="str">
        <f aca="false">IF($K874=0,"",ST_RESULTATS!$A124)</f>
        <v/>
      </c>
      <c r="D874" s="31" t="str">
        <f aca="false">IF($K874=0,"",ST_RESULTATS!$V124)</f>
        <v/>
      </c>
      <c r="E874" s="26" t="str">
        <f aca="false">IF($K874=0,"","ENTREE")</f>
        <v/>
      </c>
      <c r="F874" s="26" t="str">
        <f aca="false">IF($K874=0,"","RETOUR SOUS-TRAITANCE")</f>
        <v/>
      </c>
      <c r="G874" s="26" t="str">
        <f aca="false">IF($K874=0,"",ST_RESULTATS!$N124)</f>
        <v/>
      </c>
      <c r="H874" s="26" t="str">
        <f aca="false">IF($K874=0,"",ST_RESULTATS!$J124)</f>
        <v/>
      </c>
      <c r="I874" s="26" t="str">
        <f aca="false">IF($H874="","",IFERROR(INDEX(EMPL_CLASSE,MATCH($H874,EMPL_KEY,0)),""))</f>
        <v/>
      </c>
      <c r="J874" s="26" t="str">
        <f aca="false">IF($K874=0,"",IFERROR(INDEX(LOT_PRODE,MATCH($G874,LOT_KEY,0)),""))</f>
        <v/>
      </c>
      <c r="K874" s="67" t="n">
        <f aca="false">IF(ST_RESULTATS!$P124=0,0,ST_RESULTATS!$F124)</f>
        <v>0</v>
      </c>
      <c r="L874" s="67" t="n">
        <f aca="false">IF($K874=0,0,ST_RESULTATS!$T124*$K874)</f>
        <v>0</v>
      </c>
      <c r="M874" s="26" t="str">
        <f aca="false">IF($K874=0,"",ST_RESULTATS!$S124)</f>
        <v/>
      </c>
      <c r="N874" s="26" t="str">
        <f aca="false">IF($G874="","",IF($G874=R_LOT,COUNTIF($G$5:$G874,R_LOT),""))</f>
        <v/>
      </c>
    </row>
    <row r="875" customFormat="false" ht="15" hidden="false" customHeight="false" outlineLevel="0" collapsed="false">
      <c r="A875" s="28" t="str">
        <f aca="false">IF($K875=0,"",ROW()-4)</f>
        <v/>
      </c>
      <c r="B875" s="26" t="str">
        <f aca="false">IF($K875=0,"","RESULTAT ST")</f>
        <v/>
      </c>
      <c r="C875" s="26" t="str">
        <f aca="false">IF($K875=0,"",ST_RESULTATS!$A125)</f>
        <v/>
      </c>
      <c r="D875" s="31" t="str">
        <f aca="false">IF($K875=0,"",ST_RESULTATS!$V125)</f>
        <v/>
      </c>
      <c r="E875" s="26" t="str">
        <f aca="false">IF($K875=0,"","ENTREE")</f>
        <v/>
      </c>
      <c r="F875" s="26" t="str">
        <f aca="false">IF($K875=0,"","RETOUR SOUS-TRAITANCE")</f>
        <v/>
      </c>
      <c r="G875" s="26" t="str">
        <f aca="false">IF($K875=0,"",ST_RESULTATS!$N125)</f>
        <v/>
      </c>
      <c r="H875" s="26" t="str">
        <f aca="false">IF($K875=0,"",ST_RESULTATS!$J125)</f>
        <v/>
      </c>
      <c r="I875" s="26" t="str">
        <f aca="false">IF($H875="","",IFERROR(INDEX(EMPL_CLASSE,MATCH($H875,EMPL_KEY,0)),""))</f>
        <v/>
      </c>
      <c r="J875" s="26" t="str">
        <f aca="false">IF($K875=0,"",IFERROR(INDEX(LOT_PRODE,MATCH($G875,LOT_KEY,0)),""))</f>
        <v/>
      </c>
      <c r="K875" s="67" t="n">
        <f aca="false">IF(ST_RESULTATS!$P125=0,0,ST_RESULTATS!$F125)</f>
        <v>0</v>
      </c>
      <c r="L875" s="67" t="n">
        <f aca="false">IF($K875=0,0,ST_RESULTATS!$T125*$K875)</f>
        <v>0</v>
      </c>
      <c r="M875" s="26" t="str">
        <f aca="false">IF($K875=0,"",ST_RESULTATS!$S125)</f>
        <v/>
      </c>
      <c r="N875" s="26" t="str">
        <f aca="false">IF($G875="","",IF($G875=R_LOT,COUNTIF($G$5:$G875,R_LOT),""))</f>
        <v/>
      </c>
    </row>
    <row r="876" customFormat="false" ht="15" hidden="false" customHeight="false" outlineLevel="0" collapsed="false">
      <c r="A876" s="28" t="str">
        <f aca="false">IF($K876=0,"",ROW()-4)</f>
        <v/>
      </c>
      <c r="B876" s="26" t="str">
        <f aca="false">IF($K876=0,"","RESULTAT ST")</f>
        <v/>
      </c>
      <c r="C876" s="26" t="str">
        <f aca="false">IF($K876=0,"",ST_RESULTATS!$A126)</f>
        <v/>
      </c>
      <c r="D876" s="31" t="str">
        <f aca="false">IF($K876=0,"",ST_RESULTATS!$V126)</f>
        <v/>
      </c>
      <c r="E876" s="26" t="str">
        <f aca="false">IF($K876=0,"","ENTREE")</f>
        <v/>
      </c>
      <c r="F876" s="26" t="str">
        <f aca="false">IF($K876=0,"","RETOUR SOUS-TRAITANCE")</f>
        <v/>
      </c>
      <c r="G876" s="26" t="str">
        <f aca="false">IF($K876=0,"",ST_RESULTATS!$N126)</f>
        <v/>
      </c>
      <c r="H876" s="26" t="str">
        <f aca="false">IF($K876=0,"",ST_RESULTATS!$J126)</f>
        <v/>
      </c>
      <c r="I876" s="26" t="str">
        <f aca="false">IF($H876="","",IFERROR(INDEX(EMPL_CLASSE,MATCH($H876,EMPL_KEY,0)),""))</f>
        <v/>
      </c>
      <c r="J876" s="26" t="str">
        <f aca="false">IF($K876=0,"",IFERROR(INDEX(LOT_PRODE,MATCH($G876,LOT_KEY,0)),""))</f>
        <v/>
      </c>
      <c r="K876" s="67" t="n">
        <f aca="false">IF(ST_RESULTATS!$P126=0,0,ST_RESULTATS!$F126)</f>
        <v>0</v>
      </c>
      <c r="L876" s="67" t="n">
        <f aca="false">IF($K876=0,0,ST_RESULTATS!$T126*$K876)</f>
        <v>0</v>
      </c>
      <c r="M876" s="26" t="str">
        <f aca="false">IF($K876=0,"",ST_RESULTATS!$S126)</f>
        <v/>
      </c>
      <c r="N876" s="26" t="str">
        <f aca="false">IF($G876="","",IF($G876=R_LOT,COUNTIF($G$5:$G876,R_LOT),""))</f>
        <v/>
      </c>
    </row>
    <row r="877" customFormat="false" ht="15" hidden="false" customHeight="false" outlineLevel="0" collapsed="false">
      <c r="A877" s="28" t="str">
        <f aca="false">IF($K877=0,"",ROW()-4)</f>
        <v/>
      </c>
      <c r="B877" s="26" t="str">
        <f aca="false">IF($K877=0,"","RESULTAT ST")</f>
        <v/>
      </c>
      <c r="C877" s="26" t="str">
        <f aca="false">IF($K877=0,"",ST_RESULTATS!$A127)</f>
        <v/>
      </c>
      <c r="D877" s="31" t="str">
        <f aca="false">IF($K877=0,"",ST_RESULTATS!$V127)</f>
        <v/>
      </c>
      <c r="E877" s="26" t="str">
        <f aca="false">IF($K877=0,"","ENTREE")</f>
        <v/>
      </c>
      <c r="F877" s="26" t="str">
        <f aca="false">IF($K877=0,"","RETOUR SOUS-TRAITANCE")</f>
        <v/>
      </c>
      <c r="G877" s="26" t="str">
        <f aca="false">IF($K877=0,"",ST_RESULTATS!$N127)</f>
        <v/>
      </c>
      <c r="H877" s="26" t="str">
        <f aca="false">IF($K877=0,"",ST_RESULTATS!$J127)</f>
        <v/>
      </c>
      <c r="I877" s="26" t="str">
        <f aca="false">IF($H877="","",IFERROR(INDEX(EMPL_CLASSE,MATCH($H877,EMPL_KEY,0)),""))</f>
        <v/>
      </c>
      <c r="J877" s="26" t="str">
        <f aca="false">IF($K877=0,"",IFERROR(INDEX(LOT_PRODE,MATCH($G877,LOT_KEY,0)),""))</f>
        <v/>
      </c>
      <c r="K877" s="67" t="n">
        <f aca="false">IF(ST_RESULTATS!$P127=0,0,ST_RESULTATS!$F127)</f>
        <v>0</v>
      </c>
      <c r="L877" s="67" t="n">
        <f aca="false">IF($K877=0,0,ST_RESULTATS!$T127*$K877)</f>
        <v>0</v>
      </c>
      <c r="M877" s="26" t="str">
        <f aca="false">IF($K877=0,"",ST_RESULTATS!$S127)</f>
        <v/>
      </c>
      <c r="N877" s="26" t="str">
        <f aca="false">IF($G877="","",IF($G877=R_LOT,COUNTIF($G$5:$G877,R_LOT),""))</f>
        <v/>
      </c>
    </row>
    <row r="878" customFormat="false" ht="15" hidden="false" customHeight="false" outlineLevel="0" collapsed="false">
      <c r="A878" s="28" t="str">
        <f aca="false">IF($K878=0,"",ROW()-4)</f>
        <v/>
      </c>
      <c r="B878" s="26" t="str">
        <f aca="false">IF($K878=0,"","RESULTAT ST")</f>
        <v/>
      </c>
      <c r="C878" s="26" t="str">
        <f aca="false">IF($K878=0,"",ST_RESULTATS!$A128)</f>
        <v/>
      </c>
      <c r="D878" s="31" t="str">
        <f aca="false">IF($K878=0,"",ST_RESULTATS!$V128)</f>
        <v/>
      </c>
      <c r="E878" s="26" t="str">
        <f aca="false">IF($K878=0,"","ENTREE")</f>
        <v/>
      </c>
      <c r="F878" s="26" t="str">
        <f aca="false">IF($K878=0,"","RETOUR SOUS-TRAITANCE")</f>
        <v/>
      </c>
      <c r="G878" s="26" t="str">
        <f aca="false">IF($K878=0,"",ST_RESULTATS!$N128)</f>
        <v/>
      </c>
      <c r="H878" s="26" t="str">
        <f aca="false">IF($K878=0,"",ST_RESULTATS!$J128)</f>
        <v/>
      </c>
      <c r="I878" s="26" t="str">
        <f aca="false">IF($H878="","",IFERROR(INDEX(EMPL_CLASSE,MATCH($H878,EMPL_KEY,0)),""))</f>
        <v/>
      </c>
      <c r="J878" s="26" t="str">
        <f aca="false">IF($K878=0,"",IFERROR(INDEX(LOT_PRODE,MATCH($G878,LOT_KEY,0)),""))</f>
        <v/>
      </c>
      <c r="K878" s="67" t="n">
        <f aca="false">IF(ST_RESULTATS!$P128=0,0,ST_RESULTATS!$F128)</f>
        <v>0</v>
      </c>
      <c r="L878" s="67" t="n">
        <f aca="false">IF($K878=0,0,ST_RESULTATS!$T128*$K878)</f>
        <v>0</v>
      </c>
      <c r="M878" s="26" t="str">
        <f aca="false">IF($K878=0,"",ST_RESULTATS!$S128)</f>
        <v/>
      </c>
      <c r="N878" s="26" t="str">
        <f aca="false">IF($G878="","",IF($G878=R_LOT,COUNTIF($G$5:$G878,R_LOT),""))</f>
        <v/>
      </c>
    </row>
    <row r="879" customFormat="false" ht="15" hidden="false" customHeight="false" outlineLevel="0" collapsed="false">
      <c r="A879" s="28" t="str">
        <f aca="false">IF($K879=0,"",ROW()-4)</f>
        <v/>
      </c>
      <c r="B879" s="26" t="str">
        <f aca="false">IF($K879=0,"","RESULTAT ST")</f>
        <v/>
      </c>
      <c r="C879" s="26" t="str">
        <f aca="false">IF($K879=0,"",ST_RESULTATS!$A129)</f>
        <v/>
      </c>
      <c r="D879" s="31" t="str">
        <f aca="false">IF($K879=0,"",ST_RESULTATS!$V129)</f>
        <v/>
      </c>
      <c r="E879" s="26" t="str">
        <f aca="false">IF($K879=0,"","ENTREE")</f>
        <v/>
      </c>
      <c r="F879" s="26" t="str">
        <f aca="false">IF($K879=0,"","RETOUR SOUS-TRAITANCE")</f>
        <v/>
      </c>
      <c r="G879" s="26" t="str">
        <f aca="false">IF($K879=0,"",ST_RESULTATS!$N129)</f>
        <v/>
      </c>
      <c r="H879" s="26" t="str">
        <f aca="false">IF($K879=0,"",ST_RESULTATS!$J129)</f>
        <v/>
      </c>
      <c r="I879" s="26" t="str">
        <f aca="false">IF($H879="","",IFERROR(INDEX(EMPL_CLASSE,MATCH($H879,EMPL_KEY,0)),""))</f>
        <v/>
      </c>
      <c r="J879" s="26" t="str">
        <f aca="false">IF($K879=0,"",IFERROR(INDEX(LOT_PRODE,MATCH($G879,LOT_KEY,0)),""))</f>
        <v/>
      </c>
      <c r="K879" s="67" t="n">
        <f aca="false">IF(ST_RESULTATS!$P129=0,0,ST_RESULTATS!$F129)</f>
        <v>0</v>
      </c>
      <c r="L879" s="67" t="n">
        <f aca="false">IF($K879=0,0,ST_RESULTATS!$T129*$K879)</f>
        <v>0</v>
      </c>
      <c r="M879" s="26" t="str">
        <f aca="false">IF($K879=0,"",ST_RESULTATS!$S129)</f>
        <v/>
      </c>
      <c r="N879" s="26" t="str">
        <f aca="false">IF($G879="","",IF($G879=R_LOT,COUNTIF($G$5:$G879,R_LOT),""))</f>
        <v/>
      </c>
    </row>
    <row r="880" customFormat="false" ht="15" hidden="false" customHeight="false" outlineLevel="0" collapsed="false">
      <c r="A880" s="28" t="str">
        <f aca="false">IF($K880=0,"",ROW()-4)</f>
        <v/>
      </c>
      <c r="B880" s="26" t="str">
        <f aca="false">IF($K880=0,"","RESULTAT ST")</f>
        <v/>
      </c>
      <c r="C880" s="26" t="str">
        <f aca="false">IF($K880=0,"",ST_RESULTATS!$A130)</f>
        <v/>
      </c>
      <c r="D880" s="31" t="str">
        <f aca="false">IF($K880=0,"",ST_RESULTATS!$V130)</f>
        <v/>
      </c>
      <c r="E880" s="26" t="str">
        <f aca="false">IF($K880=0,"","ENTREE")</f>
        <v/>
      </c>
      <c r="F880" s="26" t="str">
        <f aca="false">IF($K880=0,"","RETOUR SOUS-TRAITANCE")</f>
        <v/>
      </c>
      <c r="G880" s="26" t="str">
        <f aca="false">IF($K880=0,"",ST_RESULTATS!$N130)</f>
        <v/>
      </c>
      <c r="H880" s="26" t="str">
        <f aca="false">IF($K880=0,"",ST_RESULTATS!$J130)</f>
        <v/>
      </c>
      <c r="I880" s="26" t="str">
        <f aca="false">IF($H880="","",IFERROR(INDEX(EMPL_CLASSE,MATCH($H880,EMPL_KEY,0)),""))</f>
        <v/>
      </c>
      <c r="J880" s="26" t="str">
        <f aca="false">IF($K880=0,"",IFERROR(INDEX(LOT_PRODE,MATCH($G880,LOT_KEY,0)),""))</f>
        <v/>
      </c>
      <c r="K880" s="67" t="n">
        <f aca="false">IF(ST_RESULTATS!$P130=0,0,ST_RESULTATS!$F130)</f>
        <v>0</v>
      </c>
      <c r="L880" s="67" t="n">
        <f aca="false">IF($K880=0,0,ST_RESULTATS!$T130*$K880)</f>
        <v>0</v>
      </c>
      <c r="M880" s="26" t="str">
        <f aca="false">IF($K880=0,"",ST_RESULTATS!$S130)</f>
        <v/>
      </c>
      <c r="N880" s="26" t="str">
        <f aca="false">IF($G880="","",IF($G880=R_LOT,COUNTIF($G$5:$G880,R_LOT),""))</f>
        <v/>
      </c>
    </row>
    <row r="881" customFormat="false" ht="15" hidden="false" customHeight="false" outlineLevel="0" collapsed="false">
      <c r="A881" s="28" t="str">
        <f aca="false">IF($K881=0,"",ROW()-4)</f>
        <v/>
      </c>
      <c r="B881" s="26" t="str">
        <f aca="false">IF($K881=0,"","RESULTAT ST")</f>
        <v/>
      </c>
      <c r="C881" s="26" t="str">
        <f aca="false">IF($K881=0,"",ST_RESULTATS!$A131)</f>
        <v/>
      </c>
      <c r="D881" s="31" t="str">
        <f aca="false">IF($K881=0,"",ST_RESULTATS!$V131)</f>
        <v/>
      </c>
      <c r="E881" s="26" t="str">
        <f aca="false">IF($K881=0,"","ENTREE")</f>
        <v/>
      </c>
      <c r="F881" s="26" t="str">
        <f aca="false">IF($K881=0,"","RETOUR SOUS-TRAITANCE")</f>
        <v/>
      </c>
      <c r="G881" s="26" t="str">
        <f aca="false">IF($K881=0,"",ST_RESULTATS!$N131)</f>
        <v/>
      </c>
      <c r="H881" s="26" t="str">
        <f aca="false">IF($K881=0,"",ST_RESULTATS!$J131)</f>
        <v/>
      </c>
      <c r="I881" s="26" t="str">
        <f aca="false">IF($H881="","",IFERROR(INDEX(EMPL_CLASSE,MATCH($H881,EMPL_KEY,0)),""))</f>
        <v/>
      </c>
      <c r="J881" s="26" t="str">
        <f aca="false">IF($K881=0,"",IFERROR(INDEX(LOT_PRODE,MATCH($G881,LOT_KEY,0)),""))</f>
        <v/>
      </c>
      <c r="K881" s="67" t="n">
        <f aca="false">IF(ST_RESULTATS!$P131=0,0,ST_RESULTATS!$F131)</f>
        <v>0</v>
      </c>
      <c r="L881" s="67" t="n">
        <f aca="false">IF($K881=0,0,ST_RESULTATS!$T131*$K881)</f>
        <v>0</v>
      </c>
      <c r="M881" s="26" t="str">
        <f aca="false">IF($K881=0,"",ST_RESULTATS!$S131)</f>
        <v/>
      </c>
      <c r="N881" s="26" t="str">
        <f aca="false">IF($G881="","",IF($G881=R_LOT,COUNTIF($G$5:$G881,R_LOT),""))</f>
        <v/>
      </c>
    </row>
    <row r="882" customFormat="false" ht="15" hidden="false" customHeight="false" outlineLevel="0" collapsed="false">
      <c r="A882" s="28" t="str">
        <f aca="false">IF($K882=0,"",ROW()-4)</f>
        <v/>
      </c>
      <c r="B882" s="26" t="str">
        <f aca="false">IF($K882=0,"","RESULTAT ST")</f>
        <v/>
      </c>
      <c r="C882" s="26" t="str">
        <f aca="false">IF($K882=0,"",ST_RESULTATS!$A132)</f>
        <v/>
      </c>
      <c r="D882" s="31" t="str">
        <f aca="false">IF($K882=0,"",ST_RESULTATS!$V132)</f>
        <v/>
      </c>
      <c r="E882" s="26" t="str">
        <f aca="false">IF($K882=0,"","ENTREE")</f>
        <v/>
      </c>
      <c r="F882" s="26" t="str">
        <f aca="false">IF($K882=0,"","RETOUR SOUS-TRAITANCE")</f>
        <v/>
      </c>
      <c r="G882" s="26" t="str">
        <f aca="false">IF($K882=0,"",ST_RESULTATS!$N132)</f>
        <v/>
      </c>
      <c r="H882" s="26" t="str">
        <f aca="false">IF($K882=0,"",ST_RESULTATS!$J132)</f>
        <v/>
      </c>
      <c r="I882" s="26" t="str">
        <f aca="false">IF($H882="","",IFERROR(INDEX(EMPL_CLASSE,MATCH($H882,EMPL_KEY,0)),""))</f>
        <v/>
      </c>
      <c r="J882" s="26" t="str">
        <f aca="false">IF($K882=0,"",IFERROR(INDEX(LOT_PRODE,MATCH($G882,LOT_KEY,0)),""))</f>
        <v/>
      </c>
      <c r="K882" s="67" t="n">
        <f aca="false">IF(ST_RESULTATS!$P132=0,0,ST_RESULTATS!$F132)</f>
        <v>0</v>
      </c>
      <c r="L882" s="67" t="n">
        <f aca="false">IF($K882=0,0,ST_RESULTATS!$T132*$K882)</f>
        <v>0</v>
      </c>
      <c r="M882" s="26" t="str">
        <f aca="false">IF($K882=0,"",ST_RESULTATS!$S132)</f>
        <v/>
      </c>
      <c r="N882" s="26" t="str">
        <f aca="false">IF($G882="","",IF($G882=R_LOT,COUNTIF($G$5:$G882,R_LOT),""))</f>
        <v/>
      </c>
    </row>
    <row r="883" customFormat="false" ht="15" hidden="false" customHeight="false" outlineLevel="0" collapsed="false">
      <c r="A883" s="28" t="str">
        <f aca="false">IF($K883=0,"",ROW()-4)</f>
        <v/>
      </c>
      <c r="B883" s="26" t="str">
        <f aca="false">IF($K883=0,"","RESULTAT ST")</f>
        <v/>
      </c>
      <c r="C883" s="26" t="str">
        <f aca="false">IF($K883=0,"",ST_RESULTATS!$A133)</f>
        <v/>
      </c>
      <c r="D883" s="31" t="str">
        <f aca="false">IF($K883=0,"",ST_RESULTATS!$V133)</f>
        <v/>
      </c>
      <c r="E883" s="26" t="str">
        <f aca="false">IF($K883=0,"","ENTREE")</f>
        <v/>
      </c>
      <c r="F883" s="26" t="str">
        <f aca="false">IF($K883=0,"","RETOUR SOUS-TRAITANCE")</f>
        <v/>
      </c>
      <c r="G883" s="26" t="str">
        <f aca="false">IF($K883=0,"",ST_RESULTATS!$N133)</f>
        <v/>
      </c>
      <c r="H883" s="26" t="str">
        <f aca="false">IF($K883=0,"",ST_RESULTATS!$J133)</f>
        <v/>
      </c>
      <c r="I883" s="26" t="str">
        <f aca="false">IF($H883="","",IFERROR(INDEX(EMPL_CLASSE,MATCH($H883,EMPL_KEY,0)),""))</f>
        <v/>
      </c>
      <c r="J883" s="26" t="str">
        <f aca="false">IF($K883=0,"",IFERROR(INDEX(LOT_PRODE,MATCH($G883,LOT_KEY,0)),""))</f>
        <v/>
      </c>
      <c r="K883" s="67" t="n">
        <f aca="false">IF(ST_RESULTATS!$P133=0,0,ST_RESULTATS!$F133)</f>
        <v>0</v>
      </c>
      <c r="L883" s="67" t="n">
        <f aca="false">IF($K883=0,0,ST_RESULTATS!$T133*$K883)</f>
        <v>0</v>
      </c>
      <c r="M883" s="26" t="str">
        <f aca="false">IF($K883=0,"",ST_RESULTATS!$S133)</f>
        <v/>
      </c>
      <c r="N883" s="26" t="str">
        <f aca="false">IF($G883="","",IF($G883=R_LOT,COUNTIF($G$5:$G883,R_LOT),""))</f>
        <v/>
      </c>
    </row>
    <row r="884" customFormat="false" ht="15" hidden="false" customHeight="false" outlineLevel="0" collapsed="false">
      <c r="A884" s="28" t="str">
        <f aca="false">IF($K884=0,"",ROW()-4)</f>
        <v/>
      </c>
      <c r="B884" s="26" t="str">
        <f aca="false">IF($K884=0,"","RESULTAT ST")</f>
        <v/>
      </c>
      <c r="C884" s="26" t="str">
        <f aca="false">IF($K884=0,"",ST_RESULTATS!$A134)</f>
        <v/>
      </c>
      <c r="D884" s="31" t="str">
        <f aca="false">IF($K884=0,"",ST_RESULTATS!$V134)</f>
        <v/>
      </c>
      <c r="E884" s="26" t="str">
        <f aca="false">IF($K884=0,"","ENTREE")</f>
        <v/>
      </c>
      <c r="F884" s="26" t="str">
        <f aca="false">IF($K884=0,"","RETOUR SOUS-TRAITANCE")</f>
        <v/>
      </c>
      <c r="G884" s="26" t="str">
        <f aca="false">IF($K884=0,"",ST_RESULTATS!$N134)</f>
        <v/>
      </c>
      <c r="H884" s="26" t="str">
        <f aca="false">IF($K884=0,"",ST_RESULTATS!$J134)</f>
        <v/>
      </c>
      <c r="I884" s="26" t="str">
        <f aca="false">IF($H884="","",IFERROR(INDEX(EMPL_CLASSE,MATCH($H884,EMPL_KEY,0)),""))</f>
        <v/>
      </c>
      <c r="J884" s="26" t="str">
        <f aca="false">IF($K884=0,"",IFERROR(INDEX(LOT_PRODE,MATCH($G884,LOT_KEY,0)),""))</f>
        <v/>
      </c>
      <c r="K884" s="67" t="n">
        <f aca="false">IF(ST_RESULTATS!$P134=0,0,ST_RESULTATS!$F134)</f>
        <v>0</v>
      </c>
      <c r="L884" s="67" t="n">
        <f aca="false">IF($K884=0,0,ST_RESULTATS!$T134*$K884)</f>
        <v>0</v>
      </c>
      <c r="M884" s="26" t="str">
        <f aca="false">IF($K884=0,"",ST_RESULTATS!$S134)</f>
        <v/>
      </c>
      <c r="N884" s="26" t="str">
        <f aca="false">IF($G884="","",IF($G884=R_LOT,COUNTIF($G$5:$G884,R_LOT),""))</f>
        <v/>
      </c>
    </row>
    <row r="885" customFormat="false" ht="15" hidden="false" customHeight="false" outlineLevel="0" collapsed="false">
      <c r="A885" s="28" t="str">
        <f aca="false">IF($K885=0,"",ROW()-4)</f>
        <v/>
      </c>
      <c r="B885" s="26" t="str">
        <f aca="false">IF($K885=0,"","RESULTAT ST")</f>
        <v/>
      </c>
      <c r="C885" s="26" t="str">
        <f aca="false">IF($K885=0,"",ST_RESULTATS!$A135)</f>
        <v/>
      </c>
      <c r="D885" s="31" t="str">
        <f aca="false">IF($K885=0,"",ST_RESULTATS!$V135)</f>
        <v/>
      </c>
      <c r="E885" s="26" t="str">
        <f aca="false">IF($K885=0,"","ENTREE")</f>
        <v/>
      </c>
      <c r="F885" s="26" t="str">
        <f aca="false">IF($K885=0,"","RETOUR SOUS-TRAITANCE")</f>
        <v/>
      </c>
      <c r="G885" s="26" t="str">
        <f aca="false">IF($K885=0,"",ST_RESULTATS!$N135)</f>
        <v/>
      </c>
      <c r="H885" s="26" t="str">
        <f aca="false">IF($K885=0,"",ST_RESULTATS!$J135)</f>
        <v/>
      </c>
      <c r="I885" s="26" t="str">
        <f aca="false">IF($H885="","",IFERROR(INDEX(EMPL_CLASSE,MATCH($H885,EMPL_KEY,0)),""))</f>
        <v/>
      </c>
      <c r="J885" s="26" t="str">
        <f aca="false">IF($K885=0,"",IFERROR(INDEX(LOT_PRODE,MATCH($G885,LOT_KEY,0)),""))</f>
        <v/>
      </c>
      <c r="K885" s="67" t="n">
        <f aca="false">IF(ST_RESULTATS!$P135=0,0,ST_RESULTATS!$F135)</f>
        <v>0</v>
      </c>
      <c r="L885" s="67" t="n">
        <f aca="false">IF($K885=0,0,ST_RESULTATS!$T135*$K885)</f>
        <v>0</v>
      </c>
      <c r="M885" s="26" t="str">
        <f aca="false">IF($K885=0,"",ST_RESULTATS!$S135)</f>
        <v/>
      </c>
      <c r="N885" s="26" t="str">
        <f aca="false">IF($G885="","",IF($G885=R_LOT,COUNTIF($G$5:$G885,R_LOT),""))</f>
        <v/>
      </c>
    </row>
    <row r="886" customFormat="false" ht="15" hidden="false" customHeight="false" outlineLevel="0" collapsed="false">
      <c r="A886" s="28" t="str">
        <f aca="false">IF($K886=0,"",ROW()-4)</f>
        <v/>
      </c>
      <c r="B886" s="26" t="str">
        <f aca="false">IF($K886=0,"","RESULTAT ST")</f>
        <v/>
      </c>
      <c r="C886" s="26" t="str">
        <f aca="false">IF($K886=0,"",ST_RESULTATS!$A136)</f>
        <v/>
      </c>
      <c r="D886" s="31" t="str">
        <f aca="false">IF($K886=0,"",ST_RESULTATS!$V136)</f>
        <v/>
      </c>
      <c r="E886" s="26" t="str">
        <f aca="false">IF($K886=0,"","ENTREE")</f>
        <v/>
      </c>
      <c r="F886" s="26" t="str">
        <f aca="false">IF($K886=0,"","RETOUR SOUS-TRAITANCE")</f>
        <v/>
      </c>
      <c r="G886" s="26" t="str">
        <f aca="false">IF($K886=0,"",ST_RESULTATS!$N136)</f>
        <v/>
      </c>
      <c r="H886" s="26" t="str">
        <f aca="false">IF($K886=0,"",ST_RESULTATS!$J136)</f>
        <v/>
      </c>
      <c r="I886" s="26" t="str">
        <f aca="false">IF($H886="","",IFERROR(INDEX(EMPL_CLASSE,MATCH($H886,EMPL_KEY,0)),""))</f>
        <v/>
      </c>
      <c r="J886" s="26" t="str">
        <f aca="false">IF($K886=0,"",IFERROR(INDEX(LOT_PRODE,MATCH($G886,LOT_KEY,0)),""))</f>
        <v/>
      </c>
      <c r="K886" s="67" t="n">
        <f aca="false">IF(ST_RESULTATS!$P136=0,0,ST_RESULTATS!$F136)</f>
        <v>0</v>
      </c>
      <c r="L886" s="67" t="n">
        <f aca="false">IF($K886=0,0,ST_RESULTATS!$T136*$K886)</f>
        <v>0</v>
      </c>
      <c r="M886" s="26" t="str">
        <f aca="false">IF($K886=0,"",ST_RESULTATS!$S136)</f>
        <v/>
      </c>
      <c r="N886" s="26" t="str">
        <f aca="false">IF($G886="","",IF($G886=R_LOT,COUNTIF($G$5:$G886,R_LOT),""))</f>
        <v/>
      </c>
    </row>
    <row r="887" customFormat="false" ht="15" hidden="false" customHeight="false" outlineLevel="0" collapsed="false">
      <c r="A887" s="28" t="str">
        <f aca="false">IF($K887=0,"",ROW()-4)</f>
        <v/>
      </c>
      <c r="B887" s="26" t="str">
        <f aca="false">IF($K887=0,"","RESULTAT ST")</f>
        <v/>
      </c>
      <c r="C887" s="26" t="str">
        <f aca="false">IF($K887=0,"",ST_RESULTATS!$A137)</f>
        <v/>
      </c>
      <c r="D887" s="31" t="str">
        <f aca="false">IF($K887=0,"",ST_RESULTATS!$V137)</f>
        <v/>
      </c>
      <c r="E887" s="26" t="str">
        <f aca="false">IF($K887=0,"","ENTREE")</f>
        <v/>
      </c>
      <c r="F887" s="26" t="str">
        <f aca="false">IF($K887=0,"","RETOUR SOUS-TRAITANCE")</f>
        <v/>
      </c>
      <c r="G887" s="26" t="str">
        <f aca="false">IF($K887=0,"",ST_RESULTATS!$N137)</f>
        <v/>
      </c>
      <c r="H887" s="26" t="str">
        <f aca="false">IF($K887=0,"",ST_RESULTATS!$J137)</f>
        <v/>
      </c>
      <c r="I887" s="26" t="str">
        <f aca="false">IF($H887="","",IFERROR(INDEX(EMPL_CLASSE,MATCH($H887,EMPL_KEY,0)),""))</f>
        <v/>
      </c>
      <c r="J887" s="26" t="str">
        <f aca="false">IF($K887=0,"",IFERROR(INDEX(LOT_PRODE,MATCH($G887,LOT_KEY,0)),""))</f>
        <v/>
      </c>
      <c r="K887" s="67" t="n">
        <f aca="false">IF(ST_RESULTATS!$P137=0,0,ST_RESULTATS!$F137)</f>
        <v>0</v>
      </c>
      <c r="L887" s="67" t="n">
        <f aca="false">IF($K887=0,0,ST_RESULTATS!$T137*$K887)</f>
        <v>0</v>
      </c>
      <c r="M887" s="26" t="str">
        <f aca="false">IF($K887=0,"",ST_RESULTATS!$S137)</f>
        <v/>
      </c>
      <c r="N887" s="26" t="str">
        <f aca="false">IF($G887="","",IF($G887=R_LOT,COUNTIF($G$5:$G887,R_LOT),""))</f>
        <v/>
      </c>
    </row>
    <row r="888" customFormat="false" ht="15" hidden="false" customHeight="false" outlineLevel="0" collapsed="false">
      <c r="A888" s="28" t="str">
        <f aca="false">IF($K888=0,"",ROW()-4)</f>
        <v/>
      </c>
      <c r="B888" s="26" t="str">
        <f aca="false">IF($K888=0,"","RESULTAT ST")</f>
        <v/>
      </c>
      <c r="C888" s="26" t="str">
        <f aca="false">IF($K888=0,"",ST_RESULTATS!$A138)</f>
        <v/>
      </c>
      <c r="D888" s="31" t="str">
        <f aca="false">IF($K888=0,"",ST_RESULTATS!$V138)</f>
        <v/>
      </c>
      <c r="E888" s="26" t="str">
        <f aca="false">IF($K888=0,"","ENTREE")</f>
        <v/>
      </c>
      <c r="F888" s="26" t="str">
        <f aca="false">IF($K888=0,"","RETOUR SOUS-TRAITANCE")</f>
        <v/>
      </c>
      <c r="G888" s="26" t="str">
        <f aca="false">IF($K888=0,"",ST_RESULTATS!$N138)</f>
        <v/>
      </c>
      <c r="H888" s="26" t="str">
        <f aca="false">IF($K888=0,"",ST_RESULTATS!$J138)</f>
        <v/>
      </c>
      <c r="I888" s="26" t="str">
        <f aca="false">IF($H888="","",IFERROR(INDEX(EMPL_CLASSE,MATCH($H888,EMPL_KEY,0)),""))</f>
        <v/>
      </c>
      <c r="J888" s="26" t="str">
        <f aca="false">IF($K888=0,"",IFERROR(INDEX(LOT_PRODE,MATCH($G888,LOT_KEY,0)),""))</f>
        <v/>
      </c>
      <c r="K888" s="67" t="n">
        <f aca="false">IF(ST_RESULTATS!$P138=0,0,ST_RESULTATS!$F138)</f>
        <v>0</v>
      </c>
      <c r="L888" s="67" t="n">
        <f aca="false">IF($K888=0,0,ST_RESULTATS!$T138*$K888)</f>
        <v>0</v>
      </c>
      <c r="M888" s="26" t="str">
        <f aca="false">IF($K888=0,"",ST_RESULTATS!$S138)</f>
        <v/>
      </c>
      <c r="N888" s="26" t="str">
        <f aca="false">IF($G888="","",IF($G888=R_LOT,COUNTIF($G$5:$G888,R_LOT),""))</f>
        <v/>
      </c>
    </row>
    <row r="889" customFormat="false" ht="15" hidden="false" customHeight="false" outlineLevel="0" collapsed="false">
      <c r="A889" s="28" t="str">
        <f aca="false">IF($K889=0,"",ROW()-4)</f>
        <v/>
      </c>
      <c r="B889" s="26" t="str">
        <f aca="false">IF($K889=0,"","RESULTAT ST")</f>
        <v/>
      </c>
      <c r="C889" s="26" t="str">
        <f aca="false">IF($K889=0,"",ST_RESULTATS!$A139)</f>
        <v/>
      </c>
      <c r="D889" s="31" t="str">
        <f aca="false">IF($K889=0,"",ST_RESULTATS!$V139)</f>
        <v/>
      </c>
      <c r="E889" s="26" t="str">
        <f aca="false">IF($K889=0,"","ENTREE")</f>
        <v/>
      </c>
      <c r="F889" s="26" t="str">
        <f aca="false">IF($K889=0,"","RETOUR SOUS-TRAITANCE")</f>
        <v/>
      </c>
      <c r="G889" s="26" t="str">
        <f aca="false">IF($K889=0,"",ST_RESULTATS!$N139)</f>
        <v/>
      </c>
      <c r="H889" s="26" t="str">
        <f aca="false">IF($K889=0,"",ST_RESULTATS!$J139)</f>
        <v/>
      </c>
      <c r="I889" s="26" t="str">
        <f aca="false">IF($H889="","",IFERROR(INDEX(EMPL_CLASSE,MATCH($H889,EMPL_KEY,0)),""))</f>
        <v/>
      </c>
      <c r="J889" s="26" t="str">
        <f aca="false">IF($K889=0,"",IFERROR(INDEX(LOT_PRODE,MATCH($G889,LOT_KEY,0)),""))</f>
        <v/>
      </c>
      <c r="K889" s="67" t="n">
        <f aca="false">IF(ST_RESULTATS!$P139=0,0,ST_RESULTATS!$F139)</f>
        <v>0</v>
      </c>
      <c r="L889" s="67" t="n">
        <f aca="false">IF($K889=0,0,ST_RESULTATS!$T139*$K889)</f>
        <v>0</v>
      </c>
      <c r="M889" s="26" t="str">
        <f aca="false">IF($K889=0,"",ST_RESULTATS!$S139)</f>
        <v/>
      </c>
      <c r="N889" s="26" t="str">
        <f aca="false">IF($G889="","",IF($G889=R_LOT,COUNTIF($G$5:$G889,R_LOT),""))</f>
        <v/>
      </c>
    </row>
    <row r="890" customFormat="false" ht="15" hidden="false" customHeight="false" outlineLevel="0" collapsed="false">
      <c r="A890" s="28" t="str">
        <f aca="false">IF($K890=0,"",ROW()-4)</f>
        <v/>
      </c>
      <c r="B890" s="26" t="str">
        <f aca="false">IF($K890=0,"","RESULTAT ST")</f>
        <v/>
      </c>
      <c r="C890" s="26" t="str">
        <f aca="false">IF($K890=0,"",ST_RESULTATS!$A140)</f>
        <v/>
      </c>
      <c r="D890" s="31" t="str">
        <f aca="false">IF($K890=0,"",ST_RESULTATS!$V140)</f>
        <v/>
      </c>
      <c r="E890" s="26" t="str">
        <f aca="false">IF($K890=0,"","ENTREE")</f>
        <v/>
      </c>
      <c r="F890" s="26" t="str">
        <f aca="false">IF($K890=0,"","RETOUR SOUS-TRAITANCE")</f>
        <v/>
      </c>
      <c r="G890" s="26" t="str">
        <f aca="false">IF($K890=0,"",ST_RESULTATS!$N140)</f>
        <v/>
      </c>
      <c r="H890" s="26" t="str">
        <f aca="false">IF($K890=0,"",ST_RESULTATS!$J140)</f>
        <v/>
      </c>
      <c r="I890" s="26" t="str">
        <f aca="false">IF($H890="","",IFERROR(INDEX(EMPL_CLASSE,MATCH($H890,EMPL_KEY,0)),""))</f>
        <v/>
      </c>
      <c r="J890" s="26" t="str">
        <f aca="false">IF($K890=0,"",IFERROR(INDEX(LOT_PRODE,MATCH($G890,LOT_KEY,0)),""))</f>
        <v/>
      </c>
      <c r="K890" s="67" t="n">
        <f aca="false">IF(ST_RESULTATS!$P140=0,0,ST_RESULTATS!$F140)</f>
        <v>0</v>
      </c>
      <c r="L890" s="67" t="n">
        <f aca="false">IF($K890=0,0,ST_RESULTATS!$T140*$K890)</f>
        <v>0</v>
      </c>
      <c r="M890" s="26" t="str">
        <f aca="false">IF($K890=0,"",ST_RESULTATS!$S140)</f>
        <v/>
      </c>
      <c r="N890" s="26" t="str">
        <f aca="false">IF($G890="","",IF($G890=R_LOT,COUNTIF($G$5:$G890,R_LOT),""))</f>
        <v/>
      </c>
    </row>
    <row r="891" customFormat="false" ht="15" hidden="false" customHeight="false" outlineLevel="0" collapsed="false">
      <c r="A891" s="28" t="str">
        <f aca="false">IF($K891=0,"",ROW()-4)</f>
        <v/>
      </c>
      <c r="B891" s="26" t="str">
        <f aca="false">IF($K891=0,"","RESULTAT ST")</f>
        <v/>
      </c>
      <c r="C891" s="26" t="str">
        <f aca="false">IF($K891=0,"",ST_RESULTATS!$A141)</f>
        <v/>
      </c>
      <c r="D891" s="31" t="str">
        <f aca="false">IF($K891=0,"",ST_RESULTATS!$V141)</f>
        <v/>
      </c>
      <c r="E891" s="26" t="str">
        <f aca="false">IF($K891=0,"","ENTREE")</f>
        <v/>
      </c>
      <c r="F891" s="26" t="str">
        <f aca="false">IF($K891=0,"","RETOUR SOUS-TRAITANCE")</f>
        <v/>
      </c>
      <c r="G891" s="26" t="str">
        <f aca="false">IF($K891=0,"",ST_RESULTATS!$N141)</f>
        <v/>
      </c>
      <c r="H891" s="26" t="str">
        <f aca="false">IF($K891=0,"",ST_RESULTATS!$J141)</f>
        <v/>
      </c>
      <c r="I891" s="26" t="str">
        <f aca="false">IF($H891="","",IFERROR(INDEX(EMPL_CLASSE,MATCH($H891,EMPL_KEY,0)),""))</f>
        <v/>
      </c>
      <c r="J891" s="26" t="str">
        <f aca="false">IF($K891=0,"",IFERROR(INDEX(LOT_PRODE,MATCH($G891,LOT_KEY,0)),""))</f>
        <v/>
      </c>
      <c r="K891" s="67" t="n">
        <f aca="false">IF(ST_RESULTATS!$P141=0,0,ST_RESULTATS!$F141)</f>
        <v>0</v>
      </c>
      <c r="L891" s="67" t="n">
        <f aca="false">IF($K891=0,0,ST_RESULTATS!$T141*$K891)</f>
        <v>0</v>
      </c>
      <c r="M891" s="26" t="str">
        <f aca="false">IF($K891=0,"",ST_RESULTATS!$S141)</f>
        <v/>
      </c>
      <c r="N891" s="26" t="str">
        <f aca="false">IF($G891="","",IF($G891=R_LOT,COUNTIF($G$5:$G891,R_LOT),""))</f>
        <v/>
      </c>
    </row>
    <row r="892" customFormat="false" ht="15" hidden="false" customHeight="false" outlineLevel="0" collapsed="false">
      <c r="A892" s="28" t="str">
        <f aca="false">IF($K892=0,"",ROW()-4)</f>
        <v/>
      </c>
      <c r="B892" s="26" t="str">
        <f aca="false">IF($K892=0,"","RESULTAT ST")</f>
        <v/>
      </c>
      <c r="C892" s="26" t="str">
        <f aca="false">IF($K892=0,"",ST_RESULTATS!$A142)</f>
        <v/>
      </c>
      <c r="D892" s="31" t="str">
        <f aca="false">IF($K892=0,"",ST_RESULTATS!$V142)</f>
        <v/>
      </c>
      <c r="E892" s="26" t="str">
        <f aca="false">IF($K892=0,"","ENTREE")</f>
        <v/>
      </c>
      <c r="F892" s="26" t="str">
        <f aca="false">IF($K892=0,"","RETOUR SOUS-TRAITANCE")</f>
        <v/>
      </c>
      <c r="G892" s="26" t="str">
        <f aca="false">IF($K892=0,"",ST_RESULTATS!$N142)</f>
        <v/>
      </c>
      <c r="H892" s="26" t="str">
        <f aca="false">IF($K892=0,"",ST_RESULTATS!$J142)</f>
        <v/>
      </c>
      <c r="I892" s="26" t="str">
        <f aca="false">IF($H892="","",IFERROR(INDEX(EMPL_CLASSE,MATCH($H892,EMPL_KEY,0)),""))</f>
        <v/>
      </c>
      <c r="J892" s="26" t="str">
        <f aca="false">IF($K892=0,"",IFERROR(INDEX(LOT_PRODE,MATCH($G892,LOT_KEY,0)),""))</f>
        <v/>
      </c>
      <c r="K892" s="67" t="n">
        <f aca="false">IF(ST_RESULTATS!$P142=0,0,ST_RESULTATS!$F142)</f>
        <v>0</v>
      </c>
      <c r="L892" s="67" t="n">
        <f aca="false">IF($K892=0,0,ST_RESULTATS!$T142*$K892)</f>
        <v>0</v>
      </c>
      <c r="M892" s="26" t="str">
        <f aca="false">IF($K892=0,"",ST_RESULTATS!$S142)</f>
        <v/>
      </c>
      <c r="N892" s="26" t="str">
        <f aca="false">IF($G892="","",IF($G892=R_LOT,COUNTIF($G$5:$G892,R_LOT),""))</f>
        <v/>
      </c>
    </row>
    <row r="893" customFormat="false" ht="15" hidden="false" customHeight="false" outlineLevel="0" collapsed="false">
      <c r="A893" s="28" t="str">
        <f aca="false">IF($K893=0,"",ROW()-4)</f>
        <v/>
      </c>
      <c r="B893" s="26" t="str">
        <f aca="false">IF($K893=0,"","RESULTAT ST")</f>
        <v/>
      </c>
      <c r="C893" s="26" t="str">
        <f aca="false">IF($K893=0,"",ST_RESULTATS!$A143)</f>
        <v/>
      </c>
      <c r="D893" s="31" t="str">
        <f aca="false">IF($K893=0,"",ST_RESULTATS!$V143)</f>
        <v/>
      </c>
      <c r="E893" s="26" t="str">
        <f aca="false">IF($K893=0,"","ENTREE")</f>
        <v/>
      </c>
      <c r="F893" s="26" t="str">
        <f aca="false">IF($K893=0,"","RETOUR SOUS-TRAITANCE")</f>
        <v/>
      </c>
      <c r="G893" s="26" t="str">
        <f aca="false">IF($K893=0,"",ST_RESULTATS!$N143)</f>
        <v/>
      </c>
      <c r="H893" s="26" t="str">
        <f aca="false">IF($K893=0,"",ST_RESULTATS!$J143)</f>
        <v/>
      </c>
      <c r="I893" s="26" t="str">
        <f aca="false">IF($H893="","",IFERROR(INDEX(EMPL_CLASSE,MATCH($H893,EMPL_KEY,0)),""))</f>
        <v/>
      </c>
      <c r="J893" s="26" t="str">
        <f aca="false">IF($K893=0,"",IFERROR(INDEX(LOT_PRODE,MATCH($G893,LOT_KEY,0)),""))</f>
        <v/>
      </c>
      <c r="K893" s="67" t="n">
        <f aca="false">IF(ST_RESULTATS!$P143=0,0,ST_RESULTATS!$F143)</f>
        <v>0</v>
      </c>
      <c r="L893" s="67" t="n">
        <f aca="false">IF($K893=0,0,ST_RESULTATS!$T143*$K893)</f>
        <v>0</v>
      </c>
      <c r="M893" s="26" t="str">
        <f aca="false">IF($K893=0,"",ST_RESULTATS!$S143)</f>
        <v/>
      </c>
      <c r="N893" s="26" t="str">
        <f aca="false">IF($G893="","",IF($G893=R_LOT,COUNTIF($G$5:$G893,R_LOT),""))</f>
        <v/>
      </c>
    </row>
    <row r="894" customFormat="false" ht="15" hidden="false" customHeight="false" outlineLevel="0" collapsed="false">
      <c r="A894" s="28" t="str">
        <f aca="false">IF($K894=0,"",ROW()-4)</f>
        <v/>
      </c>
      <c r="B894" s="26" t="str">
        <f aca="false">IF($K894=0,"","RESULTAT ST")</f>
        <v/>
      </c>
      <c r="C894" s="26" t="str">
        <f aca="false">IF($K894=0,"",ST_RESULTATS!$A144)</f>
        <v/>
      </c>
      <c r="D894" s="31" t="str">
        <f aca="false">IF($K894=0,"",ST_RESULTATS!$V144)</f>
        <v/>
      </c>
      <c r="E894" s="26" t="str">
        <f aca="false">IF($K894=0,"","ENTREE")</f>
        <v/>
      </c>
      <c r="F894" s="26" t="str">
        <f aca="false">IF($K894=0,"","RETOUR SOUS-TRAITANCE")</f>
        <v/>
      </c>
      <c r="G894" s="26" t="str">
        <f aca="false">IF($K894=0,"",ST_RESULTATS!$N144)</f>
        <v/>
      </c>
      <c r="H894" s="26" t="str">
        <f aca="false">IF($K894=0,"",ST_RESULTATS!$J144)</f>
        <v/>
      </c>
      <c r="I894" s="26" t="str">
        <f aca="false">IF($H894="","",IFERROR(INDEX(EMPL_CLASSE,MATCH($H894,EMPL_KEY,0)),""))</f>
        <v/>
      </c>
      <c r="J894" s="26" t="str">
        <f aca="false">IF($K894=0,"",IFERROR(INDEX(LOT_PRODE,MATCH($G894,LOT_KEY,0)),""))</f>
        <v/>
      </c>
      <c r="K894" s="67" t="n">
        <f aca="false">IF(ST_RESULTATS!$P144=0,0,ST_RESULTATS!$F144)</f>
        <v>0</v>
      </c>
      <c r="L894" s="67" t="n">
        <f aca="false">IF($K894=0,0,ST_RESULTATS!$T144*$K894)</f>
        <v>0</v>
      </c>
      <c r="M894" s="26" t="str">
        <f aca="false">IF($K894=0,"",ST_RESULTATS!$S144)</f>
        <v/>
      </c>
      <c r="N894" s="26" t="str">
        <f aca="false">IF($G894="","",IF($G894=R_LOT,COUNTIF($G$5:$G894,R_LOT),""))</f>
        <v/>
      </c>
    </row>
    <row r="895" customFormat="false" ht="15" hidden="false" customHeight="false" outlineLevel="0" collapsed="false">
      <c r="A895" s="28" t="str">
        <f aca="false">IF($K895=0,"",ROW()-4)</f>
        <v/>
      </c>
      <c r="B895" s="26" t="str">
        <f aca="false">IF($K895=0,"","RESULTAT ST")</f>
        <v/>
      </c>
      <c r="C895" s="26" t="str">
        <f aca="false">IF($K895=0,"",ST_RESULTATS!$A145)</f>
        <v/>
      </c>
      <c r="D895" s="31" t="str">
        <f aca="false">IF($K895=0,"",ST_RESULTATS!$V145)</f>
        <v/>
      </c>
      <c r="E895" s="26" t="str">
        <f aca="false">IF($K895=0,"","ENTREE")</f>
        <v/>
      </c>
      <c r="F895" s="26" t="str">
        <f aca="false">IF($K895=0,"","RETOUR SOUS-TRAITANCE")</f>
        <v/>
      </c>
      <c r="G895" s="26" t="str">
        <f aca="false">IF($K895=0,"",ST_RESULTATS!$N145)</f>
        <v/>
      </c>
      <c r="H895" s="26" t="str">
        <f aca="false">IF($K895=0,"",ST_RESULTATS!$J145)</f>
        <v/>
      </c>
      <c r="I895" s="26" t="str">
        <f aca="false">IF($H895="","",IFERROR(INDEX(EMPL_CLASSE,MATCH($H895,EMPL_KEY,0)),""))</f>
        <v/>
      </c>
      <c r="J895" s="26" t="str">
        <f aca="false">IF($K895=0,"",IFERROR(INDEX(LOT_PRODE,MATCH($G895,LOT_KEY,0)),""))</f>
        <v/>
      </c>
      <c r="K895" s="67" t="n">
        <f aca="false">IF(ST_RESULTATS!$P145=0,0,ST_RESULTATS!$F145)</f>
        <v>0</v>
      </c>
      <c r="L895" s="67" t="n">
        <f aca="false">IF($K895=0,0,ST_RESULTATS!$T145*$K895)</f>
        <v>0</v>
      </c>
      <c r="M895" s="26" t="str">
        <f aca="false">IF($K895=0,"",ST_RESULTATS!$S145)</f>
        <v/>
      </c>
      <c r="N895" s="26" t="str">
        <f aca="false">IF($G895="","",IF($G895=R_LOT,COUNTIF($G$5:$G895,R_LOT),""))</f>
        <v/>
      </c>
    </row>
    <row r="896" customFormat="false" ht="15" hidden="false" customHeight="false" outlineLevel="0" collapsed="false">
      <c r="A896" s="28" t="str">
        <f aca="false">IF($K896=0,"",ROW()-4)</f>
        <v/>
      </c>
      <c r="B896" s="26" t="str">
        <f aca="false">IF($K896=0,"","RESULTAT ST")</f>
        <v/>
      </c>
      <c r="C896" s="26" t="str">
        <f aca="false">IF($K896=0,"",ST_RESULTATS!$A146)</f>
        <v/>
      </c>
      <c r="D896" s="31" t="str">
        <f aca="false">IF($K896=0,"",ST_RESULTATS!$V146)</f>
        <v/>
      </c>
      <c r="E896" s="26" t="str">
        <f aca="false">IF($K896=0,"","ENTREE")</f>
        <v/>
      </c>
      <c r="F896" s="26" t="str">
        <f aca="false">IF($K896=0,"","RETOUR SOUS-TRAITANCE")</f>
        <v/>
      </c>
      <c r="G896" s="26" t="str">
        <f aca="false">IF($K896=0,"",ST_RESULTATS!$N146)</f>
        <v/>
      </c>
      <c r="H896" s="26" t="str">
        <f aca="false">IF($K896=0,"",ST_RESULTATS!$J146)</f>
        <v/>
      </c>
      <c r="I896" s="26" t="str">
        <f aca="false">IF($H896="","",IFERROR(INDEX(EMPL_CLASSE,MATCH($H896,EMPL_KEY,0)),""))</f>
        <v/>
      </c>
      <c r="J896" s="26" t="str">
        <f aca="false">IF($K896=0,"",IFERROR(INDEX(LOT_PRODE,MATCH($G896,LOT_KEY,0)),""))</f>
        <v/>
      </c>
      <c r="K896" s="67" t="n">
        <f aca="false">IF(ST_RESULTATS!$P146=0,0,ST_RESULTATS!$F146)</f>
        <v>0</v>
      </c>
      <c r="L896" s="67" t="n">
        <f aca="false">IF($K896=0,0,ST_RESULTATS!$T146*$K896)</f>
        <v>0</v>
      </c>
      <c r="M896" s="26" t="str">
        <f aca="false">IF($K896=0,"",ST_RESULTATS!$S146)</f>
        <v/>
      </c>
      <c r="N896" s="26" t="str">
        <f aca="false">IF($G896="","",IF($G896=R_LOT,COUNTIF($G$5:$G896,R_LOT),""))</f>
        <v/>
      </c>
    </row>
    <row r="897" customFormat="false" ht="15" hidden="false" customHeight="false" outlineLevel="0" collapsed="false">
      <c r="A897" s="28" t="str">
        <f aca="false">IF($K897=0,"",ROW()-4)</f>
        <v/>
      </c>
      <c r="B897" s="26" t="str">
        <f aca="false">IF($K897=0,"","RESULTAT ST")</f>
        <v/>
      </c>
      <c r="C897" s="26" t="str">
        <f aca="false">IF($K897=0,"",ST_RESULTATS!$A147)</f>
        <v/>
      </c>
      <c r="D897" s="31" t="str">
        <f aca="false">IF($K897=0,"",ST_RESULTATS!$V147)</f>
        <v/>
      </c>
      <c r="E897" s="26" t="str">
        <f aca="false">IF($K897=0,"","ENTREE")</f>
        <v/>
      </c>
      <c r="F897" s="26" t="str">
        <f aca="false">IF($K897=0,"","RETOUR SOUS-TRAITANCE")</f>
        <v/>
      </c>
      <c r="G897" s="26" t="str">
        <f aca="false">IF($K897=0,"",ST_RESULTATS!$N147)</f>
        <v/>
      </c>
      <c r="H897" s="26" t="str">
        <f aca="false">IF($K897=0,"",ST_RESULTATS!$J147)</f>
        <v/>
      </c>
      <c r="I897" s="26" t="str">
        <f aca="false">IF($H897="","",IFERROR(INDEX(EMPL_CLASSE,MATCH($H897,EMPL_KEY,0)),""))</f>
        <v/>
      </c>
      <c r="J897" s="26" t="str">
        <f aca="false">IF($K897=0,"",IFERROR(INDEX(LOT_PRODE,MATCH($G897,LOT_KEY,0)),""))</f>
        <v/>
      </c>
      <c r="K897" s="67" t="n">
        <f aca="false">IF(ST_RESULTATS!$P147=0,0,ST_RESULTATS!$F147)</f>
        <v>0</v>
      </c>
      <c r="L897" s="67" t="n">
        <f aca="false">IF($K897=0,0,ST_RESULTATS!$T147*$K897)</f>
        <v>0</v>
      </c>
      <c r="M897" s="26" t="str">
        <f aca="false">IF($K897=0,"",ST_RESULTATS!$S147)</f>
        <v/>
      </c>
      <c r="N897" s="26" t="str">
        <f aca="false">IF($G897="","",IF($G897=R_LOT,COUNTIF($G$5:$G897,R_LOT),""))</f>
        <v/>
      </c>
    </row>
    <row r="898" customFormat="false" ht="15" hidden="false" customHeight="false" outlineLevel="0" collapsed="false">
      <c r="A898" s="28" t="str">
        <f aca="false">IF($K898=0,"",ROW()-4)</f>
        <v/>
      </c>
      <c r="B898" s="26" t="str">
        <f aca="false">IF($K898=0,"","RESULTAT ST")</f>
        <v/>
      </c>
      <c r="C898" s="26" t="str">
        <f aca="false">IF($K898=0,"",ST_RESULTATS!$A148)</f>
        <v/>
      </c>
      <c r="D898" s="31" t="str">
        <f aca="false">IF($K898=0,"",ST_RESULTATS!$V148)</f>
        <v/>
      </c>
      <c r="E898" s="26" t="str">
        <f aca="false">IF($K898=0,"","ENTREE")</f>
        <v/>
      </c>
      <c r="F898" s="26" t="str">
        <f aca="false">IF($K898=0,"","RETOUR SOUS-TRAITANCE")</f>
        <v/>
      </c>
      <c r="G898" s="26" t="str">
        <f aca="false">IF($K898=0,"",ST_RESULTATS!$N148)</f>
        <v/>
      </c>
      <c r="H898" s="26" t="str">
        <f aca="false">IF($K898=0,"",ST_RESULTATS!$J148)</f>
        <v/>
      </c>
      <c r="I898" s="26" t="str">
        <f aca="false">IF($H898="","",IFERROR(INDEX(EMPL_CLASSE,MATCH($H898,EMPL_KEY,0)),""))</f>
        <v/>
      </c>
      <c r="J898" s="26" t="str">
        <f aca="false">IF($K898=0,"",IFERROR(INDEX(LOT_PRODE,MATCH($G898,LOT_KEY,0)),""))</f>
        <v/>
      </c>
      <c r="K898" s="67" t="n">
        <f aca="false">IF(ST_RESULTATS!$P148=0,0,ST_RESULTATS!$F148)</f>
        <v>0</v>
      </c>
      <c r="L898" s="67" t="n">
        <f aca="false">IF($K898=0,0,ST_RESULTATS!$T148*$K898)</f>
        <v>0</v>
      </c>
      <c r="M898" s="26" t="str">
        <f aca="false">IF($K898=0,"",ST_RESULTATS!$S148)</f>
        <v/>
      </c>
      <c r="N898" s="26" t="str">
        <f aca="false">IF($G898="","",IF($G898=R_LOT,COUNTIF($G$5:$G898,R_LOT),""))</f>
        <v/>
      </c>
    </row>
    <row r="899" customFormat="false" ht="15" hidden="false" customHeight="false" outlineLevel="0" collapsed="false">
      <c r="A899" s="28" t="str">
        <f aca="false">IF($K899=0,"",ROW()-4)</f>
        <v/>
      </c>
      <c r="B899" s="26" t="str">
        <f aca="false">IF($K899=0,"","RESULTAT ST")</f>
        <v/>
      </c>
      <c r="C899" s="26" t="str">
        <f aca="false">IF($K899=0,"",ST_RESULTATS!$A149)</f>
        <v/>
      </c>
      <c r="D899" s="31" t="str">
        <f aca="false">IF($K899=0,"",ST_RESULTATS!$V149)</f>
        <v/>
      </c>
      <c r="E899" s="26" t="str">
        <f aca="false">IF($K899=0,"","ENTREE")</f>
        <v/>
      </c>
      <c r="F899" s="26" t="str">
        <f aca="false">IF($K899=0,"","RETOUR SOUS-TRAITANCE")</f>
        <v/>
      </c>
      <c r="G899" s="26" t="str">
        <f aca="false">IF($K899=0,"",ST_RESULTATS!$N149)</f>
        <v/>
      </c>
      <c r="H899" s="26" t="str">
        <f aca="false">IF($K899=0,"",ST_RESULTATS!$J149)</f>
        <v/>
      </c>
      <c r="I899" s="26" t="str">
        <f aca="false">IF($H899="","",IFERROR(INDEX(EMPL_CLASSE,MATCH($H899,EMPL_KEY,0)),""))</f>
        <v/>
      </c>
      <c r="J899" s="26" t="str">
        <f aca="false">IF($K899=0,"",IFERROR(INDEX(LOT_PRODE,MATCH($G899,LOT_KEY,0)),""))</f>
        <v/>
      </c>
      <c r="K899" s="67" t="n">
        <f aca="false">IF(ST_RESULTATS!$P149=0,0,ST_RESULTATS!$F149)</f>
        <v>0</v>
      </c>
      <c r="L899" s="67" t="n">
        <f aca="false">IF($K899=0,0,ST_RESULTATS!$T149*$K899)</f>
        <v>0</v>
      </c>
      <c r="M899" s="26" t="str">
        <f aca="false">IF($K899=0,"",ST_RESULTATS!$S149)</f>
        <v/>
      </c>
      <c r="N899" s="26" t="str">
        <f aca="false">IF($G899="","",IF($G899=R_LOT,COUNTIF($G$5:$G899,R_LOT),""))</f>
        <v/>
      </c>
    </row>
    <row r="900" customFormat="false" ht="15" hidden="false" customHeight="false" outlineLevel="0" collapsed="false">
      <c r="A900" s="28" t="str">
        <f aca="false">IF($K900=0,"",ROW()-4)</f>
        <v/>
      </c>
      <c r="B900" s="26" t="str">
        <f aca="false">IF($K900=0,"","RESULTAT ST")</f>
        <v/>
      </c>
      <c r="C900" s="26" t="str">
        <f aca="false">IF($K900=0,"",ST_RESULTATS!$A150)</f>
        <v/>
      </c>
      <c r="D900" s="31" t="str">
        <f aca="false">IF($K900=0,"",ST_RESULTATS!$V150)</f>
        <v/>
      </c>
      <c r="E900" s="26" t="str">
        <f aca="false">IF($K900=0,"","ENTREE")</f>
        <v/>
      </c>
      <c r="F900" s="26" t="str">
        <f aca="false">IF($K900=0,"","RETOUR SOUS-TRAITANCE")</f>
        <v/>
      </c>
      <c r="G900" s="26" t="str">
        <f aca="false">IF($K900=0,"",ST_RESULTATS!$N150)</f>
        <v/>
      </c>
      <c r="H900" s="26" t="str">
        <f aca="false">IF($K900=0,"",ST_RESULTATS!$J150)</f>
        <v/>
      </c>
      <c r="I900" s="26" t="str">
        <f aca="false">IF($H900="","",IFERROR(INDEX(EMPL_CLASSE,MATCH($H900,EMPL_KEY,0)),""))</f>
        <v/>
      </c>
      <c r="J900" s="26" t="str">
        <f aca="false">IF($K900=0,"",IFERROR(INDEX(LOT_PRODE,MATCH($G900,LOT_KEY,0)),""))</f>
        <v/>
      </c>
      <c r="K900" s="67" t="n">
        <f aca="false">IF(ST_RESULTATS!$P150=0,0,ST_RESULTATS!$F150)</f>
        <v>0</v>
      </c>
      <c r="L900" s="67" t="n">
        <f aca="false">IF($K900=0,0,ST_RESULTATS!$T150*$K900)</f>
        <v>0</v>
      </c>
      <c r="M900" s="26" t="str">
        <f aca="false">IF($K900=0,"",ST_RESULTATS!$S150)</f>
        <v/>
      </c>
      <c r="N900" s="26" t="str">
        <f aca="false">IF($G900="","",IF($G900=R_LOT,COUNTIF($G$5:$G900,R_LOT),""))</f>
        <v/>
      </c>
    </row>
    <row r="901" customFormat="false" ht="15" hidden="false" customHeight="false" outlineLevel="0" collapsed="false">
      <c r="A901" s="28" t="str">
        <f aca="false">IF($K901=0,"",ROW()-4)</f>
        <v/>
      </c>
      <c r="B901" s="26" t="str">
        <f aca="false">IF($K901=0,"","RESULTAT ST")</f>
        <v/>
      </c>
      <c r="C901" s="26" t="str">
        <f aca="false">IF($K901=0,"",ST_RESULTATS!$A151)</f>
        <v/>
      </c>
      <c r="D901" s="31" t="str">
        <f aca="false">IF($K901=0,"",ST_RESULTATS!$V151)</f>
        <v/>
      </c>
      <c r="E901" s="26" t="str">
        <f aca="false">IF($K901=0,"","ENTREE")</f>
        <v/>
      </c>
      <c r="F901" s="26" t="str">
        <f aca="false">IF($K901=0,"","RETOUR SOUS-TRAITANCE")</f>
        <v/>
      </c>
      <c r="G901" s="26" t="str">
        <f aca="false">IF($K901=0,"",ST_RESULTATS!$N151)</f>
        <v/>
      </c>
      <c r="H901" s="26" t="str">
        <f aca="false">IF($K901=0,"",ST_RESULTATS!$J151)</f>
        <v/>
      </c>
      <c r="I901" s="26" t="str">
        <f aca="false">IF($H901="","",IFERROR(INDEX(EMPL_CLASSE,MATCH($H901,EMPL_KEY,0)),""))</f>
        <v/>
      </c>
      <c r="J901" s="26" t="str">
        <f aca="false">IF($K901=0,"",IFERROR(INDEX(LOT_PRODE,MATCH($G901,LOT_KEY,0)),""))</f>
        <v/>
      </c>
      <c r="K901" s="67" t="n">
        <f aca="false">IF(ST_RESULTATS!$P151=0,0,ST_RESULTATS!$F151)</f>
        <v>0</v>
      </c>
      <c r="L901" s="67" t="n">
        <f aca="false">IF($K901=0,0,ST_RESULTATS!$T151*$K901)</f>
        <v>0</v>
      </c>
      <c r="M901" s="26" t="str">
        <f aca="false">IF($K901=0,"",ST_RESULTATS!$S151)</f>
        <v/>
      </c>
      <c r="N901" s="26" t="str">
        <f aca="false">IF($G901="","",IF($G901=R_LOT,COUNTIF($G$5:$G901,R_LOT),""))</f>
        <v/>
      </c>
    </row>
    <row r="902" customFormat="false" ht="15" hidden="false" customHeight="false" outlineLevel="0" collapsed="false">
      <c r="A902" s="28" t="str">
        <f aca="false">IF($K902=0,"",ROW()-4)</f>
        <v/>
      </c>
      <c r="B902" s="26" t="str">
        <f aca="false">IF($K902=0,"","RESULTAT ST")</f>
        <v/>
      </c>
      <c r="C902" s="26" t="str">
        <f aca="false">IF($K902=0,"",ST_RESULTATS!$A152)</f>
        <v/>
      </c>
      <c r="D902" s="31" t="str">
        <f aca="false">IF($K902=0,"",ST_RESULTATS!$V152)</f>
        <v/>
      </c>
      <c r="E902" s="26" t="str">
        <f aca="false">IF($K902=0,"","ENTREE")</f>
        <v/>
      </c>
      <c r="F902" s="26" t="str">
        <f aca="false">IF($K902=0,"","RETOUR SOUS-TRAITANCE")</f>
        <v/>
      </c>
      <c r="G902" s="26" t="str">
        <f aca="false">IF($K902=0,"",ST_RESULTATS!$N152)</f>
        <v/>
      </c>
      <c r="H902" s="26" t="str">
        <f aca="false">IF($K902=0,"",ST_RESULTATS!$J152)</f>
        <v/>
      </c>
      <c r="I902" s="26" t="str">
        <f aca="false">IF($H902="","",IFERROR(INDEX(EMPL_CLASSE,MATCH($H902,EMPL_KEY,0)),""))</f>
        <v/>
      </c>
      <c r="J902" s="26" t="str">
        <f aca="false">IF($K902=0,"",IFERROR(INDEX(LOT_PRODE,MATCH($G902,LOT_KEY,0)),""))</f>
        <v/>
      </c>
      <c r="K902" s="67" t="n">
        <f aca="false">IF(ST_RESULTATS!$P152=0,0,ST_RESULTATS!$F152)</f>
        <v>0</v>
      </c>
      <c r="L902" s="67" t="n">
        <f aca="false">IF($K902=0,0,ST_RESULTATS!$T152*$K902)</f>
        <v>0</v>
      </c>
      <c r="M902" s="26" t="str">
        <f aca="false">IF($K902=0,"",ST_RESULTATS!$S152)</f>
        <v/>
      </c>
      <c r="N902" s="26" t="str">
        <f aca="false">IF($G902="","",IF($G902=R_LOT,COUNTIF($G$5:$G902,R_LOT),""))</f>
        <v/>
      </c>
    </row>
    <row r="903" customFormat="false" ht="15" hidden="false" customHeight="false" outlineLevel="0" collapsed="false">
      <c r="A903" s="28" t="str">
        <f aca="false">IF($K903=0,"",ROW()-4)</f>
        <v/>
      </c>
      <c r="B903" s="26" t="str">
        <f aca="false">IF($K903=0,"","RESULTAT ST")</f>
        <v/>
      </c>
      <c r="C903" s="26" t="str">
        <f aca="false">IF($K903=0,"",ST_RESULTATS!$A153)</f>
        <v/>
      </c>
      <c r="D903" s="31" t="str">
        <f aca="false">IF($K903=0,"",ST_RESULTATS!$V153)</f>
        <v/>
      </c>
      <c r="E903" s="26" t="str">
        <f aca="false">IF($K903=0,"","ENTREE")</f>
        <v/>
      </c>
      <c r="F903" s="26" t="str">
        <f aca="false">IF($K903=0,"","RETOUR SOUS-TRAITANCE")</f>
        <v/>
      </c>
      <c r="G903" s="26" t="str">
        <f aca="false">IF($K903=0,"",ST_RESULTATS!$N153)</f>
        <v/>
      </c>
      <c r="H903" s="26" t="str">
        <f aca="false">IF($K903=0,"",ST_RESULTATS!$J153)</f>
        <v/>
      </c>
      <c r="I903" s="26" t="str">
        <f aca="false">IF($H903="","",IFERROR(INDEX(EMPL_CLASSE,MATCH($H903,EMPL_KEY,0)),""))</f>
        <v/>
      </c>
      <c r="J903" s="26" t="str">
        <f aca="false">IF($K903=0,"",IFERROR(INDEX(LOT_PRODE,MATCH($G903,LOT_KEY,0)),""))</f>
        <v/>
      </c>
      <c r="K903" s="67" t="n">
        <f aca="false">IF(ST_RESULTATS!$P153=0,0,ST_RESULTATS!$F153)</f>
        <v>0</v>
      </c>
      <c r="L903" s="67" t="n">
        <f aca="false">IF($K903=0,0,ST_RESULTATS!$T153*$K903)</f>
        <v>0</v>
      </c>
      <c r="M903" s="26" t="str">
        <f aca="false">IF($K903=0,"",ST_RESULTATS!$S153)</f>
        <v/>
      </c>
      <c r="N903" s="26" t="str">
        <f aca="false">IF($G903="","",IF($G903=R_LOT,COUNTIF($G$5:$G903,R_LOT),""))</f>
        <v/>
      </c>
    </row>
    <row r="904" customFormat="false" ht="15" hidden="false" customHeight="false" outlineLevel="0" collapsed="false">
      <c r="A904" s="28" t="str">
        <f aca="false">IF($K904=0,"",ROW()-4)</f>
        <v/>
      </c>
      <c r="B904" s="26" t="str">
        <f aca="false">IF($K904=0,"","RESULTAT ST")</f>
        <v/>
      </c>
      <c r="C904" s="26" t="str">
        <f aca="false">IF($K904=0,"",ST_RESULTATS!$A154)</f>
        <v/>
      </c>
      <c r="D904" s="31" t="str">
        <f aca="false">IF($K904=0,"",ST_RESULTATS!$V154)</f>
        <v/>
      </c>
      <c r="E904" s="26" t="str">
        <f aca="false">IF($K904=0,"","ENTREE")</f>
        <v/>
      </c>
      <c r="F904" s="26" t="str">
        <f aca="false">IF($K904=0,"","RETOUR SOUS-TRAITANCE")</f>
        <v/>
      </c>
      <c r="G904" s="26" t="str">
        <f aca="false">IF($K904=0,"",ST_RESULTATS!$N154)</f>
        <v/>
      </c>
      <c r="H904" s="26" t="str">
        <f aca="false">IF($K904=0,"",ST_RESULTATS!$J154)</f>
        <v/>
      </c>
      <c r="I904" s="26" t="str">
        <f aca="false">IF($H904="","",IFERROR(INDEX(EMPL_CLASSE,MATCH($H904,EMPL_KEY,0)),""))</f>
        <v/>
      </c>
      <c r="J904" s="26" t="str">
        <f aca="false">IF($K904=0,"",IFERROR(INDEX(LOT_PRODE,MATCH($G904,LOT_KEY,0)),""))</f>
        <v/>
      </c>
      <c r="K904" s="67" t="n">
        <f aca="false">IF(ST_RESULTATS!$P154=0,0,ST_RESULTATS!$F154)</f>
        <v>0</v>
      </c>
      <c r="L904" s="67" t="n">
        <f aca="false">IF($K904=0,0,ST_RESULTATS!$T154*$K904)</f>
        <v>0</v>
      </c>
      <c r="M904" s="26" t="str">
        <f aca="false">IF($K904=0,"",ST_RESULTATS!$S154)</f>
        <v/>
      </c>
      <c r="N904" s="26" t="str">
        <f aca="false">IF($G904="","",IF($G904=R_LOT,COUNTIF($G$5:$G904,R_LOT),""))</f>
        <v/>
      </c>
    </row>
    <row r="905" customFormat="false" ht="15" hidden="false" customHeight="false" outlineLevel="0" collapsed="false">
      <c r="A905" s="28" t="str">
        <f aca="false">IF($K905=0,"",ROW()-4)</f>
        <v/>
      </c>
      <c r="B905" s="26" t="str">
        <f aca="false">IF($K905=0,"","RESULTAT ST")</f>
        <v/>
      </c>
      <c r="C905" s="26" t="str">
        <f aca="false">IF($K905=0,"",ST_RESULTATS!$A155)</f>
        <v/>
      </c>
      <c r="D905" s="31" t="str">
        <f aca="false">IF($K905=0,"",ST_RESULTATS!$V155)</f>
        <v/>
      </c>
      <c r="E905" s="26" t="str">
        <f aca="false">IF($K905=0,"","ENTREE")</f>
        <v/>
      </c>
      <c r="F905" s="26" t="str">
        <f aca="false">IF($K905=0,"","RETOUR SOUS-TRAITANCE")</f>
        <v/>
      </c>
      <c r="G905" s="26" t="str">
        <f aca="false">IF($K905=0,"",ST_RESULTATS!$N155)</f>
        <v/>
      </c>
      <c r="H905" s="26" t="str">
        <f aca="false">IF($K905=0,"",ST_RESULTATS!$J155)</f>
        <v/>
      </c>
      <c r="I905" s="26" t="str">
        <f aca="false">IF($H905="","",IFERROR(INDEX(EMPL_CLASSE,MATCH($H905,EMPL_KEY,0)),""))</f>
        <v/>
      </c>
      <c r="J905" s="26" t="str">
        <f aca="false">IF($K905=0,"",IFERROR(INDEX(LOT_PRODE,MATCH($G905,LOT_KEY,0)),""))</f>
        <v/>
      </c>
      <c r="K905" s="67" t="n">
        <f aca="false">IF(ST_RESULTATS!$P155=0,0,ST_RESULTATS!$F155)</f>
        <v>0</v>
      </c>
      <c r="L905" s="67" t="n">
        <f aca="false">IF($K905=0,0,ST_RESULTATS!$T155*$K905)</f>
        <v>0</v>
      </c>
      <c r="M905" s="26" t="str">
        <f aca="false">IF($K905=0,"",ST_RESULTATS!$S155)</f>
        <v/>
      </c>
      <c r="N905" s="26" t="str">
        <f aca="false">IF($G905="","",IF($G905=R_LOT,COUNTIF($G$5:$G905,R_LOT),""))</f>
        <v/>
      </c>
    </row>
    <row r="906" customFormat="false" ht="15" hidden="false" customHeight="false" outlineLevel="0" collapsed="false">
      <c r="A906" s="28" t="str">
        <f aca="false">IF($K906=0,"",ROW()-4)</f>
        <v/>
      </c>
      <c r="B906" s="26" t="str">
        <f aca="false">IF($K906=0,"","RESULTAT ST")</f>
        <v/>
      </c>
      <c r="C906" s="26" t="str">
        <f aca="false">IF($K906=0,"",ST_RESULTATS!$A156)</f>
        <v/>
      </c>
      <c r="D906" s="31" t="str">
        <f aca="false">IF($K906=0,"",ST_RESULTATS!$V156)</f>
        <v/>
      </c>
      <c r="E906" s="26" t="str">
        <f aca="false">IF($K906=0,"","ENTREE")</f>
        <v/>
      </c>
      <c r="F906" s="26" t="str">
        <f aca="false">IF($K906=0,"","RETOUR SOUS-TRAITANCE")</f>
        <v/>
      </c>
      <c r="G906" s="26" t="str">
        <f aca="false">IF($K906=0,"",ST_RESULTATS!$N156)</f>
        <v/>
      </c>
      <c r="H906" s="26" t="str">
        <f aca="false">IF($K906=0,"",ST_RESULTATS!$J156)</f>
        <v/>
      </c>
      <c r="I906" s="26" t="str">
        <f aca="false">IF($H906="","",IFERROR(INDEX(EMPL_CLASSE,MATCH($H906,EMPL_KEY,0)),""))</f>
        <v/>
      </c>
      <c r="J906" s="26" t="str">
        <f aca="false">IF($K906=0,"",IFERROR(INDEX(LOT_PRODE,MATCH($G906,LOT_KEY,0)),""))</f>
        <v/>
      </c>
      <c r="K906" s="67" t="n">
        <f aca="false">IF(ST_RESULTATS!$P156=0,0,ST_RESULTATS!$F156)</f>
        <v>0</v>
      </c>
      <c r="L906" s="67" t="n">
        <f aca="false">IF($K906=0,0,ST_RESULTATS!$T156*$K906)</f>
        <v>0</v>
      </c>
      <c r="M906" s="26" t="str">
        <f aca="false">IF($K906=0,"",ST_RESULTATS!$S156)</f>
        <v/>
      </c>
      <c r="N906" s="26" t="str">
        <f aca="false">IF($G906="","",IF($G906=R_LOT,COUNTIF($G$5:$G906,R_LOT),""))</f>
        <v/>
      </c>
    </row>
    <row r="907" customFormat="false" ht="15" hidden="false" customHeight="false" outlineLevel="0" collapsed="false">
      <c r="A907" s="28" t="str">
        <f aca="false">IF($K907=0,"",ROW()-4)</f>
        <v/>
      </c>
      <c r="B907" s="26" t="str">
        <f aca="false">IF($K907=0,"","RESULTAT ST")</f>
        <v/>
      </c>
      <c r="C907" s="26" t="str">
        <f aca="false">IF($K907=0,"",ST_RESULTATS!$A157)</f>
        <v/>
      </c>
      <c r="D907" s="31" t="str">
        <f aca="false">IF($K907=0,"",ST_RESULTATS!$V157)</f>
        <v/>
      </c>
      <c r="E907" s="26" t="str">
        <f aca="false">IF($K907=0,"","ENTREE")</f>
        <v/>
      </c>
      <c r="F907" s="26" t="str">
        <f aca="false">IF($K907=0,"","RETOUR SOUS-TRAITANCE")</f>
        <v/>
      </c>
      <c r="G907" s="26" t="str">
        <f aca="false">IF($K907=0,"",ST_RESULTATS!$N157)</f>
        <v/>
      </c>
      <c r="H907" s="26" t="str">
        <f aca="false">IF($K907=0,"",ST_RESULTATS!$J157)</f>
        <v/>
      </c>
      <c r="I907" s="26" t="str">
        <f aca="false">IF($H907="","",IFERROR(INDEX(EMPL_CLASSE,MATCH($H907,EMPL_KEY,0)),""))</f>
        <v/>
      </c>
      <c r="J907" s="26" t="str">
        <f aca="false">IF($K907=0,"",IFERROR(INDEX(LOT_PRODE,MATCH($G907,LOT_KEY,0)),""))</f>
        <v/>
      </c>
      <c r="K907" s="67" t="n">
        <f aca="false">IF(ST_RESULTATS!$P157=0,0,ST_RESULTATS!$F157)</f>
        <v>0</v>
      </c>
      <c r="L907" s="67" t="n">
        <f aca="false">IF($K907=0,0,ST_RESULTATS!$T157*$K907)</f>
        <v>0</v>
      </c>
      <c r="M907" s="26" t="str">
        <f aca="false">IF($K907=0,"",ST_RESULTATS!$S157)</f>
        <v/>
      </c>
      <c r="N907" s="26" t="str">
        <f aca="false">IF($G907="","",IF($G907=R_LOT,COUNTIF($G$5:$G907,R_LOT),""))</f>
        <v/>
      </c>
    </row>
    <row r="908" customFormat="false" ht="15" hidden="false" customHeight="false" outlineLevel="0" collapsed="false">
      <c r="A908" s="28" t="str">
        <f aca="false">IF($K908=0,"",ROW()-4)</f>
        <v/>
      </c>
      <c r="B908" s="26" t="str">
        <f aca="false">IF($K908=0,"","RESULTAT ST")</f>
        <v/>
      </c>
      <c r="C908" s="26" t="str">
        <f aca="false">IF($K908=0,"",ST_RESULTATS!$A158)</f>
        <v/>
      </c>
      <c r="D908" s="31" t="str">
        <f aca="false">IF($K908=0,"",ST_RESULTATS!$V158)</f>
        <v/>
      </c>
      <c r="E908" s="26" t="str">
        <f aca="false">IF($K908=0,"","ENTREE")</f>
        <v/>
      </c>
      <c r="F908" s="26" t="str">
        <f aca="false">IF($K908=0,"","RETOUR SOUS-TRAITANCE")</f>
        <v/>
      </c>
      <c r="G908" s="26" t="str">
        <f aca="false">IF($K908=0,"",ST_RESULTATS!$N158)</f>
        <v/>
      </c>
      <c r="H908" s="26" t="str">
        <f aca="false">IF($K908=0,"",ST_RESULTATS!$J158)</f>
        <v/>
      </c>
      <c r="I908" s="26" t="str">
        <f aca="false">IF($H908="","",IFERROR(INDEX(EMPL_CLASSE,MATCH($H908,EMPL_KEY,0)),""))</f>
        <v/>
      </c>
      <c r="J908" s="26" t="str">
        <f aca="false">IF($K908=0,"",IFERROR(INDEX(LOT_PRODE,MATCH($G908,LOT_KEY,0)),""))</f>
        <v/>
      </c>
      <c r="K908" s="67" t="n">
        <f aca="false">IF(ST_RESULTATS!$P158=0,0,ST_RESULTATS!$F158)</f>
        <v>0</v>
      </c>
      <c r="L908" s="67" t="n">
        <f aca="false">IF($K908=0,0,ST_RESULTATS!$T158*$K908)</f>
        <v>0</v>
      </c>
      <c r="M908" s="26" t="str">
        <f aca="false">IF($K908=0,"",ST_RESULTATS!$S158)</f>
        <v/>
      </c>
      <c r="N908" s="26" t="str">
        <f aca="false">IF($G908="","",IF($G908=R_LOT,COUNTIF($G$5:$G908,R_LOT),""))</f>
        <v/>
      </c>
    </row>
    <row r="909" customFormat="false" ht="15" hidden="false" customHeight="false" outlineLevel="0" collapsed="false">
      <c r="A909" s="28" t="str">
        <f aca="false">IF($K909=0,"",ROW()-4)</f>
        <v/>
      </c>
      <c r="B909" s="26" t="str">
        <f aca="false">IF($K909=0,"","RESULTAT ST")</f>
        <v/>
      </c>
      <c r="C909" s="26" t="str">
        <f aca="false">IF($K909=0,"",ST_RESULTATS!$A159)</f>
        <v/>
      </c>
      <c r="D909" s="31" t="str">
        <f aca="false">IF($K909=0,"",ST_RESULTATS!$V159)</f>
        <v/>
      </c>
      <c r="E909" s="26" t="str">
        <f aca="false">IF($K909=0,"","ENTREE")</f>
        <v/>
      </c>
      <c r="F909" s="26" t="str">
        <f aca="false">IF($K909=0,"","RETOUR SOUS-TRAITANCE")</f>
        <v/>
      </c>
      <c r="G909" s="26" t="str">
        <f aca="false">IF($K909=0,"",ST_RESULTATS!$N159)</f>
        <v/>
      </c>
      <c r="H909" s="26" t="str">
        <f aca="false">IF($K909=0,"",ST_RESULTATS!$J159)</f>
        <v/>
      </c>
      <c r="I909" s="26" t="str">
        <f aca="false">IF($H909="","",IFERROR(INDEX(EMPL_CLASSE,MATCH($H909,EMPL_KEY,0)),""))</f>
        <v/>
      </c>
      <c r="J909" s="26" t="str">
        <f aca="false">IF($K909=0,"",IFERROR(INDEX(LOT_PRODE,MATCH($G909,LOT_KEY,0)),""))</f>
        <v/>
      </c>
      <c r="K909" s="67" t="n">
        <f aca="false">IF(ST_RESULTATS!$P159=0,0,ST_RESULTATS!$F159)</f>
        <v>0</v>
      </c>
      <c r="L909" s="67" t="n">
        <f aca="false">IF($K909=0,0,ST_RESULTATS!$T159*$K909)</f>
        <v>0</v>
      </c>
      <c r="M909" s="26" t="str">
        <f aca="false">IF($K909=0,"",ST_RESULTATS!$S159)</f>
        <v/>
      </c>
      <c r="N909" s="26" t="str">
        <f aca="false">IF($G909="","",IF($G909=R_LOT,COUNTIF($G$5:$G909,R_LOT),""))</f>
        <v/>
      </c>
    </row>
    <row r="910" customFormat="false" ht="15" hidden="false" customHeight="false" outlineLevel="0" collapsed="false">
      <c r="A910" s="28" t="str">
        <f aca="false">IF($K910=0,"",ROW()-4)</f>
        <v/>
      </c>
      <c r="B910" s="26" t="str">
        <f aca="false">IF($K910=0,"","RESULTAT ST")</f>
        <v/>
      </c>
      <c r="C910" s="26" t="str">
        <f aca="false">IF($K910=0,"",ST_RESULTATS!$A160)</f>
        <v/>
      </c>
      <c r="D910" s="31" t="str">
        <f aca="false">IF($K910=0,"",ST_RESULTATS!$V160)</f>
        <v/>
      </c>
      <c r="E910" s="26" t="str">
        <f aca="false">IF($K910=0,"","ENTREE")</f>
        <v/>
      </c>
      <c r="F910" s="26" t="str">
        <f aca="false">IF($K910=0,"","RETOUR SOUS-TRAITANCE")</f>
        <v/>
      </c>
      <c r="G910" s="26" t="str">
        <f aca="false">IF($K910=0,"",ST_RESULTATS!$N160)</f>
        <v/>
      </c>
      <c r="H910" s="26" t="str">
        <f aca="false">IF($K910=0,"",ST_RESULTATS!$J160)</f>
        <v/>
      </c>
      <c r="I910" s="26" t="str">
        <f aca="false">IF($H910="","",IFERROR(INDEX(EMPL_CLASSE,MATCH($H910,EMPL_KEY,0)),""))</f>
        <v/>
      </c>
      <c r="J910" s="26" t="str">
        <f aca="false">IF($K910=0,"",IFERROR(INDEX(LOT_PRODE,MATCH($G910,LOT_KEY,0)),""))</f>
        <v/>
      </c>
      <c r="K910" s="67" t="n">
        <f aca="false">IF(ST_RESULTATS!$P160=0,0,ST_RESULTATS!$F160)</f>
        <v>0</v>
      </c>
      <c r="L910" s="67" t="n">
        <f aca="false">IF($K910=0,0,ST_RESULTATS!$T160*$K910)</f>
        <v>0</v>
      </c>
      <c r="M910" s="26" t="str">
        <f aca="false">IF($K910=0,"",ST_RESULTATS!$S160)</f>
        <v/>
      </c>
      <c r="N910" s="26" t="str">
        <f aca="false">IF($G910="","",IF($G910=R_LOT,COUNTIF($G$5:$G910,R_LOT),""))</f>
        <v/>
      </c>
    </row>
    <row r="911" customFormat="false" ht="15" hidden="false" customHeight="false" outlineLevel="0" collapsed="false">
      <c r="A911" s="28" t="str">
        <f aca="false">IF($K911=0,"",ROW()-4)</f>
        <v/>
      </c>
      <c r="B911" s="26" t="str">
        <f aca="false">IF($K911=0,"","RESULTAT ST")</f>
        <v/>
      </c>
      <c r="C911" s="26" t="str">
        <f aca="false">IF($K911=0,"",ST_RESULTATS!$A161)</f>
        <v/>
      </c>
      <c r="D911" s="31" t="str">
        <f aca="false">IF($K911=0,"",ST_RESULTATS!$V161)</f>
        <v/>
      </c>
      <c r="E911" s="26" t="str">
        <f aca="false">IF($K911=0,"","ENTREE")</f>
        <v/>
      </c>
      <c r="F911" s="26" t="str">
        <f aca="false">IF($K911=0,"","RETOUR SOUS-TRAITANCE")</f>
        <v/>
      </c>
      <c r="G911" s="26" t="str">
        <f aca="false">IF($K911=0,"",ST_RESULTATS!$N161)</f>
        <v/>
      </c>
      <c r="H911" s="26" t="str">
        <f aca="false">IF($K911=0,"",ST_RESULTATS!$J161)</f>
        <v/>
      </c>
      <c r="I911" s="26" t="str">
        <f aca="false">IF($H911="","",IFERROR(INDEX(EMPL_CLASSE,MATCH($H911,EMPL_KEY,0)),""))</f>
        <v/>
      </c>
      <c r="J911" s="26" t="str">
        <f aca="false">IF($K911=0,"",IFERROR(INDEX(LOT_PRODE,MATCH($G911,LOT_KEY,0)),""))</f>
        <v/>
      </c>
      <c r="K911" s="67" t="n">
        <f aca="false">IF(ST_RESULTATS!$P161=0,0,ST_RESULTATS!$F161)</f>
        <v>0</v>
      </c>
      <c r="L911" s="67" t="n">
        <f aca="false">IF($K911=0,0,ST_RESULTATS!$T161*$K911)</f>
        <v>0</v>
      </c>
      <c r="M911" s="26" t="str">
        <f aca="false">IF($K911=0,"",ST_RESULTATS!$S161)</f>
        <v/>
      </c>
      <c r="N911" s="26" t="str">
        <f aca="false">IF($G911="","",IF($G911=R_LOT,COUNTIF($G$5:$G911,R_LOT),""))</f>
        <v/>
      </c>
    </row>
    <row r="912" customFormat="false" ht="15" hidden="false" customHeight="false" outlineLevel="0" collapsed="false">
      <c r="A912" s="28" t="str">
        <f aca="false">IF($K912=0,"",ROW()-4)</f>
        <v/>
      </c>
      <c r="B912" s="26" t="str">
        <f aca="false">IF($K912=0,"","RESULTAT ST")</f>
        <v/>
      </c>
      <c r="C912" s="26" t="str">
        <f aca="false">IF($K912=0,"",ST_RESULTATS!$A162)</f>
        <v/>
      </c>
      <c r="D912" s="31" t="str">
        <f aca="false">IF($K912=0,"",ST_RESULTATS!$V162)</f>
        <v/>
      </c>
      <c r="E912" s="26" t="str">
        <f aca="false">IF($K912=0,"","ENTREE")</f>
        <v/>
      </c>
      <c r="F912" s="26" t="str">
        <f aca="false">IF($K912=0,"","RETOUR SOUS-TRAITANCE")</f>
        <v/>
      </c>
      <c r="G912" s="26" t="str">
        <f aca="false">IF($K912=0,"",ST_RESULTATS!$N162)</f>
        <v/>
      </c>
      <c r="H912" s="26" t="str">
        <f aca="false">IF($K912=0,"",ST_RESULTATS!$J162)</f>
        <v/>
      </c>
      <c r="I912" s="26" t="str">
        <f aca="false">IF($H912="","",IFERROR(INDEX(EMPL_CLASSE,MATCH($H912,EMPL_KEY,0)),""))</f>
        <v/>
      </c>
      <c r="J912" s="26" t="str">
        <f aca="false">IF($K912=0,"",IFERROR(INDEX(LOT_PRODE,MATCH($G912,LOT_KEY,0)),""))</f>
        <v/>
      </c>
      <c r="K912" s="67" t="n">
        <f aca="false">IF(ST_RESULTATS!$P162=0,0,ST_RESULTATS!$F162)</f>
        <v>0</v>
      </c>
      <c r="L912" s="67" t="n">
        <f aca="false">IF($K912=0,0,ST_RESULTATS!$T162*$K912)</f>
        <v>0</v>
      </c>
      <c r="M912" s="26" t="str">
        <f aca="false">IF($K912=0,"",ST_RESULTATS!$S162)</f>
        <v/>
      </c>
      <c r="N912" s="26" t="str">
        <f aca="false">IF($G912="","",IF($G912=R_LOT,COUNTIF($G$5:$G912,R_LOT),""))</f>
        <v/>
      </c>
    </row>
    <row r="913" customFormat="false" ht="15" hidden="false" customHeight="false" outlineLevel="0" collapsed="false">
      <c r="A913" s="28" t="str">
        <f aca="false">IF($K913=0,"",ROW()-4)</f>
        <v/>
      </c>
      <c r="B913" s="26" t="str">
        <f aca="false">IF($K913=0,"","RESULTAT ST")</f>
        <v/>
      </c>
      <c r="C913" s="26" t="str">
        <f aca="false">IF($K913=0,"",ST_RESULTATS!$A163)</f>
        <v/>
      </c>
      <c r="D913" s="31" t="str">
        <f aca="false">IF($K913=0,"",ST_RESULTATS!$V163)</f>
        <v/>
      </c>
      <c r="E913" s="26" t="str">
        <f aca="false">IF($K913=0,"","ENTREE")</f>
        <v/>
      </c>
      <c r="F913" s="26" t="str">
        <f aca="false">IF($K913=0,"","RETOUR SOUS-TRAITANCE")</f>
        <v/>
      </c>
      <c r="G913" s="26" t="str">
        <f aca="false">IF($K913=0,"",ST_RESULTATS!$N163)</f>
        <v/>
      </c>
      <c r="H913" s="26" t="str">
        <f aca="false">IF($K913=0,"",ST_RESULTATS!$J163)</f>
        <v/>
      </c>
      <c r="I913" s="26" t="str">
        <f aca="false">IF($H913="","",IFERROR(INDEX(EMPL_CLASSE,MATCH($H913,EMPL_KEY,0)),""))</f>
        <v/>
      </c>
      <c r="J913" s="26" t="str">
        <f aca="false">IF($K913=0,"",IFERROR(INDEX(LOT_PRODE,MATCH($G913,LOT_KEY,0)),""))</f>
        <v/>
      </c>
      <c r="K913" s="67" t="n">
        <f aca="false">IF(ST_RESULTATS!$P163=0,0,ST_RESULTATS!$F163)</f>
        <v>0</v>
      </c>
      <c r="L913" s="67" t="n">
        <f aca="false">IF($K913=0,0,ST_RESULTATS!$T163*$K913)</f>
        <v>0</v>
      </c>
      <c r="M913" s="26" t="str">
        <f aca="false">IF($K913=0,"",ST_RESULTATS!$S163)</f>
        <v/>
      </c>
      <c r="N913" s="26" t="str">
        <f aca="false">IF($G913="","",IF($G913=R_LOT,COUNTIF($G$5:$G913,R_LOT),""))</f>
        <v/>
      </c>
    </row>
    <row r="914" customFormat="false" ht="15" hidden="false" customHeight="false" outlineLevel="0" collapsed="false">
      <c r="A914" s="28" t="str">
        <f aca="false">IF($K914=0,"",ROW()-4)</f>
        <v/>
      </c>
      <c r="B914" s="26" t="str">
        <f aca="false">IF($K914=0,"","RESULTAT ST")</f>
        <v/>
      </c>
      <c r="C914" s="26" t="str">
        <f aca="false">IF($K914=0,"",ST_RESULTATS!$A164)</f>
        <v/>
      </c>
      <c r="D914" s="31" t="str">
        <f aca="false">IF($K914=0,"",ST_RESULTATS!$V164)</f>
        <v/>
      </c>
      <c r="E914" s="26" t="str">
        <f aca="false">IF($K914=0,"","ENTREE")</f>
        <v/>
      </c>
      <c r="F914" s="26" t="str">
        <f aca="false">IF($K914=0,"","RETOUR SOUS-TRAITANCE")</f>
        <v/>
      </c>
      <c r="G914" s="26" t="str">
        <f aca="false">IF($K914=0,"",ST_RESULTATS!$N164)</f>
        <v/>
      </c>
      <c r="H914" s="26" t="str">
        <f aca="false">IF($K914=0,"",ST_RESULTATS!$J164)</f>
        <v/>
      </c>
      <c r="I914" s="26" t="str">
        <f aca="false">IF($H914="","",IFERROR(INDEX(EMPL_CLASSE,MATCH($H914,EMPL_KEY,0)),""))</f>
        <v/>
      </c>
      <c r="J914" s="26" t="str">
        <f aca="false">IF($K914=0,"",IFERROR(INDEX(LOT_PRODE,MATCH($G914,LOT_KEY,0)),""))</f>
        <v/>
      </c>
      <c r="K914" s="67" t="n">
        <f aca="false">IF(ST_RESULTATS!$P164=0,0,ST_RESULTATS!$F164)</f>
        <v>0</v>
      </c>
      <c r="L914" s="67" t="n">
        <f aca="false">IF($K914=0,0,ST_RESULTATS!$T164*$K914)</f>
        <v>0</v>
      </c>
      <c r="M914" s="26" t="str">
        <f aca="false">IF($K914=0,"",ST_RESULTATS!$S164)</f>
        <v/>
      </c>
      <c r="N914" s="26" t="str">
        <f aca="false">IF($G914="","",IF($G914=R_LOT,COUNTIF($G$5:$G914,R_LOT),""))</f>
        <v/>
      </c>
    </row>
    <row r="915" customFormat="false" ht="15" hidden="false" customHeight="false" outlineLevel="0" collapsed="false">
      <c r="A915" s="28" t="str">
        <f aca="false">IF($K915=0,"",ROW()-4)</f>
        <v/>
      </c>
      <c r="B915" s="26" t="str">
        <f aca="false">IF($K915=0,"","RESULTAT ST")</f>
        <v/>
      </c>
      <c r="C915" s="26" t="str">
        <f aca="false">IF($K915=0,"",ST_RESULTATS!$A165)</f>
        <v/>
      </c>
      <c r="D915" s="31" t="str">
        <f aca="false">IF($K915=0,"",ST_RESULTATS!$V165)</f>
        <v/>
      </c>
      <c r="E915" s="26" t="str">
        <f aca="false">IF($K915=0,"","ENTREE")</f>
        <v/>
      </c>
      <c r="F915" s="26" t="str">
        <f aca="false">IF($K915=0,"","RETOUR SOUS-TRAITANCE")</f>
        <v/>
      </c>
      <c r="G915" s="26" t="str">
        <f aca="false">IF($K915=0,"",ST_RESULTATS!$N165)</f>
        <v/>
      </c>
      <c r="H915" s="26" t="str">
        <f aca="false">IF($K915=0,"",ST_RESULTATS!$J165)</f>
        <v/>
      </c>
      <c r="I915" s="26" t="str">
        <f aca="false">IF($H915="","",IFERROR(INDEX(EMPL_CLASSE,MATCH($H915,EMPL_KEY,0)),""))</f>
        <v/>
      </c>
      <c r="J915" s="26" t="str">
        <f aca="false">IF($K915=0,"",IFERROR(INDEX(LOT_PRODE,MATCH($G915,LOT_KEY,0)),""))</f>
        <v/>
      </c>
      <c r="K915" s="67" t="n">
        <f aca="false">IF(ST_RESULTATS!$P165=0,0,ST_RESULTATS!$F165)</f>
        <v>0</v>
      </c>
      <c r="L915" s="67" t="n">
        <f aca="false">IF($K915=0,0,ST_RESULTATS!$T165*$K915)</f>
        <v>0</v>
      </c>
      <c r="M915" s="26" t="str">
        <f aca="false">IF($K915=0,"",ST_RESULTATS!$S165)</f>
        <v/>
      </c>
      <c r="N915" s="26" t="str">
        <f aca="false">IF($G915="","",IF($G915=R_LOT,COUNTIF($G$5:$G915,R_LOT),""))</f>
        <v/>
      </c>
    </row>
    <row r="916" customFormat="false" ht="15" hidden="false" customHeight="false" outlineLevel="0" collapsed="false">
      <c r="A916" s="28" t="str">
        <f aca="false">IF($K916=0,"",ROW()-4)</f>
        <v/>
      </c>
      <c r="B916" s="26" t="str">
        <f aca="false">IF($K916=0,"","RESULTAT ST")</f>
        <v/>
      </c>
      <c r="C916" s="26" t="str">
        <f aca="false">IF($K916=0,"",ST_RESULTATS!$A166)</f>
        <v/>
      </c>
      <c r="D916" s="31" t="str">
        <f aca="false">IF($K916=0,"",ST_RESULTATS!$V166)</f>
        <v/>
      </c>
      <c r="E916" s="26" t="str">
        <f aca="false">IF($K916=0,"","ENTREE")</f>
        <v/>
      </c>
      <c r="F916" s="26" t="str">
        <f aca="false">IF($K916=0,"","RETOUR SOUS-TRAITANCE")</f>
        <v/>
      </c>
      <c r="G916" s="26" t="str">
        <f aca="false">IF($K916=0,"",ST_RESULTATS!$N166)</f>
        <v/>
      </c>
      <c r="H916" s="26" t="str">
        <f aca="false">IF($K916=0,"",ST_RESULTATS!$J166)</f>
        <v/>
      </c>
      <c r="I916" s="26" t="str">
        <f aca="false">IF($H916="","",IFERROR(INDEX(EMPL_CLASSE,MATCH($H916,EMPL_KEY,0)),""))</f>
        <v/>
      </c>
      <c r="J916" s="26" t="str">
        <f aca="false">IF($K916=0,"",IFERROR(INDEX(LOT_PRODE,MATCH($G916,LOT_KEY,0)),""))</f>
        <v/>
      </c>
      <c r="K916" s="67" t="n">
        <f aca="false">IF(ST_RESULTATS!$P166=0,0,ST_RESULTATS!$F166)</f>
        <v>0</v>
      </c>
      <c r="L916" s="67" t="n">
        <f aca="false">IF($K916=0,0,ST_RESULTATS!$T166*$K916)</f>
        <v>0</v>
      </c>
      <c r="M916" s="26" t="str">
        <f aca="false">IF($K916=0,"",ST_RESULTATS!$S166)</f>
        <v/>
      </c>
      <c r="N916" s="26" t="str">
        <f aca="false">IF($G916="","",IF($G916=R_LOT,COUNTIF($G$5:$G916,R_LOT),""))</f>
        <v/>
      </c>
    </row>
    <row r="917" customFormat="false" ht="15" hidden="false" customHeight="false" outlineLevel="0" collapsed="false">
      <c r="A917" s="28" t="str">
        <f aca="false">IF($K917=0,"",ROW()-4)</f>
        <v/>
      </c>
      <c r="B917" s="26" t="str">
        <f aca="false">IF($K917=0,"","RESULTAT ST")</f>
        <v/>
      </c>
      <c r="C917" s="26" t="str">
        <f aca="false">IF($K917=0,"",ST_RESULTATS!$A167)</f>
        <v/>
      </c>
      <c r="D917" s="31" t="str">
        <f aca="false">IF($K917=0,"",ST_RESULTATS!$V167)</f>
        <v/>
      </c>
      <c r="E917" s="26" t="str">
        <f aca="false">IF($K917=0,"","ENTREE")</f>
        <v/>
      </c>
      <c r="F917" s="26" t="str">
        <f aca="false">IF($K917=0,"","RETOUR SOUS-TRAITANCE")</f>
        <v/>
      </c>
      <c r="G917" s="26" t="str">
        <f aca="false">IF($K917=0,"",ST_RESULTATS!$N167)</f>
        <v/>
      </c>
      <c r="H917" s="26" t="str">
        <f aca="false">IF($K917=0,"",ST_RESULTATS!$J167)</f>
        <v/>
      </c>
      <c r="I917" s="26" t="str">
        <f aca="false">IF($H917="","",IFERROR(INDEX(EMPL_CLASSE,MATCH($H917,EMPL_KEY,0)),""))</f>
        <v/>
      </c>
      <c r="J917" s="26" t="str">
        <f aca="false">IF($K917=0,"",IFERROR(INDEX(LOT_PRODE,MATCH($G917,LOT_KEY,0)),""))</f>
        <v/>
      </c>
      <c r="K917" s="67" t="n">
        <f aca="false">IF(ST_RESULTATS!$P167=0,0,ST_RESULTATS!$F167)</f>
        <v>0</v>
      </c>
      <c r="L917" s="67" t="n">
        <f aca="false">IF($K917=0,0,ST_RESULTATS!$T167*$K917)</f>
        <v>0</v>
      </c>
      <c r="M917" s="26" t="str">
        <f aca="false">IF($K917=0,"",ST_RESULTATS!$S167)</f>
        <v/>
      </c>
      <c r="N917" s="26" t="str">
        <f aca="false">IF($G917="","",IF($G917=R_LOT,COUNTIF($G$5:$G917,R_LOT),""))</f>
        <v/>
      </c>
    </row>
    <row r="918" customFormat="false" ht="15" hidden="false" customHeight="false" outlineLevel="0" collapsed="false">
      <c r="A918" s="28" t="str">
        <f aca="false">IF($K918=0,"",ROW()-4)</f>
        <v/>
      </c>
      <c r="B918" s="26" t="str">
        <f aca="false">IF($K918=0,"","RESULTAT ST")</f>
        <v/>
      </c>
      <c r="C918" s="26" t="str">
        <f aca="false">IF($K918=0,"",ST_RESULTATS!$A168)</f>
        <v/>
      </c>
      <c r="D918" s="31" t="str">
        <f aca="false">IF($K918=0,"",ST_RESULTATS!$V168)</f>
        <v/>
      </c>
      <c r="E918" s="26" t="str">
        <f aca="false">IF($K918=0,"","ENTREE")</f>
        <v/>
      </c>
      <c r="F918" s="26" t="str">
        <f aca="false">IF($K918=0,"","RETOUR SOUS-TRAITANCE")</f>
        <v/>
      </c>
      <c r="G918" s="26" t="str">
        <f aca="false">IF($K918=0,"",ST_RESULTATS!$N168)</f>
        <v/>
      </c>
      <c r="H918" s="26" t="str">
        <f aca="false">IF($K918=0,"",ST_RESULTATS!$J168)</f>
        <v/>
      </c>
      <c r="I918" s="26" t="str">
        <f aca="false">IF($H918="","",IFERROR(INDEX(EMPL_CLASSE,MATCH($H918,EMPL_KEY,0)),""))</f>
        <v/>
      </c>
      <c r="J918" s="26" t="str">
        <f aca="false">IF($K918=0,"",IFERROR(INDEX(LOT_PRODE,MATCH($G918,LOT_KEY,0)),""))</f>
        <v/>
      </c>
      <c r="K918" s="67" t="n">
        <f aca="false">IF(ST_RESULTATS!$P168=0,0,ST_RESULTATS!$F168)</f>
        <v>0</v>
      </c>
      <c r="L918" s="67" t="n">
        <f aca="false">IF($K918=0,0,ST_RESULTATS!$T168*$K918)</f>
        <v>0</v>
      </c>
      <c r="M918" s="26" t="str">
        <f aca="false">IF($K918=0,"",ST_RESULTATS!$S168)</f>
        <v/>
      </c>
      <c r="N918" s="26" t="str">
        <f aca="false">IF($G918="","",IF($G918=R_LOT,COUNTIF($G$5:$G918,R_LOT),""))</f>
        <v/>
      </c>
    </row>
    <row r="919" customFormat="false" ht="15" hidden="false" customHeight="false" outlineLevel="0" collapsed="false">
      <c r="A919" s="28" t="str">
        <f aca="false">IF($K919=0,"",ROW()-4)</f>
        <v/>
      </c>
      <c r="B919" s="26" t="str">
        <f aca="false">IF($K919=0,"","RESULTAT ST")</f>
        <v/>
      </c>
      <c r="C919" s="26" t="str">
        <f aca="false">IF($K919=0,"",ST_RESULTATS!$A169)</f>
        <v/>
      </c>
      <c r="D919" s="31" t="str">
        <f aca="false">IF($K919=0,"",ST_RESULTATS!$V169)</f>
        <v/>
      </c>
      <c r="E919" s="26" t="str">
        <f aca="false">IF($K919=0,"","ENTREE")</f>
        <v/>
      </c>
      <c r="F919" s="26" t="str">
        <f aca="false">IF($K919=0,"","RETOUR SOUS-TRAITANCE")</f>
        <v/>
      </c>
      <c r="G919" s="26" t="str">
        <f aca="false">IF($K919=0,"",ST_RESULTATS!$N169)</f>
        <v/>
      </c>
      <c r="H919" s="26" t="str">
        <f aca="false">IF($K919=0,"",ST_RESULTATS!$J169)</f>
        <v/>
      </c>
      <c r="I919" s="26" t="str">
        <f aca="false">IF($H919="","",IFERROR(INDEX(EMPL_CLASSE,MATCH($H919,EMPL_KEY,0)),""))</f>
        <v/>
      </c>
      <c r="J919" s="26" t="str">
        <f aca="false">IF($K919=0,"",IFERROR(INDEX(LOT_PRODE,MATCH($G919,LOT_KEY,0)),""))</f>
        <v/>
      </c>
      <c r="K919" s="67" t="n">
        <f aca="false">IF(ST_RESULTATS!$P169=0,0,ST_RESULTATS!$F169)</f>
        <v>0</v>
      </c>
      <c r="L919" s="67" t="n">
        <f aca="false">IF($K919=0,0,ST_RESULTATS!$T169*$K919)</f>
        <v>0</v>
      </c>
      <c r="M919" s="26" t="str">
        <f aca="false">IF($K919=0,"",ST_RESULTATS!$S169)</f>
        <v/>
      </c>
      <c r="N919" s="26" t="str">
        <f aca="false">IF($G919="","",IF($G919=R_LOT,COUNTIF($G$5:$G919,R_LOT),""))</f>
        <v/>
      </c>
    </row>
    <row r="920" customFormat="false" ht="15" hidden="false" customHeight="false" outlineLevel="0" collapsed="false">
      <c r="A920" s="28" t="str">
        <f aca="false">IF($K920=0,"",ROW()-4)</f>
        <v/>
      </c>
      <c r="B920" s="26" t="str">
        <f aca="false">IF($K920=0,"","RESULTAT ST")</f>
        <v/>
      </c>
      <c r="C920" s="26" t="str">
        <f aca="false">IF($K920=0,"",ST_RESULTATS!$A170)</f>
        <v/>
      </c>
      <c r="D920" s="31" t="str">
        <f aca="false">IF($K920=0,"",ST_RESULTATS!$V170)</f>
        <v/>
      </c>
      <c r="E920" s="26" t="str">
        <f aca="false">IF($K920=0,"","ENTREE")</f>
        <v/>
      </c>
      <c r="F920" s="26" t="str">
        <f aca="false">IF($K920=0,"","RETOUR SOUS-TRAITANCE")</f>
        <v/>
      </c>
      <c r="G920" s="26" t="str">
        <f aca="false">IF($K920=0,"",ST_RESULTATS!$N170)</f>
        <v/>
      </c>
      <c r="H920" s="26" t="str">
        <f aca="false">IF($K920=0,"",ST_RESULTATS!$J170)</f>
        <v/>
      </c>
      <c r="I920" s="26" t="str">
        <f aca="false">IF($H920="","",IFERROR(INDEX(EMPL_CLASSE,MATCH($H920,EMPL_KEY,0)),""))</f>
        <v/>
      </c>
      <c r="J920" s="26" t="str">
        <f aca="false">IF($K920=0,"",IFERROR(INDEX(LOT_PRODE,MATCH($G920,LOT_KEY,0)),""))</f>
        <v/>
      </c>
      <c r="K920" s="67" t="n">
        <f aca="false">IF(ST_RESULTATS!$P170=0,0,ST_RESULTATS!$F170)</f>
        <v>0</v>
      </c>
      <c r="L920" s="67" t="n">
        <f aca="false">IF($K920=0,0,ST_RESULTATS!$T170*$K920)</f>
        <v>0</v>
      </c>
      <c r="M920" s="26" t="str">
        <f aca="false">IF($K920=0,"",ST_RESULTATS!$S170)</f>
        <v/>
      </c>
      <c r="N920" s="26" t="str">
        <f aca="false">IF($G920="","",IF($G920=R_LOT,COUNTIF($G$5:$G920,R_LOT),""))</f>
        <v/>
      </c>
    </row>
    <row r="921" customFormat="false" ht="15" hidden="false" customHeight="false" outlineLevel="0" collapsed="false">
      <c r="A921" s="28" t="str">
        <f aca="false">IF($K921=0,"",ROW()-4)</f>
        <v/>
      </c>
      <c r="B921" s="26" t="str">
        <f aca="false">IF($K921=0,"","RESULTAT ST")</f>
        <v/>
      </c>
      <c r="C921" s="26" t="str">
        <f aca="false">IF($K921=0,"",ST_RESULTATS!$A171)</f>
        <v/>
      </c>
      <c r="D921" s="31" t="str">
        <f aca="false">IF($K921=0,"",ST_RESULTATS!$V171)</f>
        <v/>
      </c>
      <c r="E921" s="26" t="str">
        <f aca="false">IF($K921=0,"","ENTREE")</f>
        <v/>
      </c>
      <c r="F921" s="26" t="str">
        <f aca="false">IF($K921=0,"","RETOUR SOUS-TRAITANCE")</f>
        <v/>
      </c>
      <c r="G921" s="26" t="str">
        <f aca="false">IF($K921=0,"",ST_RESULTATS!$N171)</f>
        <v/>
      </c>
      <c r="H921" s="26" t="str">
        <f aca="false">IF($K921=0,"",ST_RESULTATS!$J171)</f>
        <v/>
      </c>
      <c r="I921" s="26" t="str">
        <f aca="false">IF($H921="","",IFERROR(INDEX(EMPL_CLASSE,MATCH($H921,EMPL_KEY,0)),""))</f>
        <v/>
      </c>
      <c r="J921" s="26" t="str">
        <f aca="false">IF($K921=0,"",IFERROR(INDEX(LOT_PRODE,MATCH($G921,LOT_KEY,0)),""))</f>
        <v/>
      </c>
      <c r="K921" s="67" t="n">
        <f aca="false">IF(ST_RESULTATS!$P171=0,0,ST_RESULTATS!$F171)</f>
        <v>0</v>
      </c>
      <c r="L921" s="67" t="n">
        <f aca="false">IF($K921=0,0,ST_RESULTATS!$T171*$K921)</f>
        <v>0</v>
      </c>
      <c r="M921" s="26" t="str">
        <f aca="false">IF($K921=0,"",ST_RESULTATS!$S171)</f>
        <v/>
      </c>
      <c r="N921" s="26" t="str">
        <f aca="false">IF($G921="","",IF($G921=R_LOT,COUNTIF($G$5:$G921,R_LOT),""))</f>
        <v/>
      </c>
    </row>
    <row r="922" customFormat="false" ht="15" hidden="false" customHeight="false" outlineLevel="0" collapsed="false">
      <c r="A922" s="28" t="str">
        <f aca="false">IF($K922=0,"",ROW()-4)</f>
        <v/>
      </c>
      <c r="B922" s="26" t="str">
        <f aca="false">IF($K922=0,"","RESULTAT ST")</f>
        <v/>
      </c>
      <c r="C922" s="26" t="str">
        <f aca="false">IF($K922=0,"",ST_RESULTATS!$A172)</f>
        <v/>
      </c>
      <c r="D922" s="31" t="str">
        <f aca="false">IF($K922=0,"",ST_RESULTATS!$V172)</f>
        <v/>
      </c>
      <c r="E922" s="26" t="str">
        <f aca="false">IF($K922=0,"","ENTREE")</f>
        <v/>
      </c>
      <c r="F922" s="26" t="str">
        <f aca="false">IF($K922=0,"","RETOUR SOUS-TRAITANCE")</f>
        <v/>
      </c>
      <c r="G922" s="26" t="str">
        <f aca="false">IF($K922=0,"",ST_RESULTATS!$N172)</f>
        <v/>
      </c>
      <c r="H922" s="26" t="str">
        <f aca="false">IF($K922=0,"",ST_RESULTATS!$J172)</f>
        <v/>
      </c>
      <c r="I922" s="26" t="str">
        <f aca="false">IF($H922="","",IFERROR(INDEX(EMPL_CLASSE,MATCH($H922,EMPL_KEY,0)),""))</f>
        <v/>
      </c>
      <c r="J922" s="26" t="str">
        <f aca="false">IF($K922=0,"",IFERROR(INDEX(LOT_PRODE,MATCH($G922,LOT_KEY,0)),""))</f>
        <v/>
      </c>
      <c r="K922" s="67" t="n">
        <f aca="false">IF(ST_RESULTATS!$P172=0,0,ST_RESULTATS!$F172)</f>
        <v>0</v>
      </c>
      <c r="L922" s="67" t="n">
        <f aca="false">IF($K922=0,0,ST_RESULTATS!$T172*$K922)</f>
        <v>0</v>
      </c>
      <c r="M922" s="26" t="str">
        <f aca="false">IF($K922=0,"",ST_RESULTATS!$S172)</f>
        <v/>
      </c>
      <c r="N922" s="26" t="str">
        <f aca="false">IF($G922="","",IF($G922=R_LOT,COUNTIF($G$5:$G922,R_LOT),""))</f>
        <v/>
      </c>
    </row>
    <row r="923" customFormat="false" ht="15" hidden="false" customHeight="false" outlineLevel="0" collapsed="false">
      <c r="A923" s="28" t="str">
        <f aca="false">IF($K923=0,"",ROW()-4)</f>
        <v/>
      </c>
      <c r="B923" s="26" t="str">
        <f aca="false">IF($K923=0,"","RESULTAT ST")</f>
        <v/>
      </c>
      <c r="C923" s="26" t="str">
        <f aca="false">IF($K923=0,"",ST_RESULTATS!$A173)</f>
        <v/>
      </c>
      <c r="D923" s="31" t="str">
        <f aca="false">IF($K923=0,"",ST_RESULTATS!$V173)</f>
        <v/>
      </c>
      <c r="E923" s="26" t="str">
        <f aca="false">IF($K923=0,"","ENTREE")</f>
        <v/>
      </c>
      <c r="F923" s="26" t="str">
        <f aca="false">IF($K923=0,"","RETOUR SOUS-TRAITANCE")</f>
        <v/>
      </c>
      <c r="G923" s="26" t="str">
        <f aca="false">IF($K923=0,"",ST_RESULTATS!$N173)</f>
        <v/>
      </c>
      <c r="H923" s="26" t="str">
        <f aca="false">IF($K923=0,"",ST_RESULTATS!$J173)</f>
        <v/>
      </c>
      <c r="I923" s="26" t="str">
        <f aca="false">IF($H923="","",IFERROR(INDEX(EMPL_CLASSE,MATCH($H923,EMPL_KEY,0)),""))</f>
        <v/>
      </c>
      <c r="J923" s="26" t="str">
        <f aca="false">IF($K923=0,"",IFERROR(INDEX(LOT_PRODE,MATCH($G923,LOT_KEY,0)),""))</f>
        <v/>
      </c>
      <c r="K923" s="67" t="n">
        <f aca="false">IF(ST_RESULTATS!$P173=0,0,ST_RESULTATS!$F173)</f>
        <v>0</v>
      </c>
      <c r="L923" s="67" t="n">
        <f aca="false">IF($K923=0,0,ST_RESULTATS!$T173*$K923)</f>
        <v>0</v>
      </c>
      <c r="M923" s="26" t="str">
        <f aca="false">IF($K923=0,"",ST_RESULTATS!$S173)</f>
        <v/>
      </c>
      <c r="N923" s="26" t="str">
        <f aca="false">IF($G923="","",IF($G923=R_LOT,COUNTIF($G$5:$G923,R_LOT),""))</f>
        <v/>
      </c>
    </row>
    <row r="924" customFormat="false" ht="15" hidden="false" customHeight="false" outlineLevel="0" collapsed="false">
      <c r="A924" s="28" t="str">
        <f aca="false">IF($K924=0,"",ROW()-4)</f>
        <v/>
      </c>
      <c r="B924" s="26" t="str">
        <f aca="false">IF($K924=0,"","RESULTAT ST")</f>
        <v/>
      </c>
      <c r="C924" s="26" t="str">
        <f aca="false">IF($K924=0,"",ST_RESULTATS!$A174)</f>
        <v/>
      </c>
      <c r="D924" s="31" t="str">
        <f aca="false">IF($K924=0,"",ST_RESULTATS!$V174)</f>
        <v/>
      </c>
      <c r="E924" s="26" t="str">
        <f aca="false">IF($K924=0,"","ENTREE")</f>
        <v/>
      </c>
      <c r="F924" s="26" t="str">
        <f aca="false">IF($K924=0,"","RETOUR SOUS-TRAITANCE")</f>
        <v/>
      </c>
      <c r="G924" s="26" t="str">
        <f aca="false">IF($K924=0,"",ST_RESULTATS!$N174)</f>
        <v/>
      </c>
      <c r="H924" s="26" t="str">
        <f aca="false">IF($K924=0,"",ST_RESULTATS!$J174)</f>
        <v/>
      </c>
      <c r="I924" s="26" t="str">
        <f aca="false">IF($H924="","",IFERROR(INDEX(EMPL_CLASSE,MATCH($H924,EMPL_KEY,0)),""))</f>
        <v/>
      </c>
      <c r="J924" s="26" t="str">
        <f aca="false">IF($K924=0,"",IFERROR(INDEX(LOT_PRODE,MATCH($G924,LOT_KEY,0)),""))</f>
        <v/>
      </c>
      <c r="K924" s="67" t="n">
        <f aca="false">IF(ST_RESULTATS!$P174=0,0,ST_RESULTATS!$F174)</f>
        <v>0</v>
      </c>
      <c r="L924" s="67" t="n">
        <f aca="false">IF($K924=0,0,ST_RESULTATS!$T174*$K924)</f>
        <v>0</v>
      </c>
      <c r="M924" s="26" t="str">
        <f aca="false">IF($K924=0,"",ST_RESULTATS!$S174)</f>
        <v/>
      </c>
      <c r="N924" s="26" t="str">
        <f aca="false">IF($G924="","",IF($G924=R_LOT,COUNTIF($G$5:$G924,R_LOT),""))</f>
        <v/>
      </c>
    </row>
    <row r="925" customFormat="false" ht="15" hidden="false" customHeight="false" outlineLevel="0" collapsed="false">
      <c r="A925" s="28" t="str">
        <f aca="false">IF($K925=0,"",ROW()-4)</f>
        <v/>
      </c>
      <c r="B925" s="26" t="str">
        <f aca="false">IF($K925=0,"","RESULTAT ST")</f>
        <v/>
      </c>
      <c r="C925" s="26" t="str">
        <f aca="false">IF($K925=0,"",ST_RESULTATS!$A175)</f>
        <v/>
      </c>
      <c r="D925" s="31" t="str">
        <f aca="false">IF($K925=0,"",ST_RESULTATS!$V175)</f>
        <v/>
      </c>
      <c r="E925" s="26" t="str">
        <f aca="false">IF($K925=0,"","ENTREE")</f>
        <v/>
      </c>
      <c r="F925" s="26" t="str">
        <f aca="false">IF($K925=0,"","RETOUR SOUS-TRAITANCE")</f>
        <v/>
      </c>
      <c r="G925" s="26" t="str">
        <f aca="false">IF($K925=0,"",ST_RESULTATS!$N175)</f>
        <v/>
      </c>
      <c r="H925" s="26" t="str">
        <f aca="false">IF($K925=0,"",ST_RESULTATS!$J175)</f>
        <v/>
      </c>
      <c r="I925" s="26" t="str">
        <f aca="false">IF($H925="","",IFERROR(INDEX(EMPL_CLASSE,MATCH($H925,EMPL_KEY,0)),""))</f>
        <v/>
      </c>
      <c r="J925" s="26" t="str">
        <f aca="false">IF($K925=0,"",IFERROR(INDEX(LOT_PRODE,MATCH($G925,LOT_KEY,0)),""))</f>
        <v/>
      </c>
      <c r="K925" s="67" t="n">
        <f aca="false">IF(ST_RESULTATS!$P175=0,0,ST_RESULTATS!$F175)</f>
        <v>0</v>
      </c>
      <c r="L925" s="67" t="n">
        <f aca="false">IF($K925=0,0,ST_RESULTATS!$T175*$K925)</f>
        <v>0</v>
      </c>
      <c r="M925" s="26" t="str">
        <f aca="false">IF($K925=0,"",ST_RESULTATS!$S175)</f>
        <v/>
      </c>
      <c r="N925" s="26" t="str">
        <f aca="false">IF($G925="","",IF($G925=R_LOT,COUNTIF($G$5:$G925,R_LOT),""))</f>
        <v/>
      </c>
    </row>
    <row r="926" customFormat="false" ht="15" hidden="false" customHeight="false" outlineLevel="0" collapsed="false">
      <c r="A926" s="28" t="str">
        <f aca="false">IF($K926=0,"",ROW()-4)</f>
        <v/>
      </c>
      <c r="B926" s="26" t="str">
        <f aca="false">IF($K926=0,"","RESULTAT ST")</f>
        <v/>
      </c>
      <c r="C926" s="26" t="str">
        <f aca="false">IF($K926=0,"",ST_RESULTATS!$A176)</f>
        <v/>
      </c>
      <c r="D926" s="31" t="str">
        <f aca="false">IF($K926=0,"",ST_RESULTATS!$V176)</f>
        <v/>
      </c>
      <c r="E926" s="26" t="str">
        <f aca="false">IF($K926=0,"","ENTREE")</f>
        <v/>
      </c>
      <c r="F926" s="26" t="str">
        <f aca="false">IF($K926=0,"","RETOUR SOUS-TRAITANCE")</f>
        <v/>
      </c>
      <c r="G926" s="26" t="str">
        <f aca="false">IF($K926=0,"",ST_RESULTATS!$N176)</f>
        <v/>
      </c>
      <c r="H926" s="26" t="str">
        <f aca="false">IF($K926=0,"",ST_RESULTATS!$J176)</f>
        <v/>
      </c>
      <c r="I926" s="26" t="str">
        <f aca="false">IF($H926="","",IFERROR(INDEX(EMPL_CLASSE,MATCH($H926,EMPL_KEY,0)),""))</f>
        <v/>
      </c>
      <c r="J926" s="26" t="str">
        <f aca="false">IF($K926=0,"",IFERROR(INDEX(LOT_PRODE,MATCH($G926,LOT_KEY,0)),""))</f>
        <v/>
      </c>
      <c r="K926" s="67" t="n">
        <f aca="false">IF(ST_RESULTATS!$P176=0,0,ST_RESULTATS!$F176)</f>
        <v>0</v>
      </c>
      <c r="L926" s="67" t="n">
        <f aca="false">IF($K926=0,0,ST_RESULTATS!$T176*$K926)</f>
        <v>0</v>
      </c>
      <c r="M926" s="26" t="str">
        <f aca="false">IF($K926=0,"",ST_RESULTATS!$S176)</f>
        <v/>
      </c>
      <c r="N926" s="26" t="str">
        <f aca="false">IF($G926="","",IF($G926=R_LOT,COUNTIF($G$5:$G926,R_LOT),""))</f>
        <v/>
      </c>
    </row>
    <row r="927" customFormat="false" ht="15" hidden="false" customHeight="false" outlineLevel="0" collapsed="false">
      <c r="A927" s="28" t="str">
        <f aca="false">IF($K927=0,"",ROW()-4)</f>
        <v/>
      </c>
      <c r="B927" s="26" t="str">
        <f aca="false">IF($K927=0,"","RESULTAT ST")</f>
        <v/>
      </c>
      <c r="C927" s="26" t="str">
        <f aca="false">IF($K927=0,"",ST_RESULTATS!$A177)</f>
        <v/>
      </c>
      <c r="D927" s="31" t="str">
        <f aca="false">IF($K927=0,"",ST_RESULTATS!$V177)</f>
        <v/>
      </c>
      <c r="E927" s="26" t="str">
        <f aca="false">IF($K927=0,"","ENTREE")</f>
        <v/>
      </c>
      <c r="F927" s="26" t="str">
        <f aca="false">IF($K927=0,"","RETOUR SOUS-TRAITANCE")</f>
        <v/>
      </c>
      <c r="G927" s="26" t="str">
        <f aca="false">IF($K927=0,"",ST_RESULTATS!$N177)</f>
        <v/>
      </c>
      <c r="H927" s="26" t="str">
        <f aca="false">IF($K927=0,"",ST_RESULTATS!$J177)</f>
        <v/>
      </c>
      <c r="I927" s="26" t="str">
        <f aca="false">IF($H927="","",IFERROR(INDEX(EMPL_CLASSE,MATCH($H927,EMPL_KEY,0)),""))</f>
        <v/>
      </c>
      <c r="J927" s="26" t="str">
        <f aca="false">IF($K927=0,"",IFERROR(INDEX(LOT_PRODE,MATCH($G927,LOT_KEY,0)),""))</f>
        <v/>
      </c>
      <c r="K927" s="67" t="n">
        <f aca="false">IF(ST_RESULTATS!$P177=0,0,ST_RESULTATS!$F177)</f>
        <v>0</v>
      </c>
      <c r="L927" s="67" t="n">
        <f aca="false">IF($K927=0,0,ST_RESULTATS!$T177*$K927)</f>
        <v>0</v>
      </c>
      <c r="M927" s="26" t="str">
        <f aca="false">IF($K927=0,"",ST_RESULTATS!$S177)</f>
        <v/>
      </c>
      <c r="N927" s="26" t="str">
        <f aca="false">IF($G927="","",IF($G927=R_LOT,COUNTIF($G$5:$G927,R_LOT),""))</f>
        <v/>
      </c>
    </row>
    <row r="928" customFormat="false" ht="15" hidden="false" customHeight="false" outlineLevel="0" collapsed="false">
      <c r="A928" s="28" t="str">
        <f aca="false">IF($K928=0,"",ROW()-4)</f>
        <v/>
      </c>
      <c r="B928" s="26" t="str">
        <f aca="false">IF($K928=0,"","RESULTAT ST")</f>
        <v/>
      </c>
      <c r="C928" s="26" t="str">
        <f aca="false">IF($K928=0,"",ST_RESULTATS!$A178)</f>
        <v/>
      </c>
      <c r="D928" s="31" t="str">
        <f aca="false">IF($K928=0,"",ST_RESULTATS!$V178)</f>
        <v/>
      </c>
      <c r="E928" s="26" t="str">
        <f aca="false">IF($K928=0,"","ENTREE")</f>
        <v/>
      </c>
      <c r="F928" s="26" t="str">
        <f aca="false">IF($K928=0,"","RETOUR SOUS-TRAITANCE")</f>
        <v/>
      </c>
      <c r="G928" s="26" t="str">
        <f aca="false">IF($K928=0,"",ST_RESULTATS!$N178)</f>
        <v/>
      </c>
      <c r="H928" s="26" t="str">
        <f aca="false">IF($K928=0,"",ST_RESULTATS!$J178)</f>
        <v/>
      </c>
      <c r="I928" s="26" t="str">
        <f aca="false">IF($H928="","",IFERROR(INDEX(EMPL_CLASSE,MATCH($H928,EMPL_KEY,0)),""))</f>
        <v/>
      </c>
      <c r="J928" s="26" t="str">
        <f aca="false">IF($K928=0,"",IFERROR(INDEX(LOT_PRODE,MATCH($G928,LOT_KEY,0)),""))</f>
        <v/>
      </c>
      <c r="K928" s="67" t="n">
        <f aca="false">IF(ST_RESULTATS!$P178=0,0,ST_RESULTATS!$F178)</f>
        <v>0</v>
      </c>
      <c r="L928" s="67" t="n">
        <f aca="false">IF($K928=0,0,ST_RESULTATS!$T178*$K928)</f>
        <v>0</v>
      </c>
      <c r="M928" s="26" t="str">
        <f aca="false">IF($K928=0,"",ST_RESULTATS!$S178)</f>
        <v/>
      </c>
      <c r="N928" s="26" t="str">
        <f aca="false">IF($G928="","",IF($G928=R_LOT,COUNTIF($G$5:$G928,R_LOT),""))</f>
        <v/>
      </c>
    </row>
    <row r="929" customFormat="false" ht="15" hidden="false" customHeight="false" outlineLevel="0" collapsed="false">
      <c r="A929" s="28" t="str">
        <f aca="false">IF($K929=0,"",ROW()-4)</f>
        <v/>
      </c>
      <c r="B929" s="26" t="str">
        <f aca="false">IF($K929=0,"","RESULTAT ST")</f>
        <v/>
      </c>
      <c r="C929" s="26" t="str">
        <f aca="false">IF($K929=0,"",ST_RESULTATS!$A179)</f>
        <v/>
      </c>
      <c r="D929" s="31" t="str">
        <f aca="false">IF($K929=0,"",ST_RESULTATS!$V179)</f>
        <v/>
      </c>
      <c r="E929" s="26" t="str">
        <f aca="false">IF($K929=0,"","ENTREE")</f>
        <v/>
      </c>
      <c r="F929" s="26" t="str">
        <f aca="false">IF($K929=0,"","RETOUR SOUS-TRAITANCE")</f>
        <v/>
      </c>
      <c r="G929" s="26" t="str">
        <f aca="false">IF($K929=0,"",ST_RESULTATS!$N179)</f>
        <v/>
      </c>
      <c r="H929" s="26" t="str">
        <f aca="false">IF($K929=0,"",ST_RESULTATS!$J179)</f>
        <v/>
      </c>
      <c r="I929" s="26" t="str">
        <f aca="false">IF($H929="","",IFERROR(INDEX(EMPL_CLASSE,MATCH($H929,EMPL_KEY,0)),""))</f>
        <v/>
      </c>
      <c r="J929" s="26" t="str">
        <f aca="false">IF($K929=0,"",IFERROR(INDEX(LOT_PRODE,MATCH($G929,LOT_KEY,0)),""))</f>
        <v/>
      </c>
      <c r="K929" s="67" t="n">
        <f aca="false">IF(ST_RESULTATS!$P179=0,0,ST_RESULTATS!$F179)</f>
        <v>0</v>
      </c>
      <c r="L929" s="67" t="n">
        <f aca="false">IF($K929=0,0,ST_RESULTATS!$T179*$K929)</f>
        <v>0</v>
      </c>
      <c r="M929" s="26" t="str">
        <f aca="false">IF($K929=0,"",ST_RESULTATS!$S179)</f>
        <v/>
      </c>
      <c r="N929" s="26" t="str">
        <f aca="false">IF($G929="","",IF($G929=R_LOT,COUNTIF($G$5:$G929,R_LOT),""))</f>
        <v/>
      </c>
    </row>
    <row r="930" customFormat="false" ht="15" hidden="false" customHeight="false" outlineLevel="0" collapsed="false">
      <c r="A930" s="28" t="str">
        <f aca="false">IF($K930=0,"",ROW()-4)</f>
        <v/>
      </c>
      <c r="B930" s="26" t="str">
        <f aca="false">IF($K930=0,"","RESULTAT ST")</f>
        <v/>
      </c>
      <c r="C930" s="26" t="str">
        <f aca="false">IF($K930=0,"",ST_RESULTATS!$A180)</f>
        <v/>
      </c>
      <c r="D930" s="31" t="str">
        <f aca="false">IF($K930=0,"",ST_RESULTATS!$V180)</f>
        <v/>
      </c>
      <c r="E930" s="26" t="str">
        <f aca="false">IF($K930=0,"","ENTREE")</f>
        <v/>
      </c>
      <c r="F930" s="26" t="str">
        <f aca="false">IF($K930=0,"","RETOUR SOUS-TRAITANCE")</f>
        <v/>
      </c>
      <c r="G930" s="26" t="str">
        <f aca="false">IF($K930=0,"",ST_RESULTATS!$N180)</f>
        <v/>
      </c>
      <c r="H930" s="26" t="str">
        <f aca="false">IF($K930=0,"",ST_RESULTATS!$J180)</f>
        <v/>
      </c>
      <c r="I930" s="26" t="str">
        <f aca="false">IF($H930="","",IFERROR(INDEX(EMPL_CLASSE,MATCH($H930,EMPL_KEY,0)),""))</f>
        <v/>
      </c>
      <c r="J930" s="26" t="str">
        <f aca="false">IF($K930=0,"",IFERROR(INDEX(LOT_PRODE,MATCH($G930,LOT_KEY,0)),""))</f>
        <v/>
      </c>
      <c r="K930" s="67" t="n">
        <f aca="false">IF(ST_RESULTATS!$P180=0,0,ST_RESULTATS!$F180)</f>
        <v>0</v>
      </c>
      <c r="L930" s="67" t="n">
        <f aca="false">IF($K930=0,0,ST_RESULTATS!$T180*$K930)</f>
        <v>0</v>
      </c>
      <c r="M930" s="26" t="str">
        <f aca="false">IF($K930=0,"",ST_RESULTATS!$S180)</f>
        <v/>
      </c>
      <c r="N930" s="26" t="str">
        <f aca="false">IF($G930="","",IF($G930=R_LOT,COUNTIF($G$5:$G930,R_LOT),""))</f>
        <v/>
      </c>
    </row>
    <row r="931" customFormat="false" ht="15" hidden="false" customHeight="false" outlineLevel="0" collapsed="false">
      <c r="A931" s="28" t="str">
        <f aca="false">IF($K931=0,"",ROW()-4)</f>
        <v/>
      </c>
      <c r="B931" s="26" t="str">
        <f aca="false">IF($K931=0,"","RESULTAT ST")</f>
        <v/>
      </c>
      <c r="C931" s="26" t="str">
        <f aca="false">IF($K931=0,"",ST_RESULTATS!$A181)</f>
        <v/>
      </c>
      <c r="D931" s="31" t="str">
        <f aca="false">IF($K931=0,"",ST_RESULTATS!$V181)</f>
        <v/>
      </c>
      <c r="E931" s="26" t="str">
        <f aca="false">IF($K931=0,"","ENTREE")</f>
        <v/>
      </c>
      <c r="F931" s="26" t="str">
        <f aca="false">IF($K931=0,"","RETOUR SOUS-TRAITANCE")</f>
        <v/>
      </c>
      <c r="G931" s="26" t="str">
        <f aca="false">IF($K931=0,"",ST_RESULTATS!$N181)</f>
        <v/>
      </c>
      <c r="H931" s="26" t="str">
        <f aca="false">IF($K931=0,"",ST_RESULTATS!$J181)</f>
        <v/>
      </c>
      <c r="I931" s="26" t="str">
        <f aca="false">IF($H931="","",IFERROR(INDEX(EMPL_CLASSE,MATCH($H931,EMPL_KEY,0)),""))</f>
        <v/>
      </c>
      <c r="J931" s="26" t="str">
        <f aca="false">IF($K931=0,"",IFERROR(INDEX(LOT_PRODE,MATCH($G931,LOT_KEY,0)),""))</f>
        <v/>
      </c>
      <c r="K931" s="67" t="n">
        <f aca="false">IF(ST_RESULTATS!$P181=0,0,ST_RESULTATS!$F181)</f>
        <v>0</v>
      </c>
      <c r="L931" s="67" t="n">
        <f aca="false">IF($K931=0,0,ST_RESULTATS!$T181*$K931)</f>
        <v>0</v>
      </c>
      <c r="M931" s="26" t="str">
        <f aca="false">IF($K931=0,"",ST_RESULTATS!$S181)</f>
        <v/>
      </c>
      <c r="N931" s="26" t="str">
        <f aca="false">IF($G931="","",IF($G931=R_LOT,COUNTIF($G$5:$G931,R_LOT),""))</f>
        <v/>
      </c>
    </row>
    <row r="932" customFormat="false" ht="15" hidden="false" customHeight="false" outlineLevel="0" collapsed="false">
      <c r="A932" s="28" t="str">
        <f aca="false">IF($K932=0,"",ROW()-4)</f>
        <v/>
      </c>
      <c r="B932" s="26" t="str">
        <f aca="false">IF($K932=0,"","RESULTAT ST")</f>
        <v/>
      </c>
      <c r="C932" s="26" t="str">
        <f aca="false">IF($K932=0,"",ST_RESULTATS!$A182)</f>
        <v/>
      </c>
      <c r="D932" s="31" t="str">
        <f aca="false">IF($K932=0,"",ST_RESULTATS!$V182)</f>
        <v/>
      </c>
      <c r="E932" s="26" t="str">
        <f aca="false">IF($K932=0,"","ENTREE")</f>
        <v/>
      </c>
      <c r="F932" s="26" t="str">
        <f aca="false">IF($K932=0,"","RETOUR SOUS-TRAITANCE")</f>
        <v/>
      </c>
      <c r="G932" s="26" t="str">
        <f aca="false">IF($K932=0,"",ST_RESULTATS!$N182)</f>
        <v/>
      </c>
      <c r="H932" s="26" t="str">
        <f aca="false">IF($K932=0,"",ST_RESULTATS!$J182)</f>
        <v/>
      </c>
      <c r="I932" s="26" t="str">
        <f aca="false">IF($H932="","",IFERROR(INDEX(EMPL_CLASSE,MATCH($H932,EMPL_KEY,0)),""))</f>
        <v/>
      </c>
      <c r="J932" s="26" t="str">
        <f aca="false">IF($K932=0,"",IFERROR(INDEX(LOT_PRODE,MATCH($G932,LOT_KEY,0)),""))</f>
        <v/>
      </c>
      <c r="K932" s="67" t="n">
        <f aca="false">IF(ST_RESULTATS!$P182=0,0,ST_RESULTATS!$F182)</f>
        <v>0</v>
      </c>
      <c r="L932" s="67" t="n">
        <f aca="false">IF($K932=0,0,ST_RESULTATS!$T182*$K932)</f>
        <v>0</v>
      </c>
      <c r="M932" s="26" t="str">
        <f aca="false">IF($K932=0,"",ST_RESULTATS!$S182)</f>
        <v/>
      </c>
      <c r="N932" s="26" t="str">
        <f aca="false">IF($G932="","",IF($G932=R_LOT,COUNTIF($G$5:$G932,R_LOT),""))</f>
        <v/>
      </c>
    </row>
    <row r="933" customFormat="false" ht="15" hidden="false" customHeight="false" outlineLevel="0" collapsed="false">
      <c r="A933" s="28" t="str">
        <f aca="false">IF($K933=0,"",ROW()-4)</f>
        <v/>
      </c>
      <c r="B933" s="26" t="str">
        <f aca="false">IF($K933=0,"","RESULTAT ST")</f>
        <v/>
      </c>
      <c r="C933" s="26" t="str">
        <f aca="false">IF($K933=0,"",ST_RESULTATS!$A183)</f>
        <v/>
      </c>
      <c r="D933" s="31" t="str">
        <f aca="false">IF($K933=0,"",ST_RESULTATS!$V183)</f>
        <v/>
      </c>
      <c r="E933" s="26" t="str">
        <f aca="false">IF($K933=0,"","ENTREE")</f>
        <v/>
      </c>
      <c r="F933" s="26" t="str">
        <f aca="false">IF($K933=0,"","RETOUR SOUS-TRAITANCE")</f>
        <v/>
      </c>
      <c r="G933" s="26" t="str">
        <f aca="false">IF($K933=0,"",ST_RESULTATS!$N183)</f>
        <v/>
      </c>
      <c r="H933" s="26" t="str">
        <f aca="false">IF($K933=0,"",ST_RESULTATS!$J183)</f>
        <v/>
      </c>
      <c r="I933" s="26" t="str">
        <f aca="false">IF($H933="","",IFERROR(INDEX(EMPL_CLASSE,MATCH($H933,EMPL_KEY,0)),""))</f>
        <v/>
      </c>
      <c r="J933" s="26" t="str">
        <f aca="false">IF($K933=0,"",IFERROR(INDEX(LOT_PRODE,MATCH($G933,LOT_KEY,0)),""))</f>
        <v/>
      </c>
      <c r="K933" s="67" t="n">
        <f aca="false">IF(ST_RESULTATS!$P183=0,0,ST_RESULTATS!$F183)</f>
        <v>0</v>
      </c>
      <c r="L933" s="67" t="n">
        <f aca="false">IF($K933=0,0,ST_RESULTATS!$T183*$K933)</f>
        <v>0</v>
      </c>
      <c r="M933" s="26" t="str">
        <f aca="false">IF($K933=0,"",ST_RESULTATS!$S183)</f>
        <v/>
      </c>
      <c r="N933" s="26" t="str">
        <f aca="false">IF($G933="","",IF($G933=R_LOT,COUNTIF($G$5:$G933,R_LOT),""))</f>
        <v/>
      </c>
    </row>
    <row r="934" customFormat="false" ht="15" hidden="false" customHeight="false" outlineLevel="0" collapsed="false">
      <c r="A934" s="28" t="str">
        <f aca="false">IF($K934=0,"",ROW()-4)</f>
        <v/>
      </c>
      <c r="B934" s="26" t="str">
        <f aca="false">IF($K934=0,"","RESULTAT ST")</f>
        <v/>
      </c>
      <c r="C934" s="26" t="str">
        <f aca="false">IF($K934=0,"",ST_RESULTATS!$A184)</f>
        <v/>
      </c>
      <c r="D934" s="31" t="str">
        <f aca="false">IF($K934=0,"",ST_RESULTATS!$V184)</f>
        <v/>
      </c>
      <c r="E934" s="26" t="str">
        <f aca="false">IF($K934=0,"","ENTREE")</f>
        <v/>
      </c>
      <c r="F934" s="26" t="str">
        <f aca="false">IF($K934=0,"","RETOUR SOUS-TRAITANCE")</f>
        <v/>
      </c>
      <c r="G934" s="26" t="str">
        <f aca="false">IF($K934=0,"",ST_RESULTATS!$N184)</f>
        <v/>
      </c>
      <c r="H934" s="26" t="str">
        <f aca="false">IF($K934=0,"",ST_RESULTATS!$J184)</f>
        <v/>
      </c>
      <c r="I934" s="26" t="str">
        <f aca="false">IF($H934="","",IFERROR(INDEX(EMPL_CLASSE,MATCH($H934,EMPL_KEY,0)),""))</f>
        <v/>
      </c>
      <c r="J934" s="26" t="str">
        <f aca="false">IF($K934=0,"",IFERROR(INDEX(LOT_PRODE,MATCH($G934,LOT_KEY,0)),""))</f>
        <v/>
      </c>
      <c r="K934" s="67" t="n">
        <f aca="false">IF(ST_RESULTATS!$P184=0,0,ST_RESULTATS!$F184)</f>
        <v>0</v>
      </c>
      <c r="L934" s="67" t="n">
        <f aca="false">IF($K934=0,0,ST_RESULTATS!$T184*$K934)</f>
        <v>0</v>
      </c>
      <c r="M934" s="26" t="str">
        <f aca="false">IF($K934=0,"",ST_RESULTATS!$S184)</f>
        <v/>
      </c>
      <c r="N934" s="26" t="str">
        <f aca="false">IF($G934="","",IF($G934=R_LOT,COUNTIF($G$5:$G934,R_LOT),""))</f>
        <v/>
      </c>
    </row>
    <row r="935" customFormat="false" ht="15" hidden="false" customHeight="false" outlineLevel="0" collapsed="false">
      <c r="A935" s="28" t="str">
        <f aca="false">IF($K935=0,"",ROW()-4)</f>
        <v/>
      </c>
      <c r="B935" s="26" t="str">
        <f aca="false">IF($K935=0,"","RESULTAT ST")</f>
        <v/>
      </c>
      <c r="C935" s="26" t="str">
        <f aca="false">IF($K935=0,"",ST_RESULTATS!$A185)</f>
        <v/>
      </c>
      <c r="D935" s="31" t="str">
        <f aca="false">IF($K935=0,"",ST_RESULTATS!$V185)</f>
        <v/>
      </c>
      <c r="E935" s="26" t="str">
        <f aca="false">IF($K935=0,"","ENTREE")</f>
        <v/>
      </c>
      <c r="F935" s="26" t="str">
        <f aca="false">IF($K935=0,"","RETOUR SOUS-TRAITANCE")</f>
        <v/>
      </c>
      <c r="G935" s="26" t="str">
        <f aca="false">IF($K935=0,"",ST_RESULTATS!$N185)</f>
        <v/>
      </c>
      <c r="H935" s="26" t="str">
        <f aca="false">IF($K935=0,"",ST_RESULTATS!$J185)</f>
        <v/>
      </c>
      <c r="I935" s="26" t="str">
        <f aca="false">IF($H935="","",IFERROR(INDEX(EMPL_CLASSE,MATCH($H935,EMPL_KEY,0)),""))</f>
        <v/>
      </c>
      <c r="J935" s="26" t="str">
        <f aca="false">IF($K935=0,"",IFERROR(INDEX(LOT_PRODE,MATCH($G935,LOT_KEY,0)),""))</f>
        <v/>
      </c>
      <c r="K935" s="67" t="n">
        <f aca="false">IF(ST_RESULTATS!$P185=0,0,ST_RESULTATS!$F185)</f>
        <v>0</v>
      </c>
      <c r="L935" s="67" t="n">
        <f aca="false">IF($K935=0,0,ST_RESULTATS!$T185*$K935)</f>
        <v>0</v>
      </c>
      <c r="M935" s="26" t="str">
        <f aca="false">IF($K935=0,"",ST_RESULTATS!$S185)</f>
        <v/>
      </c>
      <c r="N935" s="26" t="str">
        <f aca="false">IF($G935="","",IF($G935=R_LOT,COUNTIF($G$5:$G935,R_LOT),""))</f>
        <v/>
      </c>
    </row>
    <row r="936" customFormat="false" ht="15" hidden="false" customHeight="false" outlineLevel="0" collapsed="false">
      <c r="A936" s="28" t="str">
        <f aca="false">IF($K936=0,"",ROW()-4)</f>
        <v/>
      </c>
      <c r="B936" s="26" t="str">
        <f aca="false">IF($K936=0,"","RESULTAT ST")</f>
        <v/>
      </c>
      <c r="C936" s="26" t="str">
        <f aca="false">IF($K936=0,"",ST_RESULTATS!$A186)</f>
        <v/>
      </c>
      <c r="D936" s="31" t="str">
        <f aca="false">IF($K936=0,"",ST_RESULTATS!$V186)</f>
        <v/>
      </c>
      <c r="E936" s="26" t="str">
        <f aca="false">IF($K936=0,"","ENTREE")</f>
        <v/>
      </c>
      <c r="F936" s="26" t="str">
        <f aca="false">IF($K936=0,"","RETOUR SOUS-TRAITANCE")</f>
        <v/>
      </c>
      <c r="G936" s="26" t="str">
        <f aca="false">IF($K936=0,"",ST_RESULTATS!$N186)</f>
        <v/>
      </c>
      <c r="H936" s="26" t="str">
        <f aca="false">IF($K936=0,"",ST_RESULTATS!$J186)</f>
        <v/>
      </c>
      <c r="I936" s="26" t="str">
        <f aca="false">IF($H936="","",IFERROR(INDEX(EMPL_CLASSE,MATCH($H936,EMPL_KEY,0)),""))</f>
        <v/>
      </c>
      <c r="J936" s="26" t="str">
        <f aca="false">IF($K936=0,"",IFERROR(INDEX(LOT_PRODE,MATCH($G936,LOT_KEY,0)),""))</f>
        <v/>
      </c>
      <c r="K936" s="67" t="n">
        <f aca="false">IF(ST_RESULTATS!$P186=0,0,ST_RESULTATS!$F186)</f>
        <v>0</v>
      </c>
      <c r="L936" s="67" t="n">
        <f aca="false">IF($K936=0,0,ST_RESULTATS!$T186*$K936)</f>
        <v>0</v>
      </c>
      <c r="M936" s="26" t="str">
        <f aca="false">IF($K936=0,"",ST_RESULTATS!$S186)</f>
        <v/>
      </c>
      <c r="N936" s="26" t="str">
        <f aca="false">IF($G936="","",IF($G936=R_LOT,COUNTIF($G$5:$G936,R_LOT),""))</f>
        <v/>
      </c>
    </row>
    <row r="937" customFormat="false" ht="15" hidden="false" customHeight="false" outlineLevel="0" collapsed="false">
      <c r="A937" s="28" t="str">
        <f aca="false">IF($K937=0,"",ROW()-4)</f>
        <v/>
      </c>
      <c r="B937" s="26" t="str">
        <f aca="false">IF($K937=0,"","RESULTAT ST")</f>
        <v/>
      </c>
      <c r="C937" s="26" t="str">
        <f aca="false">IF($K937=0,"",ST_RESULTATS!$A187)</f>
        <v/>
      </c>
      <c r="D937" s="31" t="str">
        <f aca="false">IF($K937=0,"",ST_RESULTATS!$V187)</f>
        <v/>
      </c>
      <c r="E937" s="26" t="str">
        <f aca="false">IF($K937=0,"","ENTREE")</f>
        <v/>
      </c>
      <c r="F937" s="26" t="str">
        <f aca="false">IF($K937=0,"","RETOUR SOUS-TRAITANCE")</f>
        <v/>
      </c>
      <c r="G937" s="26" t="str">
        <f aca="false">IF($K937=0,"",ST_RESULTATS!$N187)</f>
        <v/>
      </c>
      <c r="H937" s="26" t="str">
        <f aca="false">IF($K937=0,"",ST_RESULTATS!$J187)</f>
        <v/>
      </c>
      <c r="I937" s="26" t="str">
        <f aca="false">IF($H937="","",IFERROR(INDEX(EMPL_CLASSE,MATCH($H937,EMPL_KEY,0)),""))</f>
        <v/>
      </c>
      <c r="J937" s="26" t="str">
        <f aca="false">IF($K937=0,"",IFERROR(INDEX(LOT_PRODE,MATCH($G937,LOT_KEY,0)),""))</f>
        <v/>
      </c>
      <c r="K937" s="67" t="n">
        <f aca="false">IF(ST_RESULTATS!$P187=0,0,ST_RESULTATS!$F187)</f>
        <v>0</v>
      </c>
      <c r="L937" s="67" t="n">
        <f aca="false">IF($K937=0,0,ST_RESULTATS!$T187*$K937)</f>
        <v>0</v>
      </c>
      <c r="M937" s="26" t="str">
        <f aca="false">IF($K937=0,"",ST_RESULTATS!$S187)</f>
        <v/>
      </c>
      <c r="N937" s="26" t="str">
        <f aca="false">IF($G937="","",IF($G937=R_LOT,COUNTIF($G$5:$G937,R_LOT),""))</f>
        <v/>
      </c>
    </row>
    <row r="938" customFormat="false" ht="15" hidden="false" customHeight="false" outlineLevel="0" collapsed="false">
      <c r="A938" s="28" t="str">
        <f aca="false">IF($K938=0,"",ROW()-4)</f>
        <v/>
      </c>
      <c r="B938" s="26" t="str">
        <f aca="false">IF($K938=0,"","RESULTAT ST")</f>
        <v/>
      </c>
      <c r="C938" s="26" t="str">
        <f aca="false">IF($K938=0,"",ST_RESULTATS!$A188)</f>
        <v/>
      </c>
      <c r="D938" s="31" t="str">
        <f aca="false">IF($K938=0,"",ST_RESULTATS!$V188)</f>
        <v/>
      </c>
      <c r="E938" s="26" t="str">
        <f aca="false">IF($K938=0,"","ENTREE")</f>
        <v/>
      </c>
      <c r="F938" s="26" t="str">
        <f aca="false">IF($K938=0,"","RETOUR SOUS-TRAITANCE")</f>
        <v/>
      </c>
      <c r="G938" s="26" t="str">
        <f aca="false">IF($K938=0,"",ST_RESULTATS!$N188)</f>
        <v/>
      </c>
      <c r="H938" s="26" t="str">
        <f aca="false">IF($K938=0,"",ST_RESULTATS!$J188)</f>
        <v/>
      </c>
      <c r="I938" s="26" t="str">
        <f aca="false">IF($H938="","",IFERROR(INDEX(EMPL_CLASSE,MATCH($H938,EMPL_KEY,0)),""))</f>
        <v/>
      </c>
      <c r="J938" s="26" t="str">
        <f aca="false">IF($K938=0,"",IFERROR(INDEX(LOT_PRODE,MATCH($G938,LOT_KEY,0)),""))</f>
        <v/>
      </c>
      <c r="K938" s="67" t="n">
        <f aca="false">IF(ST_RESULTATS!$P188=0,0,ST_RESULTATS!$F188)</f>
        <v>0</v>
      </c>
      <c r="L938" s="67" t="n">
        <f aca="false">IF($K938=0,0,ST_RESULTATS!$T188*$K938)</f>
        <v>0</v>
      </c>
      <c r="M938" s="26" t="str">
        <f aca="false">IF($K938=0,"",ST_RESULTATS!$S188)</f>
        <v/>
      </c>
      <c r="N938" s="26" t="str">
        <f aca="false">IF($G938="","",IF($G938=R_LOT,COUNTIF($G$5:$G938,R_LOT),""))</f>
        <v/>
      </c>
    </row>
    <row r="939" customFormat="false" ht="15" hidden="false" customHeight="false" outlineLevel="0" collapsed="false">
      <c r="A939" s="28" t="str">
        <f aca="false">IF($K939=0,"",ROW()-4)</f>
        <v/>
      </c>
      <c r="B939" s="26" t="str">
        <f aca="false">IF($K939=0,"","RESULTAT ST")</f>
        <v/>
      </c>
      <c r="C939" s="26" t="str">
        <f aca="false">IF($K939=0,"",ST_RESULTATS!$A189)</f>
        <v/>
      </c>
      <c r="D939" s="31" t="str">
        <f aca="false">IF($K939=0,"",ST_RESULTATS!$V189)</f>
        <v/>
      </c>
      <c r="E939" s="26" t="str">
        <f aca="false">IF($K939=0,"","ENTREE")</f>
        <v/>
      </c>
      <c r="F939" s="26" t="str">
        <f aca="false">IF($K939=0,"","RETOUR SOUS-TRAITANCE")</f>
        <v/>
      </c>
      <c r="G939" s="26" t="str">
        <f aca="false">IF($K939=0,"",ST_RESULTATS!$N189)</f>
        <v/>
      </c>
      <c r="H939" s="26" t="str">
        <f aca="false">IF($K939=0,"",ST_RESULTATS!$J189)</f>
        <v/>
      </c>
      <c r="I939" s="26" t="str">
        <f aca="false">IF($H939="","",IFERROR(INDEX(EMPL_CLASSE,MATCH($H939,EMPL_KEY,0)),""))</f>
        <v/>
      </c>
      <c r="J939" s="26" t="str">
        <f aca="false">IF($K939=0,"",IFERROR(INDEX(LOT_PRODE,MATCH($G939,LOT_KEY,0)),""))</f>
        <v/>
      </c>
      <c r="K939" s="67" t="n">
        <f aca="false">IF(ST_RESULTATS!$P189=0,0,ST_RESULTATS!$F189)</f>
        <v>0</v>
      </c>
      <c r="L939" s="67" t="n">
        <f aca="false">IF($K939=0,0,ST_RESULTATS!$T189*$K939)</f>
        <v>0</v>
      </c>
      <c r="M939" s="26" t="str">
        <f aca="false">IF($K939=0,"",ST_RESULTATS!$S189)</f>
        <v/>
      </c>
      <c r="N939" s="26" t="str">
        <f aca="false">IF($G939="","",IF($G939=R_LOT,COUNTIF($G$5:$G939,R_LOT),""))</f>
        <v/>
      </c>
    </row>
    <row r="940" customFormat="false" ht="15" hidden="false" customHeight="false" outlineLevel="0" collapsed="false">
      <c r="A940" s="28" t="str">
        <f aca="false">IF($K940=0,"",ROW()-4)</f>
        <v/>
      </c>
      <c r="B940" s="26" t="str">
        <f aca="false">IF($K940=0,"","RESULTAT ST")</f>
        <v/>
      </c>
      <c r="C940" s="26" t="str">
        <f aca="false">IF($K940=0,"",ST_RESULTATS!$A190)</f>
        <v/>
      </c>
      <c r="D940" s="31" t="str">
        <f aca="false">IF($K940=0,"",ST_RESULTATS!$V190)</f>
        <v/>
      </c>
      <c r="E940" s="26" t="str">
        <f aca="false">IF($K940=0,"","ENTREE")</f>
        <v/>
      </c>
      <c r="F940" s="26" t="str">
        <f aca="false">IF($K940=0,"","RETOUR SOUS-TRAITANCE")</f>
        <v/>
      </c>
      <c r="G940" s="26" t="str">
        <f aca="false">IF($K940=0,"",ST_RESULTATS!$N190)</f>
        <v/>
      </c>
      <c r="H940" s="26" t="str">
        <f aca="false">IF($K940=0,"",ST_RESULTATS!$J190)</f>
        <v/>
      </c>
      <c r="I940" s="26" t="str">
        <f aca="false">IF($H940="","",IFERROR(INDEX(EMPL_CLASSE,MATCH($H940,EMPL_KEY,0)),""))</f>
        <v/>
      </c>
      <c r="J940" s="26" t="str">
        <f aca="false">IF($K940=0,"",IFERROR(INDEX(LOT_PRODE,MATCH($G940,LOT_KEY,0)),""))</f>
        <v/>
      </c>
      <c r="K940" s="67" t="n">
        <f aca="false">IF(ST_RESULTATS!$P190=0,0,ST_RESULTATS!$F190)</f>
        <v>0</v>
      </c>
      <c r="L940" s="67" t="n">
        <f aca="false">IF($K940=0,0,ST_RESULTATS!$T190*$K940)</f>
        <v>0</v>
      </c>
      <c r="M940" s="26" t="str">
        <f aca="false">IF($K940=0,"",ST_RESULTATS!$S190)</f>
        <v/>
      </c>
      <c r="N940" s="26" t="str">
        <f aca="false">IF($G940="","",IF($G940=R_LOT,COUNTIF($G$5:$G940,R_LOT),""))</f>
        <v/>
      </c>
    </row>
    <row r="941" customFormat="false" ht="15" hidden="false" customHeight="false" outlineLevel="0" collapsed="false">
      <c r="A941" s="28" t="str">
        <f aca="false">IF($K941=0,"",ROW()-4)</f>
        <v/>
      </c>
      <c r="B941" s="26" t="str">
        <f aca="false">IF($K941=0,"","RESULTAT ST")</f>
        <v/>
      </c>
      <c r="C941" s="26" t="str">
        <f aca="false">IF($K941=0,"",ST_RESULTATS!$A191)</f>
        <v/>
      </c>
      <c r="D941" s="31" t="str">
        <f aca="false">IF($K941=0,"",ST_RESULTATS!$V191)</f>
        <v/>
      </c>
      <c r="E941" s="26" t="str">
        <f aca="false">IF($K941=0,"","ENTREE")</f>
        <v/>
      </c>
      <c r="F941" s="26" t="str">
        <f aca="false">IF($K941=0,"","RETOUR SOUS-TRAITANCE")</f>
        <v/>
      </c>
      <c r="G941" s="26" t="str">
        <f aca="false">IF($K941=0,"",ST_RESULTATS!$N191)</f>
        <v/>
      </c>
      <c r="H941" s="26" t="str">
        <f aca="false">IF($K941=0,"",ST_RESULTATS!$J191)</f>
        <v/>
      </c>
      <c r="I941" s="26" t="str">
        <f aca="false">IF($H941="","",IFERROR(INDEX(EMPL_CLASSE,MATCH($H941,EMPL_KEY,0)),""))</f>
        <v/>
      </c>
      <c r="J941" s="26" t="str">
        <f aca="false">IF($K941=0,"",IFERROR(INDEX(LOT_PRODE,MATCH($G941,LOT_KEY,0)),""))</f>
        <v/>
      </c>
      <c r="K941" s="67" t="n">
        <f aca="false">IF(ST_RESULTATS!$P191=0,0,ST_RESULTATS!$F191)</f>
        <v>0</v>
      </c>
      <c r="L941" s="67" t="n">
        <f aca="false">IF($K941=0,0,ST_RESULTATS!$T191*$K941)</f>
        <v>0</v>
      </c>
      <c r="M941" s="26" t="str">
        <f aca="false">IF($K941=0,"",ST_RESULTATS!$S191)</f>
        <v/>
      </c>
      <c r="N941" s="26" t="str">
        <f aca="false">IF($G941="","",IF($G941=R_LOT,COUNTIF($G$5:$G941,R_LOT),""))</f>
        <v/>
      </c>
    </row>
    <row r="942" customFormat="false" ht="15" hidden="false" customHeight="false" outlineLevel="0" collapsed="false">
      <c r="A942" s="28" t="str">
        <f aca="false">IF($K942=0,"",ROW()-4)</f>
        <v/>
      </c>
      <c r="B942" s="26" t="str">
        <f aca="false">IF($K942=0,"","RESULTAT ST")</f>
        <v/>
      </c>
      <c r="C942" s="26" t="str">
        <f aca="false">IF($K942=0,"",ST_RESULTATS!$A192)</f>
        <v/>
      </c>
      <c r="D942" s="31" t="str">
        <f aca="false">IF($K942=0,"",ST_RESULTATS!$V192)</f>
        <v/>
      </c>
      <c r="E942" s="26" t="str">
        <f aca="false">IF($K942=0,"","ENTREE")</f>
        <v/>
      </c>
      <c r="F942" s="26" t="str">
        <f aca="false">IF($K942=0,"","RETOUR SOUS-TRAITANCE")</f>
        <v/>
      </c>
      <c r="G942" s="26" t="str">
        <f aca="false">IF($K942=0,"",ST_RESULTATS!$N192)</f>
        <v/>
      </c>
      <c r="H942" s="26" t="str">
        <f aca="false">IF($K942=0,"",ST_RESULTATS!$J192)</f>
        <v/>
      </c>
      <c r="I942" s="26" t="str">
        <f aca="false">IF($H942="","",IFERROR(INDEX(EMPL_CLASSE,MATCH($H942,EMPL_KEY,0)),""))</f>
        <v/>
      </c>
      <c r="J942" s="26" t="str">
        <f aca="false">IF($K942=0,"",IFERROR(INDEX(LOT_PRODE,MATCH($G942,LOT_KEY,0)),""))</f>
        <v/>
      </c>
      <c r="K942" s="67" t="n">
        <f aca="false">IF(ST_RESULTATS!$P192=0,0,ST_RESULTATS!$F192)</f>
        <v>0</v>
      </c>
      <c r="L942" s="67" t="n">
        <f aca="false">IF($K942=0,0,ST_RESULTATS!$T192*$K942)</f>
        <v>0</v>
      </c>
      <c r="M942" s="26" t="str">
        <f aca="false">IF($K942=0,"",ST_RESULTATS!$S192)</f>
        <v/>
      </c>
      <c r="N942" s="26" t="str">
        <f aca="false">IF($G942="","",IF($G942=R_LOT,COUNTIF($G$5:$G942,R_LOT),""))</f>
        <v/>
      </c>
    </row>
    <row r="943" customFormat="false" ht="15" hidden="false" customHeight="false" outlineLevel="0" collapsed="false">
      <c r="A943" s="28" t="str">
        <f aca="false">IF($K943=0,"",ROW()-4)</f>
        <v/>
      </c>
      <c r="B943" s="26" t="str">
        <f aca="false">IF($K943=0,"","RESULTAT ST")</f>
        <v/>
      </c>
      <c r="C943" s="26" t="str">
        <f aca="false">IF($K943=0,"",ST_RESULTATS!$A193)</f>
        <v/>
      </c>
      <c r="D943" s="31" t="str">
        <f aca="false">IF($K943=0,"",ST_RESULTATS!$V193)</f>
        <v/>
      </c>
      <c r="E943" s="26" t="str">
        <f aca="false">IF($K943=0,"","ENTREE")</f>
        <v/>
      </c>
      <c r="F943" s="26" t="str">
        <f aca="false">IF($K943=0,"","RETOUR SOUS-TRAITANCE")</f>
        <v/>
      </c>
      <c r="G943" s="26" t="str">
        <f aca="false">IF($K943=0,"",ST_RESULTATS!$N193)</f>
        <v/>
      </c>
      <c r="H943" s="26" t="str">
        <f aca="false">IF($K943=0,"",ST_RESULTATS!$J193)</f>
        <v/>
      </c>
      <c r="I943" s="26" t="str">
        <f aca="false">IF($H943="","",IFERROR(INDEX(EMPL_CLASSE,MATCH($H943,EMPL_KEY,0)),""))</f>
        <v/>
      </c>
      <c r="J943" s="26" t="str">
        <f aca="false">IF($K943=0,"",IFERROR(INDEX(LOT_PRODE,MATCH($G943,LOT_KEY,0)),""))</f>
        <v/>
      </c>
      <c r="K943" s="67" t="n">
        <f aca="false">IF(ST_RESULTATS!$P193=0,0,ST_RESULTATS!$F193)</f>
        <v>0</v>
      </c>
      <c r="L943" s="67" t="n">
        <f aca="false">IF($K943=0,0,ST_RESULTATS!$T193*$K943)</f>
        <v>0</v>
      </c>
      <c r="M943" s="26" t="str">
        <f aca="false">IF($K943=0,"",ST_RESULTATS!$S193)</f>
        <v/>
      </c>
      <c r="N943" s="26" t="str">
        <f aca="false">IF($G943="","",IF($G943=R_LOT,COUNTIF($G$5:$G943,R_LOT),""))</f>
        <v/>
      </c>
    </row>
    <row r="944" customFormat="false" ht="15" hidden="false" customHeight="false" outlineLevel="0" collapsed="false">
      <c r="A944" s="28" t="str">
        <f aca="false">IF($K944=0,"",ROW()-4)</f>
        <v/>
      </c>
      <c r="B944" s="26" t="str">
        <f aca="false">IF($K944=0,"","RESULTAT ST")</f>
        <v/>
      </c>
      <c r="C944" s="26" t="str">
        <f aca="false">IF($K944=0,"",ST_RESULTATS!$A194)</f>
        <v/>
      </c>
      <c r="D944" s="31" t="str">
        <f aca="false">IF($K944=0,"",ST_RESULTATS!$V194)</f>
        <v/>
      </c>
      <c r="E944" s="26" t="str">
        <f aca="false">IF($K944=0,"","ENTREE")</f>
        <v/>
      </c>
      <c r="F944" s="26" t="str">
        <f aca="false">IF($K944=0,"","RETOUR SOUS-TRAITANCE")</f>
        <v/>
      </c>
      <c r="G944" s="26" t="str">
        <f aca="false">IF($K944=0,"",ST_RESULTATS!$N194)</f>
        <v/>
      </c>
      <c r="H944" s="26" t="str">
        <f aca="false">IF($K944=0,"",ST_RESULTATS!$J194)</f>
        <v/>
      </c>
      <c r="I944" s="26" t="str">
        <f aca="false">IF($H944="","",IFERROR(INDEX(EMPL_CLASSE,MATCH($H944,EMPL_KEY,0)),""))</f>
        <v/>
      </c>
      <c r="J944" s="26" t="str">
        <f aca="false">IF($K944=0,"",IFERROR(INDEX(LOT_PRODE,MATCH($G944,LOT_KEY,0)),""))</f>
        <v/>
      </c>
      <c r="K944" s="67" t="n">
        <f aca="false">IF(ST_RESULTATS!$P194=0,0,ST_RESULTATS!$F194)</f>
        <v>0</v>
      </c>
      <c r="L944" s="67" t="n">
        <f aca="false">IF($K944=0,0,ST_RESULTATS!$T194*$K944)</f>
        <v>0</v>
      </c>
      <c r="M944" s="26" t="str">
        <f aca="false">IF($K944=0,"",ST_RESULTATS!$S194)</f>
        <v/>
      </c>
      <c r="N944" s="26" t="str">
        <f aca="false">IF($G944="","",IF($G944=R_LOT,COUNTIF($G$5:$G944,R_LOT),""))</f>
        <v/>
      </c>
    </row>
    <row r="945" customFormat="false" ht="15" hidden="false" customHeight="false" outlineLevel="0" collapsed="false">
      <c r="A945" s="28" t="str">
        <f aca="false">IF($K945=0,"",ROW()-4)</f>
        <v/>
      </c>
      <c r="B945" s="26" t="str">
        <f aca="false">IF($K945=0,"","RESULTAT ST")</f>
        <v/>
      </c>
      <c r="C945" s="26" t="str">
        <f aca="false">IF($K945=0,"",ST_RESULTATS!$A195)</f>
        <v/>
      </c>
      <c r="D945" s="31" t="str">
        <f aca="false">IF($K945=0,"",ST_RESULTATS!$V195)</f>
        <v/>
      </c>
      <c r="E945" s="26" t="str">
        <f aca="false">IF($K945=0,"","ENTREE")</f>
        <v/>
      </c>
      <c r="F945" s="26" t="str">
        <f aca="false">IF($K945=0,"","RETOUR SOUS-TRAITANCE")</f>
        <v/>
      </c>
      <c r="G945" s="26" t="str">
        <f aca="false">IF($K945=0,"",ST_RESULTATS!$N195)</f>
        <v/>
      </c>
      <c r="H945" s="26" t="str">
        <f aca="false">IF($K945=0,"",ST_RESULTATS!$J195)</f>
        <v/>
      </c>
      <c r="I945" s="26" t="str">
        <f aca="false">IF($H945="","",IFERROR(INDEX(EMPL_CLASSE,MATCH($H945,EMPL_KEY,0)),""))</f>
        <v/>
      </c>
      <c r="J945" s="26" t="str">
        <f aca="false">IF($K945=0,"",IFERROR(INDEX(LOT_PRODE,MATCH($G945,LOT_KEY,0)),""))</f>
        <v/>
      </c>
      <c r="K945" s="67" t="n">
        <f aca="false">IF(ST_RESULTATS!$P195=0,0,ST_RESULTATS!$F195)</f>
        <v>0</v>
      </c>
      <c r="L945" s="67" t="n">
        <f aca="false">IF($K945=0,0,ST_RESULTATS!$T195*$K945)</f>
        <v>0</v>
      </c>
      <c r="M945" s="26" t="str">
        <f aca="false">IF($K945=0,"",ST_RESULTATS!$S195)</f>
        <v/>
      </c>
      <c r="N945" s="26" t="str">
        <f aca="false">IF($G945="","",IF($G945=R_LOT,COUNTIF($G$5:$G945,R_LOT),""))</f>
        <v/>
      </c>
    </row>
    <row r="946" customFormat="false" ht="15" hidden="false" customHeight="false" outlineLevel="0" collapsed="false">
      <c r="A946" s="28" t="str">
        <f aca="false">IF($K946=0,"",ROW()-4)</f>
        <v/>
      </c>
      <c r="B946" s="26" t="str">
        <f aca="false">IF($K946=0,"","RESULTAT ST")</f>
        <v/>
      </c>
      <c r="C946" s="26" t="str">
        <f aca="false">IF($K946=0,"",ST_RESULTATS!$A196)</f>
        <v/>
      </c>
      <c r="D946" s="31" t="str">
        <f aca="false">IF($K946=0,"",ST_RESULTATS!$V196)</f>
        <v/>
      </c>
      <c r="E946" s="26" t="str">
        <f aca="false">IF($K946=0,"","ENTREE")</f>
        <v/>
      </c>
      <c r="F946" s="26" t="str">
        <f aca="false">IF($K946=0,"","RETOUR SOUS-TRAITANCE")</f>
        <v/>
      </c>
      <c r="G946" s="26" t="str">
        <f aca="false">IF($K946=0,"",ST_RESULTATS!$N196)</f>
        <v/>
      </c>
      <c r="H946" s="26" t="str">
        <f aca="false">IF($K946=0,"",ST_RESULTATS!$J196)</f>
        <v/>
      </c>
      <c r="I946" s="26" t="str">
        <f aca="false">IF($H946="","",IFERROR(INDEX(EMPL_CLASSE,MATCH($H946,EMPL_KEY,0)),""))</f>
        <v/>
      </c>
      <c r="J946" s="26" t="str">
        <f aca="false">IF($K946=0,"",IFERROR(INDEX(LOT_PRODE,MATCH($G946,LOT_KEY,0)),""))</f>
        <v/>
      </c>
      <c r="K946" s="67" t="n">
        <f aca="false">IF(ST_RESULTATS!$P196=0,0,ST_RESULTATS!$F196)</f>
        <v>0</v>
      </c>
      <c r="L946" s="67" t="n">
        <f aca="false">IF($K946=0,0,ST_RESULTATS!$T196*$K946)</f>
        <v>0</v>
      </c>
      <c r="M946" s="26" t="str">
        <f aca="false">IF($K946=0,"",ST_RESULTATS!$S196)</f>
        <v/>
      </c>
      <c r="N946" s="26" t="str">
        <f aca="false">IF($G946="","",IF($G946=R_LOT,COUNTIF($G$5:$G946,R_LOT),""))</f>
        <v/>
      </c>
    </row>
    <row r="947" customFormat="false" ht="15" hidden="false" customHeight="false" outlineLevel="0" collapsed="false">
      <c r="A947" s="28" t="str">
        <f aca="false">IF($K947=0,"",ROW()-4)</f>
        <v/>
      </c>
      <c r="B947" s="26" t="str">
        <f aca="false">IF($K947=0,"","RESULTAT ST")</f>
        <v/>
      </c>
      <c r="C947" s="26" t="str">
        <f aca="false">IF($K947=0,"",ST_RESULTATS!$A197)</f>
        <v/>
      </c>
      <c r="D947" s="31" t="str">
        <f aca="false">IF($K947=0,"",ST_RESULTATS!$V197)</f>
        <v/>
      </c>
      <c r="E947" s="26" t="str">
        <f aca="false">IF($K947=0,"","ENTREE")</f>
        <v/>
      </c>
      <c r="F947" s="26" t="str">
        <f aca="false">IF($K947=0,"","RETOUR SOUS-TRAITANCE")</f>
        <v/>
      </c>
      <c r="G947" s="26" t="str">
        <f aca="false">IF($K947=0,"",ST_RESULTATS!$N197)</f>
        <v/>
      </c>
      <c r="H947" s="26" t="str">
        <f aca="false">IF($K947=0,"",ST_RESULTATS!$J197)</f>
        <v/>
      </c>
      <c r="I947" s="26" t="str">
        <f aca="false">IF($H947="","",IFERROR(INDEX(EMPL_CLASSE,MATCH($H947,EMPL_KEY,0)),""))</f>
        <v/>
      </c>
      <c r="J947" s="26" t="str">
        <f aca="false">IF($K947=0,"",IFERROR(INDEX(LOT_PRODE,MATCH($G947,LOT_KEY,0)),""))</f>
        <v/>
      </c>
      <c r="K947" s="67" t="n">
        <f aca="false">IF(ST_RESULTATS!$P197=0,0,ST_RESULTATS!$F197)</f>
        <v>0</v>
      </c>
      <c r="L947" s="67" t="n">
        <f aca="false">IF($K947=0,0,ST_RESULTATS!$T197*$K947)</f>
        <v>0</v>
      </c>
      <c r="M947" s="26" t="str">
        <f aca="false">IF($K947=0,"",ST_RESULTATS!$S197)</f>
        <v/>
      </c>
      <c r="N947" s="26" t="str">
        <f aca="false">IF($G947="","",IF($G947=R_LOT,COUNTIF($G$5:$G947,R_LOT),""))</f>
        <v/>
      </c>
    </row>
    <row r="948" customFormat="false" ht="15" hidden="false" customHeight="false" outlineLevel="0" collapsed="false">
      <c r="A948" s="28" t="str">
        <f aca="false">IF($K948=0,"",ROW()-4)</f>
        <v/>
      </c>
      <c r="B948" s="26" t="str">
        <f aca="false">IF($K948=0,"","RESULTAT ST")</f>
        <v/>
      </c>
      <c r="C948" s="26" t="str">
        <f aca="false">IF($K948=0,"",ST_RESULTATS!$A198)</f>
        <v/>
      </c>
      <c r="D948" s="31" t="str">
        <f aca="false">IF($K948=0,"",ST_RESULTATS!$V198)</f>
        <v/>
      </c>
      <c r="E948" s="26" t="str">
        <f aca="false">IF($K948=0,"","ENTREE")</f>
        <v/>
      </c>
      <c r="F948" s="26" t="str">
        <f aca="false">IF($K948=0,"","RETOUR SOUS-TRAITANCE")</f>
        <v/>
      </c>
      <c r="G948" s="26" t="str">
        <f aca="false">IF($K948=0,"",ST_RESULTATS!$N198)</f>
        <v/>
      </c>
      <c r="H948" s="26" t="str">
        <f aca="false">IF($K948=0,"",ST_RESULTATS!$J198)</f>
        <v/>
      </c>
      <c r="I948" s="26" t="str">
        <f aca="false">IF($H948="","",IFERROR(INDEX(EMPL_CLASSE,MATCH($H948,EMPL_KEY,0)),""))</f>
        <v/>
      </c>
      <c r="J948" s="26" t="str">
        <f aca="false">IF($K948=0,"",IFERROR(INDEX(LOT_PRODE,MATCH($G948,LOT_KEY,0)),""))</f>
        <v/>
      </c>
      <c r="K948" s="67" t="n">
        <f aca="false">IF(ST_RESULTATS!$P198=0,0,ST_RESULTATS!$F198)</f>
        <v>0</v>
      </c>
      <c r="L948" s="67" t="n">
        <f aca="false">IF($K948=0,0,ST_RESULTATS!$T198*$K948)</f>
        <v>0</v>
      </c>
      <c r="M948" s="26" t="str">
        <f aca="false">IF($K948=0,"",ST_RESULTATS!$S198)</f>
        <v/>
      </c>
      <c r="N948" s="26" t="str">
        <f aca="false">IF($G948="","",IF($G948=R_LOT,COUNTIF($G$5:$G948,R_LOT),""))</f>
        <v/>
      </c>
    </row>
    <row r="949" customFormat="false" ht="15" hidden="false" customHeight="false" outlineLevel="0" collapsed="false">
      <c r="A949" s="28" t="str">
        <f aca="false">IF($K949=0,"",ROW()-4)</f>
        <v/>
      </c>
      <c r="B949" s="26" t="str">
        <f aca="false">IF($K949=0,"","RESULTAT ST")</f>
        <v/>
      </c>
      <c r="C949" s="26" t="str">
        <f aca="false">IF($K949=0,"",ST_RESULTATS!$A199)</f>
        <v/>
      </c>
      <c r="D949" s="31" t="str">
        <f aca="false">IF($K949=0,"",ST_RESULTATS!$V199)</f>
        <v/>
      </c>
      <c r="E949" s="26" t="str">
        <f aca="false">IF($K949=0,"","ENTREE")</f>
        <v/>
      </c>
      <c r="F949" s="26" t="str">
        <f aca="false">IF($K949=0,"","RETOUR SOUS-TRAITANCE")</f>
        <v/>
      </c>
      <c r="G949" s="26" t="str">
        <f aca="false">IF($K949=0,"",ST_RESULTATS!$N199)</f>
        <v/>
      </c>
      <c r="H949" s="26" t="str">
        <f aca="false">IF($K949=0,"",ST_RESULTATS!$J199)</f>
        <v/>
      </c>
      <c r="I949" s="26" t="str">
        <f aca="false">IF($H949="","",IFERROR(INDEX(EMPL_CLASSE,MATCH($H949,EMPL_KEY,0)),""))</f>
        <v/>
      </c>
      <c r="J949" s="26" t="str">
        <f aca="false">IF($K949=0,"",IFERROR(INDEX(LOT_PRODE,MATCH($G949,LOT_KEY,0)),""))</f>
        <v/>
      </c>
      <c r="K949" s="67" t="n">
        <f aca="false">IF(ST_RESULTATS!$P199=0,0,ST_RESULTATS!$F199)</f>
        <v>0</v>
      </c>
      <c r="L949" s="67" t="n">
        <f aca="false">IF($K949=0,0,ST_RESULTATS!$T199*$K949)</f>
        <v>0</v>
      </c>
      <c r="M949" s="26" t="str">
        <f aca="false">IF($K949=0,"",ST_RESULTATS!$S199)</f>
        <v/>
      </c>
      <c r="N949" s="26" t="str">
        <f aca="false">IF($G949="","",IF($G949=R_LOT,COUNTIF($G$5:$G949,R_LOT),""))</f>
        <v/>
      </c>
    </row>
    <row r="950" customFormat="false" ht="15" hidden="false" customHeight="false" outlineLevel="0" collapsed="false">
      <c r="A950" s="28" t="str">
        <f aca="false">IF($K950=0,"",ROW()-4)</f>
        <v/>
      </c>
      <c r="B950" s="26" t="str">
        <f aca="false">IF($K950=0,"","RESULTAT ST")</f>
        <v/>
      </c>
      <c r="C950" s="26" t="str">
        <f aca="false">IF($K950=0,"",ST_RESULTATS!$A200)</f>
        <v/>
      </c>
      <c r="D950" s="31" t="str">
        <f aca="false">IF($K950=0,"",ST_RESULTATS!$V200)</f>
        <v/>
      </c>
      <c r="E950" s="26" t="str">
        <f aca="false">IF($K950=0,"","ENTREE")</f>
        <v/>
      </c>
      <c r="F950" s="26" t="str">
        <f aca="false">IF($K950=0,"","RETOUR SOUS-TRAITANCE")</f>
        <v/>
      </c>
      <c r="G950" s="26" t="str">
        <f aca="false">IF($K950=0,"",ST_RESULTATS!$N200)</f>
        <v/>
      </c>
      <c r="H950" s="26" t="str">
        <f aca="false">IF($K950=0,"",ST_RESULTATS!$J200)</f>
        <v/>
      </c>
      <c r="I950" s="26" t="str">
        <f aca="false">IF($H950="","",IFERROR(INDEX(EMPL_CLASSE,MATCH($H950,EMPL_KEY,0)),""))</f>
        <v/>
      </c>
      <c r="J950" s="26" t="str">
        <f aca="false">IF($K950=0,"",IFERROR(INDEX(LOT_PRODE,MATCH($G950,LOT_KEY,0)),""))</f>
        <v/>
      </c>
      <c r="K950" s="67" t="n">
        <f aca="false">IF(ST_RESULTATS!$P200=0,0,ST_RESULTATS!$F200)</f>
        <v>0</v>
      </c>
      <c r="L950" s="67" t="n">
        <f aca="false">IF($K950=0,0,ST_RESULTATS!$T200*$K950)</f>
        <v>0</v>
      </c>
      <c r="M950" s="26" t="str">
        <f aca="false">IF($K950=0,"",ST_RESULTATS!$S200)</f>
        <v/>
      </c>
      <c r="N950" s="26" t="str">
        <f aca="false">IF($G950="","",IF($G950=R_LOT,COUNTIF($G$5:$G950,R_LOT),""))</f>
        <v/>
      </c>
    </row>
    <row r="951" customFormat="false" ht="15" hidden="false" customHeight="false" outlineLevel="0" collapsed="false">
      <c r="A951" s="28" t="str">
        <f aca="false">IF($K951=0,"",ROW()-4)</f>
        <v/>
      </c>
      <c r="B951" s="26" t="str">
        <f aca="false">IF($K951=0,"","RESULTAT ST")</f>
        <v/>
      </c>
      <c r="C951" s="26" t="str">
        <f aca="false">IF($K951=0,"",ST_RESULTATS!$A201)</f>
        <v/>
      </c>
      <c r="D951" s="31" t="str">
        <f aca="false">IF($K951=0,"",ST_RESULTATS!$V201)</f>
        <v/>
      </c>
      <c r="E951" s="26" t="str">
        <f aca="false">IF($K951=0,"","ENTREE")</f>
        <v/>
      </c>
      <c r="F951" s="26" t="str">
        <f aca="false">IF($K951=0,"","RETOUR SOUS-TRAITANCE")</f>
        <v/>
      </c>
      <c r="G951" s="26" t="str">
        <f aca="false">IF($K951=0,"",ST_RESULTATS!$N201)</f>
        <v/>
      </c>
      <c r="H951" s="26" t="str">
        <f aca="false">IF($K951=0,"",ST_RESULTATS!$J201)</f>
        <v/>
      </c>
      <c r="I951" s="26" t="str">
        <f aca="false">IF($H951="","",IFERROR(INDEX(EMPL_CLASSE,MATCH($H951,EMPL_KEY,0)),""))</f>
        <v/>
      </c>
      <c r="J951" s="26" t="str">
        <f aca="false">IF($K951=0,"",IFERROR(INDEX(LOT_PRODE,MATCH($G951,LOT_KEY,0)),""))</f>
        <v/>
      </c>
      <c r="K951" s="67" t="n">
        <f aca="false">IF(ST_RESULTATS!$P201=0,0,ST_RESULTATS!$F201)</f>
        <v>0</v>
      </c>
      <c r="L951" s="67" t="n">
        <f aca="false">IF($K951=0,0,ST_RESULTATS!$T201*$K951)</f>
        <v>0</v>
      </c>
      <c r="M951" s="26" t="str">
        <f aca="false">IF($K951=0,"",ST_RESULTATS!$S201)</f>
        <v/>
      </c>
      <c r="N951" s="26" t="str">
        <f aca="false">IF($G951="","",IF($G951=R_LOT,COUNTIF($G$5:$G951,R_LOT),""))</f>
        <v/>
      </c>
    </row>
    <row r="952" customFormat="false" ht="15" hidden="false" customHeight="false" outlineLevel="0" collapsed="false">
      <c r="A952" s="28" t="str">
        <f aca="false">IF($K952=0,"",ROW()-4)</f>
        <v/>
      </c>
      <c r="B952" s="26" t="str">
        <f aca="false">IF($K952=0,"","RESULTAT ST")</f>
        <v/>
      </c>
      <c r="C952" s="26" t="str">
        <f aca="false">IF($K952=0,"",ST_RESULTATS!$A202)</f>
        <v/>
      </c>
      <c r="D952" s="31" t="str">
        <f aca="false">IF($K952=0,"",ST_RESULTATS!$V202)</f>
        <v/>
      </c>
      <c r="E952" s="26" t="str">
        <f aca="false">IF($K952=0,"","ENTREE")</f>
        <v/>
      </c>
      <c r="F952" s="26" t="str">
        <f aca="false">IF($K952=0,"","RETOUR SOUS-TRAITANCE")</f>
        <v/>
      </c>
      <c r="G952" s="26" t="str">
        <f aca="false">IF($K952=0,"",ST_RESULTATS!$N202)</f>
        <v/>
      </c>
      <c r="H952" s="26" t="str">
        <f aca="false">IF($K952=0,"",ST_RESULTATS!$J202)</f>
        <v/>
      </c>
      <c r="I952" s="26" t="str">
        <f aca="false">IF($H952="","",IFERROR(INDEX(EMPL_CLASSE,MATCH($H952,EMPL_KEY,0)),""))</f>
        <v/>
      </c>
      <c r="J952" s="26" t="str">
        <f aca="false">IF($K952=0,"",IFERROR(INDEX(LOT_PRODE,MATCH($G952,LOT_KEY,0)),""))</f>
        <v/>
      </c>
      <c r="K952" s="67" t="n">
        <f aca="false">IF(ST_RESULTATS!$P202=0,0,ST_RESULTATS!$F202)</f>
        <v>0</v>
      </c>
      <c r="L952" s="67" t="n">
        <f aca="false">IF($K952=0,0,ST_RESULTATS!$T202*$K952)</f>
        <v>0</v>
      </c>
      <c r="M952" s="26" t="str">
        <f aca="false">IF($K952=0,"",ST_RESULTATS!$S202)</f>
        <v/>
      </c>
      <c r="N952" s="26" t="str">
        <f aca="false">IF($G952="","",IF($G952=R_LOT,COUNTIF($G$5:$G952,R_LOT),""))</f>
        <v/>
      </c>
    </row>
    <row r="953" customFormat="false" ht="15" hidden="false" customHeight="false" outlineLevel="0" collapsed="false">
      <c r="A953" s="28" t="str">
        <f aca="false">IF($K953=0,"",ROW()-4)</f>
        <v/>
      </c>
      <c r="B953" s="26" t="str">
        <f aca="false">IF($K953=0,"","RESULTAT ST")</f>
        <v/>
      </c>
      <c r="C953" s="26" t="str">
        <f aca="false">IF($K953=0,"",ST_RESULTATS!$A203)</f>
        <v/>
      </c>
      <c r="D953" s="31" t="str">
        <f aca="false">IF($K953=0,"",ST_RESULTATS!$V203)</f>
        <v/>
      </c>
      <c r="E953" s="26" t="str">
        <f aca="false">IF($K953=0,"","ENTREE")</f>
        <v/>
      </c>
      <c r="F953" s="26" t="str">
        <f aca="false">IF($K953=0,"","RETOUR SOUS-TRAITANCE")</f>
        <v/>
      </c>
      <c r="G953" s="26" t="str">
        <f aca="false">IF($K953=0,"",ST_RESULTATS!$N203)</f>
        <v/>
      </c>
      <c r="H953" s="26" t="str">
        <f aca="false">IF($K953=0,"",ST_RESULTATS!$J203)</f>
        <v/>
      </c>
      <c r="I953" s="26" t="str">
        <f aca="false">IF($H953="","",IFERROR(INDEX(EMPL_CLASSE,MATCH($H953,EMPL_KEY,0)),""))</f>
        <v/>
      </c>
      <c r="J953" s="26" t="str">
        <f aca="false">IF($K953=0,"",IFERROR(INDEX(LOT_PRODE,MATCH($G953,LOT_KEY,0)),""))</f>
        <v/>
      </c>
      <c r="K953" s="67" t="n">
        <f aca="false">IF(ST_RESULTATS!$P203=0,0,ST_RESULTATS!$F203)</f>
        <v>0</v>
      </c>
      <c r="L953" s="67" t="n">
        <f aca="false">IF($K953=0,0,ST_RESULTATS!$T203*$K953)</f>
        <v>0</v>
      </c>
      <c r="M953" s="26" t="str">
        <f aca="false">IF($K953=0,"",ST_RESULTATS!$S203)</f>
        <v/>
      </c>
      <c r="N953" s="26" t="str">
        <f aca="false">IF($G953="","",IF($G953=R_LOT,COUNTIF($G$5:$G953,R_LOT),""))</f>
        <v/>
      </c>
    </row>
    <row r="954" customFormat="false" ht="15" hidden="false" customHeight="false" outlineLevel="0" collapsed="false">
      <c r="A954" s="28" t="str">
        <f aca="false">IF($K954=0,"",ROW()-4)</f>
        <v/>
      </c>
      <c r="B954" s="26" t="str">
        <f aca="false">IF($K954=0,"","RESULTAT ST")</f>
        <v/>
      </c>
      <c r="C954" s="26" t="str">
        <f aca="false">IF($K954=0,"",ST_RESULTATS!$A204)</f>
        <v/>
      </c>
      <c r="D954" s="31" t="str">
        <f aca="false">IF($K954=0,"",ST_RESULTATS!$V204)</f>
        <v/>
      </c>
      <c r="E954" s="26" t="str">
        <f aca="false">IF($K954=0,"","ENTREE")</f>
        <v/>
      </c>
      <c r="F954" s="26" t="str">
        <f aca="false">IF($K954=0,"","RETOUR SOUS-TRAITANCE")</f>
        <v/>
      </c>
      <c r="G954" s="26" t="str">
        <f aca="false">IF($K954=0,"",ST_RESULTATS!$N204)</f>
        <v/>
      </c>
      <c r="H954" s="26" t="str">
        <f aca="false">IF($K954=0,"",ST_RESULTATS!$J204)</f>
        <v/>
      </c>
      <c r="I954" s="26" t="str">
        <f aca="false">IF($H954="","",IFERROR(INDEX(EMPL_CLASSE,MATCH($H954,EMPL_KEY,0)),""))</f>
        <v/>
      </c>
      <c r="J954" s="26" t="str">
        <f aca="false">IF($K954=0,"",IFERROR(INDEX(LOT_PRODE,MATCH($G954,LOT_KEY,0)),""))</f>
        <v/>
      </c>
      <c r="K954" s="67" t="n">
        <f aca="false">IF(ST_RESULTATS!$P204=0,0,ST_RESULTATS!$F204)</f>
        <v>0</v>
      </c>
      <c r="L954" s="67" t="n">
        <f aca="false">IF($K954=0,0,ST_RESULTATS!$T204*$K954)</f>
        <v>0</v>
      </c>
      <c r="M954" s="26" t="str">
        <f aca="false">IF($K954=0,"",ST_RESULTATS!$S204)</f>
        <v/>
      </c>
      <c r="N954" s="26" t="str">
        <f aca="false">IF($G954="","",IF($G954=R_LOT,COUNTIF($G$5:$G954,R_LOT),""))</f>
        <v/>
      </c>
    </row>
    <row r="955" customFormat="false" ht="15" hidden="false" customHeight="false" outlineLevel="0" collapsed="false">
      <c r="A955" s="28" t="str">
        <f aca="false">IF($K955=0,"",ROW()-4)</f>
        <v/>
      </c>
      <c r="B955" s="26" t="str">
        <f aca="false">IF($K955=0,"","RESULTAT ST")</f>
        <v/>
      </c>
      <c r="C955" s="26" t="str">
        <f aca="false">IF($K955=0,"",ST_RESULTATS!$A205)</f>
        <v/>
      </c>
      <c r="D955" s="31" t="str">
        <f aca="false">IF($K955=0,"",ST_RESULTATS!$V205)</f>
        <v/>
      </c>
      <c r="E955" s="26" t="str">
        <f aca="false">IF($K955=0,"","ENTREE")</f>
        <v/>
      </c>
      <c r="F955" s="26" t="str">
        <f aca="false">IF($K955=0,"","RETOUR SOUS-TRAITANCE")</f>
        <v/>
      </c>
      <c r="G955" s="26" t="str">
        <f aca="false">IF($K955=0,"",ST_RESULTATS!$N205)</f>
        <v/>
      </c>
      <c r="H955" s="26" t="str">
        <f aca="false">IF($K955=0,"",ST_RESULTATS!$J205)</f>
        <v/>
      </c>
      <c r="I955" s="26" t="str">
        <f aca="false">IF($H955="","",IFERROR(INDEX(EMPL_CLASSE,MATCH($H955,EMPL_KEY,0)),""))</f>
        <v/>
      </c>
      <c r="J955" s="26" t="str">
        <f aca="false">IF($K955=0,"",IFERROR(INDEX(LOT_PRODE,MATCH($G955,LOT_KEY,0)),""))</f>
        <v/>
      </c>
      <c r="K955" s="67" t="n">
        <f aca="false">IF(ST_RESULTATS!$P205=0,0,ST_RESULTATS!$F205)</f>
        <v>0</v>
      </c>
      <c r="L955" s="67" t="n">
        <f aca="false">IF($K955=0,0,ST_RESULTATS!$T205*$K955)</f>
        <v>0</v>
      </c>
      <c r="M955" s="26" t="str">
        <f aca="false">IF($K955=0,"",ST_RESULTATS!$S205)</f>
        <v/>
      </c>
      <c r="N955" s="26" t="str">
        <f aca="false">IF($G955="","",IF($G955=R_LOT,COUNTIF($G$5:$G955,R_LOT),""))</f>
        <v/>
      </c>
    </row>
    <row r="956" customFormat="false" ht="15" hidden="false" customHeight="false" outlineLevel="0" collapsed="false">
      <c r="A956" s="28" t="str">
        <f aca="false">IF($K956=0,"",ROW()-4)</f>
        <v/>
      </c>
      <c r="B956" s="26" t="str">
        <f aca="false">IF($K956=0,"","RESULTAT ST")</f>
        <v/>
      </c>
      <c r="C956" s="26" t="str">
        <f aca="false">IF($K956=0,"",ST_RESULTATS!$A206)</f>
        <v/>
      </c>
      <c r="D956" s="31" t="str">
        <f aca="false">IF($K956=0,"",ST_RESULTATS!$V206)</f>
        <v/>
      </c>
      <c r="E956" s="26" t="str">
        <f aca="false">IF($K956=0,"","ENTREE")</f>
        <v/>
      </c>
      <c r="F956" s="26" t="str">
        <f aca="false">IF($K956=0,"","RETOUR SOUS-TRAITANCE")</f>
        <v/>
      </c>
      <c r="G956" s="26" t="str">
        <f aca="false">IF($K956=0,"",ST_RESULTATS!$N206)</f>
        <v/>
      </c>
      <c r="H956" s="26" t="str">
        <f aca="false">IF($K956=0,"",ST_RESULTATS!$J206)</f>
        <v/>
      </c>
      <c r="I956" s="26" t="str">
        <f aca="false">IF($H956="","",IFERROR(INDEX(EMPL_CLASSE,MATCH($H956,EMPL_KEY,0)),""))</f>
        <v/>
      </c>
      <c r="J956" s="26" t="str">
        <f aca="false">IF($K956=0,"",IFERROR(INDEX(LOT_PRODE,MATCH($G956,LOT_KEY,0)),""))</f>
        <v/>
      </c>
      <c r="K956" s="67" t="n">
        <f aca="false">IF(ST_RESULTATS!$P206=0,0,ST_RESULTATS!$F206)</f>
        <v>0</v>
      </c>
      <c r="L956" s="67" t="n">
        <f aca="false">IF($K956=0,0,ST_RESULTATS!$T206*$K956)</f>
        <v>0</v>
      </c>
      <c r="M956" s="26" t="str">
        <f aca="false">IF($K956=0,"",ST_RESULTATS!$S206)</f>
        <v/>
      </c>
      <c r="N956" s="26" t="str">
        <f aca="false">IF($G956="","",IF($G956=R_LOT,COUNTIF($G$5:$G956,R_LOT),""))</f>
        <v/>
      </c>
    </row>
    <row r="957" customFormat="false" ht="15" hidden="false" customHeight="false" outlineLevel="0" collapsed="false">
      <c r="A957" s="28" t="str">
        <f aca="false">IF($K957=0,"",ROW()-4)</f>
        <v/>
      </c>
      <c r="B957" s="26" t="str">
        <f aca="false">IF($K957=0,"","RESULTAT ST")</f>
        <v/>
      </c>
      <c r="C957" s="26" t="str">
        <f aca="false">IF($K957=0,"",ST_RESULTATS!$A207)</f>
        <v/>
      </c>
      <c r="D957" s="31" t="str">
        <f aca="false">IF($K957=0,"",ST_RESULTATS!$V207)</f>
        <v/>
      </c>
      <c r="E957" s="26" t="str">
        <f aca="false">IF($K957=0,"","ENTREE")</f>
        <v/>
      </c>
      <c r="F957" s="26" t="str">
        <f aca="false">IF($K957=0,"","RETOUR SOUS-TRAITANCE")</f>
        <v/>
      </c>
      <c r="G957" s="26" t="str">
        <f aca="false">IF($K957=0,"",ST_RESULTATS!$N207)</f>
        <v/>
      </c>
      <c r="H957" s="26" t="str">
        <f aca="false">IF($K957=0,"",ST_RESULTATS!$J207)</f>
        <v/>
      </c>
      <c r="I957" s="26" t="str">
        <f aca="false">IF($H957="","",IFERROR(INDEX(EMPL_CLASSE,MATCH($H957,EMPL_KEY,0)),""))</f>
        <v/>
      </c>
      <c r="J957" s="26" t="str">
        <f aca="false">IF($K957=0,"",IFERROR(INDEX(LOT_PRODE,MATCH($G957,LOT_KEY,0)),""))</f>
        <v/>
      </c>
      <c r="K957" s="67" t="n">
        <f aca="false">IF(ST_RESULTATS!$P207=0,0,ST_RESULTATS!$F207)</f>
        <v>0</v>
      </c>
      <c r="L957" s="67" t="n">
        <f aca="false">IF($K957=0,0,ST_RESULTATS!$T207*$K957)</f>
        <v>0</v>
      </c>
      <c r="M957" s="26" t="str">
        <f aca="false">IF($K957=0,"",ST_RESULTATS!$S207)</f>
        <v/>
      </c>
      <c r="N957" s="26" t="str">
        <f aca="false">IF($G957="","",IF($G957=R_LOT,COUNTIF($G$5:$G957,R_LOT),""))</f>
        <v/>
      </c>
    </row>
    <row r="958" customFormat="false" ht="15" hidden="false" customHeight="false" outlineLevel="0" collapsed="false">
      <c r="A958" s="28" t="str">
        <f aca="false">IF($K958=0,"",ROW()-4)</f>
        <v/>
      </c>
      <c r="B958" s="26" t="str">
        <f aca="false">IF($K958=0,"","RESULTAT ST")</f>
        <v/>
      </c>
      <c r="C958" s="26" t="str">
        <f aca="false">IF($K958=0,"",ST_RESULTATS!$A208)</f>
        <v/>
      </c>
      <c r="D958" s="31" t="str">
        <f aca="false">IF($K958=0,"",ST_RESULTATS!$V208)</f>
        <v/>
      </c>
      <c r="E958" s="26" t="str">
        <f aca="false">IF($K958=0,"","ENTREE")</f>
        <v/>
      </c>
      <c r="F958" s="26" t="str">
        <f aca="false">IF($K958=0,"","RETOUR SOUS-TRAITANCE")</f>
        <v/>
      </c>
      <c r="G958" s="26" t="str">
        <f aca="false">IF($K958=0,"",ST_RESULTATS!$N208)</f>
        <v/>
      </c>
      <c r="H958" s="26" t="str">
        <f aca="false">IF($K958=0,"",ST_RESULTATS!$J208)</f>
        <v/>
      </c>
      <c r="I958" s="26" t="str">
        <f aca="false">IF($H958="","",IFERROR(INDEX(EMPL_CLASSE,MATCH($H958,EMPL_KEY,0)),""))</f>
        <v/>
      </c>
      <c r="J958" s="26" t="str">
        <f aca="false">IF($K958=0,"",IFERROR(INDEX(LOT_PRODE,MATCH($G958,LOT_KEY,0)),""))</f>
        <v/>
      </c>
      <c r="K958" s="67" t="n">
        <f aca="false">IF(ST_RESULTATS!$P208=0,0,ST_RESULTATS!$F208)</f>
        <v>0</v>
      </c>
      <c r="L958" s="67" t="n">
        <f aca="false">IF($K958=0,0,ST_RESULTATS!$T208*$K958)</f>
        <v>0</v>
      </c>
      <c r="M958" s="26" t="str">
        <f aca="false">IF($K958=0,"",ST_RESULTATS!$S208)</f>
        <v/>
      </c>
      <c r="N958" s="26" t="str">
        <f aca="false">IF($G958="","",IF($G958=R_LOT,COUNTIF($G$5:$G958,R_LOT),""))</f>
        <v/>
      </c>
    </row>
    <row r="959" customFormat="false" ht="15" hidden="false" customHeight="false" outlineLevel="0" collapsed="false">
      <c r="A959" s="28" t="str">
        <f aca="false">IF($K959=0,"",ROW()-4)</f>
        <v/>
      </c>
      <c r="B959" s="26" t="str">
        <f aca="false">IF($K959=0,"","RESULTAT ST")</f>
        <v/>
      </c>
      <c r="C959" s="26" t="str">
        <f aca="false">IF($K959=0,"",ST_RESULTATS!$A209)</f>
        <v/>
      </c>
      <c r="D959" s="31" t="str">
        <f aca="false">IF($K959=0,"",ST_RESULTATS!$V209)</f>
        <v/>
      </c>
      <c r="E959" s="26" t="str">
        <f aca="false">IF($K959=0,"","ENTREE")</f>
        <v/>
      </c>
      <c r="F959" s="26" t="str">
        <f aca="false">IF($K959=0,"","RETOUR SOUS-TRAITANCE")</f>
        <v/>
      </c>
      <c r="G959" s="26" t="str">
        <f aca="false">IF($K959=0,"",ST_RESULTATS!$N209)</f>
        <v/>
      </c>
      <c r="H959" s="26" t="str">
        <f aca="false">IF($K959=0,"",ST_RESULTATS!$J209)</f>
        <v/>
      </c>
      <c r="I959" s="26" t="str">
        <f aca="false">IF($H959="","",IFERROR(INDEX(EMPL_CLASSE,MATCH($H959,EMPL_KEY,0)),""))</f>
        <v/>
      </c>
      <c r="J959" s="26" t="str">
        <f aca="false">IF($K959=0,"",IFERROR(INDEX(LOT_PRODE,MATCH($G959,LOT_KEY,0)),""))</f>
        <v/>
      </c>
      <c r="K959" s="67" t="n">
        <f aca="false">IF(ST_RESULTATS!$P209=0,0,ST_RESULTATS!$F209)</f>
        <v>0</v>
      </c>
      <c r="L959" s="67" t="n">
        <f aca="false">IF($K959=0,0,ST_RESULTATS!$T209*$K959)</f>
        <v>0</v>
      </c>
      <c r="M959" s="26" t="str">
        <f aca="false">IF($K959=0,"",ST_RESULTATS!$S209)</f>
        <v/>
      </c>
      <c r="N959" s="26" t="str">
        <f aca="false">IF($G959="","",IF($G959=R_LOT,COUNTIF($G$5:$G959,R_LOT),""))</f>
        <v/>
      </c>
    </row>
    <row r="960" customFormat="false" ht="15" hidden="false" customHeight="false" outlineLevel="0" collapsed="false">
      <c r="A960" s="28" t="str">
        <f aca="false">IF($K960=0,"",ROW()-4)</f>
        <v/>
      </c>
      <c r="B960" s="26" t="str">
        <f aca="false">IF($K960=0,"","RESULTAT ST")</f>
        <v/>
      </c>
      <c r="C960" s="26" t="str">
        <f aca="false">IF($K960=0,"",ST_RESULTATS!$A210)</f>
        <v/>
      </c>
      <c r="D960" s="31" t="str">
        <f aca="false">IF($K960=0,"",ST_RESULTATS!$V210)</f>
        <v/>
      </c>
      <c r="E960" s="26" t="str">
        <f aca="false">IF($K960=0,"","ENTREE")</f>
        <v/>
      </c>
      <c r="F960" s="26" t="str">
        <f aca="false">IF($K960=0,"","RETOUR SOUS-TRAITANCE")</f>
        <v/>
      </c>
      <c r="G960" s="26" t="str">
        <f aca="false">IF($K960=0,"",ST_RESULTATS!$N210)</f>
        <v/>
      </c>
      <c r="H960" s="26" t="str">
        <f aca="false">IF($K960=0,"",ST_RESULTATS!$J210)</f>
        <v/>
      </c>
      <c r="I960" s="26" t="str">
        <f aca="false">IF($H960="","",IFERROR(INDEX(EMPL_CLASSE,MATCH($H960,EMPL_KEY,0)),""))</f>
        <v/>
      </c>
      <c r="J960" s="26" t="str">
        <f aca="false">IF($K960=0,"",IFERROR(INDEX(LOT_PRODE,MATCH($G960,LOT_KEY,0)),""))</f>
        <v/>
      </c>
      <c r="K960" s="67" t="n">
        <f aca="false">IF(ST_RESULTATS!$P210=0,0,ST_RESULTATS!$F210)</f>
        <v>0</v>
      </c>
      <c r="L960" s="67" t="n">
        <f aca="false">IF($K960=0,0,ST_RESULTATS!$T210*$K960)</f>
        <v>0</v>
      </c>
      <c r="M960" s="26" t="str">
        <f aca="false">IF($K960=0,"",ST_RESULTATS!$S210)</f>
        <v/>
      </c>
      <c r="N960" s="26" t="str">
        <f aca="false">IF($G960="","",IF($G960=R_LOT,COUNTIF($G$5:$G960,R_LOT),""))</f>
        <v/>
      </c>
    </row>
    <row r="961" customFormat="false" ht="15" hidden="false" customHeight="false" outlineLevel="0" collapsed="false">
      <c r="A961" s="28" t="str">
        <f aca="false">IF($K961=0,"",ROW()-4)</f>
        <v/>
      </c>
      <c r="B961" s="26" t="str">
        <f aca="false">IF($K961=0,"","RESULTAT ST")</f>
        <v/>
      </c>
      <c r="C961" s="26" t="str">
        <f aca="false">IF($K961=0,"",ST_RESULTATS!$A211)</f>
        <v/>
      </c>
      <c r="D961" s="31" t="str">
        <f aca="false">IF($K961=0,"",ST_RESULTATS!$V211)</f>
        <v/>
      </c>
      <c r="E961" s="26" t="str">
        <f aca="false">IF($K961=0,"","ENTREE")</f>
        <v/>
      </c>
      <c r="F961" s="26" t="str">
        <f aca="false">IF($K961=0,"","RETOUR SOUS-TRAITANCE")</f>
        <v/>
      </c>
      <c r="G961" s="26" t="str">
        <f aca="false">IF($K961=0,"",ST_RESULTATS!$N211)</f>
        <v/>
      </c>
      <c r="H961" s="26" t="str">
        <f aca="false">IF($K961=0,"",ST_RESULTATS!$J211)</f>
        <v/>
      </c>
      <c r="I961" s="26" t="str">
        <f aca="false">IF($H961="","",IFERROR(INDEX(EMPL_CLASSE,MATCH($H961,EMPL_KEY,0)),""))</f>
        <v/>
      </c>
      <c r="J961" s="26" t="str">
        <f aca="false">IF($K961=0,"",IFERROR(INDEX(LOT_PRODE,MATCH($G961,LOT_KEY,0)),""))</f>
        <v/>
      </c>
      <c r="K961" s="67" t="n">
        <f aca="false">IF(ST_RESULTATS!$P211=0,0,ST_RESULTATS!$F211)</f>
        <v>0</v>
      </c>
      <c r="L961" s="67" t="n">
        <f aca="false">IF($K961=0,0,ST_RESULTATS!$T211*$K961)</f>
        <v>0</v>
      </c>
      <c r="M961" s="26" t="str">
        <f aca="false">IF($K961=0,"",ST_RESULTATS!$S211)</f>
        <v/>
      </c>
      <c r="N961" s="26" t="str">
        <f aca="false">IF($G961="","",IF($G961=R_LOT,COUNTIF($G$5:$G961,R_LOT),""))</f>
        <v/>
      </c>
    </row>
    <row r="962" customFormat="false" ht="15" hidden="false" customHeight="false" outlineLevel="0" collapsed="false">
      <c r="A962" s="28" t="str">
        <f aca="false">IF($K962=0,"",ROW()-4)</f>
        <v/>
      </c>
      <c r="B962" s="26" t="str">
        <f aca="false">IF($K962=0,"","RESULTAT ST")</f>
        <v/>
      </c>
      <c r="C962" s="26" t="str">
        <f aca="false">IF($K962=0,"",ST_RESULTATS!$A212)</f>
        <v/>
      </c>
      <c r="D962" s="31" t="str">
        <f aca="false">IF($K962=0,"",ST_RESULTATS!$V212)</f>
        <v/>
      </c>
      <c r="E962" s="26" t="str">
        <f aca="false">IF($K962=0,"","ENTREE")</f>
        <v/>
      </c>
      <c r="F962" s="26" t="str">
        <f aca="false">IF($K962=0,"","RETOUR SOUS-TRAITANCE")</f>
        <v/>
      </c>
      <c r="G962" s="26" t="str">
        <f aca="false">IF($K962=0,"",ST_RESULTATS!$N212)</f>
        <v/>
      </c>
      <c r="H962" s="26" t="str">
        <f aca="false">IF($K962=0,"",ST_RESULTATS!$J212)</f>
        <v/>
      </c>
      <c r="I962" s="26" t="str">
        <f aca="false">IF($H962="","",IFERROR(INDEX(EMPL_CLASSE,MATCH($H962,EMPL_KEY,0)),""))</f>
        <v/>
      </c>
      <c r="J962" s="26" t="str">
        <f aca="false">IF($K962=0,"",IFERROR(INDEX(LOT_PRODE,MATCH($G962,LOT_KEY,0)),""))</f>
        <v/>
      </c>
      <c r="K962" s="67" t="n">
        <f aca="false">IF(ST_RESULTATS!$P212=0,0,ST_RESULTATS!$F212)</f>
        <v>0</v>
      </c>
      <c r="L962" s="67" t="n">
        <f aca="false">IF($K962=0,0,ST_RESULTATS!$T212*$K962)</f>
        <v>0</v>
      </c>
      <c r="M962" s="26" t="str">
        <f aca="false">IF($K962=0,"",ST_RESULTATS!$S212)</f>
        <v/>
      </c>
      <c r="N962" s="26" t="str">
        <f aca="false">IF($G962="","",IF($G962=R_LOT,COUNTIF($G$5:$G962,R_LOT),""))</f>
        <v/>
      </c>
    </row>
    <row r="963" customFormat="false" ht="15" hidden="false" customHeight="false" outlineLevel="0" collapsed="false">
      <c r="A963" s="28" t="str">
        <f aca="false">IF($K963=0,"",ROW()-4)</f>
        <v/>
      </c>
      <c r="B963" s="26" t="str">
        <f aca="false">IF($K963=0,"","RESULTAT ST")</f>
        <v/>
      </c>
      <c r="C963" s="26" t="str">
        <f aca="false">IF($K963=0,"",ST_RESULTATS!$A213)</f>
        <v/>
      </c>
      <c r="D963" s="31" t="str">
        <f aca="false">IF($K963=0,"",ST_RESULTATS!$V213)</f>
        <v/>
      </c>
      <c r="E963" s="26" t="str">
        <f aca="false">IF($K963=0,"","ENTREE")</f>
        <v/>
      </c>
      <c r="F963" s="26" t="str">
        <f aca="false">IF($K963=0,"","RETOUR SOUS-TRAITANCE")</f>
        <v/>
      </c>
      <c r="G963" s="26" t="str">
        <f aca="false">IF($K963=0,"",ST_RESULTATS!$N213)</f>
        <v/>
      </c>
      <c r="H963" s="26" t="str">
        <f aca="false">IF($K963=0,"",ST_RESULTATS!$J213)</f>
        <v/>
      </c>
      <c r="I963" s="26" t="str">
        <f aca="false">IF($H963="","",IFERROR(INDEX(EMPL_CLASSE,MATCH($H963,EMPL_KEY,0)),""))</f>
        <v/>
      </c>
      <c r="J963" s="26" t="str">
        <f aca="false">IF($K963=0,"",IFERROR(INDEX(LOT_PRODE,MATCH($G963,LOT_KEY,0)),""))</f>
        <v/>
      </c>
      <c r="K963" s="67" t="n">
        <f aca="false">IF(ST_RESULTATS!$P213=0,0,ST_RESULTATS!$F213)</f>
        <v>0</v>
      </c>
      <c r="L963" s="67" t="n">
        <f aca="false">IF($K963=0,0,ST_RESULTATS!$T213*$K963)</f>
        <v>0</v>
      </c>
      <c r="M963" s="26" t="str">
        <f aca="false">IF($K963=0,"",ST_RESULTATS!$S213)</f>
        <v/>
      </c>
      <c r="N963" s="26" t="str">
        <f aca="false">IF($G963="","",IF($G963=R_LOT,COUNTIF($G$5:$G963,R_LOT),""))</f>
        <v/>
      </c>
    </row>
    <row r="964" customFormat="false" ht="15" hidden="false" customHeight="false" outlineLevel="0" collapsed="false">
      <c r="A964" s="28" t="str">
        <f aca="false">IF($K964=0,"",ROW()-4)</f>
        <v/>
      </c>
      <c r="B964" s="26" t="str">
        <f aca="false">IF($K964=0,"","RESULTAT ST")</f>
        <v/>
      </c>
      <c r="C964" s="26" t="str">
        <f aca="false">IF($K964=0,"",ST_RESULTATS!$A214)</f>
        <v/>
      </c>
      <c r="D964" s="31" t="str">
        <f aca="false">IF($K964=0,"",ST_RESULTATS!$V214)</f>
        <v/>
      </c>
      <c r="E964" s="26" t="str">
        <f aca="false">IF($K964=0,"","ENTREE")</f>
        <v/>
      </c>
      <c r="F964" s="26" t="str">
        <f aca="false">IF($K964=0,"","RETOUR SOUS-TRAITANCE")</f>
        <v/>
      </c>
      <c r="G964" s="26" t="str">
        <f aca="false">IF($K964=0,"",ST_RESULTATS!$N214)</f>
        <v/>
      </c>
      <c r="H964" s="26" t="str">
        <f aca="false">IF($K964=0,"",ST_RESULTATS!$J214)</f>
        <v/>
      </c>
      <c r="I964" s="26" t="str">
        <f aca="false">IF($H964="","",IFERROR(INDEX(EMPL_CLASSE,MATCH($H964,EMPL_KEY,0)),""))</f>
        <v/>
      </c>
      <c r="J964" s="26" t="str">
        <f aca="false">IF($K964=0,"",IFERROR(INDEX(LOT_PRODE,MATCH($G964,LOT_KEY,0)),""))</f>
        <v/>
      </c>
      <c r="K964" s="67" t="n">
        <f aca="false">IF(ST_RESULTATS!$P214=0,0,ST_RESULTATS!$F214)</f>
        <v>0</v>
      </c>
      <c r="L964" s="67" t="n">
        <f aca="false">IF($K964=0,0,ST_RESULTATS!$T214*$K964)</f>
        <v>0</v>
      </c>
      <c r="M964" s="26" t="str">
        <f aca="false">IF($K964=0,"",ST_RESULTATS!$S214)</f>
        <v/>
      </c>
      <c r="N964" s="26" t="str">
        <f aca="false">IF($G964="","",IF($G964=R_LOT,COUNTIF($G$5:$G964,R_LOT),""))</f>
        <v/>
      </c>
    </row>
    <row r="965" customFormat="false" ht="15" hidden="false" customHeight="false" outlineLevel="0" collapsed="false">
      <c r="A965" s="28" t="str">
        <f aca="false">IF($K965=0,"",ROW()-4)</f>
        <v/>
      </c>
      <c r="B965" s="26" t="str">
        <f aca="false">IF($K965=0,"","RESULTAT ST")</f>
        <v/>
      </c>
      <c r="C965" s="26" t="str">
        <f aca="false">IF($K965=0,"",ST_RESULTATS!$A215)</f>
        <v/>
      </c>
      <c r="D965" s="31" t="str">
        <f aca="false">IF($K965=0,"",ST_RESULTATS!$V215)</f>
        <v/>
      </c>
      <c r="E965" s="26" t="str">
        <f aca="false">IF($K965=0,"","ENTREE")</f>
        <v/>
      </c>
      <c r="F965" s="26" t="str">
        <f aca="false">IF($K965=0,"","RETOUR SOUS-TRAITANCE")</f>
        <v/>
      </c>
      <c r="G965" s="26" t="str">
        <f aca="false">IF($K965=0,"",ST_RESULTATS!$N215)</f>
        <v/>
      </c>
      <c r="H965" s="26" t="str">
        <f aca="false">IF($K965=0,"",ST_RESULTATS!$J215)</f>
        <v/>
      </c>
      <c r="I965" s="26" t="str">
        <f aca="false">IF($H965="","",IFERROR(INDEX(EMPL_CLASSE,MATCH($H965,EMPL_KEY,0)),""))</f>
        <v/>
      </c>
      <c r="J965" s="26" t="str">
        <f aca="false">IF($K965=0,"",IFERROR(INDEX(LOT_PRODE,MATCH($G965,LOT_KEY,0)),""))</f>
        <v/>
      </c>
      <c r="K965" s="67" t="n">
        <f aca="false">IF(ST_RESULTATS!$P215=0,0,ST_RESULTATS!$F215)</f>
        <v>0</v>
      </c>
      <c r="L965" s="67" t="n">
        <f aca="false">IF($K965=0,0,ST_RESULTATS!$T215*$K965)</f>
        <v>0</v>
      </c>
      <c r="M965" s="26" t="str">
        <f aca="false">IF($K965=0,"",ST_RESULTATS!$S215)</f>
        <v/>
      </c>
      <c r="N965" s="26" t="str">
        <f aca="false">IF($G965="","",IF($G965=R_LOT,COUNTIF($G$5:$G965,R_LOT),""))</f>
        <v/>
      </c>
    </row>
    <row r="966" customFormat="false" ht="15" hidden="false" customHeight="false" outlineLevel="0" collapsed="false">
      <c r="A966" s="28" t="str">
        <f aca="false">IF($K966=0,"",ROW()-4)</f>
        <v/>
      </c>
      <c r="B966" s="26" t="str">
        <f aca="false">IF($K966=0,"","RESULTAT ST")</f>
        <v/>
      </c>
      <c r="C966" s="26" t="str">
        <f aca="false">IF($K966=0,"",ST_RESULTATS!$A216)</f>
        <v/>
      </c>
      <c r="D966" s="31" t="str">
        <f aca="false">IF($K966=0,"",ST_RESULTATS!$V216)</f>
        <v/>
      </c>
      <c r="E966" s="26" t="str">
        <f aca="false">IF($K966=0,"","ENTREE")</f>
        <v/>
      </c>
      <c r="F966" s="26" t="str">
        <f aca="false">IF($K966=0,"","RETOUR SOUS-TRAITANCE")</f>
        <v/>
      </c>
      <c r="G966" s="26" t="str">
        <f aca="false">IF($K966=0,"",ST_RESULTATS!$N216)</f>
        <v/>
      </c>
      <c r="H966" s="26" t="str">
        <f aca="false">IF($K966=0,"",ST_RESULTATS!$J216)</f>
        <v/>
      </c>
      <c r="I966" s="26" t="str">
        <f aca="false">IF($H966="","",IFERROR(INDEX(EMPL_CLASSE,MATCH($H966,EMPL_KEY,0)),""))</f>
        <v/>
      </c>
      <c r="J966" s="26" t="str">
        <f aca="false">IF($K966=0,"",IFERROR(INDEX(LOT_PRODE,MATCH($G966,LOT_KEY,0)),""))</f>
        <v/>
      </c>
      <c r="K966" s="67" t="n">
        <f aca="false">IF(ST_RESULTATS!$P216=0,0,ST_RESULTATS!$F216)</f>
        <v>0</v>
      </c>
      <c r="L966" s="67" t="n">
        <f aca="false">IF($K966=0,0,ST_RESULTATS!$T216*$K966)</f>
        <v>0</v>
      </c>
      <c r="M966" s="26" t="str">
        <f aca="false">IF($K966=0,"",ST_RESULTATS!$S216)</f>
        <v/>
      </c>
      <c r="N966" s="26" t="str">
        <f aca="false">IF($G966="","",IF($G966=R_LOT,COUNTIF($G$5:$G966,R_LOT),""))</f>
        <v/>
      </c>
    </row>
    <row r="967" customFormat="false" ht="15" hidden="false" customHeight="false" outlineLevel="0" collapsed="false">
      <c r="A967" s="28" t="str">
        <f aca="false">IF($K967=0,"",ROW()-4)</f>
        <v/>
      </c>
      <c r="B967" s="26" t="str">
        <f aca="false">IF($K967=0,"","RESULTAT ST")</f>
        <v/>
      </c>
      <c r="C967" s="26" t="str">
        <f aca="false">IF($K967=0,"",ST_RESULTATS!$A217)</f>
        <v/>
      </c>
      <c r="D967" s="31" t="str">
        <f aca="false">IF($K967=0,"",ST_RESULTATS!$V217)</f>
        <v/>
      </c>
      <c r="E967" s="26" t="str">
        <f aca="false">IF($K967=0,"","ENTREE")</f>
        <v/>
      </c>
      <c r="F967" s="26" t="str">
        <f aca="false">IF($K967=0,"","RETOUR SOUS-TRAITANCE")</f>
        <v/>
      </c>
      <c r="G967" s="26" t="str">
        <f aca="false">IF($K967=0,"",ST_RESULTATS!$N217)</f>
        <v/>
      </c>
      <c r="H967" s="26" t="str">
        <f aca="false">IF($K967=0,"",ST_RESULTATS!$J217)</f>
        <v/>
      </c>
      <c r="I967" s="26" t="str">
        <f aca="false">IF($H967="","",IFERROR(INDEX(EMPL_CLASSE,MATCH($H967,EMPL_KEY,0)),""))</f>
        <v/>
      </c>
      <c r="J967" s="26" t="str">
        <f aca="false">IF($K967=0,"",IFERROR(INDEX(LOT_PRODE,MATCH($G967,LOT_KEY,0)),""))</f>
        <v/>
      </c>
      <c r="K967" s="67" t="n">
        <f aca="false">IF(ST_RESULTATS!$P217=0,0,ST_RESULTATS!$F217)</f>
        <v>0</v>
      </c>
      <c r="L967" s="67" t="n">
        <f aca="false">IF($K967=0,0,ST_RESULTATS!$T217*$K967)</f>
        <v>0</v>
      </c>
      <c r="M967" s="26" t="str">
        <f aca="false">IF($K967=0,"",ST_RESULTATS!$S217)</f>
        <v/>
      </c>
      <c r="N967" s="26" t="str">
        <f aca="false">IF($G967="","",IF($G967=R_LOT,COUNTIF($G$5:$G967,R_LOT),""))</f>
        <v/>
      </c>
    </row>
    <row r="968" customFormat="false" ht="15" hidden="false" customHeight="false" outlineLevel="0" collapsed="false">
      <c r="A968" s="28" t="str">
        <f aca="false">IF($K968=0,"",ROW()-4)</f>
        <v/>
      </c>
      <c r="B968" s="26" t="str">
        <f aca="false">IF($K968=0,"","RESULTAT ST")</f>
        <v/>
      </c>
      <c r="C968" s="26" t="str">
        <f aca="false">IF($K968=0,"",ST_RESULTATS!$A218)</f>
        <v/>
      </c>
      <c r="D968" s="31" t="str">
        <f aca="false">IF($K968=0,"",ST_RESULTATS!$V218)</f>
        <v/>
      </c>
      <c r="E968" s="26" t="str">
        <f aca="false">IF($K968=0,"","ENTREE")</f>
        <v/>
      </c>
      <c r="F968" s="26" t="str">
        <f aca="false">IF($K968=0,"","RETOUR SOUS-TRAITANCE")</f>
        <v/>
      </c>
      <c r="G968" s="26" t="str">
        <f aca="false">IF($K968=0,"",ST_RESULTATS!$N218)</f>
        <v/>
      </c>
      <c r="H968" s="26" t="str">
        <f aca="false">IF($K968=0,"",ST_RESULTATS!$J218)</f>
        <v/>
      </c>
      <c r="I968" s="26" t="str">
        <f aca="false">IF($H968="","",IFERROR(INDEX(EMPL_CLASSE,MATCH($H968,EMPL_KEY,0)),""))</f>
        <v/>
      </c>
      <c r="J968" s="26" t="str">
        <f aca="false">IF($K968=0,"",IFERROR(INDEX(LOT_PRODE,MATCH($G968,LOT_KEY,0)),""))</f>
        <v/>
      </c>
      <c r="K968" s="67" t="n">
        <f aca="false">IF(ST_RESULTATS!$P218=0,0,ST_RESULTATS!$F218)</f>
        <v>0</v>
      </c>
      <c r="L968" s="67" t="n">
        <f aca="false">IF($K968=0,0,ST_RESULTATS!$T218*$K968)</f>
        <v>0</v>
      </c>
      <c r="M968" s="26" t="str">
        <f aca="false">IF($K968=0,"",ST_RESULTATS!$S218)</f>
        <v/>
      </c>
      <c r="N968" s="26" t="str">
        <f aca="false">IF($G968="","",IF($G968=R_LOT,COUNTIF($G$5:$G968,R_LOT),""))</f>
        <v/>
      </c>
    </row>
    <row r="969" customFormat="false" ht="15" hidden="false" customHeight="false" outlineLevel="0" collapsed="false">
      <c r="A969" s="28" t="str">
        <f aca="false">IF($K969=0,"",ROW()-4)</f>
        <v/>
      </c>
      <c r="B969" s="26" t="str">
        <f aca="false">IF($K969=0,"","RESULTAT ST")</f>
        <v/>
      </c>
      <c r="C969" s="26" t="str">
        <f aca="false">IF($K969=0,"",ST_RESULTATS!$A219)</f>
        <v/>
      </c>
      <c r="D969" s="31" t="str">
        <f aca="false">IF($K969=0,"",ST_RESULTATS!$V219)</f>
        <v/>
      </c>
      <c r="E969" s="26" t="str">
        <f aca="false">IF($K969=0,"","ENTREE")</f>
        <v/>
      </c>
      <c r="F969" s="26" t="str">
        <f aca="false">IF($K969=0,"","RETOUR SOUS-TRAITANCE")</f>
        <v/>
      </c>
      <c r="G969" s="26" t="str">
        <f aca="false">IF($K969=0,"",ST_RESULTATS!$N219)</f>
        <v/>
      </c>
      <c r="H969" s="26" t="str">
        <f aca="false">IF($K969=0,"",ST_RESULTATS!$J219)</f>
        <v/>
      </c>
      <c r="I969" s="26" t="str">
        <f aca="false">IF($H969="","",IFERROR(INDEX(EMPL_CLASSE,MATCH($H969,EMPL_KEY,0)),""))</f>
        <v/>
      </c>
      <c r="J969" s="26" t="str">
        <f aca="false">IF($K969=0,"",IFERROR(INDEX(LOT_PRODE,MATCH($G969,LOT_KEY,0)),""))</f>
        <v/>
      </c>
      <c r="K969" s="67" t="n">
        <f aca="false">IF(ST_RESULTATS!$P219=0,0,ST_RESULTATS!$F219)</f>
        <v>0</v>
      </c>
      <c r="L969" s="67" t="n">
        <f aca="false">IF($K969=0,0,ST_RESULTATS!$T219*$K969)</f>
        <v>0</v>
      </c>
      <c r="M969" s="26" t="str">
        <f aca="false">IF($K969=0,"",ST_RESULTATS!$S219)</f>
        <v/>
      </c>
      <c r="N969" s="26" t="str">
        <f aca="false">IF($G969="","",IF($G969=R_LOT,COUNTIF($G$5:$G969,R_LOT),""))</f>
        <v/>
      </c>
    </row>
    <row r="970" customFormat="false" ht="15" hidden="false" customHeight="false" outlineLevel="0" collapsed="false">
      <c r="A970" s="28" t="str">
        <f aca="false">IF($K970=0,"",ROW()-4)</f>
        <v/>
      </c>
      <c r="B970" s="26" t="str">
        <f aca="false">IF($K970=0,"","RESULTAT ST")</f>
        <v/>
      </c>
      <c r="C970" s="26" t="str">
        <f aca="false">IF($K970=0,"",ST_RESULTATS!$A220)</f>
        <v/>
      </c>
      <c r="D970" s="31" t="str">
        <f aca="false">IF($K970=0,"",ST_RESULTATS!$V220)</f>
        <v/>
      </c>
      <c r="E970" s="26" t="str">
        <f aca="false">IF($K970=0,"","ENTREE")</f>
        <v/>
      </c>
      <c r="F970" s="26" t="str">
        <f aca="false">IF($K970=0,"","RETOUR SOUS-TRAITANCE")</f>
        <v/>
      </c>
      <c r="G970" s="26" t="str">
        <f aca="false">IF($K970=0,"",ST_RESULTATS!$N220)</f>
        <v/>
      </c>
      <c r="H970" s="26" t="str">
        <f aca="false">IF($K970=0,"",ST_RESULTATS!$J220)</f>
        <v/>
      </c>
      <c r="I970" s="26" t="str">
        <f aca="false">IF($H970="","",IFERROR(INDEX(EMPL_CLASSE,MATCH($H970,EMPL_KEY,0)),""))</f>
        <v/>
      </c>
      <c r="J970" s="26" t="str">
        <f aca="false">IF($K970=0,"",IFERROR(INDEX(LOT_PRODE,MATCH($G970,LOT_KEY,0)),""))</f>
        <v/>
      </c>
      <c r="K970" s="67" t="n">
        <f aca="false">IF(ST_RESULTATS!$P220=0,0,ST_RESULTATS!$F220)</f>
        <v>0</v>
      </c>
      <c r="L970" s="67" t="n">
        <f aca="false">IF($K970=0,0,ST_RESULTATS!$T220*$K970)</f>
        <v>0</v>
      </c>
      <c r="M970" s="26" t="str">
        <f aca="false">IF($K970=0,"",ST_RESULTATS!$S220)</f>
        <v/>
      </c>
      <c r="N970" s="26" t="str">
        <f aca="false">IF($G970="","",IF($G970=R_LOT,COUNTIF($G$5:$G970,R_LOT),""))</f>
        <v/>
      </c>
    </row>
    <row r="971" customFormat="false" ht="15" hidden="false" customHeight="false" outlineLevel="0" collapsed="false">
      <c r="A971" s="28" t="str">
        <f aca="false">IF($K971=0,"",ROW()-4)</f>
        <v/>
      </c>
      <c r="B971" s="26" t="str">
        <f aca="false">IF($K971=0,"","RESULTAT ST")</f>
        <v/>
      </c>
      <c r="C971" s="26" t="str">
        <f aca="false">IF($K971=0,"",ST_RESULTATS!$A221)</f>
        <v/>
      </c>
      <c r="D971" s="31" t="str">
        <f aca="false">IF($K971=0,"",ST_RESULTATS!$V221)</f>
        <v/>
      </c>
      <c r="E971" s="26" t="str">
        <f aca="false">IF($K971=0,"","ENTREE")</f>
        <v/>
      </c>
      <c r="F971" s="26" t="str">
        <f aca="false">IF($K971=0,"","RETOUR SOUS-TRAITANCE")</f>
        <v/>
      </c>
      <c r="G971" s="26" t="str">
        <f aca="false">IF($K971=0,"",ST_RESULTATS!$N221)</f>
        <v/>
      </c>
      <c r="H971" s="26" t="str">
        <f aca="false">IF($K971=0,"",ST_RESULTATS!$J221)</f>
        <v/>
      </c>
      <c r="I971" s="26" t="str">
        <f aca="false">IF($H971="","",IFERROR(INDEX(EMPL_CLASSE,MATCH($H971,EMPL_KEY,0)),""))</f>
        <v/>
      </c>
      <c r="J971" s="26" t="str">
        <f aca="false">IF($K971=0,"",IFERROR(INDEX(LOT_PRODE,MATCH($G971,LOT_KEY,0)),""))</f>
        <v/>
      </c>
      <c r="K971" s="67" t="n">
        <f aca="false">IF(ST_RESULTATS!$P221=0,0,ST_RESULTATS!$F221)</f>
        <v>0</v>
      </c>
      <c r="L971" s="67" t="n">
        <f aca="false">IF($K971=0,0,ST_RESULTATS!$T221*$K971)</f>
        <v>0</v>
      </c>
      <c r="M971" s="26" t="str">
        <f aca="false">IF($K971=0,"",ST_RESULTATS!$S221)</f>
        <v/>
      </c>
      <c r="N971" s="26" t="str">
        <f aca="false">IF($G971="","",IF($G971=R_LOT,COUNTIF($G$5:$G971,R_LOT),""))</f>
        <v/>
      </c>
    </row>
    <row r="972" customFormat="false" ht="15" hidden="false" customHeight="false" outlineLevel="0" collapsed="false">
      <c r="A972" s="28" t="str">
        <f aca="false">IF($K972=0,"",ROW()-4)</f>
        <v/>
      </c>
      <c r="B972" s="26" t="str">
        <f aca="false">IF($K972=0,"","RESULTAT ST")</f>
        <v/>
      </c>
      <c r="C972" s="26" t="str">
        <f aca="false">IF($K972=0,"",ST_RESULTATS!$A222)</f>
        <v/>
      </c>
      <c r="D972" s="31" t="str">
        <f aca="false">IF($K972=0,"",ST_RESULTATS!$V222)</f>
        <v/>
      </c>
      <c r="E972" s="26" t="str">
        <f aca="false">IF($K972=0,"","ENTREE")</f>
        <v/>
      </c>
      <c r="F972" s="26" t="str">
        <f aca="false">IF($K972=0,"","RETOUR SOUS-TRAITANCE")</f>
        <v/>
      </c>
      <c r="G972" s="26" t="str">
        <f aca="false">IF($K972=0,"",ST_RESULTATS!$N222)</f>
        <v/>
      </c>
      <c r="H972" s="26" t="str">
        <f aca="false">IF($K972=0,"",ST_RESULTATS!$J222)</f>
        <v/>
      </c>
      <c r="I972" s="26" t="str">
        <f aca="false">IF($H972="","",IFERROR(INDEX(EMPL_CLASSE,MATCH($H972,EMPL_KEY,0)),""))</f>
        <v/>
      </c>
      <c r="J972" s="26" t="str">
        <f aca="false">IF($K972=0,"",IFERROR(INDEX(LOT_PRODE,MATCH($G972,LOT_KEY,0)),""))</f>
        <v/>
      </c>
      <c r="K972" s="67" t="n">
        <f aca="false">IF(ST_RESULTATS!$P222=0,0,ST_RESULTATS!$F222)</f>
        <v>0</v>
      </c>
      <c r="L972" s="67" t="n">
        <f aca="false">IF($K972=0,0,ST_RESULTATS!$T222*$K972)</f>
        <v>0</v>
      </c>
      <c r="M972" s="26" t="str">
        <f aca="false">IF($K972=0,"",ST_RESULTATS!$S222)</f>
        <v/>
      </c>
      <c r="N972" s="26" t="str">
        <f aca="false">IF($G972="","",IF($G972=R_LOT,COUNTIF($G$5:$G972,R_LOT),""))</f>
        <v/>
      </c>
    </row>
    <row r="973" customFormat="false" ht="15" hidden="false" customHeight="false" outlineLevel="0" collapsed="false">
      <c r="A973" s="28" t="str">
        <f aca="false">IF($K973=0,"",ROW()-4)</f>
        <v/>
      </c>
      <c r="B973" s="26" t="str">
        <f aca="false">IF($K973=0,"","RESULTAT ST")</f>
        <v/>
      </c>
      <c r="C973" s="26" t="str">
        <f aca="false">IF($K973=0,"",ST_RESULTATS!$A223)</f>
        <v/>
      </c>
      <c r="D973" s="31" t="str">
        <f aca="false">IF($K973=0,"",ST_RESULTATS!$V223)</f>
        <v/>
      </c>
      <c r="E973" s="26" t="str">
        <f aca="false">IF($K973=0,"","ENTREE")</f>
        <v/>
      </c>
      <c r="F973" s="26" t="str">
        <f aca="false">IF($K973=0,"","RETOUR SOUS-TRAITANCE")</f>
        <v/>
      </c>
      <c r="G973" s="26" t="str">
        <f aca="false">IF($K973=0,"",ST_RESULTATS!$N223)</f>
        <v/>
      </c>
      <c r="H973" s="26" t="str">
        <f aca="false">IF($K973=0,"",ST_RESULTATS!$J223)</f>
        <v/>
      </c>
      <c r="I973" s="26" t="str">
        <f aca="false">IF($H973="","",IFERROR(INDEX(EMPL_CLASSE,MATCH($H973,EMPL_KEY,0)),""))</f>
        <v/>
      </c>
      <c r="J973" s="26" t="str">
        <f aca="false">IF($K973=0,"",IFERROR(INDEX(LOT_PRODE,MATCH($G973,LOT_KEY,0)),""))</f>
        <v/>
      </c>
      <c r="K973" s="67" t="n">
        <f aca="false">IF(ST_RESULTATS!$P223=0,0,ST_RESULTATS!$F223)</f>
        <v>0</v>
      </c>
      <c r="L973" s="67" t="n">
        <f aca="false">IF($K973=0,0,ST_RESULTATS!$T223*$K973)</f>
        <v>0</v>
      </c>
      <c r="M973" s="26" t="str">
        <f aca="false">IF($K973=0,"",ST_RESULTATS!$S223)</f>
        <v/>
      </c>
      <c r="N973" s="26" t="str">
        <f aca="false">IF($G973="","",IF($G973=R_LOT,COUNTIF($G$5:$G973,R_LOT),""))</f>
        <v/>
      </c>
    </row>
    <row r="974" customFormat="false" ht="15" hidden="false" customHeight="false" outlineLevel="0" collapsed="false">
      <c r="A974" s="28" t="str">
        <f aca="false">IF($K974=0,"",ROW()-4)</f>
        <v/>
      </c>
      <c r="B974" s="26" t="str">
        <f aca="false">IF($K974=0,"","RESULTAT ST")</f>
        <v/>
      </c>
      <c r="C974" s="26" t="str">
        <f aca="false">IF($K974=0,"",ST_RESULTATS!$A224)</f>
        <v/>
      </c>
      <c r="D974" s="31" t="str">
        <f aca="false">IF($K974=0,"",ST_RESULTATS!$V224)</f>
        <v/>
      </c>
      <c r="E974" s="26" t="str">
        <f aca="false">IF($K974=0,"","ENTREE")</f>
        <v/>
      </c>
      <c r="F974" s="26" t="str">
        <f aca="false">IF($K974=0,"","RETOUR SOUS-TRAITANCE")</f>
        <v/>
      </c>
      <c r="G974" s="26" t="str">
        <f aca="false">IF($K974=0,"",ST_RESULTATS!$N224)</f>
        <v/>
      </c>
      <c r="H974" s="26" t="str">
        <f aca="false">IF($K974=0,"",ST_RESULTATS!$J224)</f>
        <v/>
      </c>
      <c r="I974" s="26" t="str">
        <f aca="false">IF($H974="","",IFERROR(INDEX(EMPL_CLASSE,MATCH($H974,EMPL_KEY,0)),""))</f>
        <v/>
      </c>
      <c r="J974" s="26" t="str">
        <f aca="false">IF($K974=0,"",IFERROR(INDEX(LOT_PRODE,MATCH($G974,LOT_KEY,0)),""))</f>
        <v/>
      </c>
      <c r="K974" s="67" t="n">
        <f aca="false">IF(ST_RESULTATS!$P224=0,0,ST_RESULTATS!$F224)</f>
        <v>0</v>
      </c>
      <c r="L974" s="67" t="n">
        <f aca="false">IF($K974=0,0,ST_RESULTATS!$T224*$K974)</f>
        <v>0</v>
      </c>
      <c r="M974" s="26" t="str">
        <f aca="false">IF($K974=0,"",ST_RESULTATS!$S224)</f>
        <v/>
      </c>
      <c r="N974" s="26" t="str">
        <f aca="false">IF($G974="","",IF($G974=R_LOT,COUNTIF($G$5:$G974,R_LOT),""))</f>
        <v/>
      </c>
    </row>
    <row r="975" customFormat="false" ht="15" hidden="false" customHeight="false" outlineLevel="0" collapsed="false">
      <c r="A975" s="28" t="str">
        <f aca="false">IF($K975=0,"",ROW()-4)</f>
        <v/>
      </c>
      <c r="B975" s="26" t="str">
        <f aca="false">IF($K975=0,"","RESULTAT ST")</f>
        <v/>
      </c>
      <c r="C975" s="26" t="str">
        <f aca="false">IF($K975=0,"",ST_RESULTATS!$A225)</f>
        <v/>
      </c>
      <c r="D975" s="31" t="str">
        <f aca="false">IF($K975=0,"",ST_RESULTATS!$V225)</f>
        <v/>
      </c>
      <c r="E975" s="26" t="str">
        <f aca="false">IF($K975=0,"","ENTREE")</f>
        <v/>
      </c>
      <c r="F975" s="26" t="str">
        <f aca="false">IF($K975=0,"","RETOUR SOUS-TRAITANCE")</f>
        <v/>
      </c>
      <c r="G975" s="26" t="str">
        <f aca="false">IF($K975=0,"",ST_RESULTATS!$N225)</f>
        <v/>
      </c>
      <c r="H975" s="26" t="str">
        <f aca="false">IF($K975=0,"",ST_RESULTATS!$J225)</f>
        <v/>
      </c>
      <c r="I975" s="26" t="str">
        <f aca="false">IF($H975="","",IFERROR(INDEX(EMPL_CLASSE,MATCH($H975,EMPL_KEY,0)),""))</f>
        <v/>
      </c>
      <c r="J975" s="26" t="str">
        <f aca="false">IF($K975=0,"",IFERROR(INDEX(LOT_PRODE,MATCH($G975,LOT_KEY,0)),""))</f>
        <v/>
      </c>
      <c r="K975" s="67" t="n">
        <f aca="false">IF(ST_RESULTATS!$P225=0,0,ST_RESULTATS!$F225)</f>
        <v>0</v>
      </c>
      <c r="L975" s="67" t="n">
        <f aca="false">IF($K975=0,0,ST_RESULTATS!$T225*$K975)</f>
        <v>0</v>
      </c>
      <c r="M975" s="26" t="str">
        <f aca="false">IF($K975=0,"",ST_RESULTATS!$S225)</f>
        <v/>
      </c>
      <c r="N975" s="26" t="str">
        <f aca="false">IF($G975="","",IF($G975=R_LOT,COUNTIF($G$5:$G975,R_LOT),""))</f>
        <v/>
      </c>
    </row>
    <row r="976" customFormat="false" ht="15" hidden="false" customHeight="false" outlineLevel="0" collapsed="false">
      <c r="A976" s="28" t="str">
        <f aca="false">IF($K976=0,"",ROW()-4)</f>
        <v/>
      </c>
      <c r="B976" s="26" t="str">
        <f aca="false">IF($K976=0,"","RESULTAT ST")</f>
        <v/>
      </c>
      <c r="C976" s="26" t="str">
        <f aca="false">IF($K976=0,"",ST_RESULTATS!$A226)</f>
        <v/>
      </c>
      <c r="D976" s="31" t="str">
        <f aca="false">IF($K976=0,"",ST_RESULTATS!$V226)</f>
        <v/>
      </c>
      <c r="E976" s="26" t="str">
        <f aca="false">IF($K976=0,"","ENTREE")</f>
        <v/>
      </c>
      <c r="F976" s="26" t="str">
        <f aca="false">IF($K976=0,"","RETOUR SOUS-TRAITANCE")</f>
        <v/>
      </c>
      <c r="G976" s="26" t="str">
        <f aca="false">IF($K976=0,"",ST_RESULTATS!$N226)</f>
        <v/>
      </c>
      <c r="H976" s="26" t="str">
        <f aca="false">IF($K976=0,"",ST_RESULTATS!$J226)</f>
        <v/>
      </c>
      <c r="I976" s="26" t="str">
        <f aca="false">IF($H976="","",IFERROR(INDEX(EMPL_CLASSE,MATCH($H976,EMPL_KEY,0)),""))</f>
        <v/>
      </c>
      <c r="J976" s="26" t="str">
        <f aca="false">IF($K976=0,"",IFERROR(INDEX(LOT_PRODE,MATCH($G976,LOT_KEY,0)),""))</f>
        <v/>
      </c>
      <c r="K976" s="67" t="n">
        <f aca="false">IF(ST_RESULTATS!$P226=0,0,ST_RESULTATS!$F226)</f>
        <v>0</v>
      </c>
      <c r="L976" s="67" t="n">
        <f aca="false">IF($K976=0,0,ST_RESULTATS!$T226*$K976)</f>
        <v>0</v>
      </c>
      <c r="M976" s="26" t="str">
        <f aca="false">IF($K976=0,"",ST_RESULTATS!$S226)</f>
        <v/>
      </c>
      <c r="N976" s="26" t="str">
        <f aca="false">IF($G976="","",IF($G976=R_LOT,COUNTIF($G$5:$G976,R_LOT),""))</f>
        <v/>
      </c>
    </row>
    <row r="977" customFormat="false" ht="15" hidden="false" customHeight="false" outlineLevel="0" collapsed="false">
      <c r="A977" s="28" t="str">
        <f aca="false">IF($K977=0,"",ROW()-4)</f>
        <v/>
      </c>
      <c r="B977" s="26" t="str">
        <f aca="false">IF($K977=0,"","RESULTAT ST")</f>
        <v/>
      </c>
      <c r="C977" s="26" t="str">
        <f aca="false">IF($K977=0,"",ST_RESULTATS!$A227)</f>
        <v/>
      </c>
      <c r="D977" s="31" t="str">
        <f aca="false">IF($K977=0,"",ST_RESULTATS!$V227)</f>
        <v/>
      </c>
      <c r="E977" s="26" t="str">
        <f aca="false">IF($K977=0,"","ENTREE")</f>
        <v/>
      </c>
      <c r="F977" s="26" t="str">
        <f aca="false">IF($K977=0,"","RETOUR SOUS-TRAITANCE")</f>
        <v/>
      </c>
      <c r="G977" s="26" t="str">
        <f aca="false">IF($K977=0,"",ST_RESULTATS!$N227)</f>
        <v/>
      </c>
      <c r="H977" s="26" t="str">
        <f aca="false">IF($K977=0,"",ST_RESULTATS!$J227)</f>
        <v/>
      </c>
      <c r="I977" s="26" t="str">
        <f aca="false">IF($H977="","",IFERROR(INDEX(EMPL_CLASSE,MATCH($H977,EMPL_KEY,0)),""))</f>
        <v/>
      </c>
      <c r="J977" s="26" t="str">
        <f aca="false">IF($K977=0,"",IFERROR(INDEX(LOT_PRODE,MATCH($G977,LOT_KEY,0)),""))</f>
        <v/>
      </c>
      <c r="K977" s="67" t="n">
        <f aca="false">IF(ST_RESULTATS!$P227=0,0,ST_RESULTATS!$F227)</f>
        <v>0</v>
      </c>
      <c r="L977" s="67" t="n">
        <f aca="false">IF($K977=0,0,ST_RESULTATS!$T227*$K977)</f>
        <v>0</v>
      </c>
      <c r="M977" s="26" t="str">
        <f aca="false">IF($K977=0,"",ST_RESULTATS!$S227)</f>
        <v/>
      </c>
      <c r="N977" s="26" t="str">
        <f aca="false">IF($G977="","",IF($G977=R_LOT,COUNTIF($G$5:$G977,R_LOT),""))</f>
        <v/>
      </c>
    </row>
    <row r="978" customFormat="false" ht="15" hidden="false" customHeight="false" outlineLevel="0" collapsed="false">
      <c r="A978" s="28" t="str">
        <f aca="false">IF($K978=0,"",ROW()-4)</f>
        <v/>
      </c>
      <c r="B978" s="26" t="str">
        <f aca="false">IF($K978=0,"","RESULTAT ST")</f>
        <v/>
      </c>
      <c r="C978" s="26" t="str">
        <f aca="false">IF($K978=0,"",ST_RESULTATS!$A228)</f>
        <v/>
      </c>
      <c r="D978" s="31" t="str">
        <f aca="false">IF($K978=0,"",ST_RESULTATS!$V228)</f>
        <v/>
      </c>
      <c r="E978" s="26" t="str">
        <f aca="false">IF($K978=0,"","ENTREE")</f>
        <v/>
      </c>
      <c r="F978" s="26" t="str">
        <f aca="false">IF($K978=0,"","RETOUR SOUS-TRAITANCE")</f>
        <v/>
      </c>
      <c r="G978" s="26" t="str">
        <f aca="false">IF($K978=0,"",ST_RESULTATS!$N228)</f>
        <v/>
      </c>
      <c r="H978" s="26" t="str">
        <f aca="false">IF($K978=0,"",ST_RESULTATS!$J228)</f>
        <v/>
      </c>
      <c r="I978" s="26" t="str">
        <f aca="false">IF($H978="","",IFERROR(INDEX(EMPL_CLASSE,MATCH($H978,EMPL_KEY,0)),""))</f>
        <v/>
      </c>
      <c r="J978" s="26" t="str">
        <f aca="false">IF($K978=0,"",IFERROR(INDEX(LOT_PRODE,MATCH($G978,LOT_KEY,0)),""))</f>
        <v/>
      </c>
      <c r="K978" s="67" t="n">
        <f aca="false">IF(ST_RESULTATS!$P228=0,0,ST_RESULTATS!$F228)</f>
        <v>0</v>
      </c>
      <c r="L978" s="67" t="n">
        <f aca="false">IF($K978=0,0,ST_RESULTATS!$T228*$K978)</f>
        <v>0</v>
      </c>
      <c r="M978" s="26" t="str">
        <f aca="false">IF($K978=0,"",ST_RESULTATS!$S228)</f>
        <v/>
      </c>
      <c r="N978" s="26" t="str">
        <f aca="false">IF($G978="","",IF($G978=R_LOT,COUNTIF($G$5:$G978,R_LOT),""))</f>
        <v/>
      </c>
    </row>
    <row r="979" customFormat="false" ht="15" hidden="false" customHeight="false" outlineLevel="0" collapsed="false">
      <c r="A979" s="28" t="str">
        <f aca="false">IF($K979=0,"",ROW()-4)</f>
        <v/>
      </c>
      <c r="B979" s="26" t="str">
        <f aca="false">IF($K979=0,"","RESULTAT ST")</f>
        <v/>
      </c>
      <c r="C979" s="26" t="str">
        <f aca="false">IF($K979=0,"",ST_RESULTATS!$A229)</f>
        <v/>
      </c>
      <c r="D979" s="31" t="str">
        <f aca="false">IF($K979=0,"",ST_RESULTATS!$V229)</f>
        <v/>
      </c>
      <c r="E979" s="26" t="str">
        <f aca="false">IF($K979=0,"","ENTREE")</f>
        <v/>
      </c>
      <c r="F979" s="26" t="str">
        <f aca="false">IF($K979=0,"","RETOUR SOUS-TRAITANCE")</f>
        <v/>
      </c>
      <c r="G979" s="26" t="str">
        <f aca="false">IF($K979=0,"",ST_RESULTATS!$N229)</f>
        <v/>
      </c>
      <c r="H979" s="26" t="str">
        <f aca="false">IF($K979=0,"",ST_RESULTATS!$J229)</f>
        <v/>
      </c>
      <c r="I979" s="26" t="str">
        <f aca="false">IF($H979="","",IFERROR(INDEX(EMPL_CLASSE,MATCH($H979,EMPL_KEY,0)),""))</f>
        <v/>
      </c>
      <c r="J979" s="26" t="str">
        <f aca="false">IF($K979=0,"",IFERROR(INDEX(LOT_PRODE,MATCH($G979,LOT_KEY,0)),""))</f>
        <v/>
      </c>
      <c r="K979" s="67" t="n">
        <f aca="false">IF(ST_RESULTATS!$P229=0,0,ST_RESULTATS!$F229)</f>
        <v>0</v>
      </c>
      <c r="L979" s="67" t="n">
        <f aca="false">IF($K979=0,0,ST_RESULTATS!$T229*$K979)</f>
        <v>0</v>
      </c>
      <c r="M979" s="26" t="str">
        <f aca="false">IF($K979=0,"",ST_RESULTATS!$S229)</f>
        <v/>
      </c>
      <c r="N979" s="26" t="str">
        <f aca="false">IF($G979="","",IF($G979=R_LOT,COUNTIF($G$5:$G979,R_LOT),""))</f>
        <v/>
      </c>
    </row>
    <row r="980" customFormat="false" ht="15" hidden="false" customHeight="false" outlineLevel="0" collapsed="false">
      <c r="A980" s="28" t="str">
        <f aca="false">IF($K980=0,"",ROW()-4)</f>
        <v/>
      </c>
      <c r="B980" s="26" t="str">
        <f aca="false">IF($K980=0,"","RESULTAT ST")</f>
        <v/>
      </c>
      <c r="C980" s="26" t="str">
        <f aca="false">IF($K980=0,"",ST_RESULTATS!$A230)</f>
        <v/>
      </c>
      <c r="D980" s="31" t="str">
        <f aca="false">IF($K980=0,"",ST_RESULTATS!$V230)</f>
        <v/>
      </c>
      <c r="E980" s="26" t="str">
        <f aca="false">IF($K980=0,"","ENTREE")</f>
        <v/>
      </c>
      <c r="F980" s="26" t="str">
        <f aca="false">IF($K980=0,"","RETOUR SOUS-TRAITANCE")</f>
        <v/>
      </c>
      <c r="G980" s="26" t="str">
        <f aca="false">IF($K980=0,"",ST_RESULTATS!$N230)</f>
        <v/>
      </c>
      <c r="H980" s="26" t="str">
        <f aca="false">IF($K980=0,"",ST_RESULTATS!$J230)</f>
        <v/>
      </c>
      <c r="I980" s="26" t="str">
        <f aca="false">IF($H980="","",IFERROR(INDEX(EMPL_CLASSE,MATCH($H980,EMPL_KEY,0)),""))</f>
        <v/>
      </c>
      <c r="J980" s="26" t="str">
        <f aca="false">IF($K980=0,"",IFERROR(INDEX(LOT_PRODE,MATCH($G980,LOT_KEY,0)),""))</f>
        <v/>
      </c>
      <c r="K980" s="67" t="n">
        <f aca="false">IF(ST_RESULTATS!$P230=0,0,ST_RESULTATS!$F230)</f>
        <v>0</v>
      </c>
      <c r="L980" s="67" t="n">
        <f aca="false">IF($K980=0,0,ST_RESULTATS!$T230*$K980)</f>
        <v>0</v>
      </c>
      <c r="M980" s="26" t="str">
        <f aca="false">IF($K980=0,"",ST_RESULTATS!$S230)</f>
        <v/>
      </c>
      <c r="N980" s="26" t="str">
        <f aca="false">IF($G980="","",IF($G980=R_LOT,COUNTIF($G$5:$G980,R_LOT),""))</f>
        <v/>
      </c>
    </row>
    <row r="981" customFormat="false" ht="15" hidden="false" customHeight="false" outlineLevel="0" collapsed="false">
      <c r="A981" s="28" t="str">
        <f aca="false">IF($K981=0,"",ROW()-4)</f>
        <v/>
      </c>
      <c r="B981" s="26" t="str">
        <f aca="false">IF($K981=0,"","RESULTAT ST")</f>
        <v/>
      </c>
      <c r="C981" s="26" t="str">
        <f aca="false">IF($K981=0,"",ST_RESULTATS!$A231)</f>
        <v/>
      </c>
      <c r="D981" s="31" t="str">
        <f aca="false">IF($K981=0,"",ST_RESULTATS!$V231)</f>
        <v/>
      </c>
      <c r="E981" s="26" t="str">
        <f aca="false">IF($K981=0,"","ENTREE")</f>
        <v/>
      </c>
      <c r="F981" s="26" t="str">
        <f aca="false">IF($K981=0,"","RETOUR SOUS-TRAITANCE")</f>
        <v/>
      </c>
      <c r="G981" s="26" t="str">
        <f aca="false">IF($K981=0,"",ST_RESULTATS!$N231)</f>
        <v/>
      </c>
      <c r="H981" s="26" t="str">
        <f aca="false">IF($K981=0,"",ST_RESULTATS!$J231)</f>
        <v/>
      </c>
      <c r="I981" s="26" t="str">
        <f aca="false">IF($H981="","",IFERROR(INDEX(EMPL_CLASSE,MATCH($H981,EMPL_KEY,0)),""))</f>
        <v/>
      </c>
      <c r="J981" s="26" t="str">
        <f aca="false">IF($K981=0,"",IFERROR(INDEX(LOT_PRODE,MATCH($G981,LOT_KEY,0)),""))</f>
        <v/>
      </c>
      <c r="K981" s="67" t="n">
        <f aca="false">IF(ST_RESULTATS!$P231=0,0,ST_RESULTATS!$F231)</f>
        <v>0</v>
      </c>
      <c r="L981" s="67" t="n">
        <f aca="false">IF($K981=0,0,ST_RESULTATS!$T231*$K981)</f>
        <v>0</v>
      </c>
      <c r="M981" s="26" t="str">
        <f aca="false">IF($K981=0,"",ST_RESULTATS!$S231)</f>
        <v/>
      </c>
      <c r="N981" s="26" t="str">
        <f aca="false">IF($G981="","",IF($G981=R_LOT,COUNTIF($G$5:$G981,R_LOT),""))</f>
        <v/>
      </c>
    </row>
    <row r="982" customFormat="false" ht="15" hidden="false" customHeight="false" outlineLevel="0" collapsed="false">
      <c r="A982" s="28" t="str">
        <f aca="false">IF($K982=0,"",ROW()-4)</f>
        <v/>
      </c>
      <c r="B982" s="26" t="str">
        <f aca="false">IF($K982=0,"","RESULTAT ST")</f>
        <v/>
      </c>
      <c r="C982" s="26" t="str">
        <f aca="false">IF($K982=0,"",ST_RESULTATS!$A232)</f>
        <v/>
      </c>
      <c r="D982" s="31" t="str">
        <f aca="false">IF($K982=0,"",ST_RESULTATS!$V232)</f>
        <v/>
      </c>
      <c r="E982" s="26" t="str">
        <f aca="false">IF($K982=0,"","ENTREE")</f>
        <v/>
      </c>
      <c r="F982" s="26" t="str">
        <f aca="false">IF($K982=0,"","RETOUR SOUS-TRAITANCE")</f>
        <v/>
      </c>
      <c r="G982" s="26" t="str">
        <f aca="false">IF($K982=0,"",ST_RESULTATS!$N232)</f>
        <v/>
      </c>
      <c r="H982" s="26" t="str">
        <f aca="false">IF($K982=0,"",ST_RESULTATS!$J232)</f>
        <v/>
      </c>
      <c r="I982" s="26" t="str">
        <f aca="false">IF($H982="","",IFERROR(INDEX(EMPL_CLASSE,MATCH($H982,EMPL_KEY,0)),""))</f>
        <v/>
      </c>
      <c r="J982" s="26" t="str">
        <f aca="false">IF($K982=0,"",IFERROR(INDEX(LOT_PRODE,MATCH($G982,LOT_KEY,0)),""))</f>
        <v/>
      </c>
      <c r="K982" s="67" t="n">
        <f aca="false">IF(ST_RESULTATS!$P232=0,0,ST_RESULTATS!$F232)</f>
        <v>0</v>
      </c>
      <c r="L982" s="67" t="n">
        <f aca="false">IF($K982=0,0,ST_RESULTATS!$T232*$K982)</f>
        <v>0</v>
      </c>
      <c r="M982" s="26" t="str">
        <f aca="false">IF($K982=0,"",ST_RESULTATS!$S232)</f>
        <v/>
      </c>
      <c r="N982" s="26" t="str">
        <f aca="false">IF($G982="","",IF($G982=R_LOT,COUNTIF($G$5:$G982,R_LOT),""))</f>
        <v/>
      </c>
    </row>
    <row r="983" customFormat="false" ht="15" hidden="false" customHeight="false" outlineLevel="0" collapsed="false">
      <c r="A983" s="28" t="str">
        <f aca="false">IF($K983=0,"",ROW()-4)</f>
        <v/>
      </c>
      <c r="B983" s="26" t="str">
        <f aca="false">IF($K983=0,"","RESULTAT ST")</f>
        <v/>
      </c>
      <c r="C983" s="26" t="str">
        <f aca="false">IF($K983=0,"",ST_RESULTATS!$A233)</f>
        <v/>
      </c>
      <c r="D983" s="31" t="str">
        <f aca="false">IF($K983=0,"",ST_RESULTATS!$V233)</f>
        <v/>
      </c>
      <c r="E983" s="26" t="str">
        <f aca="false">IF($K983=0,"","ENTREE")</f>
        <v/>
      </c>
      <c r="F983" s="26" t="str">
        <f aca="false">IF($K983=0,"","RETOUR SOUS-TRAITANCE")</f>
        <v/>
      </c>
      <c r="G983" s="26" t="str">
        <f aca="false">IF($K983=0,"",ST_RESULTATS!$N233)</f>
        <v/>
      </c>
      <c r="H983" s="26" t="str">
        <f aca="false">IF($K983=0,"",ST_RESULTATS!$J233)</f>
        <v/>
      </c>
      <c r="I983" s="26" t="str">
        <f aca="false">IF($H983="","",IFERROR(INDEX(EMPL_CLASSE,MATCH($H983,EMPL_KEY,0)),""))</f>
        <v/>
      </c>
      <c r="J983" s="26" t="str">
        <f aca="false">IF($K983=0,"",IFERROR(INDEX(LOT_PRODE,MATCH($G983,LOT_KEY,0)),""))</f>
        <v/>
      </c>
      <c r="K983" s="67" t="n">
        <f aca="false">IF(ST_RESULTATS!$P233=0,0,ST_RESULTATS!$F233)</f>
        <v>0</v>
      </c>
      <c r="L983" s="67" t="n">
        <f aca="false">IF($K983=0,0,ST_RESULTATS!$T233*$K983)</f>
        <v>0</v>
      </c>
      <c r="M983" s="26" t="str">
        <f aca="false">IF($K983=0,"",ST_RESULTATS!$S233)</f>
        <v/>
      </c>
      <c r="N983" s="26" t="str">
        <f aca="false">IF($G983="","",IF($G983=R_LOT,COUNTIF($G$5:$G983,R_LOT),""))</f>
        <v/>
      </c>
    </row>
    <row r="984" customFormat="false" ht="15" hidden="false" customHeight="false" outlineLevel="0" collapsed="false">
      <c r="A984" s="28" t="str">
        <f aca="false">IF($K984=0,"",ROW()-4)</f>
        <v/>
      </c>
      <c r="B984" s="26" t="str">
        <f aca="false">IF($K984=0,"","RESULTAT ST")</f>
        <v/>
      </c>
      <c r="C984" s="26" t="str">
        <f aca="false">IF($K984=0,"",ST_RESULTATS!$A234)</f>
        <v/>
      </c>
      <c r="D984" s="31" t="str">
        <f aca="false">IF($K984=0,"",ST_RESULTATS!$V234)</f>
        <v/>
      </c>
      <c r="E984" s="26" t="str">
        <f aca="false">IF($K984=0,"","ENTREE")</f>
        <v/>
      </c>
      <c r="F984" s="26" t="str">
        <f aca="false">IF($K984=0,"","RETOUR SOUS-TRAITANCE")</f>
        <v/>
      </c>
      <c r="G984" s="26" t="str">
        <f aca="false">IF($K984=0,"",ST_RESULTATS!$N234)</f>
        <v/>
      </c>
      <c r="H984" s="26" t="str">
        <f aca="false">IF($K984=0,"",ST_RESULTATS!$J234)</f>
        <v/>
      </c>
      <c r="I984" s="26" t="str">
        <f aca="false">IF($H984="","",IFERROR(INDEX(EMPL_CLASSE,MATCH($H984,EMPL_KEY,0)),""))</f>
        <v/>
      </c>
      <c r="J984" s="26" t="str">
        <f aca="false">IF($K984=0,"",IFERROR(INDEX(LOT_PRODE,MATCH($G984,LOT_KEY,0)),""))</f>
        <v/>
      </c>
      <c r="K984" s="67" t="n">
        <f aca="false">IF(ST_RESULTATS!$P234=0,0,ST_RESULTATS!$F234)</f>
        <v>0</v>
      </c>
      <c r="L984" s="67" t="n">
        <f aca="false">IF($K984=0,0,ST_RESULTATS!$T234*$K984)</f>
        <v>0</v>
      </c>
      <c r="M984" s="26" t="str">
        <f aca="false">IF($K984=0,"",ST_RESULTATS!$S234)</f>
        <v/>
      </c>
      <c r="N984" s="26" t="str">
        <f aca="false">IF($G984="","",IF($G984=R_LOT,COUNTIF($G$5:$G984,R_LOT),""))</f>
        <v/>
      </c>
    </row>
    <row r="985" customFormat="false" ht="15" hidden="false" customHeight="false" outlineLevel="0" collapsed="false">
      <c r="A985" s="28" t="str">
        <f aca="false">IF($K985=0,"",ROW()-4)</f>
        <v/>
      </c>
      <c r="B985" s="26" t="str">
        <f aca="false">IF($K985=0,"","RESULTAT ST")</f>
        <v/>
      </c>
      <c r="C985" s="26" t="str">
        <f aca="false">IF($K985=0,"",ST_RESULTATS!$A235)</f>
        <v/>
      </c>
      <c r="D985" s="31" t="str">
        <f aca="false">IF($K985=0,"",ST_RESULTATS!$V235)</f>
        <v/>
      </c>
      <c r="E985" s="26" t="str">
        <f aca="false">IF($K985=0,"","ENTREE")</f>
        <v/>
      </c>
      <c r="F985" s="26" t="str">
        <f aca="false">IF($K985=0,"","RETOUR SOUS-TRAITANCE")</f>
        <v/>
      </c>
      <c r="G985" s="26" t="str">
        <f aca="false">IF($K985=0,"",ST_RESULTATS!$N235)</f>
        <v/>
      </c>
      <c r="H985" s="26" t="str">
        <f aca="false">IF($K985=0,"",ST_RESULTATS!$J235)</f>
        <v/>
      </c>
      <c r="I985" s="26" t="str">
        <f aca="false">IF($H985="","",IFERROR(INDEX(EMPL_CLASSE,MATCH($H985,EMPL_KEY,0)),""))</f>
        <v/>
      </c>
      <c r="J985" s="26" t="str">
        <f aca="false">IF($K985=0,"",IFERROR(INDEX(LOT_PRODE,MATCH($G985,LOT_KEY,0)),""))</f>
        <v/>
      </c>
      <c r="K985" s="67" t="n">
        <f aca="false">IF(ST_RESULTATS!$P235=0,0,ST_RESULTATS!$F235)</f>
        <v>0</v>
      </c>
      <c r="L985" s="67" t="n">
        <f aca="false">IF($K985=0,0,ST_RESULTATS!$T235*$K985)</f>
        <v>0</v>
      </c>
      <c r="M985" s="26" t="str">
        <f aca="false">IF($K985=0,"",ST_RESULTATS!$S235)</f>
        <v/>
      </c>
      <c r="N985" s="26" t="str">
        <f aca="false">IF($G985="","",IF($G985=R_LOT,COUNTIF($G$5:$G985,R_LOT),""))</f>
        <v/>
      </c>
    </row>
    <row r="986" customFormat="false" ht="15" hidden="false" customHeight="false" outlineLevel="0" collapsed="false">
      <c r="A986" s="28" t="str">
        <f aca="false">IF($K986=0,"",ROW()-4)</f>
        <v/>
      </c>
      <c r="B986" s="26" t="str">
        <f aca="false">IF($K986=0,"","RESULTAT ST")</f>
        <v/>
      </c>
      <c r="C986" s="26" t="str">
        <f aca="false">IF($K986=0,"",ST_RESULTATS!$A236)</f>
        <v/>
      </c>
      <c r="D986" s="31" t="str">
        <f aca="false">IF($K986=0,"",ST_RESULTATS!$V236)</f>
        <v/>
      </c>
      <c r="E986" s="26" t="str">
        <f aca="false">IF($K986=0,"","ENTREE")</f>
        <v/>
      </c>
      <c r="F986" s="26" t="str">
        <f aca="false">IF($K986=0,"","RETOUR SOUS-TRAITANCE")</f>
        <v/>
      </c>
      <c r="G986" s="26" t="str">
        <f aca="false">IF($K986=0,"",ST_RESULTATS!$N236)</f>
        <v/>
      </c>
      <c r="H986" s="26" t="str">
        <f aca="false">IF($K986=0,"",ST_RESULTATS!$J236)</f>
        <v/>
      </c>
      <c r="I986" s="26" t="str">
        <f aca="false">IF($H986="","",IFERROR(INDEX(EMPL_CLASSE,MATCH($H986,EMPL_KEY,0)),""))</f>
        <v/>
      </c>
      <c r="J986" s="26" t="str">
        <f aca="false">IF($K986=0,"",IFERROR(INDEX(LOT_PRODE,MATCH($G986,LOT_KEY,0)),""))</f>
        <v/>
      </c>
      <c r="K986" s="67" t="n">
        <f aca="false">IF(ST_RESULTATS!$P236=0,0,ST_RESULTATS!$F236)</f>
        <v>0</v>
      </c>
      <c r="L986" s="67" t="n">
        <f aca="false">IF($K986=0,0,ST_RESULTATS!$T236*$K986)</f>
        <v>0</v>
      </c>
      <c r="M986" s="26" t="str">
        <f aca="false">IF($K986=0,"",ST_RESULTATS!$S236)</f>
        <v/>
      </c>
      <c r="N986" s="26" t="str">
        <f aca="false">IF($G986="","",IF($G986=R_LOT,COUNTIF($G$5:$G986,R_LOT),""))</f>
        <v/>
      </c>
    </row>
    <row r="987" customFormat="false" ht="15" hidden="false" customHeight="false" outlineLevel="0" collapsed="false">
      <c r="A987" s="28" t="str">
        <f aca="false">IF($K987=0,"",ROW()-4)</f>
        <v/>
      </c>
      <c r="B987" s="26" t="str">
        <f aca="false">IF($K987=0,"","RESULTAT ST")</f>
        <v/>
      </c>
      <c r="C987" s="26" t="str">
        <f aca="false">IF($K987=0,"",ST_RESULTATS!$A237)</f>
        <v/>
      </c>
      <c r="D987" s="31" t="str">
        <f aca="false">IF($K987=0,"",ST_RESULTATS!$V237)</f>
        <v/>
      </c>
      <c r="E987" s="26" t="str">
        <f aca="false">IF($K987=0,"","ENTREE")</f>
        <v/>
      </c>
      <c r="F987" s="26" t="str">
        <f aca="false">IF($K987=0,"","RETOUR SOUS-TRAITANCE")</f>
        <v/>
      </c>
      <c r="G987" s="26" t="str">
        <f aca="false">IF($K987=0,"",ST_RESULTATS!$N237)</f>
        <v/>
      </c>
      <c r="H987" s="26" t="str">
        <f aca="false">IF($K987=0,"",ST_RESULTATS!$J237)</f>
        <v/>
      </c>
      <c r="I987" s="26" t="str">
        <f aca="false">IF($H987="","",IFERROR(INDEX(EMPL_CLASSE,MATCH($H987,EMPL_KEY,0)),""))</f>
        <v/>
      </c>
      <c r="J987" s="26" t="str">
        <f aca="false">IF($K987=0,"",IFERROR(INDEX(LOT_PRODE,MATCH($G987,LOT_KEY,0)),""))</f>
        <v/>
      </c>
      <c r="K987" s="67" t="n">
        <f aca="false">IF(ST_RESULTATS!$P237=0,0,ST_RESULTATS!$F237)</f>
        <v>0</v>
      </c>
      <c r="L987" s="67" t="n">
        <f aca="false">IF($K987=0,0,ST_RESULTATS!$T237*$K987)</f>
        <v>0</v>
      </c>
      <c r="M987" s="26" t="str">
        <f aca="false">IF($K987=0,"",ST_RESULTATS!$S237)</f>
        <v/>
      </c>
      <c r="N987" s="26" t="str">
        <f aca="false">IF($G987="","",IF($G987=R_LOT,COUNTIF($G$5:$G987,R_LOT),""))</f>
        <v/>
      </c>
    </row>
    <row r="988" customFormat="false" ht="15" hidden="false" customHeight="false" outlineLevel="0" collapsed="false">
      <c r="A988" s="28" t="str">
        <f aca="false">IF($K988=0,"",ROW()-4)</f>
        <v/>
      </c>
      <c r="B988" s="26" t="str">
        <f aca="false">IF($K988=0,"","RESULTAT ST")</f>
        <v/>
      </c>
      <c r="C988" s="26" t="str">
        <f aca="false">IF($K988=0,"",ST_RESULTATS!$A238)</f>
        <v/>
      </c>
      <c r="D988" s="31" t="str">
        <f aca="false">IF($K988=0,"",ST_RESULTATS!$V238)</f>
        <v/>
      </c>
      <c r="E988" s="26" t="str">
        <f aca="false">IF($K988=0,"","ENTREE")</f>
        <v/>
      </c>
      <c r="F988" s="26" t="str">
        <f aca="false">IF($K988=0,"","RETOUR SOUS-TRAITANCE")</f>
        <v/>
      </c>
      <c r="G988" s="26" t="str">
        <f aca="false">IF($K988=0,"",ST_RESULTATS!$N238)</f>
        <v/>
      </c>
      <c r="H988" s="26" t="str">
        <f aca="false">IF($K988=0,"",ST_RESULTATS!$J238)</f>
        <v/>
      </c>
      <c r="I988" s="26" t="str">
        <f aca="false">IF($H988="","",IFERROR(INDEX(EMPL_CLASSE,MATCH($H988,EMPL_KEY,0)),""))</f>
        <v/>
      </c>
      <c r="J988" s="26" t="str">
        <f aca="false">IF($K988=0,"",IFERROR(INDEX(LOT_PRODE,MATCH($G988,LOT_KEY,0)),""))</f>
        <v/>
      </c>
      <c r="K988" s="67" t="n">
        <f aca="false">IF(ST_RESULTATS!$P238=0,0,ST_RESULTATS!$F238)</f>
        <v>0</v>
      </c>
      <c r="L988" s="67" t="n">
        <f aca="false">IF($K988=0,0,ST_RESULTATS!$T238*$K988)</f>
        <v>0</v>
      </c>
      <c r="M988" s="26" t="str">
        <f aca="false">IF($K988=0,"",ST_RESULTATS!$S238)</f>
        <v/>
      </c>
      <c r="N988" s="26" t="str">
        <f aca="false">IF($G988="","",IF($G988=R_LOT,COUNTIF($G$5:$G988,R_LOT),""))</f>
        <v/>
      </c>
    </row>
    <row r="989" customFormat="false" ht="15" hidden="false" customHeight="false" outlineLevel="0" collapsed="false">
      <c r="A989" s="28" t="str">
        <f aca="false">IF($K989=0,"",ROW()-4)</f>
        <v/>
      </c>
      <c r="B989" s="26" t="str">
        <f aca="false">IF($K989=0,"","RESULTAT ST")</f>
        <v/>
      </c>
      <c r="C989" s="26" t="str">
        <f aca="false">IF($K989=0,"",ST_RESULTATS!$A239)</f>
        <v/>
      </c>
      <c r="D989" s="31" t="str">
        <f aca="false">IF($K989=0,"",ST_RESULTATS!$V239)</f>
        <v/>
      </c>
      <c r="E989" s="26" t="str">
        <f aca="false">IF($K989=0,"","ENTREE")</f>
        <v/>
      </c>
      <c r="F989" s="26" t="str">
        <f aca="false">IF($K989=0,"","RETOUR SOUS-TRAITANCE")</f>
        <v/>
      </c>
      <c r="G989" s="26" t="str">
        <f aca="false">IF($K989=0,"",ST_RESULTATS!$N239)</f>
        <v/>
      </c>
      <c r="H989" s="26" t="str">
        <f aca="false">IF($K989=0,"",ST_RESULTATS!$J239)</f>
        <v/>
      </c>
      <c r="I989" s="26" t="str">
        <f aca="false">IF($H989="","",IFERROR(INDEX(EMPL_CLASSE,MATCH($H989,EMPL_KEY,0)),""))</f>
        <v/>
      </c>
      <c r="J989" s="26" t="str">
        <f aca="false">IF($K989=0,"",IFERROR(INDEX(LOT_PRODE,MATCH($G989,LOT_KEY,0)),""))</f>
        <v/>
      </c>
      <c r="K989" s="67" t="n">
        <f aca="false">IF(ST_RESULTATS!$P239=0,0,ST_RESULTATS!$F239)</f>
        <v>0</v>
      </c>
      <c r="L989" s="67" t="n">
        <f aca="false">IF($K989=0,0,ST_RESULTATS!$T239*$K989)</f>
        <v>0</v>
      </c>
      <c r="M989" s="26" t="str">
        <f aca="false">IF($K989=0,"",ST_RESULTATS!$S239)</f>
        <v/>
      </c>
      <c r="N989" s="26" t="str">
        <f aca="false">IF($G989="","",IF($G989=R_LOT,COUNTIF($G$5:$G989,R_LOT),""))</f>
        <v/>
      </c>
    </row>
    <row r="990" customFormat="false" ht="15" hidden="false" customHeight="false" outlineLevel="0" collapsed="false">
      <c r="A990" s="28" t="str">
        <f aca="false">IF($K990=0,"",ROW()-4)</f>
        <v/>
      </c>
      <c r="B990" s="26" t="str">
        <f aca="false">IF($K990=0,"","RESULTAT ST")</f>
        <v/>
      </c>
      <c r="C990" s="26" t="str">
        <f aca="false">IF($K990=0,"",ST_RESULTATS!$A240)</f>
        <v/>
      </c>
      <c r="D990" s="31" t="str">
        <f aca="false">IF($K990=0,"",ST_RESULTATS!$V240)</f>
        <v/>
      </c>
      <c r="E990" s="26" t="str">
        <f aca="false">IF($K990=0,"","ENTREE")</f>
        <v/>
      </c>
      <c r="F990" s="26" t="str">
        <f aca="false">IF($K990=0,"","RETOUR SOUS-TRAITANCE")</f>
        <v/>
      </c>
      <c r="G990" s="26" t="str">
        <f aca="false">IF($K990=0,"",ST_RESULTATS!$N240)</f>
        <v/>
      </c>
      <c r="H990" s="26" t="str">
        <f aca="false">IF($K990=0,"",ST_RESULTATS!$J240)</f>
        <v/>
      </c>
      <c r="I990" s="26" t="str">
        <f aca="false">IF($H990="","",IFERROR(INDEX(EMPL_CLASSE,MATCH($H990,EMPL_KEY,0)),""))</f>
        <v/>
      </c>
      <c r="J990" s="26" t="str">
        <f aca="false">IF($K990=0,"",IFERROR(INDEX(LOT_PRODE,MATCH($G990,LOT_KEY,0)),""))</f>
        <v/>
      </c>
      <c r="K990" s="67" t="n">
        <f aca="false">IF(ST_RESULTATS!$P240=0,0,ST_RESULTATS!$F240)</f>
        <v>0</v>
      </c>
      <c r="L990" s="67" t="n">
        <f aca="false">IF($K990=0,0,ST_RESULTATS!$T240*$K990)</f>
        <v>0</v>
      </c>
      <c r="M990" s="26" t="str">
        <f aca="false">IF($K990=0,"",ST_RESULTATS!$S240)</f>
        <v/>
      </c>
      <c r="N990" s="26" t="str">
        <f aca="false">IF($G990="","",IF($G990=R_LOT,COUNTIF($G$5:$G990,R_LOT),""))</f>
        <v/>
      </c>
    </row>
    <row r="991" customFormat="false" ht="15" hidden="false" customHeight="false" outlineLevel="0" collapsed="false">
      <c r="A991" s="28" t="str">
        <f aca="false">IF($K991=0,"",ROW()-4)</f>
        <v/>
      </c>
      <c r="B991" s="26" t="str">
        <f aca="false">IF($K991=0,"","RESULTAT ST")</f>
        <v/>
      </c>
      <c r="C991" s="26" t="str">
        <f aca="false">IF($K991=0,"",ST_RESULTATS!$A241)</f>
        <v/>
      </c>
      <c r="D991" s="31" t="str">
        <f aca="false">IF($K991=0,"",ST_RESULTATS!$V241)</f>
        <v/>
      </c>
      <c r="E991" s="26" t="str">
        <f aca="false">IF($K991=0,"","ENTREE")</f>
        <v/>
      </c>
      <c r="F991" s="26" t="str">
        <f aca="false">IF($K991=0,"","RETOUR SOUS-TRAITANCE")</f>
        <v/>
      </c>
      <c r="G991" s="26" t="str">
        <f aca="false">IF($K991=0,"",ST_RESULTATS!$N241)</f>
        <v/>
      </c>
      <c r="H991" s="26" t="str">
        <f aca="false">IF($K991=0,"",ST_RESULTATS!$J241)</f>
        <v/>
      </c>
      <c r="I991" s="26" t="str">
        <f aca="false">IF($H991="","",IFERROR(INDEX(EMPL_CLASSE,MATCH($H991,EMPL_KEY,0)),""))</f>
        <v/>
      </c>
      <c r="J991" s="26" t="str">
        <f aca="false">IF($K991=0,"",IFERROR(INDEX(LOT_PRODE,MATCH($G991,LOT_KEY,0)),""))</f>
        <v/>
      </c>
      <c r="K991" s="67" t="n">
        <f aca="false">IF(ST_RESULTATS!$P241=0,0,ST_RESULTATS!$F241)</f>
        <v>0</v>
      </c>
      <c r="L991" s="67" t="n">
        <f aca="false">IF($K991=0,0,ST_RESULTATS!$T241*$K991)</f>
        <v>0</v>
      </c>
      <c r="M991" s="26" t="str">
        <f aca="false">IF($K991=0,"",ST_RESULTATS!$S241)</f>
        <v/>
      </c>
      <c r="N991" s="26" t="str">
        <f aca="false">IF($G991="","",IF($G991=R_LOT,COUNTIF($G$5:$G991,R_LOT),""))</f>
        <v/>
      </c>
    </row>
    <row r="992" customFormat="false" ht="15" hidden="false" customHeight="false" outlineLevel="0" collapsed="false">
      <c r="A992" s="28" t="str">
        <f aca="false">IF($K992=0,"",ROW()-4)</f>
        <v/>
      </c>
      <c r="B992" s="26" t="str">
        <f aca="false">IF($K992=0,"","RESULTAT ST")</f>
        <v/>
      </c>
      <c r="C992" s="26" t="str">
        <f aca="false">IF($K992=0,"",ST_RESULTATS!$A242)</f>
        <v/>
      </c>
      <c r="D992" s="31" t="str">
        <f aca="false">IF($K992=0,"",ST_RESULTATS!$V242)</f>
        <v/>
      </c>
      <c r="E992" s="26" t="str">
        <f aca="false">IF($K992=0,"","ENTREE")</f>
        <v/>
      </c>
      <c r="F992" s="26" t="str">
        <f aca="false">IF($K992=0,"","RETOUR SOUS-TRAITANCE")</f>
        <v/>
      </c>
      <c r="G992" s="26" t="str">
        <f aca="false">IF($K992=0,"",ST_RESULTATS!$N242)</f>
        <v/>
      </c>
      <c r="H992" s="26" t="str">
        <f aca="false">IF($K992=0,"",ST_RESULTATS!$J242)</f>
        <v/>
      </c>
      <c r="I992" s="26" t="str">
        <f aca="false">IF($H992="","",IFERROR(INDEX(EMPL_CLASSE,MATCH($H992,EMPL_KEY,0)),""))</f>
        <v/>
      </c>
      <c r="J992" s="26" t="str">
        <f aca="false">IF($K992=0,"",IFERROR(INDEX(LOT_PRODE,MATCH($G992,LOT_KEY,0)),""))</f>
        <v/>
      </c>
      <c r="K992" s="67" t="n">
        <f aca="false">IF(ST_RESULTATS!$P242=0,0,ST_RESULTATS!$F242)</f>
        <v>0</v>
      </c>
      <c r="L992" s="67" t="n">
        <f aca="false">IF($K992=0,0,ST_RESULTATS!$T242*$K992)</f>
        <v>0</v>
      </c>
      <c r="M992" s="26" t="str">
        <f aca="false">IF($K992=0,"",ST_RESULTATS!$S242)</f>
        <v/>
      </c>
      <c r="N992" s="26" t="str">
        <f aca="false">IF($G992="","",IF($G992=R_LOT,COUNTIF($G$5:$G992,R_LOT),""))</f>
        <v/>
      </c>
    </row>
    <row r="993" customFormat="false" ht="15" hidden="false" customHeight="false" outlineLevel="0" collapsed="false">
      <c r="A993" s="28" t="str">
        <f aca="false">IF($K993=0,"",ROW()-4)</f>
        <v/>
      </c>
      <c r="B993" s="26" t="str">
        <f aca="false">IF($K993=0,"","RESULTAT ST")</f>
        <v/>
      </c>
      <c r="C993" s="26" t="str">
        <f aca="false">IF($K993=0,"",ST_RESULTATS!$A243)</f>
        <v/>
      </c>
      <c r="D993" s="31" t="str">
        <f aca="false">IF($K993=0,"",ST_RESULTATS!$V243)</f>
        <v/>
      </c>
      <c r="E993" s="26" t="str">
        <f aca="false">IF($K993=0,"","ENTREE")</f>
        <v/>
      </c>
      <c r="F993" s="26" t="str">
        <f aca="false">IF($K993=0,"","RETOUR SOUS-TRAITANCE")</f>
        <v/>
      </c>
      <c r="G993" s="26" t="str">
        <f aca="false">IF($K993=0,"",ST_RESULTATS!$N243)</f>
        <v/>
      </c>
      <c r="H993" s="26" t="str">
        <f aca="false">IF($K993=0,"",ST_RESULTATS!$J243)</f>
        <v/>
      </c>
      <c r="I993" s="26" t="str">
        <f aca="false">IF($H993="","",IFERROR(INDEX(EMPL_CLASSE,MATCH($H993,EMPL_KEY,0)),""))</f>
        <v/>
      </c>
      <c r="J993" s="26" t="str">
        <f aca="false">IF($K993=0,"",IFERROR(INDEX(LOT_PRODE,MATCH($G993,LOT_KEY,0)),""))</f>
        <v/>
      </c>
      <c r="K993" s="67" t="n">
        <f aca="false">IF(ST_RESULTATS!$P243=0,0,ST_RESULTATS!$F243)</f>
        <v>0</v>
      </c>
      <c r="L993" s="67" t="n">
        <f aca="false">IF($K993=0,0,ST_RESULTATS!$T243*$K993)</f>
        <v>0</v>
      </c>
      <c r="M993" s="26" t="str">
        <f aca="false">IF($K993=0,"",ST_RESULTATS!$S243)</f>
        <v/>
      </c>
      <c r="N993" s="26" t="str">
        <f aca="false">IF($G993="","",IF($G993=R_LOT,COUNTIF($G$5:$G993,R_LOT),""))</f>
        <v/>
      </c>
    </row>
    <row r="994" customFormat="false" ht="15" hidden="false" customHeight="false" outlineLevel="0" collapsed="false">
      <c r="A994" s="28" t="str">
        <f aca="false">IF($K994=0,"",ROW()-4)</f>
        <v/>
      </c>
      <c r="B994" s="26" t="str">
        <f aca="false">IF($K994=0,"","RESULTAT ST")</f>
        <v/>
      </c>
      <c r="C994" s="26" t="str">
        <f aca="false">IF($K994=0,"",ST_RESULTATS!$A244)</f>
        <v/>
      </c>
      <c r="D994" s="31" t="str">
        <f aca="false">IF($K994=0,"",ST_RESULTATS!$V244)</f>
        <v/>
      </c>
      <c r="E994" s="26" t="str">
        <f aca="false">IF($K994=0,"","ENTREE")</f>
        <v/>
      </c>
      <c r="F994" s="26" t="str">
        <f aca="false">IF($K994=0,"","RETOUR SOUS-TRAITANCE")</f>
        <v/>
      </c>
      <c r="G994" s="26" t="str">
        <f aca="false">IF($K994=0,"",ST_RESULTATS!$N244)</f>
        <v/>
      </c>
      <c r="H994" s="26" t="str">
        <f aca="false">IF($K994=0,"",ST_RESULTATS!$J244)</f>
        <v/>
      </c>
      <c r="I994" s="26" t="str">
        <f aca="false">IF($H994="","",IFERROR(INDEX(EMPL_CLASSE,MATCH($H994,EMPL_KEY,0)),""))</f>
        <v/>
      </c>
      <c r="J994" s="26" t="str">
        <f aca="false">IF($K994=0,"",IFERROR(INDEX(LOT_PRODE,MATCH($G994,LOT_KEY,0)),""))</f>
        <v/>
      </c>
      <c r="K994" s="67" t="n">
        <f aca="false">IF(ST_RESULTATS!$P244=0,0,ST_RESULTATS!$F244)</f>
        <v>0</v>
      </c>
      <c r="L994" s="67" t="n">
        <f aca="false">IF($K994=0,0,ST_RESULTATS!$T244*$K994)</f>
        <v>0</v>
      </c>
      <c r="M994" s="26" t="str">
        <f aca="false">IF($K994=0,"",ST_RESULTATS!$S244)</f>
        <v/>
      </c>
      <c r="N994" s="26" t="str">
        <f aca="false">IF($G994="","",IF($G994=R_LOT,COUNTIF($G$5:$G994,R_LOT),""))</f>
        <v/>
      </c>
    </row>
    <row r="995" customFormat="false" ht="15" hidden="false" customHeight="false" outlineLevel="0" collapsed="false">
      <c r="A995" s="28" t="str">
        <f aca="false">IF($K995=0,"",ROW()-4)</f>
        <v/>
      </c>
      <c r="B995" s="26" t="str">
        <f aca="false">IF($K995=0,"","RESULTAT ST")</f>
        <v/>
      </c>
      <c r="C995" s="26" t="str">
        <f aca="false">IF($K995=0,"",ST_RESULTATS!$A245)</f>
        <v/>
      </c>
      <c r="D995" s="31" t="str">
        <f aca="false">IF($K995=0,"",ST_RESULTATS!$V245)</f>
        <v/>
      </c>
      <c r="E995" s="26" t="str">
        <f aca="false">IF($K995=0,"","ENTREE")</f>
        <v/>
      </c>
      <c r="F995" s="26" t="str">
        <f aca="false">IF($K995=0,"","RETOUR SOUS-TRAITANCE")</f>
        <v/>
      </c>
      <c r="G995" s="26" t="str">
        <f aca="false">IF($K995=0,"",ST_RESULTATS!$N245)</f>
        <v/>
      </c>
      <c r="H995" s="26" t="str">
        <f aca="false">IF($K995=0,"",ST_RESULTATS!$J245)</f>
        <v/>
      </c>
      <c r="I995" s="26" t="str">
        <f aca="false">IF($H995="","",IFERROR(INDEX(EMPL_CLASSE,MATCH($H995,EMPL_KEY,0)),""))</f>
        <v/>
      </c>
      <c r="J995" s="26" t="str">
        <f aca="false">IF($K995=0,"",IFERROR(INDEX(LOT_PRODE,MATCH($G995,LOT_KEY,0)),""))</f>
        <v/>
      </c>
      <c r="K995" s="67" t="n">
        <f aca="false">IF(ST_RESULTATS!$P245=0,0,ST_RESULTATS!$F245)</f>
        <v>0</v>
      </c>
      <c r="L995" s="67" t="n">
        <f aca="false">IF($K995=0,0,ST_RESULTATS!$T245*$K995)</f>
        <v>0</v>
      </c>
      <c r="M995" s="26" t="str">
        <f aca="false">IF($K995=0,"",ST_RESULTATS!$S245)</f>
        <v/>
      </c>
      <c r="N995" s="26" t="str">
        <f aca="false">IF($G995="","",IF($G995=R_LOT,COUNTIF($G$5:$G995,R_LOT),""))</f>
        <v/>
      </c>
    </row>
    <row r="996" customFormat="false" ht="15" hidden="false" customHeight="false" outlineLevel="0" collapsed="false">
      <c r="A996" s="28" t="str">
        <f aca="false">IF($K996=0,"",ROW()-4)</f>
        <v/>
      </c>
      <c r="B996" s="26" t="str">
        <f aca="false">IF($K996=0,"","RESULTAT ST")</f>
        <v/>
      </c>
      <c r="C996" s="26" t="str">
        <f aca="false">IF($K996=0,"",ST_RESULTATS!$A246)</f>
        <v/>
      </c>
      <c r="D996" s="31" t="str">
        <f aca="false">IF($K996=0,"",ST_RESULTATS!$V246)</f>
        <v/>
      </c>
      <c r="E996" s="26" t="str">
        <f aca="false">IF($K996=0,"","ENTREE")</f>
        <v/>
      </c>
      <c r="F996" s="26" t="str">
        <f aca="false">IF($K996=0,"","RETOUR SOUS-TRAITANCE")</f>
        <v/>
      </c>
      <c r="G996" s="26" t="str">
        <f aca="false">IF($K996=0,"",ST_RESULTATS!$N246)</f>
        <v/>
      </c>
      <c r="H996" s="26" t="str">
        <f aca="false">IF($K996=0,"",ST_RESULTATS!$J246)</f>
        <v/>
      </c>
      <c r="I996" s="26" t="str">
        <f aca="false">IF($H996="","",IFERROR(INDEX(EMPL_CLASSE,MATCH($H996,EMPL_KEY,0)),""))</f>
        <v/>
      </c>
      <c r="J996" s="26" t="str">
        <f aca="false">IF($K996=0,"",IFERROR(INDEX(LOT_PRODE,MATCH($G996,LOT_KEY,0)),""))</f>
        <v/>
      </c>
      <c r="K996" s="67" t="n">
        <f aca="false">IF(ST_RESULTATS!$P246=0,0,ST_RESULTATS!$F246)</f>
        <v>0</v>
      </c>
      <c r="L996" s="67" t="n">
        <f aca="false">IF($K996=0,0,ST_RESULTATS!$T246*$K996)</f>
        <v>0</v>
      </c>
      <c r="M996" s="26" t="str">
        <f aca="false">IF($K996=0,"",ST_RESULTATS!$S246)</f>
        <v/>
      </c>
      <c r="N996" s="26" t="str">
        <f aca="false">IF($G996="","",IF($G996=R_LOT,COUNTIF($G$5:$G996,R_LOT),""))</f>
        <v/>
      </c>
    </row>
    <row r="997" customFormat="false" ht="15" hidden="false" customHeight="false" outlineLevel="0" collapsed="false">
      <c r="A997" s="28" t="str">
        <f aca="false">IF($K997=0,"",ROW()-4)</f>
        <v/>
      </c>
      <c r="B997" s="26" t="str">
        <f aca="false">IF($K997=0,"","RESULTAT ST")</f>
        <v/>
      </c>
      <c r="C997" s="26" t="str">
        <f aca="false">IF($K997=0,"",ST_RESULTATS!$A247)</f>
        <v/>
      </c>
      <c r="D997" s="31" t="str">
        <f aca="false">IF($K997=0,"",ST_RESULTATS!$V247)</f>
        <v/>
      </c>
      <c r="E997" s="26" t="str">
        <f aca="false">IF($K997=0,"","ENTREE")</f>
        <v/>
      </c>
      <c r="F997" s="26" t="str">
        <f aca="false">IF($K997=0,"","RETOUR SOUS-TRAITANCE")</f>
        <v/>
      </c>
      <c r="G997" s="26" t="str">
        <f aca="false">IF($K997=0,"",ST_RESULTATS!$N247)</f>
        <v/>
      </c>
      <c r="H997" s="26" t="str">
        <f aca="false">IF($K997=0,"",ST_RESULTATS!$J247)</f>
        <v/>
      </c>
      <c r="I997" s="26" t="str">
        <f aca="false">IF($H997="","",IFERROR(INDEX(EMPL_CLASSE,MATCH($H997,EMPL_KEY,0)),""))</f>
        <v/>
      </c>
      <c r="J997" s="26" t="str">
        <f aca="false">IF($K997=0,"",IFERROR(INDEX(LOT_PRODE,MATCH($G997,LOT_KEY,0)),""))</f>
        <v/>
      </c>
      <c r="K997" s="67" t="n">
        <f aca="false">IF(ST_RESULTATS!$P247=0,0,ST_RESULTATS!$F247)</f>
        <v>0</v>
      </c>
      <c r="L997" s="67" t="n">
        <f aca="false">IF($K997=0,0,ST_RESULTATS!$T247*$K997)</f>
        <v>0</v>
      </c>
      <c r="M997" s="26" t="str">
        <f aca="false">IF($K997=0,"",ST_RESULTATS!$S247)</f>
        <v/>
      </c>
      <c r="N997" s="26" t="str">
        <f aca="false">IF($G997="","",IF($G997=R_LOT,COUNTIF($G$5:$G997,R_LOT),""))</f>
        <v/>
      </c>
    </row>
    <row r="998" customFormat="false" ht="15" hidden="false" customHeight="false" outlineLevel="0" collapsed="false">
      <c r="A998" s="28" t="str">
        <f aca="false">IF($K998=0,"",ROW()-4)</f>
        <v/>
      </c>
      <c r="B998" s="26" t="str">
        <f aca="false">IF($K998=0,"","RESULTAT ST")</f>
        <v/>
      </c>
      <c r="C998" s="26" t="str">
        <f aca="false">IF($K998=0,"",ST_RESULTATS!$A248)</f>
        <v/>
      </c>
      <c r="D998" s="31" t="str">
        <f aca="false">IF($K998=0,"",ST_RESULTATS!$V248)</f>
        <v/>
      </c>
      <c r="E998" s="26" t="str">
        <f aca="false">IF($K998=0,"","ENTREE")</f>
        <v/>
      </c>
      <c r="F998" s="26" t="str">
        <f aca="false">IF($K998=0,"","RETOUR SOUS-TRAITANCE")</f>
        <v/>
      </c>
      <c r="G998" s="26" t="str">
        <f aca="false">IF($K998=0,"",ST_RESULTATS!$N248)</f>
        <v/>
      </c>
      <c r="H998" s="26" t="str">
        <f aca="false">IF($K998=0,"",ST_RESULTATS!$J248)</f>
        <v/>
      </c>
      <c r="I998" s="26" t="str">
        <f aca="false">IF($H998="","",IFERROR(INDEX(EMPL_CLASSE,MATCH($H998,EMPL_KEY,0)),""))</f>
        <v/>
      </c>
      <c r="J998" s="26" t="str">
        <f aca="false">IF($K998=0,"",IFERROR(INDEX(LOT_PRODE,MATCH($G998,LOT_KEY,0)),""))</f>
        <v/>
      </c>
      <c r="K998" s="67" t="n">
        <f aca="false">IF(ST_RESULTATS!$P248=0,0,ST_RESULTATS!$F248)</f>
        <v>0</v>
      </c>
      <c r="L998" s="67" t="n">
        <f aca="false">IF($K998=0,0,ST_RESULTATS!$T248*$K998)</f>
        <v>0</v>
      </c>
      <c r="M998" s="26" t="str">
        <f aca="false">IF($K998=0,"",ST_RESULTATS!$S248)</f>
        <v/>
      </c>
      <c r="N998" s="26" t="str">
        <f aca="false">IF($G998="","",IF($G998=R_LOT,COUNTIF($G$5:$G998,R_LOT),""))</f>
        <v/>
      </c>
    </row>
    <row r="999" customFormat="false" ht="15" hidden="false" customHeight="false" outlineLevel="0" collapsed="false">
      <c r="A999" s="28" t="str">
        <f aca="false">IF($K999=0,"",ROW()-4)</f>
        <v/>
      </c>
      <c r="B999" s="26" t="str">
        <f aca="false">IF($K999=0,"","RESULTAT ST")</f>
        <v/>
      </c>
      <c r="C999" s="26" t="str">
        <f aca="false">IF($K999=0,"",ST_RESULTATS!$A249)</f>
        <v/>
      </c>
      <c r="D999" s="31" t="str">
        <f aca="false">IF($K999=0,"",ST_RESULTATS!$V249)</f>
        <v/>
      </c>
      <c r="E999" s="26" t="str">
        <f aca="false">IF($K999=0,"","ENTREE")</f>
        <v/>
      </c>
      <c r="F999" s="26" t="str">
        <f aca="false">IF($K999=0,"","RETOUR SOUS-TRAITANCE")</f>
        <v/>
      </c>
      <c r="G999" s="26" t="str">
        <f aca="false">IF($K999=0,"",ST_RESULTATS!$N249)</f>
        <v/>
      </c>
      <c r="H999" s="26" t="str">
        <f aca="false">IF($K999=0,"",ST_RESULTATS!$J249)</f>
        <v/>
      </c>
      <c r="I999" s="26" t="str">
        <f aca="false">IF($H999="","",IFERROR(INDEX(EMPL_CLASSE,MATCH($H999,EMPL_KEY,0)),""))</f>
        <v/>
      </c>
      <c r="J999" s="26" t="str">
        <f aca="false">IF($K999=0,"",IFERROR(INDEX(LOT_PRODE,MATCH($G999,LOT_KEY,0)),""))</f>
        <v/>
      </c>
      <c r="K999" s="67" t="n">
        <f aca="false">IF(ST_RESULTATS!$P249=0,0,ST_RESULTATS!$F249)</f>
        <v>0</v>
      </c>
      <c r="L999" s="67" t="n">
        <f aca="false">IF($K999=0,0,ST_RESULTATS!$T249*$K999)</f>
        <v>0</v>
      </c>
      <c r="M999" s="26" t="str">
        <f aca="false">IF($K999=0,"",ST_RESULTATS!$S249)</f>
        <v/>
      </c>
      <c r="N999" s="26" t="str">
        <f aca="false">IF($G999="","",IF($G999=R_LOT,COUNTIF($G$5:$G999,R_LOT),""))</f>
        <v/>
      </c>
    </row>
    <row r="1000" customFormat="false" ht="15" hidden="false" customHeight="false" outlineLevel="0" collapsed="false">
      <c r="A1000" s="28" t="str">
        <f aca="false">IF($K1000=0,"",ROW()-4)</f>
        <v/>
      </c>
      <c r="B1000" s="26" t="str">
        <f aca="false">IF($K1000=0,"","RESULTAT ST")</f>
        <v/>
      </c>
      <c r="C1000" s="26" t="str">
        <f aca="false">IF($K1000=0,"",ST_RESULTATS!$A250)</f>
        <v/>
      </c>
      <c r="D1000" s="31" t="str">
        <f aca="false">IF($K1000=0,"",ST_RESULTATS!$V250)</f>
        <v/>
      </c>
      <c r="E1000" s="26" t="str">
        <f aca="false">IF($K1000=0,"","ENTREE")</f>
        <v/>
      </c>
      <c r="F1000" s="26" t="str">
        <f aca="false">IF($K1000=0,"","RETOUR SOUS-TRAITANCE")</f>
        <v/>
      </c>
      <c r="G1000" s="26" t="str">
        <f aca="false">IF($K1000=0,"",ST_RESULTATS!$N250)</f>
        <v/>
      </c>
      <c r="H1000" s="26" t="str">
        <f aca="false">IF($K1000=0,"",ST_RESULTATS!$J250)</f>
        <v/>
      </c>
      <c r="I1000" s="26" t="str">
        <f aca="false">IF($H1000="","",IFERROR(INDEX(EMPL_CLASSE,MATCH($H1000,EMPL_KEY,0)),""))</f>
        <v/>
      </c>
      <c r="J1000" s="26" t="str">
        <f aca="false">IF($K1000=0,"",IFERROR(INDEX(LOT_PRODE,MATCH($G1000,LOT_KEY,0)),""))</f>
        <v/>
      </c>
      <c r="K1000" s="67" t="n">
        <f aca="false">IF(ST_RESULTATS!$P250=0,0,ST_RESULTATS!$F250)</f>
        <v>0</v>
      </c>
      <c r="L1000" s="67" t="n">
        <f aca="false">IF($K1000=0,0,ST_RESULTATS!$T250*$K1000)</f>
        <v>0</v>
      </c>
      <c r="M1000" s="26" t="str">
        <f aca="false">IF($K1000=0,"",ST_RESULTATS!$S250)</f>
        <v/>
      </c>
      <c r="N1000" s="26" t="str">
        <f aca="false">IF($G1000="","",IF($G1000=R_LOT,COUNTIF($G$5:$G1000,R_LOT),""))</f>
        <v/>
      </c>
    </row>
    <row r="1001" customFormat="false" ht="15" hidden="false" customHeight="false" outlineLevel="0" collapsed="false">
      <c r="A1001" s="28" t="str">
        <f aca="false">IF($K1001=0,"",ROW()-4)</f>
        <v/>
      </c>
      <c r="B1001" s="26" t="str">
        <f aca="false">IF($K1001=0,"","RESULTAT ST")</f>
        <v/>
      </c>
      <c r="C1001" s="26" t="str">
        <f aca="false">IF($K1001=0,"",ST_RESULTATS!$A251)</f>
        <v/>
      </c>
      <c r="D1001" s="31" t="str">
        <f aca="false">IF($K1001=0,"",ST_RESULTATS!$V251)</f>
        <v/>
      </c>
      <c r="E1001" s="26" t="str">
        <f aca="false">IF($K1001=0,"","ENTREE")</f>
        <v/>
      </c>
      <c r="F1001" s="26" t="str">
        <f aca="false">IF($K1001=0,"","RETOUR SOUS-TRAITANCE")</f>
        <v/>
      </c>
      <c r="G1001" s="26" t="str">
        <f aca="false">IF($K1001=0,"",ST_RESULTATS!$N251)</f>
        <v/>
      </c>
      <c r="H1001" s="26" t="str">
        <f aca="false">IF($K1001=0,"",ST_RESULTATS!$J251)</f>
        <v/>
      </c>
      <c r="I1001" s="26" t="str">
        <f aca="false">IF($H1001="","",IFERROR(INDEX(EMPL_CLASSE,MATCH($H1001,EMPL_KEY,0)),""))</f>
        <v/>
      </c>
      <c r="J1001" s="26" t="str">
        <f aca="false">IF($K1001=0,"",IFERROR(INDEX(LOT_PRODE,MATCH($G1001,LOT_KEY,0)),""))</f>
        <v/>
      </c>
      <c r="K1001" s="67" t="n">
        <f aca="false">IF(ST_RESULTATS!$P251=0,0,ST_RESULTATS!$F251)</f>
        <v>0</v>
      </c>
      <c r="L1001" s="67" t="n">
        <f aca="false">IF($K1001=0,0,ST_RESULTATS!$T251*$K1001)</f>
        <v>0</v>
      </c>
      <c r="M1001" s="26" t="str">
        <f aca="false">IF($K1001=0,"",ST_RESULTATS!$S251)</f>
        <v/>
      </c>
      <c r="N1001" s="26" t="str">
        <f aca="false">IF($G1001="","",IF($G1001=R_LOT,COUNTIF($G$5:$G1001,R_LOT),""))</f>
        <v/>
      </c>
    </row>
    <row r="1002" customFormat="false" ht="15" hidden="false" customHeight="false" outlineLevel="0" collapsed="false">
      <c r="A1002" s="28" t="str">
        <f aca="false">IF($K1002=0,"",ROW()-4)</f>
        <v/>
      </c>
      <c r="B1002" s="26" t="str">
        <f aca="false">IF($K1002=0,"","RESULTAT ST")</f>
        <v/>
      </c>
      <c r="C1002" s="26" t="str">
        <f aca="false">IF($K1002=0,"",ST_RESULTATS!$A252)</f>
        <v/>
      </c>
      <c r="D1002" s="31" t="str">
        <f aca="false">IF($K1002=0,"",ST_RESULTATS!$V252)</f>
        <v/>
      </c>
      <c r="E1002" s="26" t="str">
        <f aca="false">IF($K1002=0,"","ENTREE")</f>
        <v/>
      </c>
      <c r="F1002" s="26" t="str">
        <f aca="false">IF($K1002=0,"","RETOUR SOUS-TRAITANCE")</f>
        <v/>
      </c>
      <c r="G1002" s="26" t="str">
        <f aca="false">IF($K1002=0,"",ST_RESULTATS!$N252)</f>
        <v/>
      </c>
      <c r="H1002" s="26" t="str">
        <f aca="false">IF($K1002=0,"",ST_RESULTATS!$J252)</f>
        <v/>
      </c>
      <c r="I1002" s="26" t="str">
        <f aca="false">IF($H1002="","",IFERROR(INDEX(EMPL_CLASSE,MATCH($H1002,EMPL_KEY,0)),""))</f>
        <v/>
      </c>
      <c r="J1002" s="26" t="str">
        <f aca="false">IF($K1002=0,"",IFERROR(INDEX(LOT_PRODE,MATCH($G1002,LOT_KEY,0)),""))</f>
        <v/>
      </c>
      <c r="K1002" s="67" t="n">
        <f aca="false">IF(ST_RESULTATS!$P252=0,0,ST_RESULTATS!$F252)</f>
        <v>0</v>
      </c>
      <c r="L1002" s="67" t="n">
        <f aca="false">IF($K1002=0,0,ST_RESULTATS!$T252*$K1002)</f>
        <v>0</v>
      </c>
      <c r="M1002" s="26" t="str">
        <f aca="false">IF($K1002=0,"",ST_RESULTATS!$S252)</f>
        <v/>
      </c>
      <c r="N1002" s="26" t="str">
        <f aca="false">IF($G1002="","",IF($G1002=R_LOT,COUNTIF($G$5:$G1002,R_LOT),""))</f>
        <v/>
      </c>
    </row>
    <row r="1003" customFormat="false" ht="15" hidden="false" customHeight="false" outlineLevel="0" collapsed="false">
      <c r="A1003" s="28" t="str">
        <f aca="false">IF($K1003=0,"",ROW()-4)</f>
        <v/>
      </c>
      <c r="B1003" s="26" t="str">
        <f aca="false">IF($K1003=0,"","RESULTAT ST")</f>
        <v/>
      </c>
      <c r="C1003" s="26" t="str">
        <f aca="false">IF($K1003=0,"",ST_RESULTATS!$A253)</f>
        <v/>
      </c>
      <c r="D1003" s="31" t="str">
        <f aca="false">IF($K1003=0,"",ST_RESULTATS!$V253)</f>
        <v/>
      </c>
      <c r="E1003" s="26" t="str">
        <f aca="false">IF($K1003=0,"","ENTREE")</f>
        <v/>
      </c>
      <c r="F1003" s="26" t="str">
        <f aca="false">IF($K1003=0,"","RETOUR SOUS-TRAITANCE")</f>
        <v/>
      </c>
      <c r="G1003" s="26" t="str">
        <f aca="false">IF($K1003=0,"",ST_RESULTATS!$N253)</f>
        <v/>
      </c>
      <c r="H1003" s="26" t="str">
        <f aca="false">IF($K1003=0,"",ST_RESULTATS!$J253)</f>
        <v/>
      </c>
      <c r="I1003" s="26" t="str">
        <f aca="false">IF($H1003="","",IFERROR(INDEX(EMPL_CLASSE,MATCH($H1003,EMPL_KEY,0)),""))</f>
        <v/>
      </c>
      <c r="J1003" s="26" t="str">
        <f aca="false">IF($K1003=0,"",IFERROR(INDEX(LOT_PRODE,MATCH($G1003,LOT_KEY,0)),""))</f>
        <v/>
      </c>
      <c r="K1003" s="67" t="n">
        <f aca="false">IF(ST_RESULTATS!$P253=0,0,ST_RESULTATS!$F253)</f>
        <v>0</v>
      </c>
      <c r="L1003" s="67" t="n">
        <f aca="false">IF($K1003=0,0,ST_RESULTATS!$T253*$K1003)</f>
        <v>0</v>
      </c>
      <c r="M1003" s="26" t="str">
        <f aca="false">IF($K1003=0,"",ST_RESULTATS!$S253)</f>
        <v/>
      </c>
      <c r="N1003" s="26" t="str">
        <f aca="false">IF($G1003="","",IF($G1003=R_LOT,COUNTIF($G$5:$G1003,R_LOT),""))</f>
        <v/>
      </c>
    </row>
    <row r="1004" customFormat="false" ht="15" hidden="false" customHeight="false" outlineLevel="0" collapsed="false">
      <c r="A1004" s="28" t="str">
        <f aca="false">IF($K1004=0,"",ROW()-4)</f>
        <v/>
      </c>
      <c r="B1004" s="26" t="str">
        <f aca="false">IF($K1004=0,"","RESULTAT ST")</f>
        <v/>
      </c>
      <c r="C1004" s="26" t="str">
        <f aca="false">IF($K1004=0,"",ST_RESULTATS!$A254)</f>
        <v/>
      </c>
      <c r="D1004" s="31" t="str">
        <f aca="false">IF($K1004=0,"",ST_RESULTATS!$V254)</f>
        <v/>
      </c>
      <c r="E1004" s="26" t="str">
        <f aca="false">IF($K1004=0,"","ENTREE")</f>
        <v/>
      </c>
      <c r="F1004" s="26" t="str">
        <f aca="false">IF($K1004=0,"","RETOUR SOUS-TRAITANCE")</f>
        <v/>
      </c>
      <c r="G1004" s="26" t="str">
        <f aca="false">IF($K1004=0,"",ST_RESULTATS!$N254)</f>
        <v/>
      </c>
      <c r="H1004" s="26" t="str">
        <f aca="false">IF($K1004=0,"",ST_RESULTATS!$J254)</f>
        <v/>
      </c>
      <c r="I1004" s="26" t="str">
        <f aca="false">IF($H1004="","",IFERROR(INDEX(EMPL_CLASSE,MATCH($H1004,EMPL_KEY,0)),""))</f>
        <v/>
      </c>
      <c r="J1004" s="26" t="str">
        <f aca="false">IF($K1004=0,"",IFERROR(INDEX(LOT_PRODE,MATCH($G1004,LOT_KEY,0)),""))</f>
        <v/>
      </c>
      <c r="K1004" s="67" t="n">
        <f aca="false">IF(ST_RESULTATS!$P254=0,0,ST_RESULTATS!$F254)</f>
        <v>0</v>
      </c>
      <c r="L1004" s="67" t="n">
        <f aca="false">IF($K1004=0,0,ST_RESULTATS!$T254*$K1004)</f>
        <v>0</v>
      </c>
      <c r="M1004" s="26" t="str">
        <f aca="false">IF($K1004=0,"",ST_RESULTATS!$S254)</f>
        <v/>
      </c>
      <c r="N1004" s="26" t="str">
        <f aca="false">IF($G1004="","",IF($G1004=R_LOT,COUNTIF($G$5:$G1004,R_LOT),""))</f>
        <v/>
      </c>
    </row>
    <row r="1005" customFormat="false" ht="15" hidden="false" customHeight="false" outlineLevel="0" collapsed="false">
      <c r="A1005" s="28" t="str">
        <f aca="false">IF($K1005=0,"",ROW()-4)</f>
        <v/>
      </c>
      <c r="B1005" s="26" t="str">
        <f aca="false">IF($K1005=0,"","RESULTAT ST")</f>
        <v/>
      </c>
      <c r="C1005" s="26" t="str">
        <f aca="false">IF($K1005=0,"",ST_RESULTATS!$A255)</f>
        <v/>
      </c>
      <c r="D1005" s="31" t="str">
        <f aca="false">IF($K1005=0,"",ST_RESULTATS!$V255)</f>
        <v/>
      </c>
      <c r="E1005" s="26" t="str">
        <f aca="false">IF($K1005=0,"","ENTREE")</f>
        <v/>
      </c>
      <c r="F1005" s="26" t="str">
        <f aca="false">IF($K1005=0,"","RETOUR SOUS-TRAITANCE")</f>
        <v/>
      </c>
      <c r="G1005" s="26" t="str">
        <f aca="false">IF($K1005=0,"",ST_RESULTATS!$N255)</f>
        <v/>
      </c>
      <c r="H1005" s="26" t="str">
        <f aca="false">IF($K1005=0,"",ST_RESULTATS!$J255)</f>
        <v/>
      </c>
      <c r="I1005" s="26" t="str">
        <f aca="false">IF($H1005="","",IFERROR(INDEX(EMPL_CLASSE,MATCH($H1005,EMPL_KEY,0)),""))</f>
        <v/>
      </c>
      <c r="J1005" s="26" t="str">
        <f aca="false">IF($K1005=0,"",IFERROR(INDEX(LOT_PRODE,MATCH($G1005,LOT_KEY,0)),""))</f>
        <v/>
      </c>
      <c r="K1005" s="67" t="n">
        <f aca="false">IF(ST_RESULTATS!$P255=0,0,ST_RESULTATS!$F255)</f>
        <v>0</v>
      </c>
      <c r="L1005" s="67" t="n">
        <f aca="false">IF($K1005=0,0,ST_RESULTATS!$T255*$K1005)</f>
        <v>0</v>
      </c>
      <c r="M1005" s="26" t="str">
        <f aca="false">IF($K1005=0,"",ST_RESULTATS!$S255)</f>
        <v/>
      </c>
      <c r="N1005" s="26" t="str">
        <f aca="false">IF($G1005="","",IF($G1005=R_LOT,COUNTIF($G$5:$G1005,R_LOT),""))</f>
        <v/>
      </c>
    </row>
    <row r="1006" customFormat="false" ht="15" hidden="false" customHeight="false" outlineLevel="0" collapsed="false">
      <c r="A1006" s="28" t="str">
        <f aca="false">IF($K1006=0,"",ROW()-4)</f>
        <v/>
      </c>
      <c r="B1006" s="26" t="str">
        <f aca="false">IF($K1006=0,"","RESULTAT ST")</f>
        <v/>
      </c>
      <c r="C1006" s="26" t="str">
        <f aca="false">IF($K1006=0,"",ST_RESULTATS!$A256)</f>
        <v/>
      </c>
      <c r="D1006" s="31" t="str">
        <f aca="false">IF($K1006=0,"",ST_RESULTATS!$V256)</f>
        <v/>
      </c>
      <c r="E1006" s="26" t="str">
        <f aca="false">IF($K1006=0,"","ENTREE")</f>
        <v/>
      </c>
      <c r="F1006" s="26" t="str">
        <f aca="false">IF($K1006=0,"","RETOUR SOUS-TRAITANCE")</f>
        <v/>
      </c>
      <c r="G1006" s="26" t="str">
        <f aca="false">IF($K1006=0,"",ST_RESULTATS!$N256)</f>
        <v/>
      </c>
      <c r="H1006" s="26" t="str">
        <f aca="false">IF($K1006=0,"",ST_RESULTATS!$J256)</f>
        <v/>
      </c>
      <c r="I1006" s="26" t="str">
        <f aca="false">IF($H1006="","",IFERROR(INDEX(EMPL_CLASSE,MATCH($H1006,EMPL_KEY,0)),""))</f>
        <v/>
      </c>
      <c r="J1006" s="26" t="str">
        <f aca="false">IF($K1006=0,"",IFERROR(INDEX(LOT_PRODE,MATCH($G1006,LOT_KEY,0)),""))</f>
        <v/>
      </c>
      <c r="K1006" s="67" t="n">
        <f aca="false">IF(ST_RESULTATS!$P256=0,0,ST_RESULTATS!$F256)</f>
        <v>0</v>
      </c>
      <c r="L1006" s="67" t="n">
        <f aca="false">IF($K1006=0,0,ST_RESULTATS!$T256*$K1006)</f>
        <v>0</v>
      </c>
      <c r="M1006" s="26" t="str">
        <f aca="false">IF($K1006=0,"",ST_RESULTATS!$S256)</f>
        <v/>
      </c>
      <c r="N1006" s="26" t="str">
        <f aca="false">IF($G1006="","",IF($G1006=R_LOT,COUNTIF($G$5:$G1006,R_LOT),""))</f>
        <v/>
      </c>
    </row>
    <row r="1007" customFormat="false" ht="15" hidden="false" customHeight="false" outlineLevel="0" collapsed="false">
      <c r="A1007" s="28" t="str">
        <f aca="false">IF($K1007=0,"",ROW()-4)</f>
        <v/>
      </c>
      <c r="B1007" s="26" t="str">
        <f aca="false">IF($K1007=0,"","RESULTAT ST")</f>
        <v/>
      </c>
      <c r="C1007" s="26" t="str">
        <f aca="false">IF($K1007=0,"",ST_RESULTATS!$A257)</f>
        <v/>
      </c>
      <c r="D1007" s="31" t="str">
        <f aca="false">IF($K1007=0,"",ST_RESULTATS!$V257)</f>
        <v/>
      </c>
      <c r="E1007" s="26" t="str">
        <f aca="false">IF($K1007=0,"","ENTREE")</f>
        <v/>
      </c>
      <c r="F1007" s="26" t="str">
        <f aca="false">IF($K1007=0,"","RETOUR SOUS-TRAITANCE")</f>
        <v/>
      </c>
      <c r="G1007" s="26" t="str">
        <f aca="false">IF($K1007=0,"",ST_RESULTATS!$N257)</f>
        <v/>
      </c>
      <c r="H1007" s="26" t="str">
        <f aca="false">IF($K1007=0,"",ST_RESULTATS!$J257)</f>
        <v/>
      </c>
      <c r="I1007" s="26" t="str">
        <f aca="false">IF($H1007="","",IFERROR(INDEX(EMPL_CLASSE,MATCH($H1007,EMPL_KEY,0)),""))</f>
        <v/>
      </c>
      <c r="J1007" s="26" t="str">
        <f aca="false">IF($K1007=0,"",IFERROR(INDEX(LOT_PRODE,MATCH($G1007,LOT_KEY,0)),""))</f>
        <v/>
      </c>
      <c r="K1007" s="67" t="n">
        <f aca="false">IF(ST_RESULTATS!$P257=0,0,ST_RESULTATS!$F257)</f>
        <v>0</v>
      </c>
      <c r="L1007" s="67" t="n">
        <f aca="false">IF($K1007=0,0,ST_RESULTATS!$T257*$K1007)</f>
        <v>0</v>
      </c>
      <c r="M1007" s="26" t="str">
        <f aca="false">IF($K1007=0,"",ST_RESULTATS!$S257)</f>
        <v/>
      </c>
      <c r="N1007" s="26" t="str">
        <f aca="false">IF($G1007="","",IF($G1007=R_LOT,COUNTIF($G$5:$G1007,R_LOT),""))</f>
        <v/>
      </c>
    </row>
    <row r="1008" customFormat="false" ht="15" hidden="false" customHeight="false" outlineLevel="0" collapsed="false">
      <c r="A1008" s="28" t="str">
        <f aca="false">IF($K1008=0,"",ROW()-4)</f>
        <v/>
      </c>
      <c r="B1008" s="26" t="str">
        <f aca="false">IF($K1008=0,"","RESULTAT ST")</f>
        <v/>
      </c>
      <c r="C1008" s="26" t="str">
        <f aca="false">IF($K1008=0,"",ST_RESULTATS!$A258)</f>
        <v/>
      </c>
      <c r="D1008" s="31" t="str">
        <f aca="false">IF($K1008=0,"",ST_RESULTATS!$V258)</f>
        <v/>
      </c>
      <c r="E1008" s="26" t="str">
        <f aca="false">IF($K1008=0,"","ENTREE")</f>
        <v/>
      </c>
      <c r="F1008" s="26" t="str">
        <f aca="false">IF($K1008=0,"","RETOUR SOUS-TRAITANCE")</f>
        <v/>
      </c>
      <c r="G1008" s="26" t="str">
        <f aca="false">IF($K1008=0,"",ST_RESULTATS!$N258)</f>
        <v/>
      </c>
      <c r="H1008" s="26" t="str">
        <f aca="false">IF($K1008=0,"",ST_RESULTATS!$J258)</f>
        <v/>
      </c>
      <c r="I1008" s="26" t="str">
        <f aca="false">IF($H1008="","",IFERROR(INDEX(EMPL_CLASSE,MATCH($H1008,EMPL_KEY,0)),""))</f>
        <v/>
      </c>
      <c r="J1008" s="26" t="str">
        <f aca="false">IF($K1008=0,"",IFERROR(INDEX(LOT_PRODE,MATCH($G1008,LOT_KEY,0)),""))</f>
        <v/>
      </c>
      <c r="K1008" s="67" t="n">
        <f aca="false">IF(ST_RESULTATS!$P258=0,0,ST_RESULTATS!$F258)</f>
        <v>0</v>
      </c>
      <c r="L1008" s="67" t="n">
        <f aca="false">IF($K1008=0,0,ST_RESULTATS!$T258*$K1008)</f>
        <v>0</v>
      </c>
      <c r="M1008" s="26" t="str">
        <f aca="false">IF($K1008=0,"",ST_RESULTATS!$S258)</f>
        <v/>
      </c>
      <c r="N1008" s="26" t="str">
        <f aca="false">IF($G1008="","",IF($G1008=R_LOT,COUNTIF($G$5:$G1008,R_LOT),""))</f>
        <v/>
      </c>
    </row>
    <row r="1009" customFormat="false" ht="15" hidden="false" customHeight="false" outlineLevel="0" collapsed="false">
      <c r="A1009" s="28" t="str">
        <f aca="false">IF($K1009=0,"",ROW()-4)</f>
        <v/>
      </c>
      <c r="B1009" s="26" t="str">
        <f aca="false">IF($K1009=0,"","RESULTAT ST")</f>
        <v/>
      </c>
      <c r="C1009" s="26" t="str">
        <f aca="false">IF($K1009=0,"",ST_RESULTATS!$A259)</f>
        <v/>
      </c>
      <c r="D1009" s="31" t="str">
        <f aca="false">IF($K1009=0,"",ST_RESULTATS!$V259)</f>
        <v/>
      </c>
      <c r="E1009" s="26" t="str">
        <f aca="false">IF($K1009=0,"","ENTREE")</f>
        <v/>
      </c>
      <c r="F1009" s="26" t="str">
        <f aca="false">IF($K1009=0,"","RETOUR SOUS-TRAITANCE")</f>
        <v/>
      </c>
      <c r="G1009" s="26" t="str">
        <f aca="false">IF($K1009=0,"",ST_RESULTATS!$N259)</f>
        <v/>
      </c>
      <c r="H1009" s="26" t="str">
        <f aca="false">IF($K1009=0,"",ST_RESULTATS!$J259)</f>
        <v/>
      </c>
      <c r="I1009" s="26" t="str">
        <f aca="false">IF($H1009="","",IFERROR(INDEX(EMPL_CLASSE,MATCH($H1009,EMPL_KEY,0)),""))</f>
        <v/>
      </c>
      <c r="J1009" s="26" t="str">
        <f aca="false">IF($K1009=0,"",IFERROR(INDEX(LOT_PRODE,MATCH($G1009,LOT_KEY,0)),""))</f>
        <v/>
      </c>
      <c r="K1009" s="67" t="n">
        <f aca="false">IF(ST_RESULTATS!$P259=0,0,ST_RESULTATS!$F259)</f>
        <v>0</v>
      </c>
      <c r="L1009" s="67" t="n">
        <f aca="false">IF($K1009=0,0,ST_RESULTATS!$T259*$K1009)</f>
        <v>0</v>
      </c>
      <c r="M1009" s="26" t="str">
        <f aca="false">IF($K1009=0,"",ST_RESULTATS!$S259)</f>
        <v/>
      </c>
      <c r="N1009" s="26" t="str">
        <f aca="false">IF($G1009="","",IF($G1009=R_LOT,COUNTIF($G$5:$G1009,R_LOT),""))</f>
        <v/>
      </c>
    </row>
    <row r="1010" customFormat="false" ht="15" hidden="false" customHeight="false" outlineLevel="0" collapsed="false">
      <c r="A1010" s="28" t="str">
        <f aca="false">IF($K1010=0,"",ROW()-4)</f>
        <v/>
      </c>
      <c r="B1010" s="26" t="str">
        <f aca="false">IF($K1010=0,"","RESULTAT ST")</f>
        <v/>
      </c>
      <c r="C1010" s="26" t="str">
        <f aca="false">IF($K1010=0,"",ST_RESULTATS!$A260)</f>
        <v/>
      </c>
      <c r="D1010" s="31" t="str">
        <f aca="false">IF($K1010=0,"",ST_RESULTATS!$V260)</f>
        <v/>
      </c>
      <c r="E1010" s="26" t="str">
        <f aca="false">IF($K1010=0,"","ENTREE")</f>
        <v/>
      </c>
      <c r="F1010" s="26" t="str">
        <f aca="false">IF($K1010=0,"","RETOUR SOUS-TRAITANCE")</f>
        <v/>
      </c>
      <c r="G1010" s="26" t="str">
        <f aca="false">IF($K1010=0,"",ST_RESULTATS!$N260)</f>
        <v/>
      </c>
      <c r="H1010" s="26" t="str">
        <f aca="false">IF($K1010=0,"",ST_RESULTATS!$J260)</f>
        <v/>
      </c>
      <c r="I1010" s="26" t="str">
        <f aca="false">IF($H1010="","",IFERROR(INDEX(EMPL_CLASSE,MATCH($H1010,EMPL_KEY,0)),""))</f>
        <v/>
      </c>
      <c r="J1010" s="26" t="str">
        <f aca="false">IF($K1010=0,"",IFERROR(INDEX(LOT_PRODE,MATCH($G1010,LOT_KEY,0)),""))</f>
        <v/>
      </c>
      <c r="K1010" s="67" t="n">
        <f aca="false">IF(ST_RESULTATS!$P260=0,0,ST_RESULTATS!$F260)</f>
        <v>0</v>
      </c>
      <c r="L1010" s="67" t="n">
        <f aca="false">IF($K1010=0,0,ST_RESULTATS!$T260*$K1010)</f>
        <v>0</v>
      </c>
      <c r="M1010" s="26" t="str">
        <f aca="false">IF($K1010=0,"",ST_RESULTATS!$S260)</f>
        <v/>
      </c>
      <c r="N1010" s="26" t="str">
        <f aca="false">IF($G1010="","",IF($G1010=R_LOT,COUNTIF($G$5:$G1010,R_LOT),""))</f>
        <v/>
      </c>
    </row>
    <row r="1011" customFormat="false" ht="15" hidden="false" customHeight="false" outlineLevel="0" collapsed="false">
      <c r="A1011" s="28" t="str">
        <f aca="false">IF($K1011=0,"",ROW()-4)</f>
        <v/>
      </c>
      <c r="B1011" s="26" t="str">
        <f aca="false">IF($K1011=0,"","RESULTAT ST")</f>
        <v/>
      </c>
      <c r="C1011" s="26" t="str">
        <f aca="false">IF($K1011=0,"",ST_RESULTATS!$A261)</f>
        <v/>
      </c>
      <c r="D1011" s="31" t="str">
        <f aca="false">IF($K1011=0,"",ST_RESULTATS!$V261)</f>
        <v/>
      </c>
      <c r="E1011" s="26" t="str">
        <f aca="false">IF($K1011=0,"","ENTREE")</f>
        <v/>
      </c>
      <c r="F1011" s="26" t="str">
        <f aca="false">IF($K1011=0,"","RETOUR SOUS-TRAITANCE")</f>
        <v/>
      </c>
      <c r="G1011" s="26" t="str">
        <f aca="false">IF($K1011=0,"",ST_RESULTATS!$N261)</f>
        <v/>
      </c>
      <c r="H1011" s="26" t="str">
        <f aca="false">IF($K1011=0,"",ST_RESULTATS!$J261)</f>
        <v/>
      </c>
      <c r="I1011" s="26" t="str">
        <f aca="false">IF($H1011="","",IFERROR(INDEX(EMPL_CLASSE,MATCH($H1011,EMPL_KEY,0)),""))</f>
        <v/>
      </c>
      <c r="J1011" s="26" t="str">
        <f aca="false">IF($K1011=0,"",IFERROR(INDEX(LOT_PRODE,MATCH($G1011,LOT_KEY,0)),""))</f>
        <v/>
      </c>
      <c r="K1011" s="67" t="n">
        <f aca="false">IF(ST_RESULTATS!$P261=0,0,ST_RESULTATS!$F261)</f>
        <v>0</v>
      </c>
      <c r="L1011" s="67" t="n">
        <f aca="false">IF($K1011=0,0,ST_RESULTATS!$T261*$K1011)</f>
        <v>0</v>
      </c>
      <c r="M1011" s="26" t="str">
        <f aca="false">IF($K1011=0,"",ST_RESULTATS!$S261)</f>
        <v/>
      </c>
      <c r="N1011" s="26" t="str">
        <f aca="false">IF($G1011="","",IF($G1011=R_LOT,COUNTIF($G$5:$G1011,R_LOT),""))</f>
        <v/>
      </c>
    </row>
    <row r="1012" customFormat="false" ht="15" hidden="false" customHeight="false" outlineLevel="0" collapsed="false">
      <c r="A1012" s="28" t="str">
        <f aca="false">IF($K1012=0,"",ROW()-4)</f>
        <v/>
      </c>
      <c r="B1012" s="26" t="str">
        <f aca="false">IF($K1012=0,"","RESULTAT ST")</f>
        <v/>
      </c>
      <c r="C1012" s="26" t="str">
        <f aca="false">IF($K1012=0,"",ST_RESULTATS!$A262)</f>
        <v/>
      </c>
      <c r="D1012" s="31" t="str">
        <f aca="false">IF($K1012=0,"",ST_RESULTATS!$V262)</f>
        <v/>
      </c>
      <c r="E1012" s="26" t="str">
        <f aca="false">IF($K1012=0,"","ENTREE")</f>
        <v/>
      </c>
      <c r="F1012" s="26" t="str">
        <f aca="false">IF($K1012=0,"","RETOUR SOUS-TRAITANCE")</f>
        <v/>
      </c>
      <c r="G1012" s="26" t="str">
        <f aca="false">IF($K1012=0,"",ST_RESULTATS!$N262)</f>
        <v/>
      </c>
      <c r="H1012" s="26" t="str">
        <f aca="false">IF($K1012=0,"",ST_RESULTATS!$J262)</f>
        <v/>
      </c>
      <c r="I1012" s="26" t="str">
        <f aca="false">IF($H1012="","",IFERROR(INDEX(EMPL_CLASSE,MATCH($H1012,EMPL_KEY,0)),""))</f>
        <v/>
      </c>
      <c r="J1012" s="26" t="str">
        <f aca="false">IF($K1012=0,"",IFERROR(INDEX(LOT_PRODE,MATCH($G1012,LOT_KEY,0)),""))</f>
        <v/>
      </c>
      <c r="K1012" s="67" t="n">
        <f aca="false">IF(ST_RESULTATS!$P262=0,0,ST_RESULTATS!$F262)</f>
        <v>0</v>
      </c>
      <c r="L1012" s="67" t="n">
        <f aca="false">IF($K1012=0,0,ST_RESULTATS!$T262*$K1012)</f>
        <v>0</v>
      </c>
      <c r="M1012" s="26" t="str">
        <f aca="false">IF($K1012=0,"",ST_RESULTATS!$S262)</f>
        <v/>
      </c>
      <c r="N1012" s="26" t="str">
        <f aca="false">IF($G1012="","",IF($G1012=R_LOT,COUNTIF($G$5:$G1012,R_LOT),""))</f>
        <v/>
      </c>
    </row>
    <row r="1013" customFormat="false" ht="15" hidden="false" customHeight="false" outlineLevel="0" collapsed="false">
      <c r="A1013" s="28" t="str">
        <f aca="false">IF($K1013=0,"",ROW()-4)</f>
        <v/>
      </c>
      <c r="B1013" s="26" t="str">
        <f aca="false">IF($K1013=0,"","RESULTAT ST")</f>
        <v/>
      </c>
      <c r="C1013" s="26" t="str">
        <f aca="false">IF($K1013=0,"",ST_RESULTATS!$A263)</f>
        <v/>
      </c>
      <c r="D1013" s="31" t="str">
        <f aca="false">IF($K1013=0,"",ST_RESULTATS!$V263)</f>
        <v/>
      </c>
      <c r="E1013" s="26" t="str">
        <f aca="false">IF($K1013=0,"","ENTREE")</f>
        <v/>
      </c>
      <c r="F1013" s="26" t="str">
        <f aca="false">IF($K1013=0,"","RETOUR SOUS-TRAITANCE")</f>
        <v/>
      </c>
      <c r="G1013" s="26" t="str">
        <f aca="false">IF($K1013=0,"",ST_RESULTATS!$N263)</f>
        <v/>
      </c>
      <c r="H1013" s="26" t="str">
        <f aca="false">IF($K1013=0,"",ST_RESULTATS!$J263)</f>
        <v/>
      </c>
      <c r="I1013" s="26" t="str">
        <f aca="false">IF($H1013="","",IFERROR(INDEX(EMPL_CLASSE,MATCH($H1013,EMPL_KEY,0)),""))</f>
        <v/>
      </c>
      <c r="J1013" s="26" t="str">
        <f aca="false">IF($K1013=0,"",IFERROR(INDEX(LOT_PRODE,MATCH($G1013,LOT_KEY,0)),""))</f>
        <v/>
      </c>
      <c r="K1013" s="67" t="n">
        <f aca="false">IF(ST_RESULTATS!$P263=0,0,ST_RESULTATS!$F263)</f>
        <v>0</v>
      </c>
      <c r="L1013" s="67" t="n">
        <f aca="false">IF($K1013=0,0,ST_RESULTATS!$T263*$K1013)</f>
        <v>0</v>
      </c>
      <c r="M1013" s="26" t="str">
        <f aca="false">IF($K1013=0,"",ST_RESULTATS!$S263)</f>
        <v/>
      </c>
      <c r="N1013" s="26" t="str">
        <f aca="false">IF($G1013="","",IF($G1013=R_LOT,COUNTIF($G$5:$G1013,R_LOT),""))</f>
        <v/>
      </c>
    </row>
    <row r="1014" customFormat="false" ht="15" hidden="false" customHeight="false" outlineLevel="0" collapsed="false">
      <c r="A1014" s="28" t="str">
        <f aca="false">IF($K1014=0,"",ROW()-4)</f>
        <v/>
      </c>
      <c r="B1014" s="26" t="str">
        <f aca="false">IF($K1014=0,"","RESULTAT ST")</f>
        <v/>
      </c>
      <c r="C1014" s="26" t="str">
        <f aca="false">IF($K1014=0,"",ST_RESULTATS!$A264)</f>
        <v/>
      </c>
      <c r="D1014" s="31" t="str">
        <f aca="false">IF($K1014=0,"",ST_RESULTATS!$V264)</f>
        <v/>
      </c>
      <c r="E1014" s="26" t="str">
        <f aca="false">IF($K1014=0,"","ENTREE")</f>
        <v/>
      </c>
      <c r="F1014" s="26" t="str">
        <f aca="false">IF($K1014=0,"","RETOUR SOUS-TRAITANCE")</f>
        <v/>
      </c>
      <c r="G1014" s="26" t="str">
        <f aca="false">IF($K1014=0,"",ST_RESULTATS!$N264)</f>
        <v/>
      </c>
      <c r="H1014" s="26" t="str">
        <f aca="false">IF($K1014=0,"",ST_RESULTATS!$J264)</f>
        <v/>
      </c>
      <c r="I1014" s="26" t="str">
        <f aca="false">IF($H1014="","",IFERROR(INDEX(EMPL_CLASSE,MATCH($H1014,EMPL_KEY,0)),""))</f>
        <v/>
      </c>
      <c r="J1014" s="26" t="str">
        <f aca="false">IF($K1014=0,"",IFERROR(INDEX(LOT_PRODE,MATCH($G1014,LOT_KEY,0)),""))</f>
        <v/>
      </c>
      <c r="K1014" s="67" t="n">
        <f aca="false">IF(ST_RESULTATS!$P264=0,0,ST_RESULTATS!$F264)</f>
        <v>0</v>
      </c>
      <c r="L1014" s="67" t="n">
        <f aca="false">IF($K1014=0,0,ST_RESULTATS!$T264*$K1014)</f>
        <v>0</v>
      </c>
      <c r="M1014" s="26" t="str">
        <f aca="false">IF($K1014=0,"",ST_RESULTATS!$S264)</f>
        <v/>
      </c>
      <c r="N1014" s="26" t="str">
        <f aca="false">IF($G1014="","",IF($G1014=R_LOT,COUNTIF($G$5:$G1014,R_LOT),""))</f>
        <v/>
      </c>
    </row>
    <row r="1015" customFormat="false" ht="15" hidden="false" customHeight="false" outlineLevel="0" collapsed="false">
      <c r="A1015" s="28" t="str">
        <f aca="false">IF($K1015=0,"",ROW()-4)</f>
        <v/>
      </c>
      <c r="B1015" s="26" t="str">
        <f aca="false">IF($K1015=0,"","RESULTAT ST")</f>
        <v/>
      </c>
      <c r="C1015" s="26" t="str">
        <f aca="false">IF($K1015=0,"",ST_RESULTATS!$A265)</f>
        <v/>
      </c>
      <c r="D1015" s="31" t="str">
        <f aca="false">IF($K1015=0,"",ST_RESULTATS!$V265)</f>
        <v/>
      </c>
      <c r="E1015" s="26" t="str">
        <f aca="false">IF($K1015=0,"","ENTREE")</f>
        <v/>
      </c>
      <c r="F1015" s="26" t="str">
        <f aca="false">IF($K1015=0,"","RETOUR SOUS-TRAITANCE")</f>
        <v/>
      </c>
      <c r="G1015" s="26" t="str">
        <f aca="false">IF($K1015=0,"",ST_RESULTATS!$N265)</f>
        <v/>
      </c>
      <c r="H1015" s="26" t="str">
        <f aca="false">IF($K1015=0,"",ST_RESULTATS!$J265)</f>
        <v/>
      </c>
      <c r="I1015" s="26" t="str">
        <f aca="false">IF($H1015="","",IFERROR(INDEX(EMPL_CLASSE,MATCH($H1015,EMPL_KEY,0)),""))</f>
        <v/>
      </c>
      <c r="J1015" s="26" t="str">
        <f aca="false">IF($K1015=0,"",IFERROR(INDEX(LOT_PRODE,MATCH($G1015,LOT_KEY,0)),""))</f>
        <v/>
      </c>
      <c r="K1015" s="67" t="n">
        <f aca="false">IF(ST_RESULTATS!$P265=0,0,ST_RESULTATS!$F265)</f>
        <v>0</v>
      </c>
      <c r="L1015" s="67" t="n">
        <f aca="false">IF($K1015=0,0,ST_RESULTATS!$T265*$K1015)</f>
        <v>0</v>
      </c>
      <c r="M1015" s="26" t="str">
        <f aca="false">IF($K1015=0,"",ST_RESULTATS!$S265)</f>
        <v/>
      </c>
      <c r="N1015" s="26" t="str">
        <f aca="false">IF($G1015="","",IF($G1015=R_LOT,COUNTIF($G$5:$G1015,R_LOT),""))</f>
        <v/>
      </c>
    </row>
    <row r="1016" customFormat="false" ht="15" hidden="false" customHeight="false" outlineLevel="0" collapsed="false">
      <c r="A1016" s="28" t="str">
        <f aca="false">IF($K1016=0,"",ROW()-4)</f>
        <v/>
      </c>
      <c r="B1016" s="26" t="str">
        <f aca="false">IF($K1016=0,"","RESULTAT ST")</f>
        <v/>
      </c>
      <c r="C1016" s="26" t="str">
        <f aca="false">IF($K1016=0,"",ST_RESULTATS!$A266)</f>
        <v/>
      </c>
      <c r="D1016" s="31" t="str">
        <f aca="false">IF($K1016=0,"",ST_RESULTATS!$V266)</f>
        <v/>
      </c>
      <c r="E1016" s="26" t="str">
        <f aca="false">IF($K1016=0,"","ENTREE")</f>
        <v/>
      </c>
      <c r="F1016" s="26" t="str">
        <f aca="false">IF($K1016=0,"","RETOUR SOUS-TRAITANCE")</f>
        <v/>
      </c>
      <c r="G1016" s="26" t="str">
        <f aca="false">IF($K1016=0,"",ST_RESULTATS!$N266)</f>
        <v/>
      </c>
      <c r="H1016" s="26" t="str">
        <f aca="false">IF($K1016=0,"",ST_RESULTATS!$J266)</f>
        <v/>
      </c>
      <c r="I1016" s="26" t="str">
        <f aca="false">IF($H1016="","",IFERROR(INDEX(EMPL_CLASSE,MATCH($H1016,EMPL_KEY,0)),""))</f>
        <v/>
      </c>
      <c r="J1016" s="26" t="str">
        <f aca="false">IF($K1016=0,"",IFERROR(INDEX(LOT_PRODE,MATCH($G1016,LOT_KEY,0)),""))</f>
        <v/>
      </c>
      <c r="K1016" s="67" t="n">
        <f aca="false">IF(ST_RESULTATS!$P266=0,0,ST_RESULTATS!$F266)</f>
        <v>0</v>
      </c>
      <c r="L1016" s="67" t="n">
        <f aca="false">IF($K1016=0,0,ST_RESULTATS!$T266*$K1016)</f>
        <v>0</v>
      </c>
      <c r="M1016" s="26" t="str">
        <f aca="false">IF($K1016=0,"",ST_RESULTATS!$S266)</f>
        <v/>
      </c>
      <c r="N1016" s="26" t="str">
        <f aca="false">IF($G1016="","",IF($G1016=R_LOT,COUNTIF($G$5:$G1016,R_LOT),""))</f>
        <v/>
      </c>
    </row>
    <row r="1017" customFormat="false" ht="15" hidden="false" customHeight="false" outlineLevel="0" collapsed="false">
      <c r="A1017" s="28" t="str">
        <f aca="false">IF($K1017=0,"",ROW()-4)</f>
        <v/>
      </c>
      <c r="B1017" s="26" t="str">
        <f aca="false">IF($K1017=0,"","RESULTAT ST")</f>
        <v/>
      </c>
      <c r="C1017" s="26" t="str">
        <f aca="false">IF($K1017=0,"",ST_RESULTATS!$A267)</f>
        <v/>
      </c>
      <c r="D1017" s="31" t="str">
        <f aca="false">IF($K1017=0,"",ST_RESULTATS!$V267)</f>
        <v/>
      </c>
      <c r="E1017" s="26" t="str">
        <f aca="false">IF($K1017=0,"","ENTREE")</f>
        <v/>
      </c>
      <c r="F1017" s="26" t="str">
        <f aca="false">IF($K1017=0,"","RETOUR SOUS-TRAITANCE")</f>
        <v/>
      </c>
      <c r="G1017" s="26" t="str">
        <f aca="false">IF($K1017=0,"",ST_RESULTATS!$N267)</f>
        <v/>
      </c>
      <c r="H1017" s="26" t="str">
        <f aca="false">IF($K1017=0,"",ST_RESULTATS!$J267)</f>
        <v/>
      </c>
      <c r="I1017" s="26" t="str">
        <f aca="false">IF($H1017="","",IFERROR(INDEX(EMPL_CLASSE,MATCH($H1017,EMPL_KEY,0)),""))</f>
        <v/>
      </c>
      <c r="J1017" s="26" t="str">
        <f aca="false">IF($K1017=0,"",IFERROR(INDEX(LOT_PRODE,MATCH($G1017,LOT_KEY,0)),""))</f>
        <v/>
      </c>
      <c r="K1017" s="67" t="n">
        <f aca="false">IF(ST_RESULTATS!$P267=0,0,ST_RESULTATS!$F267)</f>
        <v>0</v>
      </c>
      <c r="L1017" s="67" t="n">
        <f aca="false">IF($K1017=0,0,ST_RESULTATS!$T267*$K1017)</f>
        <v>0</v>
      </c>
      <c r="M1017" s="26" t="str">
        <f aca="false">IF($K1017=0,"",ST_RESULTATS!$S267)</f>
        <v/>
      </c>
      <c r="N1017" s="26" t="str">
        <f aca="false">IF($G1017="","",IF($G1017=R_LOT,COUNTIF($G$5:$G1017,R_LOT),""))</f>
        <v/>
      </c>
    </row>
    <row r="1018" customFormat="false" ht="15" hidden="false" customHeight="false" outlineLevel="0" collapsed="false">
      <c r="A1018" s="28" t="str">
        <f aca="false">IF($K1018=0,"",ROW()-4)</f>
        <v/>
      </c>
      <c r="B1018" s="26" t="str">
        <f aca="false">IF($K1018=0,"","RESULTAT ST")</f>
        <v/>
      </c>
      <c r="C1018" s="26" t="str">
        <f aca="false">IF($K1018=0,"",ST_RESULTATS!$A268)</f>
        <v/>
      </c>
      <c r="D1018" s="31" t="str">
        <f aca="false">IF($K1018=0,"",ST_RESULTATS!$V268)</f>
        <v/>
      </c>
      <c r="E1018" s="26" t="str">
        <f aca="false">IF($K1018=0,"","ENTREE")</f>
        <v/>
      </c>
      <c r="F1018" s="26" t="str">
        <f aca="false">IF($K1018=0,"","RETOUR SOUS-TRAITANCE")</f>
        <v/>
      </c>
      <c r="G1018" s="26" t="str">
        <f aca="false">IF($K1018=0,"",ST_RESULTATS!$N268)</f>
        <v/>
      </c>
      <c r="H1018" s="26" t="str">
        <f aca="false">IF($K1018=0,"",ST_RESULTATS!$J268)</f>
        <v/>
      </c>
      <c r="I1018" s="26" t="str">
        <f aca="false">IF($H1018="","",IFERROR(INDEX(EMPL_CLASSE,MATCH($H1018,EMPL_KEY,0)),""))</f>
        <v/>
      </c>
      <c r="J1018" s="26" t="str">
        <f aca="false">IF($K1018=0,"",IFERROR(INDEX(LOT_PRODE,MATCH($G1018,LOT_KEY,0)),""))</f>
        <v/>
      </c>
      <c r="K1018" s="67" t="n">
        <f aca="false">IF(ST_RESULTATS!$P268=0,0,ST_RESULTATS!$F268)</f>
        <v>0</v>
      </c>
      <c r="L1018" s="67" t="n">
        <f aca="false">IF($K1018=0,0,ST_RESULTATS!$T268*$K1018)</f>
        <v>0</v>
      </c>
      <c r="M1018" s="26" t="str">
        <f aca="false">IF($K1018=0,"",ST_RESULTATS!$S268)</f>
        <v/>
      </c>
      <c r="N1018" s="26" t="str">
        <f aca="false">IF($G1018="","",IF($G1018=R_LOT,COUNTIF($G$5:$G1018,R_LOT),""))</f>
        <v/>
      </c>
    </row>
    <row r="1019" customFormat="false" ht="15" hidden="false" customHeight="false" outlineLevel="0" collapsed="false">
      <c r="A1019" s="28" t="str">
        <f aca="false">IF($K1019=0,"",ROW()-4)</f>
        <v/>
      </c>
      <c r="B1019" s="26" t="str">
        <f aca="false">IF($K1019=0,"","RESULTAT ST")</f>
        <v/>
      </c>
      <c r="C1019" s="26" t="str">
        <f aca="false">IF($K1019=0,"",ST_RESULTATS!$A269)</f>
        <v/>
      </c>
      <c r="D1019" s="31" t="str">
        <f aca="false">IF($K1019=0,"",ST_RESULTATS!$V269)</f>
        <v/>
      </c>
      <c r="E1019" s="26" t="str">
        <f aca="false">IF($K1019=0,"","ENTREE")</f>
        <v/>
      </c>
      <c r="F1019" s="26" t="str">
        <f aca="false">IF($K1019=0,"","RETOUR SOUS-TRAITANCE")</f>
        <v/>
      </c>
      <c r="G1019" s="26" t="str">
        <f aca="false">IF($K1019=0,"",ST_RESULTATS!$N269)</f>
        <v/>
      </c>
      <c r="H1019" s="26" t="str">
        <f aca="false">IF($K1019=0,"",ST_RESULTATS!$J269)</f>
        <v/>
      </c>
      <c r="I1019" s="26" t="str">
        <f aca="false">IF($H1019="","",IFERROR(INDEX(EMPL_CLASSE,MATCH($H1019,EMPL_KEY,0)),""))</f>
        <v/>
      </c>
      <c r="J1019" s="26" t="str">
        <f aca="false">IF($K1019=0,"",IFERROR(INDEX(LOT_PRODE,MATCH($G1019,LOT_KEY,0)),""))</f>
        <v/>
      </c>
      <c r="K1019" s="67" t="n">
        <f aca="false">IF(ST_RESULTATS!$P269=0,0,ST_RESULTATS!$F269)</f>
        <v>0</v>
      </c>
      <c r="L1019" s="67" t="n">
        <f aca="false">IF($K1019=0,0,ST_RESULTATS!$T269*$K1019)</f>
        <v>0</v>
      </c>
      <c r="M1019" s="26" t="str">
        <f aca="false">IF($K1019=0,"",ST_RESULTATS!$S269)</f>
        <v/>
      </c>
      <c r="N1019" s="26" t="str">
        <f aca="false">IF($G1019="","",IF($G1019=R_LOT,COUNTIF($G$5:$G1019,R_LOT),""))</f>
        <v/>
      </c>
    </row>
    <row r="1020" customFormat="false" ht="15" hidden="false" customHeight="false" outlineLevel="0" collapsed="false">
      <c r="A1020" s="28" t="str">
        <f aca="false">IF($K1020=0,"",ROW()-4)</f>
        <v/>
      </c>
      <c r="B1020" s="26" t="str">
        <f aca="false">IF($K1020=0,"","RESULTAT ST")</f>
        <v/>
      </c>
      <c r="C1020" s="26" t="str">
        <f aca="false">IF($K1020=0,"",ST_RESULTATS!$A270)</f>
        <v/>
      </c>
      <c r="D1020" s="31" t="str">
        <f aca="false">IF($K1020=0,"",ST_RESULTATS!$V270)</f>
        <v/>
      </c>
      <c r="E1020" s="26" t="str">
        <f aca="false">IF($K1020=0,"","ENTREE")</f>
        <v/>
      </c>
      <c r="F1020" s="26" t="str">
        <f aca="false">IF($K1020=0,"","RETOUR SOUS-TRAITANCE")</f>
        <v/>
      </c>
      <c r="G1020" s="26" t="str">
        <f aca="false">IF($K1020=0,"",ST_RESULTATS!$N270)</f>
        <v/>
      </c>
      <c r="H1020" s="26" t="str">
        <f aca="false">IF($K1020=0,"",ST_RESULTATS!$J270)</f>
        <v/>
      </c>
      <c r="I1020" s="26" t="str">
        <f aca="false">IF($H1020="","",IFERROR(INDEX(EMPL_CLASSE,MATCH($H1020,EMPL_KEY,0)),""))</f>
        <v/>
      </c>
      <c r="J1020" s="26" t="str">
        <f aca="false">IF($K1020=0,"",IFERROR(INDEX(LOT_PRODE,MATCH($G1020,LOT_KEY,0)),""))</f>
        <v/>
      </c>
      <c r="K1020" s="67" t="n">
        <f aca="false">IF(ST_RESULTATS!$P270=0,0,ST_RESULTATS!$F270)</f>
        <v>0</v>
      </c>
      <c r="L1020" s="67" t="n">
        <f aca="false">IF($K1020=0,0,ST_RESULTATS!$T270*$K1020)</f>
        <v>0</v>
      </c>
      <c r="M1020" s="26" t="str">
        <f aca="false">IF($K1020=0,"",ST_RESULTATS!$S270)</f>
        <v/>
      </c>
      <c r="N1020" s="26" t="str">
        <f aca="false">IF($G1020="","",IF($G1020=R_LOT,COUNTIF($G$5:$G1020,R_LOT),""))</f>
        <v/>
      </c>
    </row>
    <row r="1021" customFormat="false" ht="15" hidden="false" customHeight="false" outlineLevel="0" collapsed="false">
      <c r="A1021" s="28" t="str">
        <f aca="false">IF($K1021=0,"",ROW()-4)</f>
        <v/>
      </c>
      <c r="B1021" s="26" t="str">
        <f aca="false">IF($K1021=0,"","RESULTAT ST")</f>
        <v/>
      </c>
      <c r="C1021" s="26" t="str">
        <f aca="false">IF($K1021=0,"",ST_RESULTATS!$A271)</f>
        <v/>
      </c>
      <c r="D1021" s="31" t="str">
        <f aca="false">IF($K1021=0,"",ST_RESULTATS!$V271)</f>
        <v/>
      </c>
      <c r="E1021" s="26" t="str">
        <f aca="false">IF($K1021=0,"","ENTREE")</f>
        <v/>
      </c>
      <c r="F1021" s="26" t="str">
        <f aca="false">IF($K1021=0,"","RETOUR SOUS-TRAITANCE")</f>
        <v/>
      </c>
      <c r="G1021" s="26" t="str">
        <f aca="false">IF($K1021=0,"",ST_RESULTATS!$N271)</f>
        <v/>
      </c>
      <c r="H1021" s="26" t="str">
        <f aca="false">IF($K1021=0,"",ST_RESULTATS!$J271)</f>
        <v/>
      </c>
      <c r="I1021" s="26" t="str">
        <f aca="false">IF($H1021="","",IFERROR(INDEX(EMPL_CLASSE,MATCH($H1021,EMPL_KEY,0)),""))</f>
        <v/>
      </c>
      <c r="J1021" s="26" t="str">
        <f aca="false">IF($K1021=0,"",IFERROR(INDEX(LOT_PRODE,MATCH($G1021,LOT_KEY,0)),""))</f>
        <v/>
      </c>
      <c r="K1021" s="67" t="n">
        <f aca="false">IF(ST_RESULTATS!$P271=0,0,ST_RESULTATS!$F271)</f>
        <v>0</v>
      </c>
      <c r="L1021" s="67" t="n">
        <f aca="false">IF($K1021=0,0,ST_RESULTATS!$T271*$K1021)</f>
        <v>0</v>
      </c>
      <c r="M1021" s="26" t="str">
        <f aca="false">IF($K1021=0,"",ST_RESULTATS!$S271)</f>
        <v/>
      </c>
      <c r="N1021" s="26" t="str">
        <f aca="false">IF($G1021="","",IF($G1021=R_LOT,COUNTIF($G$5:$G1021,R_LOT),""))</f>
        <v/>
      </c>
    </row>
    <row r="1022" customFormat="false" ht="15" hidden="false" customHeight="false" outlineLevel="0" collapsed="false">
      <c r="A1022" s="28" t="str">
        <f aca="false">IF($K1022=0,"",ROW()-4)</f>
        <v/>
      </c>
      <c r="B1022" s="26" t="str">
        <f aca="false">IF($K1022=0,"","RESULTAT ST")</f>
        <v/>
      </c>
      <c r="C1022" s="26" t="str">
        <f aca="false">IF($K1022=0,"",ST_RESULTATS!$A272)</f>
        <v/>
      </c>
      <c r="D1022" s="31" t="str">
        <f aca="false">IF($K1022=0,"",ST_RESULTATS!$V272)</f>
        <v/>
      </c>
      <c r="E1022" s="26" t="str">
        <f aca="false">IF($K1022=0,"","ENTREE")</f>
        <v/>
      </c>
      <c r="F1022" s="26" t="str">
        <f aca="false">IF($K1022=0,"","RETOUR SOUS-TRAITANCE")</f>
        <v/>
      </c>
      <c r="G1022" s="26" t="str">
        <f aca="false">IF($K1022=0,"",ST_RESULTATS!$N272)</f>
        <v/>
      </c>
      <c r="H1022" s="26" t="str">
        <f aca="false">IF($K1022=0,"",ST_RESULTATS!$J272)</f>
        <v/>
      </c>
      <c r="I1022" s="26" t="str">
        <f aca="false">IF($H1022="","",IFERROR(INDEX(EMPL_CLASSE,MATCH($H1022,EMPL_KEY,0)),""))</f>
        <v/>
      </c>
      <c r="J1022" s="26" t="str">
        <f aca="false">IF($K1022=0,"",IFERROR(INDEX(LOT_PRODE,MATCH($G1022,LOT_KEY,0)),""))</f>
        <v/>
      </c>
      <c r="K1022" s="67" t="n">
        <f aca="false">IF(ST_RESULTATS!$P272=0,0,ST_RESULTATS!$F272)</f>
        <v>0</v>
      </c>
      <c r="L1022" s="67" t="n">
        <f aca="false">IF($K1022=0,0,ST_RESULTATS!$T272*$K1022)</f>
        <v>0</v>
      </c>
      <c r="M1022" s="26" t="str">
        <f aca="false">IF($K1022=0,"",ST_RESULTATS!$S272)</f>
        <v/>
      </c>
      <c r="N1022" s="26" t="str">
        <f aca="false">IF($G1022="","",IF($G1022=R_LOT,COUNTIF($G$5:$G1022,R_LOT),""))</f>
        <v/>
      </c>
    </row>
    <row r="1023" customFormat="false" ht="15" hidden="false" customHeight="false" outlineLevel="0" collapsed="false">
      <c r="A1023" s="28" t="str">
        <f aca="false">IF($K1023=0,"",ROW()-4)</f>
        <v/>
      </c>
      <c r="B1023" s="26" t="str">
        <f aca="false">IF($K1023=0,"","RESULTAT ST")</f>
        <v/>
      </c>
      <c r="C1023" s="26" t="str">
        <f aca="false">IF($K1023=0,"",ST_RESULTATS!$A273)</f>
        <v/>
      </c>
      <c r="D1023" s="31" t="str">
        <f aca="false">IF($K1023=0,"",ST_RESULTATS!$V273)</f>
        <v/>
      </c>
      <c r="E1023" s="26" t="str">
        <f aca="false">IF($K1023=0,"","ENTREE")</f>
        <v/>
      </c>
      <c r="F1023" s="26" t="str">
        <f aca="false">IF($K1023=0,"","RETOUR SOUS-TRAITANCE")</f>
        <v/>
      </c>
      <c r="G1023" s="26" t="str">
        <f aca="false">IF($K1023=0,"",ST_RESULTATS!$N273)</f>
        <v/>
      </c>
      <c r="H1023" s="26" t="str">
        <f aca="false">IF($K1023=0,"",ST_RESULTATS!$J273)</f>
        <v/>
      </c>
      <c r="I1023" s="26" t="str">
        <f aca="false">IF($H1023="","",IFERROR(INDEX(EMPL_CLASSE,MATCH($H1023,EMPL_KEY,0)),""))</f>
        <v/>
      </c>
      <c r="J1023" s="26" t="str">
        <f aca="false">IF($K1023=0,"",IFERROR(INDEX(LOT_PRODE,MATCH($G1023,LOT_KEY,0)),""))</f>
        <v/>
      </c>
      <c r="K1023" s="67" t="n">
        <f aca="false">IF(ST_RESULTATS!$P273=0,0,ST_RESULTATS!$F273)</f>
        <v>0</v>
      </c>
      <c r="L1023" s="67" t="n">
        <f aca="false">IF($K1023=0,0,ST_RESULTATS!$T273*$K1023)</f>
        <v>0</v>
      </c>
      <c r="M1023" s="26" t="str">
        <f aca="false">IF($K1023=0,"",ST_RESULTATS!$S273)</f>
        <v/>
      </c>
      <c r="N1023" s="26" t="str">
        <f aca="false">IF($G1023="","",IF($G1023=R_LOT,COUNTIF($G$5:$G1023,R_LOT),""))</f>
        <v/>
      </c>
    </row>
    <row r="1024" customFormat="false" ht="15" hidden="false" customHeight="false" outlineLevel="0" collapsed="false">
      <c r="A1024" s="28" t="str">
        <f aca="false">IF($K1024=0,"",ROW()-4)</f>
        <v/>
      </c>
      <c r="B1024" s="26" t="str">
        <f aca="false">IF($K1024=0,"","RESULTAT ST")</f>
        <v/>
      </c>
      <c r="C1024" s="26" t="str">
        <f aca="false">IF($K1024=0,"",ST_RESULTATS!$A274)</f>
        <v/>
      </c>
      <c r="D1024" s="31" t="str">
        <f aca="false">IF($K1024=0,"",ST_RESULTATS!$V274)</f>
        <v/>
      </c>
      <c r="E1024" s="26" t="str">
        <f aca="false">IF($K1024=0,"","ENTREE")</f>
        <v/>
      </c>
      <c r="F1024" s="26" t="str">
        <f aca="false">IF($K1024=0,"","RETOUR SOUS-TRAITANCE")</f>
        <v/>
      </c>
      <c r="G1024" s="26" t="str">
        <f aca="false">IF($K1024=0,"",ST_RESULTATS!$N274)</f>
        <v/>
      </c>
      <c r="H1024" s="26" t="str">
        <f aca="false">IF($K1024=0,"",ST_RESULTATS!$J274)</f>
        <v/>
      </c>
      <c r="I1024" s="26" t="str">
        <f aca="false">IF($H1024="","",IFERROR(INDEX(EMPL_CLASSE,MATCH($H1024,EMPL_KEY,0)),""))</f>
        <v/>
      </c>
      <c r="J1024" s="26" t="str">
        <f aca="false">IF($K1024=0,"",IFERROR(INDEX(LOT_PRODE,MATCH($G1024,LOT_KEY,0)),""))</f>
        <v/>
      </c>
      <c r="K1024" s="67" t="n">
        <f aca="false">IF(ST_RESULTATS!$P274=0,0,ST_RESULTATS!$F274)</f>
        <v>0</v>
      </c>
      <c r="L1024" s="67" t="n">
        <f aca="false">IF($K1024=0,0,ST_RESULTATS!$T274*$K1024)</f>
        <v>0</v>
      </c>
      <c r="M1024" s="26" t="str">
        <f aca="false">IF($K1024=0,"",ST_RESULTATS!$S274)</f>
        <v/>
      </c>
      <c r="N1024" s="26" t="str">
        <f aca="false">IF($G1024="","",IF($G1024=R_LOT,COUNTIF($G$5:$G1024,R_LOT),""))</f>
        <v/>
      </c>
    </row>
    <row r="1025" customFormat="false" ht="15" hidden="false" customHeight="false" outlineLevel="0" collapsed="false">
      <c r="A1025" s="28" t="str">
        <f aca="false">IF($K1025=0,"",ROW()-4)</f>
        <v/>
      </c>
      <c r="B1025" s="26" t="str">
        <f aca="false">IF($K1025=0,"","RESULTAT ST")</f>
        <v/>
      </c>
      <c r="C1025" s="26" t="str">
        <f aca="false">IF($K1025=0,"",ST_RESULTATS!$A275)</f>
        <v/>
      </c>
      <c r="D1025" s="31" t="str">
        <f aca="false">IF($K1025=0,"",ST_RESULTATS!$V275)</f>
        <v/>
      </c>
      <c r="E1025" s="26" t="str">
        <f aca="false">IF($K1025=0,"","ENTREE")</f>
        <v/>
      </c>
      <c r="F1025" s="26" t="str">
        <f aca="false">IF($K1025=0,"","RETOUR SOUS-TRAITANCE")</f>
        <v/>
      </c>
      <c r="G1025" s="26" t="str">
        <f aca="false">IF($K1025=0,"",ST_RESULTATS!$N275)</f>
        <v/>
      </c>
      <c r="H1025" s="26" t="str">
        <f aca="false">IF($K1025=0,"",ST_RESULTATS!$J275)</f>
        <v/>
      </c>
      <c r="I1025" s="26" t="str">
        <f aca="false">IF($H1025="","",IFERROR(INDEX(EMPL_CLASSE,MATCH($H1025,EMPL_KEY,0)),""))</f>
        <v/>
      </c>
      <c r="J1025" s="26" t="str">
        <f aca="false">IF($K1025=0,"",IFERROR(INDEX(LOT_PRODE,MATCH($G1025,LOT_KEY,0)),""))</f>
        <v/>
      </c>
      <c r="K1025" s="67" t="n">
        <f aca="false">IF(ST_RESULTATS!$P275=0,0,ST_RESULTATS!$F275)</f>
        <v>0</v>
      </c>
      <c r="L1025" s="67" t="n">
        <f aca="false">IF($K1025=0,0,ST_RESULTATS!$T275*$K1025)</f>
        <v>0</v>
      </c>
      <c r="M1025" s="26" t="str">
        <f aca="false">IF($K1025=0,"",ST_RESULTATS!$S275)</f>
        <v/>
      </c>
      <c r="N1025" s="26" t="str">
        <f aca="false">IF($G1025="","",IF($G1025=R_LOT,COUNTIF($G$5:$G1025,R_LOT),""))</f>
        <v/>
      </c>
    </row>
    <row r="1026" customFormat="false" ht="15" hidden="false" customHeight="false" outlineLevel="0" collapsed="false">
      <c r="A1026" s="28" t="str">
        <f aca="false">IF($K1026=0,"",ROW()-4)</f>
        <v/>
      </c>
      <c r="B1026" s="26" t="str">
        <f aca="false">IF($K1026=0,"","RESULTAT ST")</f>
        <v/>
      </c>
      <c r="C1026" s="26" t="str">
        <f aca="false">IF($K1026=0,"",ST_RESULTATS!$A276)</f>
        <v/>
      </c>
      <c r="D1026" s="31" t="str">
        <f aca="false">IF($K1026=0,"",ST_RESULTATS!$V276)</f>
        <v/>
      </c>
      <c r="E1026" s="26" t="str">
        <f aca="false">IF($K1026=0,"","ENTREE")</f>
        <v/>
      </c>
      <c r="F1026" s="26" t="str">
        <f aca="false">IF($K1026=0,"","RETOUR SOUS-TRAITANCE")</f>
        <v/>
      </c>
      <c r="G1026" s="26" t="str">
        <f aca="false">IF($K1026=0,"",ST_RESULTATS!$N276)</f>
        <v/>
      </c>
      <c r="H1026" s="26" t="str">
        <f aca="false">IF($K1026=0,"",ST_RESULTATS!$J276)</f>
        <v/>
      </c>
      <c r="I1026" s="26" t="str">
        <f aca="false">IF($H1026="","",IFERROR(INDEX(EMPL_CLASSE,MATCH($H1026,EMPL_KEY,0)),""))</f>
        <v/>
      </c>
      <c r="J1026" s="26" t="str">
        <f aca="false">IF($K1026=0,"",IFERROR(INDEX(LOT_PRODE,MATCH($G1026,LOT_KEY,0)),""))</f>
        <v/>
      </c>
      <c r="K1026" s="67" t="n">
        <f aca="false">IF(ST_RESULTATS!$P276=0,0,ST_RESULTATS!$F276)</f>
        <v>0</v>
      </c>
      <c r="L1026" s="67" t="n">
        <f aca="false">IF($K1026=0,0,ST_RESULTATS!$T276*$K1026)</f>
        <v>0</v>
      </c>
      <c r="M1026" s="26" t="str">
        <f aca="false">IF($K1026=0,"",ST_RESULTATS!$S276)</f>
        <v/>
      </c>
      <c r="N1026" s="26" t="str">
        <f aca="false">IF($G1026="","",IF($G1026=R_LOT,COUNTIF($G$5:$G1026,R_LOT),""))</f>
        <v/>
      </c>
    </row>
    <row r="1027" customFormat="false" ht="15" hidden="false" customHeight="false" outlineLevel="0" collapsed="false">
      <c r="A1027" s="28" t="str">
        <f aca="false">IF($K1027=0,"",ROW()-4)</f>
        <v/>
      </c>
      <c r="B1027" s="26" t="str">
        <f aca="false">IF($K1027=0,"","RESULTAT ST")</f>
        <v/>
      </c>
      <c r="C1027" s="26" t="str">
        <f aca="false">IF($K1027=0,"",ST_RESULTATS!$A277)</f>
        <v/>
      </c>
      <c r="D1027" s="31" t="str">
        <f aca="false">IF($K1027=0,"",ST_RESULTATS!$V277)</f>
        <v/>
      </c>
      <c r="E1027" s="26" t="str">
        <f aca="false">IF($K1027=0,"","ENTREE")</f>
        <v/>
      </c>
      <c r="F1027" s="26" t="str">
        <f aca="false">IF($K1027=0,"","RETOUR SOUS-TRAITANCE")</f>
        <v/>
      </c>
      <c r="G1027" s="26" t="str">
        <f aca="false">IF($K1027=0,"",ST_RESULTATS!$N277)</f>
        <v/>
      </c>
      <c r="H1027" s="26" t="str">
        <f aca="false">IF($K1027=0,"",ST_RESULTATS!$J277)</f>
        <v/>
      </c>
      <c r="I1027" s="26" t="str">
        <f aca="false">IF($H1027="","",IFERROR(INDEX(EMPL_CLASSE,MATCH($H1027,EMPL_KEY,0)),""))</f>
        <v/>
      </c>
      <c r="J1027" s="26" t="str">
        <f aca="false">IF($K1027=0,"",IFERROR(INDEX(LOT_PRODE,MATCH($G1027,LOT_KEY,0)),""))</f>
        <v/>
      </c>
      <c r="K1027" s="67" t="n">
        <f aca="false">IF(ST_RESULTATS!$P277=0,0,ST_RESULTATS!$F277)</f>
        <v>0</v>
      </c>
      <c r="L1027" s="67" t="n">
        <f aca="false">IF($K1027=0,0,ST_RESULTATS!$T277*$K1027)</f>
        <v>0</v>
      </c>
      <c r="M1027" s="26" t="str">
        <f aca="false">IF($K1027=0,"",ST_RESULTATS!$S277)</f>
        <v/>
      </c>
      <c r="N1027" s="26" t="str">
        <f aca="false">IF($G1027="","",IF($G1027=R_LOT,COUNTIF($G$5:$G1027,R_LOT),""))</f>
        <v/>
      </c>
    </row>
    <row r="1028" customFormat="false" ht="15" hidden="false" customHeight="false" outlineLevel="0" collapsed="false">
      <c r="A1028" s="28" t="str">
        <f aca="false">IF($K1028=0,"",ROW()-4)</f>
        <v/>
      </c>
      <c r="B1028" s="26" t="str">
        <f aca="false">IF($K1028=0,"","RESULTAT ST")</f>
        <v/>
      </c>
      <c r="C1028" s="26" t="str">
        <f aca="false">IF($K1028=0,"",ST_RESULTATS!$A278)</f>
        <v/>
      </c>
      <c r="D1028" s="31" t="str">
        <f aca="false">IF($K1028=0,"",ST_RESULTATS!$V278)</f>
        <v/>
      </c>
      <c r="E1028" s="26" t="str">
        <f aca="false">IF($K1028=0,"","ENTREE")</f>
        <v/>
      </c>
      <c r="F1028" s="26" t="str">
        <f aca="false">IF($K1028=0,"","RETOUR SOUS-TRAITANCE")</f>
        <v/>
      </c>
      <c r="G1028" s="26" t="str">
        <f aca="false">IF($K1028=0,"",ST_RESULTATS!$N278)</f>
        <v/>
      </c>
      <c r="H1028" s="26" t="str">
        <f aca="false">IF($K1028=0,"",ST_RESULTATS!$J278)</f>
        <v/>
      </c>
      <c r="I1028" s="26" t="str">
        <f aca="false">IF($H1028="","",IFERROR(INDEX(EMPL_CLASSE,MATCH($H1028,EMPL_KEY,0)),""))</f>
        <v/>
      </c>
      <c r="J1028" s="26" t="str">
        <f aca="false">IF($K1028=0,"",IFERROR(INDEX(LOT_PRODE,MATCH($G1028,LOT_KEY,0)),""))</f>
        <v/>
      </c>
      <c r="K1028" s="67" t="n">
        <f aca="false">IF(ST_RESULTATS!$P278=0,0,ST_RESULTATS!$F278)</f>
        <v>0</v>
      </c>
      <c r="L1028" s="67" t="n">
        <f aca="false">IF($K1028=0,0,ST_RESULTATS!$T278*$K1028)</f>
        <v>0</v>
      </c>
      <c r="M1028" s="26" t="str">
        <f aca="false">IF($K1028=0,"",ST_RESULTATS!$S278)</f>
        <v/>
      </c>
      <c r="N1028" s="26" t="str">
        <f aca="false">IF($G1028="","",IF($G1028=R_LOT,COUNTIF($G$5:$G1028,R_LOT),""))</f>
        <v/>
      </c>
    </row>
    <row r="1029" customFormat="false" ht="15" hidden="false" customHeight="false" outlineLevel="0" collapsed="false">
      <c r="A1029" s="28" t="str">
        <f aca="false">IF($K1029=0,"",ROW()-4)</f>
        <v/>
      </c>
      <c r="B1029" s="26" t="str">
        <f aca="false">IF($K1029=0,"","RESULTAT ST")</f>
        <v/>
      </c>
      <c r="C1029" s="26" t="str">
        <f aca="false">IF($K1029=0,"",ST_RESULTATS!$A279)</f>
        <v/>
      </c>
      <c r="D1029" s="31" t="str">
        <f aca="false">IF($K1029=0,"",ST_RESULTATS!$V279)</f>
        <v/>
      </c>
      <c r="E1029" s="26" t="str">
        <f aca="false">IF($K1029=0,"","ENTREE")</f>
        <v/>
      </c>
      <c r="F1029" s="26" t="str">
        <f aca="false">IF($K1029=0,"","RETOUR SOUS-TRAITANCE")</f>
        <v/>
      </c>
      <c r="G1029" s="26" t="str">
        <f aca="false">IF($K1029=0,"",ST_RESULTATS!$N279)</f>
        <v/>
      </c>
      <c r="H1029" s="26" t="str">
        <f aca="false">IF($K1029=0,"",ST_RESULTATS!$J279)</f>
        <v/>
      </c>
      <c r="I1029" s="26" t="str">
        <f aca="false">IF($H1029="","",IFERROR(INDEX(EMPL_CLASSE,MATCH($H1029,EMPL_KEY,0)),""))</f>
        <v/>
      </c>
      <c r="J1029" s="26" t="str">
        <f aca="false">IF($K1029=0,"",IFERROR(INDEX(LOT_PRODE,MATCH($G1029,LOT_KEY,0)),""))</f>
        <v/>
      </c>
      <c r="K1029" s="67" t="n">
        <f aca="false">IF(ST_RESULTATS!$P279=0,0,ST_RESULTATS!$F279)</f>
        <v>0</v>
      </c>
      <c r="L1029" s="67" t="n">
        <f aca="false">IF($K1029=0,0,ST_RESULTATS!$T279*$K1029)</f>
        <v>0</v>
      </c>
      <c r="M1029" s="26" t="str">
        <f aca="false">IF($K1029=0,"",ST_RESULTATS!$S279)</f>
        <v/>
      </c>
      <c r="N1029" s="26" t="str">
        <f aca="false">IF($G1029="","",IF($G1029=R_LOT,COUNTIF($G$5:$G1029,R_LOT),""))</f>
        <v/>
      </c>
    </row>
    <row r="1030" customFormat="false" ht="15" hidden="false" customHeight="false" outlineLevel="0" collapsed="false">
      <c r="A1030" s="28" t="str">
        <f aca="false">IF($K1030=0,"",ROW()-4)</f>
        <v/>
      </c>
      <c r="B1030" s="26" t="str">
        <f aca="false">IF($K1030=0,"","RESULTAT ST")</f>
        <v/>
      </c>
      <c r="C1030" s="26" t="str">
        <f aca="false">IF($K1030=0,"",ST_RESULTATS!$A280)</f>
        <v/>
      </c>
      <c r="D1030" s="31" t="str">
        <f aca="false">IF($K1030=0,"",ST_RESULTATS!$V280)</f>
        <v/>
      </c>
      <c r="E1030" s="26" t="str">
        <f aca="false">IF($K1030=0,"","ENTREE")</f>
        <v/>
      </c>
      <c r="F1030" s="26" t="str">
        <f aca="false">IF($K1030=0,"","RETOUR SOUS-TRAITANCE")</f>
        <v/>
      </c>
      <c r="G1030" s="26" t="str">
        <f aca="false">IF($K1030=0,"",ST_RESULTATS!$N280)</f>
        <v/>
      </c>
      <c r="H1030" s="26" t="str">
        <f aca="false">IF($K1030=0,"",ST_RESULTATS!$J280)</f>
        <v/>
      </c>
      <c r="I1030" s="26" t="str">
        <f aca="false">IF($H1030="","",IFERROR(INDEX(EMPL_CLASSE,MATCH($H1030,EMPL_KEY,0)),""))</f>
        <v/>
      </c>
      <c r="J1030" s="26" t="str">
        <f aca="false">IF($K1030=0,"",IFERROR(INDEX(LOT_PRODE,MATCH($G1030,LOT_KEY,0)),""))</f>
        <v/>
      </c>
      <c r="K1030" s="67" t="n">
        <f aca="false">IF(ST_RESULTATS!$P280=0,0,ST_RESULTATS!$F280)</f>
        <v>0</v>
      </c>
      <c r="L1030" s="67" t="n">
        <f aca="false">IF($K1030=0,0,ST_RESULTATS!$T280*$K1030)</f>
        <v>0</v>
      </c>
      <c r="M1030" s="26" t="str">
        <f aca="false">IF($K1030=0,"",ST_RESULTATS!$S280)</f>
        <v/>
      </c>
      <c r="N1030" s="26" t="str">
        <f aca="false">IF($G1030="","",IF($G1030=R_LOT,COUNTIF($G$5:$G1030,R_LOT),""))</f>
        <v/>
      </c>
    </row>
    <row r="1031" customFormat="false" ht="15" hidden="false" customHeight="false" outlineLevel="0" collapsed="false">
      <c r="A1031" s="28" t="str">
        <f aca="false">IF($K1031=0,"",ROW()-4)</f>
        <v/>
      </c>
      <c r="B1031" s="26" t="str">
        <f aca="false">IF($K1031=0,"","RESULTAT ST")</f>
        <v/>
      </c>
      <c r="C1031" s="26" t="str">
        <f aca="false">IF($K1031=0,"",ST_RESULTATS!$A281)</f>
        <v/>
      </c>
      <c r="D1031" s="31" t="str">
        <f aca="false">IF($K1031=0,"",ST_RESULTATS!$V281)</f>
        <v/>
      </c>
      <c r="E1031" s="26" t="str">
        <f aca="false">IF($K1031=0,"","ENTREE")</f>
        <v/>
      </c>
      <c r="F1031" s="26" t="str">
        <f aca="false">IF($K1031=0,"","RETOUR SOUS-TRAITANCE")</f>
        <v/>
      </c>
      <c r="G1031" s="26" t="str">
        <f aca="false">IF($K1031=0,"",ST_RESULTATS!$N281)</f>
        <v/>
      </c>
      <c r="H1031" s="26" t="str">
        <f aca="false">IF($K1031=0,"",ST_RESULTATS!$J281)</f>
        <v/>
      </c>
      <c r="I1031" s="26" t="str">
        <f aca="false">IF($H1031="","",IFERROR(INDEX(EMPL_CLASSE,MATCH($H1031,EMPL_KEY,0)),""))</f>
        <v/>
      </c>
      <c r="J1031" s="26" t="str">
        <f aca="false">IF($K1031=0,"",IFERROR(INDEX(LOT_PRODE,MATCH($G1031,LOT_KEY,0)),""))</f>
        <v/>
      </c>
      <c r="K1031" s="67" t="n">
        <f aca="false">IF(ST_RESULTATS!$P281=0,0,ST_RESULTATS!$F281)</f>
        <v>0</v>
      </c>
      <c r="L1031" s="67" t="n">
        <f aca="false">IF($K1031=0,0,ST_RESULTATS!$T281*$K1031)</f>
        <v>0</v>
      </c>
      <c r="M1031" s="26" t="str">
        <f aca="false">IF($K1031=0,"",ST_RESULTATS!$S281)</f>
        <v/>
      </c>
      <c r="N1031" s="26" t="str">
        <f aca="false">IF($G1031="","",IF($G1031=R_LOT,COUNTIF($G$5:$G1031,R_LOT),""))</f>
        <v/>
      </c>
    </row>
    <row r="1032" customFormat="false" ht="15" hidden="false" customHeight="false" outlineLevel="0" collapsed="false">
      <c r="A1032" s="28" t="str">
        <f aca="false">IF($K1032=0,"",ROW()-4)</f>
        <v/>
      </c>
      <c r="B1032" s="26" t="str">
        <f aca="false">IF($K1032=0,"","RESULTAT ST")</f>
        <v/>
      </c>
      <c r="C1032" s="26" t="str">
        <f aca="false">IF($K1032=0,"",ST_RESULTATS!$A282)</f>
        <v/>
      </c>
      <c r="D1032" s="31" t="str">
        <f aca="false">IF($K1032=0,"",ST_RESULTATS!$V282)</f>
        <v/>
      </c>
      <c r="E1032" s="26" t="str">
        <f aca="false">IF($K1032=0,"","ENTREE")</f>
        <v/>
      </c>
      <c r="F1032" s="26" t="str">
        <f aca="false">IF($K1032=0,"","RETOUR SOUS-TRAITANCE")</f>
        <v/>
      </c>
      <c r="G1032" s="26" t="str">
        <f aca="false">IF($K1032=0,"",ST_RESULTATS!$N282)</f>
        <v/>
      </c>
      <c r="H1032" s="26" t="str">
        <f aca="false">IF($K1032=0,"",ST_RESULTATS!$J282)</f>
        <v/>
      </c>
      <c r="I1032" s="26" t="str">
        <f aca="false">IF($H1032="","",IFERROR(INDEX(EMPL_CLASSE,MATCH($H1032,EMPL_KEY,0)),""))</f>
        <v/>
      </c>
      <c r="J1032" s="26" t="str">
        <f aca="false">IF($K1032=0,"",IFERROR(INDEX(LOT_PRODE,MATCH($G1032,LOT_KEY,0)),""))</f>
        <v/>
      </c>
      <c r="K1032" s="67" t="n">
        <f aca="false">IF(ST_RESULTATS!$P282=0,0,ST_RESULTATS!$F282)</f>
        <v>0</v>
      </c>
      <c r="L1032" s="67" t="n">
        <f aca="false">IF($K1032=0,0,ST_RESULTATS!$T282*$K1032)</f>
        <v>0</v>
      </c>
      <c r="M1032" s="26" t="str">
        <f aca="false">IF($K1032=0,"",ST_RESULTATS!$S282)</f>
        <v/>
      </c>
      <c r="N1032" s="26" t="str">
        <f aca="false">IF($G1032="","",IF($G1032=R_LOT,COUNTIF($G$5:$G1032,R_LOT),""))</f>
        <v/>
      </c>
    </row>
    <row r="1033" customFormat="false" ht="15" hidden="false" customHeight="false" outlineLevel="0" collapsed="false">
      <c r="A1033" s="28" t="str">
        <f aca="false">IF($K1033=0,"",ROW()-4)</f>
        <v/>
      </c>
      <c r="B1033" s="26" t="str">
        <f aca="false">IF($K1033=0,"","RESULTAT ST")</f>
        <v/>
      </c>
      <c r="C1033" s="26" t="str">
        <f aca="false">IF($K1033=0,"",ST_RESULTATS!$A283)</f>
        <v/>
      </c>
      <c r="D1033" s="31" t="str">
        <f aca="false">IF($K1033=0,"",ST_RESULTATS!$V283)</f>
        <v/>
      </c>
      <c r="E1033" s="26" t="str">
        <f aca="false">IF($K1033=0,"","ENTREE")</f>
        <v/>
      </c>
      <c r="F1033" s="26" t="str">
        <f aca="false">IF($K1033=0,"","RETOUR SOUS-TRAITANCE")</f>
        <v/>
      </c>
      <c r="G1033" s="26" t="str">
        <f aca="false">IF($K1033=0,"",ST_RESULTATS!$N283)</f>
        <v/>
      </c>
      <c r="H1033" s="26" t="str">
        <f aca="false">IF($K1033=0,"",ST_RESULTATS!$J283)</f>
        <v/>
      </c>
      <c r="I1033" s="26" t="str">
        <f aca="false">IF($H1033="","",IFERROR(INDEX(EMPL_CLASSE,MATCH($H1033,EMPL_KEY,0)),""))</f>
        <v/>
      </c>
      <c r="J1033" s="26" t="str">
        <f aca="false">IF($K1033=0,"",IFERROR(INDEX(LOT_PRODE,MATCH($G1033,LOT_KEY,0)),""))</f>
        <v/>
      </c>
      <c r="K1033" s="67" t="n">
        <f aca="false">IF(ST_RESULTATS!$P283=0,0,ST_RESULTATS!$F283)</f>
        <v>0</v>
      </c>
      <c r="L1033" s="67" t="n">
        <f aca="false">IF($K1033=0,0,ST_RESULTATS!$T283*$K1033)</f>
        <v>0</v>
      </c>
      <c r="M1033" s="26" t="str">
        <f aca="false">IF($K1033=0,"",ST_RESULTATS!$S283)</f>
        <v/>
      </c>
      <c r="N1033" s="26" t="str">
        <f aca="false">IF($G1033="","",IF($G1033=R_LOT,COUNTIF($G$5:$G1033,R_LOT),""))</f>
        <v/>
      </c>
    </row>
    <row r="1034" customFormat="false" ht="15" hidden="false" customHeight="false" outlineLevel="0" collapsed="false">
      <c r="A1034" s="28" t="str">
        <f aca="false">IF($K1034=0,"",ROW()-4)</f>
        <v/>
      </c>
      <c r="B1034" s="26" t="str">
        <f aca="false">IF($K1034=0,"","RESULTAT ST")</f>
        <v/>
      </c>
      <c r="C1034" s="26" t="str">
        <f aca="false">IF($K1034=0,"",ST_RESULTATS!$A284)</f>
        <v/>
      </c>
      <c r="D1034" s="31" t="str">
        <f aca="false">IF($K1034=0,"",ST_RESULTATS!$V284)</f>
        <v/>
      </c>
      <c r="E1034" s="26" t="str">
        <f aca="false">IF($K1034=0,"","ENTREE")</f>
        <v/>
      </c>
      <c r="F1034" s="26" t="str">
        <f aca="false">IF($K1034=0,"","RETOUR SOUS-TRAITANCE")</f>
        <v/>
      </c>
      <c r="G1034" s="26" t="str">
        <f aca="false">IF($K1034=0,"",ST_RESULTATS!$N284)</f>
        <v/>
      </c>
      <c r="H1034" s="26" t="str">
        <f aca="false">IF($K1034=0,"",ST_RESULTATS!$J284)</f>
        <v/>
      </c>
      <c r="I1034" s="26" t="str">
        <f aca="false">IF($H1034="","",IFERROR(INDEX(EMPL_CLASSE,MATCH($H1034,EMPL_KEY,0)),""))</f>
        <v/>
      </c>
      <c r="J1034" s="26" t="str">
        <f aca="false">IF($K1034=0,"",IFERROR(INDEX(LOT_PRODE,MATCH($G1034,LOT_KEY,0)),""))</f>
        <v/>
      </c>
      <c r="K1034" s="67" t="n">
        <f aca="false">IF(ST_RESULTATS!$P284=0,0,ST_RESULTATS!$F284)</f>
        <v>0</v>
      </c>
      <c r="L1034" s="67" t="n">
        <f aca="false">IF($K1034=0,0,ST_RESULTATS!$T284*$K1034)</f>
        <v>0</v>
      </c>
      <c r="M1034" s="26" t="str">
        <f aca="false">IF($K1034=0,"",ST_RESULTATS!$S284)</f>
        <v/>
      </c>
      <c r="N1034" s="26" t="str">
        <f aca="false">IF($G1034="","",IF($G1034=R_LOT,COUNTIF($G$5:$G1034,R_LOT),""))</f>
        <v/>
      </c>
    </row>
    <row r="1035" customFormat="false" ht="15" hidden="false" customHeight="false" outlineLevel="0" collapsed="false">
      <c r="A1035" s="28" t="str">
        <f aca="false">IF($K1035=0,"",ROW()-4)</f>
        <v/>
      </c>
      <c r="B1035" s="26" t="str">
        <f aca="false">IF($K1035=0,"","RESULTAT ST")</f>
        <v/>
      </c>
      <c r="C1035" s="26" t="str">
        <f aca="false">IF($K1035=0,"",ST_RESULTATS!$A285)</f>
        <v/>
      </c>
      <c r="D1035" s="31" t="str">
        <f aca="false">IF($K1035=0,"",ST_RESULTATS!$V285)</f>
        <v/>
      </c>
      <c r="E1035" s="26" t="str">
        <f aca="false">IF($K1035=0,"","ENTREE")</f>
        <v/>
      </c>
      <c r="F1035" s="26" t="str">
        <f aca="false">IF($K1035=0,"","RETOUR SOUS-TRAITANCE")</f>
        <v/>
      </c>
      <c r="G1035" s="26" t="str">
        <f aca="false">IF($K1035=0,"",ST_RESULTATS!$N285)</f>
        <v/>
      </c>
      <c r="H1035" s="26" t="str">
        <f aca="false">IF($K1035=0,"",ST_RESULTATS!$J285)</f>
        <v/>
      </c>
      <c r="I1035" s="26" t="str">
        <f aca="false">IF($H1035="","",IFERROR(INDEX(EMPL_CLASSE,MATCH($H1035,EMPL_KEY,0)),""))</f>
        <v/>
      </c>
      <c r="J1035" s="26" t="str">
        <f aca="false">IF($K1035=0,"",IFERROR(INDEX(LOT_PRODE,MATCH($G1035,LOT_KEY,0)),""))</f>
        <v/>
      </c>
      <c r="K1035" s="67" t="n">
        <f aca="false">IF(ST_RESULTATS!$P285=0,0,ST_RESULTATS!$F285)</f>
        <v>0</v>
      </c>
      <c r="L1035" s="67" t="n">
        <f aca="false">IF($K1035=0,0,ST_RESULTATS!$T285*$K1035)</f>
        <v>0</v>
      </c>
      <c r="M1035" s="26" t="str">
        <f aca="false">IF($K1035=0,"",ST_RESULTATS!$S285)</f>
        <v/>
      </c>
      <c r="N1035" s="26" t="str">
        <f aca="false">IF($G1035="","",IF($G1035=R_LOT,COUNTIF($G$5:$G1035,R_LOT),""))</f>
        <v/>
      </c>
    </row>
    <row r="1036" customFormat="false" ht="15" hidden="false" customHeight="false" outlineLevel="0" collapsed="false">
      <c r="A1036" s="28" t="str">
        <f aca="false">IF($K1036=0,"",ROW()-4)</f>
        <v/>
      </c>
      <c r="B1036" s="26" t="str">
        <f aca="false">IF($K1036=0,"","RESULTAT ST")</f>
        <v/>
      </c>
      <c r="C1036" s="26" t="str">
        <f aca="false">IF($K1036=0,"",ST_RESULTATS!$A286)</f>
        <v/>
      </c>
      <c r="D1036" s="31" t="str">
        <f aca="false">IF($K1036=0,"",ST_RESULTATS!$V286)</f>
        <v/>
      </c>
      <c r="E1036" s="26" t="str">
        <f aca="false">IF($K1036=0,"","ENTREE")</f>
        <v/>
      </c>
      <c r="F1036" s="26" t="str">
        <f aca="false">IF($K1036=0,"","RETOUR SOUS-TRAITANCE")</f>
        <v/>
      </c>
      <c r="G1036" s="26" t="str">
        <f aca="false">IF($K1036=0,"",ST_RESULTATS!$N286)</f>
        <v/>
      </c>
      <c r="H1036" s="26" t="str">
        <f aca="false">IF($K1036=0,"",ST_RESULTATS!$J286)</f>
        <v/>
      </c>
      <c r="I1036" s="26" t="str">
        <f aca="false">IF($H1036="","",IFERROR(INDEX(EMPL_CLASSE,MATCH($H1036,EMPL_KEY,0)),""))</f>
        <v/>
      </c>
      <c r="J1036" s="26" t="str">
        <f aca="false">IF($K1036=0,"",IFERROR(INDEX(LOT_PRODE,MATCH($G1036,LOT_KEY,0)),""))</f>
        <v/>
      </c>
      <c r="K1036" s="67" t="n">
        <f aca="false">IF(ST_RESULTATS!$P286=0,0,ST_RESULTATS!$F286)</f>
        <v>0</v>
      </c>
      <c r="L1036" s="67" t="n">
        <f aca="false">IF($K1036=0,0,ST_RESULTATS!$T286*$K1036)</f>
        <v>0</v>
      </c>
      <c r="M1036" s="26" t="str">
        <f aca="false">IF($K1036=0,"",ST_RESULTATS!$S286)</f>
        <v/>
      </c>
      <c r="N1036" s="26" t="str">
        <f aca="false">IF($G1036="","",IF($G1036=R_LOT,COUNTIF($G$5:$G1036,R_LOT),""))</f>
        <v/>
      </c>
    </row>
    <row r="1037" customFormat="false" ht="15" hidden="false" customHeight="false" outlineLevel="0" collapsed="false">
      <c r="A1037" s="28" t="str">
        <f aca="false">IF($K1037=0,"",ROW()-4)</f>
        <v/>
      </c>
      <c r="B1037" s="26" t="str">
        <f aca="false">IF($K1037=0,"","RESULTAT ST")</f>
        <v/>
      </c>
      <c r="C1037" s="26" t="str">
        <f aca="false">IF($K1037=0,"",ST_RESULTATS!$A287)</f>
        <v/>
      </c>
      <c r="D1037" s="31" t="str">
        <f aca="false">IF($K1037=0,"",ST_RESULTATS!$V287)</f>
        <v/>
      </c>
      <c r="E1037" s="26" t="str">
        <f aca="false">IF($K1037=0,"","ENTREE")</f>
        <v/>
      </c>
      <c r="F1037" s="26" t="str">
        <f aca="false">IF($K1037=0,"","RETOUR SOUS-TRAITANCE")</f>
        <v/>
      </c>
      <c r="G1037" s="26" t="str">
        <f aca="false">IF($K1037=0,"",ST_RESULTATS!$N287)</f>
        <v/>
      </c>
      <c r="H1037" s="26" t="str">
        <f aca="false">IF($K1037=0,"",ST_RESULTATS!$J287)</f>
        <v/>
      </c>
      <c r="I1037" s="26" t="str">
        <f aca="false">IF($H1037="","",IFERROR(INDEX(EMPL_CLASSE,MATCH($H1037,EMPL_KEY,0)),""))</f>
        <v/>
      </c>
      <c r="J1037" s="26" t="str">
        <f aca="false">IF($K1037=0,"",IFERROR(INDEX(LOT_PRODE,MATCH($G1037,LOT_KEY,0)),""))</f>
        <v/>
      </c>
      <c r="K1037" s="67" t="n">
        <f aca="false">IF(ST_RESULTATS!$P287=0,0,ST_RESULTATS!$F287)</f>
        <v>0</v>
      </c>
      <c r="L1037" s="67" t="n">
        <f aca="false">IF($K1037=0,0,ST_RESULTATS!$T287*$K1037)</f>
        <v>0</v>
      </c>
      <c r="M1037" s="26" t="str">
        <f aca="false">IF($K1037=0,"",ST_RESULTATS!$S287)</f>
        <v/>
      </c>
      <c r="N1037" s="26" t="str">
        <f aca="false">IF($G1037="","",IF($G1037=R_LOT,COUNTIF($G$5:$G1037,R_LOT),""))</f>
        <v/>
      </c>
    </row>
    <row r="1038" customFormat="false" ht="15" hidden="false" customHeight="false" outlineLevel="0" collapsed="false">
      <c r="A1038" s="28" t="str">
        <f aca="false">IF($K1038=0,"",ROW()-4)</f>
        <v/>
      </c>
      <c r="B1038" s="26" t="str">
        <f aca="false">IF($K1038=0,"","RESULTAT ST")</f>
        <v/>
      </c>
      <c r="C1038" s="26" t="str">
        <f aca="false">IF($K1038=0,"",ST_RESULTATS!$A288)</f>
        <v/>
      </c>
      <c r="D1038" s="31" t="str">
        <f aca="false">IF($K1038=0,"",ST_RESULTATS!$V288)</f>
        <v/>
      </c>
      <c r="E1038" s="26" t="str">
        <f aca="false">IF($K1038=0,"","ENTREE")</f>
        <v/>
      </c>
      <c r="F1038" s="26" t="str">
        <f aca="false">IF($K1038=0,"","RETOUR SOUS-TRAITANCE")</f>
        <v/>
      </c>
      <c r="G1038" s="26" t="str">
        <f aca="false">IF($K1038=0,"",ST_RESULTATS!$N288)</f>
        <v/>
      </c>
      <c r="H1038" s="26" t="str">
        <f aca="false">IF($K1038=0,"",ST_RESULTATS!$J288)</f>
        <v/>
      </c>
      <c r="I1038" s="26" t="str">
        <f aca="false">IF($H1038="","",IFERROR(INDEX(EMPL_CLASSE,MATCH($H1038,EMPL_KEY,0)),""))</f>
        <v/>
      </c>
      <c r="J1038" s="26" t="str">
        <f aca="false">IF($K1038=0,"",IFERROR(INDEX(LOT_PRODE,MATCH($G1038,LOT_KEY,0)),""))</f>
        <v/>
      </c>
      <c r="K1038" s="67" t="n">
        <f aca="false">IF(ST_RESULTATS!$P288=0,0,ST_RESULTATS!$F288)</f>
        <v>0</v>
      </c>
      <c r="L1038" s="67" t="n">
        <f aca="false">IF($K1038=0,0,ST_RESULTATS!$T288*$K1038)</f>
        <v>0</v>
      </c>
      <c r="M1038" s="26" t="str">
        <f aca="false">IF($K1038=0,"",ST_RESULTATS!$S288)</f>
        <v/>
      </c>
      <c r="N1038" s="26" t="str">
        <f aca="false">IF($G1038="","",IF($G1038=R_LOT,COUNTIF($G$5:$G1038,R_LOT),""))</f>
        <v/>
      </c>
    </row>
    <row r="1039" customFormat="false" ht="15" hidden="false" customHeight="false" outlineLevel="0" collapsed="false">
      <c r="A1039" s="28" t="str">
        <f aca="false">IF($K1039=0,"",ROW()-4)</f>
        <v/>
      </c>
      <c r="B1039" s="26" t="str">
        <f aca="false">IF($K1039=0,"","RESULTAT ST")</f>
        <v/>
      </c>
      <c r="C1039" s="26" t="str">
        <f aca="false">IF($K1039=0,"",ST_RESULTATS!$A289)</f>
        <v/>
      </c>
      <c r="D1039" s="31" t="str">
        <f aca="false">IF($K1039=0,"",ST_RESULTATS!$V289)</f>
        <v/>
      </c>
      <c r="E1039" s="26" t="str">
        <f aca="false">IF($K1039=0,"","ENTREE")</f>
        <v/>
      </c>
      <c r="F1039" s="26" t="str">
        <f aca="false">IF($K1039=0,"","RETOUR SOUS-TRAITANCE")</f>
        <v/>
      </c>
      <c r="G1039" s="26" t="str">
        <f aca="false">IF($K1039=0,"",ST_RESULTATS!$N289)</f>
        <v/>
      </c>
      <c r="H1039" s="26" t="str">
        <f aca="false">IF($K1039=0,"",ST_RESULTATS!$J289)</f>
        <v/>
      </c>
      <c r="I1039" s="26" t="str">
        <f aca="false">IF($H1039="","",IFERROR(INDEX(EMPL_CLASSE,MATCH($H1039,EMPL_KEY,0)),""))</f>
        <v/>
      </c>
      <c r="J1039" s="26" t="str">
        <f aca="false">IF($K1039=0,"",IFERROR(INDEX(LOT_PRODE,MATCH($G1039,LOT_KEY,0)),""))</f>
        <v/>
      </c>
      <c r="K1039" s="67" t="n">
        <f aca="false">IF(ST_RESULTATS!$P289=0,0,ST_RESULTATS!$F289)</f>
        <v>0</v>
      </c>
      <c r="L1039" s="67" t="n">
        <f aca="false">IF($K1039=0,0,ST_RESULTATS!$T289*$K1039)</f>
        <v>0</v>
      </c>
      <c r="M1039" s="26" t="str">
        <f aca="false">IF($K1039=0,"",ST_RESULTATS!$S289)</f>
        <v/>
      </c>
      <c r="N1039" s="26" t="str">
        <f aca="false">IF($G1039="","",IF($G1039=R_LOT,COUNTIF($G$5:$G1039,R_LOT),""))</f>
        <v/>
      </c>
    </row>
    <row r="1040" customFormat="false" ht="15" hidden="false" customHeight="false" outlineLevel="0" collapsed="false">
      <c r="A1040" s="28" t="str">
        <f aca="false">IF($K1040=0,"",ROW()-4)</f>
        <v/>
      </c>
      <c r="B1040" s="26" t="str">
        <f aca="false">IF($K1040=0,"","RESULTAT ST")</f>
        <v/>
      </c>
      <c r="C1040" s="26" t="str">
        <f aca="false">IF($K1040=0,"",ST_RESULTATS!$A290)</f>
        <v/>
      </c>
      <c r="D1040" s="31" t="str">
        <f aca="false">IF($K1040=0,"",ST_RESULTATS!$V290)</f>
        <v/>
      </c>
      <c r="E1040" s="26" t="str">
        <f aca="false">IF($K1040=0,"","ENTREE")</f>
        <v/>
      </c>
      <c r="F1040" s="26" t="str">
        <f aca="false">IF($K1040=0,"","RETOUR SOUS-TRAITANCE")</f>
        <v/>
      </c>
      <c r="G1040" s="26" t="str">
        <f aca="false">IF($K1040=0,"",ST_RESULTATS!$N290)</f>
        <v/>
      </c>
      <c r="H1040" s="26" t="str">
        <f aca="false">IF($K1040=0,"",ST_RESULTATS!$J290)</f>
        <v/>
      </c>
      <c r="I1040" s="26" t="str">
        <f aca="false">IF($H1040="","",IFERROR(INDEX(EMPL_CLASSE,MATCH($H1040,EMPL_KEY,0)),""))</f>
        <v/>
      </c>
      <c r="J1040" s="26" t="str">
        <f aca="false">IF($K1040=0,"",IFERROR(INDEX(LOT_PRODE,MATCH($G1040,LOT_KEY,0)),""))</f>
        <v/>
      </c>
      <c r="K1040" s="67" t="n">
        <f aca="false">IF(ST_RESULTATS!$P290=0,0,ST_RESULTATS!$F290)</f>
        <v>0</v>
      </c>
      <c r="L1040" s="67" t="n">
        <f aca="false">IF($K1040=0,0,ST_RESULTATS!$T290*$K1040)</f>
        <v>0</v>
      </c>
      <c r="M1040" s="26" t="str">
        <f aca="false">IF($K1040=0,"",ST_RESULTATS!$S290)</f>
        <v/>
      </c>
      <c r="N1040" s="26" t="str">
        <f aca="false">IF($G1040="","",IF($G1040=R_LOT,COUNTIF($G$5:$G1040,R_LOT),""))</f>
        <v/>
      </c>
    </row>
    <row r="1041" customFormat="false" ht="15" hidden="false" customHeight="false" outlineLevel="0" collapsed="false">
      <c r="A1041" s="28" t="str">
        <f aca="false">IF($K1041=0,"",ROW()-4)</f>
        <v/>
      </c>
      <c r="B1041" s="26" t="str">
        <f aca="false">IF($K1041=0,"","RESULTAT ST")</f>
        <v/>
      </c>
      <c r="C1041" s="26" t="str">
        <f aca="false">IF($K1041=0,"",ST_RESULTATS!$A291)</f>
        <v/>
      </c>
      <c r="D1041" s="31" t="str">
        <f aca="false">IF($K1041=0,"",ST_RESULTATS!$V291)</f>
        <v/>
      </c>
      <c r="E1041" s="26" t="str">
        <f aca="false">IF($K1041=0,"","ENTREE")</f>
        <v/>
      </c>
      <c r="F1041" s="26" t="str">
        <f aca="false">IF($K1041=0,"","RETOUR SOUS-TRAITANCE")</f>
        <v/>
      </c>
      <c r="G1041" s="26" t="str">
        <f aca="false">IF($K1041=0,"",ST_RESULTATS!$N291)</f>
        <v/>
      </c>
      <c r="H1041" s="26" t="str">
        <f aca="false">IF($K1041=0,"",ST_RESULTATS!$J291)</f>
        <v/>
      </c>
      <c r="I1041" s="26" t="str">
        <f aca="false">IF($H1041="","",IFERROR(INDEX(EMPL_CLASSE,MATCH($H1041,EMPL_KEY,0)),""))</f>
        <v/>
      </c>
      <c r="J1041" s="26" t="str">
        <f aca="false">IF($K1041=0,"",IFERROR(INDEX(LOT_PRODE,MATCH($G1041,LOT_KEY,0)),""))</f>
        <v/>
      </c>
      <c r="K1041" s="67" t="n">
        <f aca="false">IF(ST_RESULTATS!$P291=0,0,ST_RESULTATS!$F291)</f>
        <v>0</v>
      </c>
      <c r="L1041" s="67" t="n">
        <f aca="false">IF($K1041=0,0,ST_RESULTATS!$T291*$K1041)</f>
        <v>0</v>
      </c>
      <c r="M1041" s="26" t="str">
        <f aca="false">IF($K1041=0,"",ST_RESULTATS!$S291)</f>
        <v/>
      </c>
      <c r="N1041" s="26" t="str">
        <f aca="false">IF($G1041="","",IF($G1041=R_LOT,COUNTIF($G$5:$G1041,R_LOT),""))</f>
        <v/>
      </c>
    </row>
    <row r="1042" customFormat="false" ht="15" hidden="false" customHeight="false" outlineLevel="0" collapsed="false">
      <c r="A1042" s="28" t="str">
        <f aca="false">IF($K1042=0,"",ROW()-4)</f>
        <v/>
      </c>
      <c r="B1042" s="26" t="str">
        <f aca="false">IF($K1042=0,"","RESULTAT ST")</f>
        <v/>
      </c>
      <c r="C1042" s="26" t="str">
        <f aca="false">IF($K1042=0,"",ST_RESULTATS!$A292)</f>
        <v/>
      </c>
      <c r="D1042" s="31" t="str">
        <f aca="false">IF($K1042=0,"",ST_RESULTATS!$V292)</f>
        <v/>
      </c>
      <c r="E1042" s="26" t="str">
        <f aca="false">IF($K1042=0,"","ENTREE")</f>
        <v/>
      </c>
      <c r="F1042" s="26" t="str">
        <f aca="false">IF($K1042=0,"","RETOUR SOUS-TRAITANCE")</f>
        <v/>
      </c>
      <c r="G1042" s="26" t="str">
        <f aca="false">IF($K1042=0,"",ST_RESULTATS!$N292)</f>
        <v/>
      </c>
      <c r="H1042" s="26" t="str">
        <f aca="false">IF($K1042=0,"",ST_RESULTATS!$J292)</f>
        <v/>
      </c>
      <c r="I1042" s="26" t="str">
        <f aca="false">IF($H1042="","",IFERROR(INDEX(EMPL_CLASSE,MATCH($H1042,EMPL_KEY,0)),""))</f>
        <v/>
      </c>
      <c r="J1042" s="26" t="str">
        <f aca="false">IF($K1042=0,"",IFERROR(INDEX(LOT_PRODE,MATCH($G1042,LOT_KEY,0)),""))</f>
        <v/>
      </c>
      <c r="K1042" s="67" t="n">
        <f aca="false">IF(ST_RESULTATS!$P292=0,0,ST_RESULTATS!$F292)</f>
        <v>0</v>
      </c>
      <c r="L1042" s="67" t="n">
        <f aca="false">IF($K1042=0,0,ST_RESULTATS!$T292*$K1042)</f>
        <v>0</v>
      </c>
      <c r="M1042" s="26" t="str">
        <f aca="false">IF($K1042=0,"",ST_RESULTATS!$S292)</f>
        <v/>
      </c>
      <c r="N1042" s="26" t="str">
        <f aca="false">IF($G1042="","",IF($G1042=R_LOT,COUNTIF($G$5:$G1042,R_LOT),""))</f>
        <v/>
      </c>
    </row>
    <row r="1043" customFormat="false" ht="15" hidden="false" customHeight="false" outlineLevel="0" collapsed="false">
      <c r="A1043" s="28" t="str">
        <f aca="false">IF($K1043=0,"",ROW()-4)</f>
        <v/>
      </c>
      <c r="B1043" s="26" t="str">
        <f aca="false">IF($K1043=0,"","RESULTAT ST")</f>
        <v/>
      </c>
      <c r="C1043" s="26" t="str">
        <f aca="false">IF($K1043=0,"",ST_RESULTATS!$A293)</f>
        <v/>
      </c>
      <c r="D1043" s="31" t="str">
        <f aca="false">IF($K1043=0,"",ST_RESULTATS!$V293)</f>
        <v/>
      </c>
      <c r="E1043" s="26" t="str">
        <f aca="false">IF($K1043=0,"","ENTREE")</f>
        <v/>
      </c>
      <c r="F1043" s="26" t="str">
        <f aca="false">IF($K1043=0,"","RETOUR SOUS-TRAITANCE")</f>
        <v/>
      </c>
      <c r="G1043" s="26" t="str">
        <f aca="false">IF($K1043=0,"",ST_RESULTATS!$N293)</f>
        <v/>
      </c>
      <c r="H1043" s="26" t="str">
        <f aca="false">IF($K1043=0,"",ST_RESULTATS!$J293)</f>
        <v/>
      </c>
      <c r="I1043" s="26" t="str">
        <f aca="false">IF($H1043="","",IFERROR(INDEX(EMPL_CLASSE,MATCH($H1043,EMPL_KEY,0)),""))</f>
        <v/>
      </c>
      <c r="J1043" s="26" t="str">
        <f aca="false">IF($K1043=0,"",IFERROR(INDEX(LOT_PRODE,MATCH($G1043,LOT_KEY,0)),""))</f>
        <v/>
      </c>
      <c r="K1043" s="67" t="n">
        <f aca="false">IF(ST_RESULTATS!$P293=0,0,ST_RESULTATS!$F293)</f>
        <v>0</v>
      </c>
      <c r="L1043" s="67" t="n">
        <f aca="false">IF($K1043=0,0,ST_RESULTATS!$T293*$K1043)</f>
        <v>0</v>
      </c>
      <c r="M1043" s="26" t="str">
        <f aca="false">IF($K1043=0,"",ST_RESULTATS!$S293)</f>
        <v/>
      </c>
      <c r="N1043" s="26" t="str">
        <f aca="false">IF($G1043="","",IF($G1043=R_LOT,COUNTIF($G$5:$G1043,R_LOT),""))</f>
        <v/>
      </c>
    </row>
    <row r="1044" customFormat="false" ht="15" hidden="false" customHeight="false" outlineLevel="0" collapsed="false">
      <c r="A1044" s="28" t="str">
        <f aca="false">IF($K1044=0,"",ROW()-4)</f>
        <v/>
      </c>
      <c r="B1044" s="26" t="str">
        <f aca="false">IF($K1044=0,"","RESULTAT ST")</f>
        <v/>
      </c>
      <c r="C1044" s="26" t="str">
        <f aca="false">IF($K1044=0,"",ST_RESULTATS!$A294)</f>
        <v/>
      </c>
      <c r="D1044" s="31" t="str">
        <f aca="false">IF($K1044=0,"",ST_RESULTATS!$V294)</f>
        <v/>
      </c>
      <c r="E1044" s="26" t="str">
        <f aca="false">IF($K1044=0,"","ENTREE")</f>
        <v/>
      </c>
      <c r="F1044" s="26" t="str">
        <f aca="false">IF($K1044=0,"","RETOUR SOUS-TRAITANCE")</f>
        <v/>
      </c>
      <c r="G1044" s="26" t="str">
        <f aca="false">IF($K1044=0,"",ST_RESULTATS!$N294)</f>
        <v/>
      </c>
      <c r="H1044" s="26" t="str">
        <f aca="false">IF($K1044=0,"",ST_RESULTATS!$J294)</f>
        <v/>
      </c>
      <c r="I1044" s="26" t="str">
        <f aca="false">IF($H1044="","",IFERROR(INDEX(EMPL_CLASSE,MATCH($H1044,EMPL_KEY,0)),""))</f>
        <v/>
      </c>
      <c r="J1044" s="26" t="str">
        <f aca="false">IF($K1044=0,"",IFERROR(INDEX(LOT_PRODE,MATCH($G1044,LOT_KEY,0)),""))</f>
        <v/>
      </c>
      <c r="K1044" s="67" t="n">
        <f aca="false">IF(ST_RESULTATS!$P294=0,0,ST_RESULTATS!$F294)</f>
        <v>0</v>
      </c>
      <c r="L1044" s="67" t="n">
        <f aca="false">IF($K1044=0,0,ST_RESULTATS!$T294*$K1044)</f>
        <v>0</v>
      </c>
      <c r="M1044" s="26" t="str">
        <f aca="false">IF($K1044=0,"",ST_RESULTATS!$S294)</f>
        <v/>
      </c>
      <c r="N1044" s="26" t="str">
        <f aca="false">IF($G1044="","",IF($G1044=R_LOT,COUNTIF($G$5:$G1044,R_LOT),""))</f>
        <v/>
      </c>
    </row>
    <row r="1045" customFormat="false" ht="15" hidden="false" customHeight="false" outlineLevel="0" collapsed="false">
      <c r="A1045" s="28" t="str">
        <f aca="false">IF($K1045=0,"",ROW()-4)</f>
        <v/>
      </c>
      <c r="B1045" s="26" t="str">
        <f aca="false">IF($K1045=0,"","RESULTAT ST")</f>
        <v/>
      </c>
      <c r="C1045" s="26" t="str">
        <f aca="false">IF($K1045=0,"",ST_RESULTATS!$A295)</f>
        <v/>
      </c>
      <c r="D1045" s="31" t="str">
        <f aca="false">IF($K1045=0,"",ST_RESULTATS!$V295)</f>
        <v/>
      </c>
      <c r="E1045" s="26" t="str">
        <f aca="false">IF($K1045=0,"","ENTREE")</f>
        <v/>
      </c>
      <c r="F1045" s="26" t="str">
        <f aca="false">IF($K1045=0,"","RETOUR SOUS-TRAITANCE")</f>
        <v/>
      </c>
      <c r="G1045" s="26" t="str">
        <f aca="false">IF($K1045=0,"",ST_RESULTATS!$N295)</f>
        <v/>
      </c>
      <c r="H1045" s="26" t="str">
        <f aca="false">IF($K1045=0,"",ST_RESULTATS!$J295)</f>
        <v/>
      </c>
      <c r="I1045" s="26" t="str">
        <f aca="false">IF($H1045="","",IFERROR(INDEX(EMPL_CLASSE,MATCH($H1045,EMPL_KEY,0)),""))</f>
        <v/>
      </c>
      <c r="J1045" s="26" t="str">
        <f aca="false">IF($K1045=0,"",IFERROR(INDEX(LOT_PRODE,MATCH($G1045,LOT_KEY,0)),""))</f>
        <v/>
      </c>
      <c r="K1045" s="67" t="n">
        <f aca="false">IF(ST_RESULTATS!$P295=0,0,ST_RESULTATS!$F295)</f>
        <v>0</v>
      </c>
      <c r="L1045" s="67" t="n">
        <f aca="false">IF($K1045=0,0,ST_RESULTATS!$T295*$K1045)</f>
        <v>0</v>
      </c>
      <c r="M1045" s="26" t="str">
        <f aca="false">IF($K1045=0,"",ST_RESULTATS!$S295)</f>
        <v/>
      </c>
      <c r="N1045" s="26" t="str">
        <f aca="false">IF($G1045="","",IF($G1045=R_LOT,COUNTIF($G$5:$G1045,R_LOT),""))</f>
        <v/>
      </c>
    </row>
    <row r="1046" customFormat="false" ht="15" hidden="false" customHeight="false" outlineLevel="0" collapsed="false">
      <c r="A1046" s="28" t="str">
        <f aca="false">IF($K1046=0,"",ROW()-4)</f>
        <v/>
      </c>
      <c r="B1046" s="26" t="str">
        <f aca="false">IF($K1046=0,"","RESULTAT ST")</f>
        <v/>
      </c>
      <c r="C1046" s="26" t="str">
        <f aca="false">IF($K1046=0,"",ST_RESULTATS!$A296)</f>
        <v/>
      </c>
      <c r="D1046" s="31" t="str">
        <f aca="false">IF($K1046=0,"",ST_RESULTATS!$V296)</f>
        <v/>
      </c>
      <c r="E1046" s="26" t="str">
        <f aca="false">IF($K1046=0,"","ENTREE")</f>
        <v/>
      </c>
      <c r="F1046" s="26" t="str">
        <f aca="false">IF($K1046=0,"","RETOUR SOUS-TRAITANCE")</f>
        <v/>
      </c>
      <c r="G1046" s="26" t="str">
        <f aca="false">IF($K1046=0,"",ST_RESULTATS!$N296)</f>
        <v/>
      </c>
      <c r="H1046" s="26" t="str">
        <f aca="false">IF($K1046=0,"",ST_RESULTATS!$J296)</f>
        <v/>
      </c>
      <c r="I1046" s="26" t="str">
        <f aca="false">IF($H1046="","",IFERROR(INDEX(EMPL_CLASSE,MATCH($H1046,EMPL_KEY,0)),""))</f>
        <v/>
      </c>
      <c r="J1046" s="26" t="str">
        <f aca="false">IF($K1046=0,"",IFERROR(INDEX(LOT_PRODE,MATCH($G1046,LOT_KEY,0)),""))</f>
        <v/>
      </c>
      <c r="K1046" s="67" t="n">
        <f aca="false">IF(ST_RESULTATS!$P296=0,0,ST_RESULTATS!$F296)</f>
        <v>0</v>
      </c>
      <c r="L1046" s="67" t="n">
        <f aca="false">IF($K1046=0,0,ST_RESULTATS!$T296*$K1046)</f>
        <v>0</v>
      </c>
      <c r="M1046" s="26" t="str">
        <f aca="false">IF($K1046=0,"",ST_RESULTATS!$S296)</f>
        <v/>
      </c>
      <c r="N1046" s="26" t="str">
        <f aca="false">IF($G1046="","",IF($G1046=R_LOT,COUNTIF($G$5:$G1046,R_LOT),""))</f>
        <v/>
      </c>
    </row>
    <row r="1047" customFormat="false" ht="15" hidden="false" customHeight="false" outlineLevel="0" collapsed="false">
      <c r="A1047" s="28" t="str">
        <f aca="false">IF($K1047=0,"",ROW()-4)</f>
        <v/>
      </c>
      <c r="B1047" s="26" t="str">
        <f aca="false">IF($K1047=0,"","RESULTAT ST")</f>
        <v/>
      </c>
      <c r="C1047" s="26" t="str">
        <f aca="false">IF($K1047=0,"",ST_RESULTATS!$A297)</f>
        <v/>
      </c>
      <c r="D1047" s="31" t="str">
        <f aca="false">IF($K1047=0,"",ST_RESULTATS!$V297)</f>
        <v/>
      </c>
      <c r="E1047" s="26" t="str">
        <f aca="false">IF($K1047=0,"","ENTREE")</f>
        <v/>
      </c>
      <c r="F1047" s="26" t="str">
        <f aca="false">IF($K1047=0,"","RETOUR SOUS-TRAITANCE")</f>
        <v/>
      </c>
      <c r="G1047" s="26" t="str">
        <f aca="false">IF($K1047=0,"",ST_RESULTATS!$N297)</f>
        <v/>
      </c>
      <c r="H1047" s="26" t="str">
        <f aca="false">IF($K1047=0,"",ST_RESULTATS!$J297)</f>
        <v/>
      </c>
      <c r="I1047" s="26" t="str">
        <f aca="false">IF($H1047="","",IFERROR(INDEX(EMPL_CLASSE,MATCH($H1047,EMPL_KEY,0)),""))</f>
        <v/>
      </c>
      <c r="J1047" s="26" t="str">
        <f aca="false">IF($K1047=0,"",IFERROR(INDEX(LOT_PRODE,MATCH($G1047,LOT_KEY,0)),""))</f>
        <v/>
      </c>
      <c r="K1047" s="67" t="n">
        <f aca="false">IF(ST_RESULTATS!$P297=0,0,ST_RESULTATS!$F297)</f>
        <v>0</v>
      </c>
      <c r="L1047" s="67" t="n">
        <f aca="false">IF($K1047=0,0,ST_RESULTATS!$T297*$K1047)</f>
        <v>0</v>
      </c>
      <c r="M1047" s="26" t="str">
        <f aca="false">IF($K1047=0,"",ST_RESULTATS!$S297)</f>
        <v/>
      </c>
      <c r="N1047" s="26" t="str">
        <f aca="false">IF($G1047="","",IF($G1047=R_LOT,COUNTIF($G$5:$G1047,R_LOT),""))</f>
        <v/>
      </c>
    </row>
    <row r="1048" customFormat="false" ht="15" hidden="false" customHeight="false" outlineLevel="0" collapsed="false">
      <c r="A1048" s="28" t="str">
        <f aca="false">IF($K1048=0,"",ROW()-4)</f>
        <v/>
      </c>
      <c r="B1048" s="26" t="str">
        <f aca="false">IF($K1048=0,"","RESULTAT ST")</f>
        <v/>
      </c>
      <c r="C1048" s="26" t="str">
        <f aca="false">IF($K1048=0,"",ST_RESULTATS!$A298)</f>
        <v/>
      </c>
      <c r="D1048" s="31" t="str">
        <f aca="false">IF($K1048=0,"",ST_RESULTATS!$V298)</f>
        <v/>
      </c>
      <c r="E1048" s="26" t="str">
        <f aca="false">IF($K1048=0,"","ENTREE")</f>
        <v/>
      </c>
      <c r="F1048" s="26" t="str">
        <f aca="false">IF($K1048=0,"","RETOUR SOUS-TRAITANCE")</f>
        <v/>
      </c>
      <c r="G1048" s="26" t="str">
        <f aca="false">IF($K1048=0,"",ST_RESULTATS!$N298)</f>
        <v/>
      </c>
      <c r="H1048" s="26" t="str">
        <f aca="false">IF($K1048=0,"",ST_RESULTATS!$J298)</f>
        <v/>
      </c>
      <c r="I1048" s="26" t="str">
        <f aca="false">IF($H1048="","",IFERROR(INDEX(EMPL_CLASSE,MATCH($H1048,EMPL_KEY,0)),""))</f>
        <v/>
      </c>
      <c r="J1048" s="26" t="str">
        <f aca="false">IF($K1048=0,"",IFERROR(INDEX(LOT_PRODE,MATCH($G1048,LOT_KEY,0)),""))</f>
        <v/>
      </c>
      <c r="K1048" s="67" t="n">
        <f aca="false">IF(ST_RESULTATS!$P298=0,0,ST_RESULTATS!$F298)</f>
        <v>0</v>
      </c>
      <c r="L1048" s="67" t="n">
        <f aca="false">IF($K1048=0,0,ST_RESULTATS!$T298*$K1048)</f>
        <v>0</v>
      </c>
      <c r="M1048" s="26" t="str">
        <f aca="false">IF($K1048=0,"",ST_RESULTATS!$S298)</f>
        <v/>
      </c>
      <c r="N1048" s="26" t="str">
        <f aca="false">IF($G1048="","",IF($G1048=R_LOT,COUNTIF($G$5:$G1048,R_LOT),""))</f>
        <v/>
      </c>
    </row>
    <row r="1049" customFormat="false" ht="15" hidden="false" customHeight="false" outlineLevel="0" collapsed="false">
      <c r="A1049" s="28" t="str">
        <f aca="false">IF($K1049=0,"",ROW()-4)</f>
        <v/>
      </c>
      <c r="B1049" s="26" t="str">
        <f aca="false">IF($K1049=0,"","RESULTAT ST")</f>
        <v/>
      </c>
      <c r="C1049" s="26" t="str">
        <f aca="false">IF($K1049=0,"",ST_RESULTATS!$A299)</f>
        <v/>
      </c>
      <c r="D1049" s="31" t="str">
        <f aca="false">IF($K1049=0,"",ST_RESULTATS!$V299)</f>
        <v/>
      </c>
      <c r="E1049" s="26" t="str">
        <f aca="false">IF($K1049=0,"","ENTREE")</f>
        <v/>
      </c>
      <c r="F1049" s="26" t="str">
        <f aca="false">IF($K1049=0,"","RETOUR SOUS-TRAITANCE")</f>
        <v/>
      </c>
      <c r="G1049" s="26" t="str">
        <f aca="false">IF($K1049=0,"",ST_RESULTATS!$N299)</f>
        <v/>
      </c>
      <c r="H1049" s="26" t="str">
        <f aca="false">IF($K1049=0,"",ST_RESULTATS!$J299)</f>
        <v/>
      </c>
      <c r="I1049" s="26" t="str">
        <f aca="false">IF($H1049="","",IFERROR(INDEX(EMPL_CLASSE,MATCH($H1049,EMPL_KEY,0)),""))</f>
        <v/>
      </c>
      <c r="J1049" s="26" t="str">
        <f aca="false">IF($K1049=0,"",IFERROR(INDEX(LOT_PRODE,MATCH($G1049,LOT_KEY,0)),""))</f>
        <v/>
      </c>
      <c r="K1049" s="67" t="n">
        <f aca="false">IF(ST_RESULTATS!$P299=0,0,ST_RESULTATS!$F299)</f>
        <v>0</v>
      </c>
      <c r="L1049" s="67" t="n">
        <f aca="false">IF($K1049=0,0,ST_RESULTATS!$T299*$K1049)</f>
        <v>0</v>
      </c>
      <c r="M1049" s="26" t="str">
        <f aca="false">IF($K1049=0,"",ST_RESULTATS!$S299)</f>
        <v/>
      </c>
      <c r="N1049" s="26" t="str">
        <f aca="false">IF($G1049="","",IF($G1049=R_LOT,COUNTIF($G$5:$G1049,R_LOT),""))</f>
        <v/>
      </c>
    </row>
    <row r="1050" customFormat="false" ht="15" hidden="false" customHeight="false" outlineLevel="0" collapsed="false">
      <c r="A1050" s="28" t="str">
        <f aca="false">IF($K1050=0,"",ROW()-4)</f>
        <v/>
      </c>
      <c r="B1050" s="26" t="str">
        <f aca="false">IF($K1050=0,"","RESULTAT ST")</f>
        <v/>
      </c>
      <c r="C1050" s="26" t="str">
        <f aca="false">IF($K1050=0,"",ST_RESULTATS!$A300)</f>
        <v/>
      </c>
      <c r="D1050" s="31" t="str">
        <f aca="false">IF($K1050=0,"",ST_RESULTATS!$V300)</f>
        <v/>
      </c>
      <c r="E1050" s="26" t="str">
        <f aca="false">IF($K1050=0,"","ENTREE")</f>
        <v/>
      </c>
      <c r="F1050" s="26" t="str">
        <f aca="false">IF($K1050=0,"","RETOUR SOUS-TRAITANCE")</f>
        <v/>
      </c>
      <c r="G1050" s="26" t="str">
        <f aca="false">IF($K1050=0,"",ST_RESULTATS!$N300)</f>
        <v/>
      </c>
      <c r="H1050" s="26" t="str">
        <f aca="false">IF($K1050=0,"",ST_RESULTATS!$J300)</f>
        <v/>
      </c>
      <c r="I1050" s="26" t="str">
        <f aca="false">IF($H1050="","",IFERROR(INDEX(EMPL_CLASSE,MATCH($H1050,EMPL_KEY,0)),""))</f>
        <v/>
      </c>
      <c r="J1050" s="26" t="str">
        <f aca="false">IF($K1050=0,"",IFERROR(INDEX(LOT_PRODE,MATCH($G1050,LOT_KEY,0)),""))</f>
        <v/>
      </c>
      <c r="K1050" s="67" t="n">
        <f aca="false">IF(ST_RESULTATS!$P300=0,0,ST_RESULTATS!$F300)</f>
        <v>0</v>
      </c>
      <c r="L1050" s="67" t="n">
        <f aca="false">IF($K1050=0,0,ST_RESULTATS!$T300*$K1050)</f>
        <v>0</v>
      </c>
      <c r="M1050" s="26" t="str">
        <f aca="false">IF($K1050=0,"",ST_RESULTATS!$S300)</f>
        <v/>
      </c>
      <c r="N1050" s="26" t="str">
        <f aca="false">IF($G1050="","",IF($G1050=R_LOT,COUNTIF($G$5:$G1050,R_LOT),""))</f>
        <v/>
      </c>
    </row>
    <row r="1051" customFormat="false" ht="15" hidden="false" customHeight="false" outlineLevel="0" collapsed="false">
      <c r="A1051" s="28" t="str">
        <f aca="false">IF($K1051=0,"",ROW()-4)</f>
        <v/>
      </c>
      <c r="B1051" s="26" t="str">
        <f aca="false">IF($K1051=0,"","RESULTAT ST")</f>
        <v/>
      </c>
      <c r="C1051" s="26" t="str">
        <f aca="false">IF($K1051=0,"",ST_RESULTATS!$A301)</f>
        <v/>
      </c>
      <c r="D1051" s="31" t="str">
        <f aca="false">IF($K1051=0,"",ST_RESULTATS!$V301)</f>
        <v/>
      </c>
      <c r="E1051" s="26" t="str">
        <f aca="false">IF($K1051=0,"","ENTREE")</f>
        <v/>
      </c>
      <c r="F1051" s="26" t="str">
        <f aca="false">IF($K1051=0,"","RETOUR SOUS-TRAITANCE")</f>
        <v/>
      </c>
      <c r="G1051" s="26" t="str">
        <f aca="false">IF($K1051=0,"",ST_RESULTATS!$N301)</f>
        <v/>
      </c>
      <c r="H1051" s="26" t="str">
        <f aca="false">IF($K1051=0,"",ST_RESULTATS!$J301)</f>
        <v/>
      </c>
      <c r="I1051" s="26" t="str">
        <f aca="false">IF($H1051="","",IFERROR(INDEX(EMPL_CLASSE,MATCH($H1051,EMPL_KEY,0)),""))</f>
        <v/>
      </c>
      <c r="J1051" s="26" t="str">
        <f aca="false">IF($K1051=0,"",IFERROR(INDEX(LOT_PRODE,MATCH($G1051,LOT_KEY,0)),""))</f>
        <v/>
      </c>
      <c r="K1051" s="67" t="n">
        <f aca="false">IF(ST_RESULTATS!$P301=0,0,ST_RESULTATS!$F301)</f>
        <v>0</v>
      </c>
      <c r="L1051" s="67" t="n">
        <f aca="false">IF($K1051=0,0,ST_RESULTATS!$T301*$K1051)</f>
        <v>0</v>
      </c>
      <c r="M1051" s="26" t="str">
        <f aca="false">IF($K1051=0,"",ST_RESULTATS!$S301)</f>
        <v/>
      </c>
      <c r="N1051" s="26" t="str">
        <f aca="false">IF($G1051="","",IF($G1051=R_LOT,COUNTIF($G$5:$G1051,R_LOT),""))</f>
        <v/>
      </c>
    </row>
    <row r="1052" customFormat="false" ht="15" hidden="false" customHeight="false" outlineLevel="0" collapsed="false">
      <c r="A1052" s="28" t="str">
        <f aca="false">IF($K1052=0,"",ROW()-4)</f>
        <v/>
      </c>
      <c r="B1052" s="26" t="str">
        <f aca="false">IF($K1052=0,"","RESULTAT ST")</f>
        <v/>
      </c>
      <c r="C1052" s="26" t="str">
        <f aca="false">IF($K1052=0,"",ST_RESULTATS!$A302)</f>
        <v/>
      </c>
      <c r="D1052" s="31" t="str">
        <f aca="false">IF($K1052=0,"",ST_RESULTATS!$V302)</f>
        <v/>
      </c>
      <c r="E1052" s="26" t="str">
        <f aca="false">IF($K1052=0,"","ENTREE")</f>
        <v/>
      </c>
      <c r="F1052" s="26" t="str">
        <f aca="false">IF($K1052=0,"","RETOUR SOUS-TRAITANCE")</f>
        <v/>
      </c>
      <c r="G1052" s="26" t="str">
        <f aca="false">IF($K1052=0,"",ST_RESULTATS!$N302)</f>
        <v/>
      </c>
      <c r="H1052" s="26" t="str">
        <f aca="false">IF($K1052=0,"",ST_RESULTATS!$J302)</f>
        <v/>
      </c>
      <c r="I1052" s="26" t="str">
        <f aca="false">IF($H1052="","",IFERROR(INDEX(EMPL_CLASSE,MATCH($H1052,EMPL_KEY,0)),""))</f>
        <v/>
      </c>
      <c r="J1052" s="26" t="str">
        <f aca="false">IF($K1052=0,"",IFERROR(INDEX(LOT_PRODE,MATCH($G1052,LOT_KEY,0)),""))</f>
        <v/>
      </c>
      <c r="K1052" s="67" t="n">
        <f aca="false">IF(ST_RESULTATS!$P302=0,0,ST_RESULTATS!$F302)</f>
        <v>0</v>
      </c>
      <c r="L1052" s="67" t="n">
        <f aca="false">IF($K1052=0,0,ST_RESULTATS!$T302*$K1052)</f>
        <v>0</v>
      </c>
      <c r="M1052" s="26" t="str">
        <f aca="false">IF($K1052=0,"",ST_RESULTATS!$S302)</f>
        <v/>
      </c>
      <c r="N1052" s="26" t="str">
        <f aca="false">IF($G1052="","",IF($G1052=R_LOT,COUNTIF($G$5:$G1052,R_LOT),""))</f>
        <v/>
      </c>
    </row>
    <row r="1053" customFormat="false" ht="15" hidden="false" customHeight="false" outlineLevel="0" collapsed="false">
      <c r="A1053" s="28" t="str">
        <f aca="false">IF($K1053=0,"",ROW()-4)</f>
        <v/>
      </c>
      <c r="B1053" s="26" t="str">
        <f aca="false">IF($K1053=0,"","RESULTAT ST")</f>
        <v/>
      </c>
      <c r="C1053" s="26" t="str">
        <f aca="false">IF($K1053=0,"",ST_RESULTATS!$A303)</f>
        <v/>
      </c>
      <c r="D1053" s="31" t="str">
        <f aca="false">IF($K1053=0,"",ST_RESULTATS!$V303)</f>
        <v/>
      </c>
      <c r="E1053" s="26" t="str">
        <f aca="false">IF($K1053=0,"","ENTREE")</f>
        <v/>
      </c>
      <c r="F1053" s="26" t="str">
        <f aca="false">IF($K1053=0,"","RETOUR SOUS-TRAITANCE")</f>
        <v/>
      </c>
      <c r="G1053" s="26" t="str">
        <f aca="false">IF($K1053=0,"",ST_RESULTATS!$N303)</f>
        <v/>
      </c>
      <c r="H1053" s="26" t="str">
        <f aca="false">IF($K1053=0,"",ST_RESULTATS!$J303)</f>
        <v/>
      </c>
      <c r="I1053" s="26" t="str">
        <f aca="false">IF($H1053="","",IFERROR(INDEX(EMPL_CLASSE,MATCH($H1053,EMPL_KEY,0)),""))</f>
        <v/>
      </c>
      <c r="J1053" s="26" t="str">
        <f aca="false">IF($K1053=0,"",IFERROR(INDEX(LOT_PRODE,MATCH($G1053,LOT_KEY,0)),""))</f>
        <v/>
      </c>
      <c r="K1053" s="67" t="n">
        <f aca="false">IF(ST_RESULTATS!$P303=0,0,ST_RESULTATS!$F303)</f>
        <v>0</v>
      </c>
      <c r="L1053" s="67" t="n">
        <f aca="false">IF($K1053=0,0,ST_RESULTATS!$T303*$K1053)</f>
        <v>0</v>
      </c>
      <c r="M1053" s="26" t="str">
        <f aca="false">IF($K1053=0,"",ST_RESULTATS!$S303)</f>
        <v/>
      </c>
      <c r="N1053" s="26" t="str">
        <f aca="false">IF($G1053="","",IF($G1053=R_LOT,COUNTIF($G$5:$G1053,R_LOT),""))</f>
        <v/>
      </c>
    </row>
    <row r="1054" customFormat="false" ht="15" hidden="false" customHeight="false" outlineLevel="0" collapsed="false">
      <c r="A1054" s="28" t="str">
        <f aca="false">IF($K1054=0,"",ROW()-4)</f>
        <v/>
      </c>
      <c r="B1054" s="26" t="str">
        <f aca="false">IF($K1054=0,"","RESULTAT ST")</f>
        <v/>
      </c>
      <c r="C1054" s="26" t="str">
        <f aca="false">IF($K1054=0,"",ST_RESULTATS!$A304)</f>
        <v/>
      </c>
      <c r="D1054" s="31" t="str">
        <f aca="false">IF($K1054=0,"",ST_RESULTATS!$V304)</f>
        <v/>
      </c>
      <c r="E1054" s="26" t="str">
        <f aca="false">IF($K1054=0,"","ENTREE")</f>
        <v/>
      </c>
      <c r="F1054" s="26" t="str">
        <f aca="false">IF($K1054=0,"","RETOUR SOUS-TRAITANCE")</f>
        <v/>
      </c>
      <c r="G1054" s="26" t="str">
        <f aca="false">IF($K1054=0,"",ST_RESULTATS!$N304)</f>
        <v/>
      </c>
      <c r="H1054" s="26" t="str">
        <f aca="false">IF($K1054=0,"",ST_RESULTATS!$J304)</f>
        <v/>
      </c>
      <c r="I1054" s="26" t="str">
        <f aca="false">IF($H1054="","",IFERROR(INDEX(EMPL_CLASSE,MATCH($H1054,EMPL_KEY,0)),""))</f>
        <v/>
      </c>
      <c r="J1054" s="26" t="str">
        <f aca="false">IF($K1054=0,"",IFERROR(INDEX(LOT_PRODE,MATCH($G1054,LOT_KEY,0)),""))</f>
        <v/>
      </c>
      <c r="K1054" s="67" t="n">
        <f aca="false">IF(ST_RESULTATS!$P304=0,0,ST_RESULTATS!$F304)</f>
        <v>0</v>
      </c>
      <c r="L1054" s="67" t="n">
        <f aca="false">IF($K1054=0,0,ST_RESULTATS!$T304*$K1054)</f>
        <v>0</v>
      </c>
      <c r="M1054" s="26" t="str">
        <f aca="false">IF($K1054=0,"",ST_RESULTATS!$S304)</f>
        <v/>
      </c>
      <c r="N1054" s="26" t="str">
        <f aca="false">IF($G1054="","",IF($G1054=R_LOT,COUNTIF($G$5:$G1054,R_LOT),""))</f>
        <v/>
      </c>
    </row>
  </sheetData>
  <autoFilter ref="A4:N1054"/>
  <mergeCells count="3">
    <mergeCell ref="A1:N1"/>
    <mergeCell ref="A2:N2"/>
    <mergeCell ref="A3:N3"/>
  </mergeCells>
  <conditionalFormatting sqref="M5:M1054">
    <cfRule type="cellIs" priority="2" operator="equal" aboveAverage="0" equalAverage="0" bottom="0" percent="0" rank="0" text="" dxfId="11">
      <formula>"OK"</formula>
    </cfRule>
    <cfRule type="cellIs" priority="3" operator="equal" aboveAverage="0" equalAverage="0" bottom="0" percent="0" rank="0" text="" dxfId="12">
      <formula>"EN COURS"</formula>
    </cfRule>
    <cfRule type="cellIs" priority="4" operator="equal" aboveAverage="0" equalAverage="0" bottom="0" percent="0" rank="0" text="" dxfId="13">
      <formula>"A JUSTIFIER"</formula>
    </cfRule>
    <cfRule type="cellIs" priority="5" operator="equal" aboveAverage="0" equalAverage="0" bottom="0" percent="0" rank="0" text="" dxfId="14">
      <formula>"DONNEES MANQUANTES"</formula>
    </cfRule>
    <cfRule type="cellIs" priority="6" operator="equal" aboveAverage="0" equalAverage="0" bottom="0" percent="0" rank="0" text="" dxfId="15">
      <formula>"STOCK INSUFFISANT"</formula>
    </cfRule>
    <cfRule type="cellIs" priority="7" operator="equal" aboveAverage="0" equalAverage="0" bottom="0" percent="0" rank="0" text="" dxfId="15">
      <formula>"EMPLACEMENT INCOHERENT"</formula>
    </cfRule>
    <cfRule type="cellIs" priority="8" operator="equal" aboveAverage="0" equalAverage="0" bottom="0" percent="0" rank="0" text="" dxfId="15">
      <formula>"BLOQUE"</formula>
    </cfRule>
    <cfRule type="cellIs" priority="9" operator="equal" aboveAverage="0" equalAverage="0" bottom="0" percent="0" rank="0" text="" dxfId="15">
      <formula>"INCOHERENCE"</formula>
    </cfRule>
    <cfRule type="cellIs" priority="10" operator="equal" aboveAverage="0" equalAverage="0" bottom="0" percent="0" rank="0" text="" dxfId="13">
      <formula>"LOT EN DOUBLE"</formula>
    </cfRule>
  </conditionalFormatting>
  <conditionalFormatting sqref="L5:L1054">
    <cfRule type="expression" priority="11" aboveAverage="0" equalAverage="0" bottom="0" percent="0" rank="0" text="" dxfId="25">
      <formula>AND($K5&lt;&gt;0,$L5=0)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7A8C"/>
    <pageSetUpPr fitToPage="false"/>
  </sheetPr>
  <dimension ref="A1:AA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2"/>
    <col collapsed="false" customWidth="true" hidden="false" outlineLevel="0" max="3" min="3" style="0" width="12"/>
    <col collapsed="false" customWidth="true" hidden="false" outlineLevel="0" max="4" min="4" style="0" width="24"/>
    <col collapsed="false" customWidth="true" hidden="false" outlineLevel="0" max="5" min="5" style="0" width="2"/>
    <col collapsed="false" customWidth="true" hidden="false" outlineLevel="0" max="6" min="6" style="0" width="24"/>
    <col collapsed="false" customWidth="true" hidden="false" outlineLevel="0" max="7" min="7" style="0" width="2"/>
    <col collapsed="false" customWidth="true" hidden="false" outlineLevel="0" max="8" min="8" style="0" width="24"/>
    <col collapsed="false" customWidth="true" hidden="false" outlineLevel="0" max="9" min="9" style="0" width="2"/>
    <col collapsed="false" customWidth="true" hidden="false" outlineLevel="0" max="10" min="10" style="0" width="24"/>
    <col collapsed="false" customWidth="true" hidden="false" outlineLevel="0" max="11" min="11" style="0" width="2"/>
    <col collapsed="false" customWidth="true" hidden="false" outlineLevel="0" max="12" min="12" style="0" width="24"/>
    <col collapsed="false" customWidth="true" hidden="false" outlineLevel="0" max="13" min="13" style="0" width="2"/>
    <col collapsed="false" customWidth="true" hidden="false" outlineLevel="0" max="14" min="14" style="0" width="24"/>
    <col collapsed="false" customWidth="true" hidden="false" outlineLevel="0" max="15" min="15" style="0" width="2"/>
    <col collapsed="false" customWidth="true" hidden="false" outlineLevel="0" max="16" min="16" style="0" width="24"/>
    <col collapsed="false" customWidth="true" hidden="false" outlineLevel="0" max="17" min="17" style="0" width="2"/>
    <col collapsed="false" customWidth="true" hidden="false" outlineLevel="0" max="18" min="18" style="0" width="24"/>
    <col collapsed="false" customWidth="true" hidden="false" outlineLevel="0" max="19" min="19" style="0" width="2"/>
    <col collapsed="false" customWidth="true" hidden="false" outlineLevel="0" max="20" min="20" style="0" width="24"/>
    <col collapsed="false" customWidth="true" hidden="false" outlineLevel="0" max="21" min="21" style="0" width="2"/>
    <col collapsed="false" customWidth="true" hidden="false" outlineLevel="0" max="22" min="22" style="0" width="24"/>
    <col collapsed="false" customWidth="true" hidden="false" outlineLevel="0" max="23" min="23" style="0" width="2"/>
    <col collapsed="false" customWidth="true" hidden="false" outlineLevel="0" max="24" min="24" style="0" width="24"/>
    <col collapsed="false" customWidth="true" hidden="false" outlineLevel="0" max="25" min="25" style="0" width="2"/>
    <col collapsed="false" customWidth="true" hidden="false" outlineLevel="0" max="26" min="26" style="0" width="24"/>
    <col collapsed="false" customWidth="true" hidden="false" outlineLevel="0" max="27" min="27" style="0" width="2"/>
  </cols>
  <sheetData>
    <row r="1" customFormat="false" ht="30" hidden="false" customHeight="true" outlineLevel="0" collapsed="false">
      <c r="A1" s="1" t="s">
        <v>274</v>
      </c>
      <c r="B1" s="1"/>
      <c r="C1" s="1"/>
      <c r="D1" s="1"/>
      <c r="E1" s="1"/>
      <c r="F1" s="1"/>
      <c r="G1" s="1"/>
      <c r="H1" s="1"/>
      <c r="I1" s="1"/>
      <c r="J1" s="1"/>
      <c r="K1" s="1"/>
      <c r="L1" s="1"/>
      <c r="M1" s="1"/>
      <c r="N1" s="1"/>
      <c r="O1" s="1"/>
      <c r="P1" s="1"/>
      <c r="Q1" s="1"/>
      <c r="R1" s="1"/>
      <c r="S1" s="1"/>
      <c r="T1" s="1"/>
      <c r="U1" s="1"/>
      <c r="V1" s="1"/>
      <c r="W1" s="1"/>
      <c r="X1" s="1"/>
      <c r="Y1" s="1"/>
      <c r="Z1" s="1"/>
      <c r="AA1" s="1"/>
    </row>
    <row r="2" customFormat="false" ht="18" hidden="false" customHeight="true" outlineLevel="0" collapsed="false">
      <c r="A2" s="2" t="s">
        <v>275</v>
      </c>
      <c r="B2" s="2"/>
      <c r="C2" s="2"/>
      <c r="D2" s="2"/>
      <c r="E2" s="2"/>
      <c r="F2" s="2"/>
      <c r="G2" s="2"/>
      <c r="H2" s="2"/>
      <c r="I2" s="2"/>
      <c r="J2" s="2"/>
      <c r="K2" s="2"/>
      <c r="L2" s="2"/>
      <c r="M2" s="2"/>
      <c r="N2" s="2"/>
      <c r="O2" s="2"/>
      <c r="P2" s="2"/>
      <c r="Q2" s="2"/>
      <c r="R2" s="2"/>
      <c r="S2" s="2"/>
      <c r="T2" s="2"/>
      <c r="U2" s="2"/>
      <c r="V2" s="2"/>
      <c r="W2" s="2"/>
      <c r="X2" s="2"/>
      <c r="Y2" s="2"/>
      <c r="Z2" s="2"/>
      <c r="AA2" s="2"/>
    </row>
    <row r="4" customFormat="false" ht="19.5" hidden="false" customHeight="true" outlineLevel="0" collapsed="false">
      <c r="A4" s="3" t="s">
        <v>276</v>
      </c>
      <c r="B4" s="3"/>
      <c r="C4" s="3"/>
      <c r="D4" s="3"/>
      <c r="E4" s="3"/>
      <c r="F4" s="3"/>
      <c r="G4" s="3"/>
      <c r="H4" s="3"/>
      <c r="I4" s="3"/>
      <c r="J4" s="3"/>
      <c r="K4" s="3"/>
      <c r="L4" s="3"/>
      <c r="M4" s="3"/>
      <c r="N4" s="3"/>
      <c r="O4" s="3"/>
      <c r="P4" s="3"/>
      <c r="Q4" s="3"/>
      <c r="R4" s="3"/>
      <c r="S4" s="3"/>
      <c r="T4" s="3"/>
      <c r="U4" s="3"/>
      <c r="V4" s="3"/>
      <c r="W4" s="3"/>
      <c r="X4" s="3"/>
      <c r="Y4" s="3"/>
      <c r="Z4" s="3"/>
      <c r="AA4" s="3"/>
    </row>
    <row r="5" customFormat="false" ht="27.75" hidden="false" customHeight="true" outlineLevel="0" collapsed="false">
      <c r="B5" s="40" t="s">
        <v>203</v>
      </c>
      <c r="C5" s="40" t="s">
        <v>233</v>
      </c>
      <c r="D5" s="40" t="s">
        <v>277</v>
      </c>
      <c r="F5" s="22" t="s">
        <v>49</v>
      </c>
      <c r="H5" s="22" t="s">
        <v>50</v>
      </c>
      <c r="J5" s="22" t="s">
        <v>51</v>
      </c>
      <c r="L5" s="22" t="s">
        <v>53</v>
      </c>
      <c r="N5" s="22" t="s">
        <v>54</v>
      </c>
      <c r="P5" s="22" t="s">
        <v>207</v>
      </c>
      <c r="R5" s="22" t="s">
        <v>208</v>
      </c>
      <c r="T5" s="22" t="s">
        <v>152</v>
      </c>
      <c r="V5" s="22" t="s">
        <v>278</v>
      </c>
      <c r="X5" s="22" t="s">
        <v>161</v>
      </c>
      <c r="Z5" s="22" t="s">
        <v>204</v>
      </c>
    </row>
    <row r="6" customFormat="false" ht="15" hidden="false" customHeight="false" outlineLevel="0" collapsed="false">
      <c r="B6" s="24" t="s">
        <v>134</v>
      </c>
      <c r="C6" s="24" t="s">
        <v>279</v>
      </c>
      <c r="D6" s="24" t="s">
        <v>280</v>
      </c>
      <c r="F6" s="24" t="s">
        <v>70</v>
      </c>
      <c r="H6" s="24" t="s">
        <v>71</v>
      </c>
      <c r="J6" s="24" t="s">
        <v>72</v>
      </c>
      <c r="L6" s="24" t="s">
        <v>74</v>
      </c>
      <c r="N6" s="24" t="s">
        <v>89</v>
      </c>
      <c r="P6" s="24" t="s">
        <v>76</v>
      </c>
      <c r="R6" s="24" t="s">
        <v>281</v>
      </c>
      <c r="T6" s="24" t="s">
        <v>169</v>
      </c>
      <c r="V6" s="24" t="s">
        <v>216</v>
      </c>
      <c r="X6" s="24" t="s">
        <v>173</v>
      </c>
      <c r="Z6" s="24" t="s">
        <v>133</v>
      </c>
    </row>
    <row r="7" customFormat="false" ht="15" hidden="false" customHeight="false" outlineLevel="0" collapsed="false">
      <c r="B7" s="24" t="s">
        <v>137</v>
      </c>
      <c r="C7" s="24" t="s">
        <v>282</v>
      </c>
      <c r="D7" s="24" t="s">
        <v>283</v>
      </c>
      <c r="F7" s="24" t="s">
        <v>80</v>
      </c>
      <c r="H7" s="24" t="s">
        <v>81</v>
      </c>
      <c r="J7" s="24" t="s">
        <v>82</v>
      </c>
      <c r="L7" s="24" t="s">
        <v>106</v>
      </c>
      <c r="N7" s="24" t="s">
        <v>75</v>
      </c>
      <c r="P7" s="24" t="s">
        <v>84</v>
      </c>
      <c r="R7" s="24" t="s">
        <v>90</v>
      </c>
      <c r="T7" s="24" t="s">
        <v>175</v>
      </c>
      <c r="V7" s="24" t="s">
        <v>284</v>
      </c>
      <c r="X7" s="24" t="s">
        <v>285</v>
      </c>
      <c r="Z7" s="24" t="s">
        <v>214</v>
      </c>
    </row>
    <row r="8" customFormat="false" ht="15" hidden="false" customHeight="false" outlineLevel="0" collapsed="false">
      <c r="B8" s="24" t="s">
        <v>286</v>
      </c>
      <c r="C8" s="24" t="s">
        <v>282</v>
      </c>
      <c r="D8" s="24" t="s">
        <v>283</v>
      </c>
      <c r="F8" s="24" t="s">
        <v>96</v>
      </c>
      <c r="H8" s="24" t="s">
        <v>97</v>
      </c>
      <c r="J8" s="24" t="s">
        <v>98</v>
      </c>
      <c r="L8" s="24" t="s">
        <v>109</v>
      </c>
      <c r="N8" s="24" t="s">
        <v>100</v>
      </c>
      <c r="P8" s="24" t="s">
        <v>287</v>
      </c>
      <c r="R8" s="24" t="s">
        <v>77</v>
      </c>
      <c r="T8" s="24" t="s">
        <v>288</v>
      </c>
      <c r="V8" s="24" t="s">
        <v>222</v>
      </c>
      <c r="X8" s="24" t="s">
        <v>289</v>
      </c>
      <c r="Z8" s="24" t="s">
        <v>290</v>
      </c>
    </row>
    <row r="9" customFormat="false" ht="15" hidden="false" customHeight="false" outlineLevel="0" collapsed="false">
      <c r="B9" s="24" t="s">
        <v>195</v>
      </c>
      <c r="C9" s="24" t="s">
        <v>282</v>
      </c>
      <c r="D9" s="24" t="s">
        <v>283</v>
      </c>
      <c r="F9" s="24" t="s">
        <v>291</v>
      </c>
      <c r="H9" s="24" t="s">
        <v>292</v>
      </c>
      <c r="J9" s="24" t="s">
        <v>293</v>
      </c>
      <c r="L9" s="24" t="s">
        <v>112</v>
      </c>
      <c r="N9" s="24" t="s">
        <v>294</v>
      </c>
      <c r="P9" s="24" t="s">
        <v>295</v>
      </c>
      <c r="R9" s="24" t="s">
        <v>85</v>
      </c>
      <c r="T9" s="24"/>
      <c r="V9" s="24" t="s">
        <v>295</v>
      </c>
      <c r="X9" s="24" t="s">
        <v>296</v>
      </c>
      <c r="Z9" s="24" t="s">
        <v>297</v>
      </c>
    </row>
    <row r="10" customFormat="false" ht="15" hidden="false" customHeight="false" outlineLevel="0" collapsed="false">
      <c r="B10" s="24" t="s">
        <v>219</v>
      </c>
      <c r="C10" s="24" t="s">
        <v>282</v>
      </c>
      <c r="D10" s="24" t="s">
        <v>283</v>
      </c>
      <c r="F10" s="24" t="s">
        <v>298</v>
      </c>
      <c r="H10" s="24"/>
      <c r="J10" s="24" t="s">
        <v>299</v>
      </c>
      <c r="L10" s="24" t="s">
        <v>300</v>
      </c>
      <c r="N10" s="24" t="s">
        <v>301</v>
      </c>
      <c r="P10" s="24"/>
      <c r="R10" s="24" t="s">
        <v>302</v>
      </c>
      <c r="T10" s="24"/>
      <c r="V10" s="24" t="s">
        <v>303</v>
      </c>
      <c r="X10" s="24" t="s">
        <v>304</v>
      </c>
      <c r="Z10" s="24"/>
    </row>
    <row r="11" customFormat="false" ht="15" hidden="false" customHeight="false" outlineLevel="0" collapsed="false">
      <c r="B11" s="24"/>
      <c r="C11" s="24"/>
      <c r="D11" s="24"/>
      <c r="F11" s="24" t="s">
        <v>305</v>
      </c>
      <c r="H11" s="24"/>
      <c r="J11" s="24" t="s">
        <v>306</v>
      </c>
      <c r="L11" s="24" t="s">
        <v>307</v>
      </c>
      <c r="N11" s="24"/>
      <c r="P11" s="24"/>
      <c r="R11" s="24" t="s">
        <v>308</v>
      </c>
      <c r="T11" s="24"/>
      <c r="V11" s="24"/>
      <c r="X11" s="24" t="s">
        <v>309</v>
      </c>
      <c r="Z11" s="24"/>
    </row>
    <row r="12" customFormat="false" ht="15" hidden="false" customHeight="false" outlineLevel="0" collapsed="false">
      <c r="B12" s="24"/>
      <c r="C12" s="24"/>
      <c r="D12" s="24"/>
      <c r="F12" s="24" t="s">
        <v>310</v>
      </c>
      <c r="H12" s="24"/>
      <c r="J12" s="24"/>
      <c r="L12" s="24" t="s">
        <v>311</v>
      </c>
      <c r="N12" s="24"/>
      <c r="P12" s="24"/>
      <c r="R12" s="24"/>
      <c r="T12" s="24"/>
      <c r="V12" s="24"/>
      <c r="X12" s="24" t="s">
        <v>312</v>
      </c>
      <c r="Z12" s="24"/>
    </row>
    <row r="13" customFormat="false" ht="15" hidden="false" customHeight="false" outlineLevel="0" collapsed="false">
      <c r="B13" s="24"/>
      <c r="C13" s="24"/>
      <c r="D13" s="24"/>
      <c r="F13" s="24" t="s">
        <v>313</v>
      </c>
      <c r="H13" s="24"/>
      <c r="J13" s="24"/>
      <c r="L13" s="24"/>
      <c r="N13" s="24"/>
      <c r="P13" s="24"/>
      <c r="R13" s="24"/>
      <c r="T13" s="24"/>
      <c r="V13" s="24"/>
      <c r="X13" s="24"/>
      <c r="Z13" s="24"/>
    </row>
    <row r="14" customFormat="false" ht="15" hidden="false" customHeight="false" outlineLevel="0" collapsed="false">
      <c r="B14" s="24"/>
      <c r="C14" s="24"/>
      <c r="D14" s="24"/>
      <c r="F14" s="24"/>
      <c r="H14" s="24"/>
      <c r="J14" s="24"/>
      <c r="L14" s="24"/>
      <c r="N14" s="24"/>
      <c r="P14" s="24"/>
      <c r="R14" s="24"/>
      <c r="T14" s="24"/>
      <c r="V14" s="24"/>
      <c r="X14" s="24"/>
      <c r="Z14" s="24"/>
    </row>
    <row r="15" customFormat="false" ht="15" hidden="false" customHeight="false" outlineLevel="0" collapsed="false">
      <c r="B15" s="24"/>
      <c r="C15" s="24"/>
      <c r="D15" s="24"/>
      <c r="F15" s="24"/>
      <c r="H15" s="24"/>
      <c r="J15" s="24"/>
      <c r="L15" s="24"/>
      <c r="N15" s="24"/>
      <c r="P15" s="24"/>
      <c r="R15" s="24"/>
      <c r="T15" s="24"/>
      <c r="V15" s="24"/>
      <c r="X15" s="24"/>
      <c r="Z15" s="24"/>
    </row>
    <row r="16" customFormat="false" ht="15" hidden="false" customHeight="false" outlineLevel="0" collapsed="false">
      <c r="B16" s="24"/>
      <c r="C16" s="24"/>
      <c r="D16" s="24"/>
      <c r="F16" s="24"/>
      <c r="H16" s="24"/>
      <c r="J16" s="24"/>
      <c r="L16" s="24"/>
      <c r="N16" s="24"/>
      <c r="P16" s="24"/>
      <c r="R16" s="24"/>
      <c r="T16" s="24"/>
      <c r="V16" s="24"/>
      <c r="X16" s="24"/>
      <c r="Z16" s="24"/>
    </row>
    <row r="17" customFormat="false" ht="15" hidden="false" customHeight="false" outlineLevel="0" collapsed="false">
      <c r="B17" s="24"/>
      <c r="C17" s="24"/>
      <c r="D17" s="24"/>
      <c r="F17" s="24"/>
      <c r="H17" s="24"/>
      <c r="J17" s="24"/>
      <c r="L17" s="24"/>
      <c r="N17" s="24"/>
      <c r="P17" s="24"/>
      <c r="R17" s="24"/>
      <c r="T17" s="24"/>
      <c r="V17" s="24"/>
      <c r="X17" s="24"/>
      <c r="Z17" s="24"/>
    </row>
    <row r="18" customFormat="false" ht="15" hidden="false" customHeight="false" outlineLevel="0" collapsed="false">
      <c r="B18" s="24"/>
      <c r="C18" s="24"/>
      <c r="D18" s="24"/>
      <c r="F18" s="24"/>
      <c r="H18" s="24"/>
      <c r="J18" s="24"/>
      <c r="L18" s="24"/>
      <c r="N18" s="24"/>
      <c r="P18" s="24"/>
      <c r="R18" s="24"/>
      <c r="T18" s="24"/>
      <c r="V18" s="24"/>
      <c r="X18" s="24"/>
      <c r="Z18" s="24"/>
    </row>
    <row r="19" customFormat="false" ht="15" hidden="false" customHeight="false" outlineLevel="0" collapsed="false">
      <c r="B19" s="24"/>
      <c r="C19" s="24"/>
      <c r="D19" s="24"/>
      <c r="F19" s="24"/>
      <c r="H19" s="24"/>
      <c r="J19" s="24"/>
      <c r="L19" s="24"/>
      <c r="N19" s="24"/>
      <c r="P19" s="24"/>
      <c r="R19" s="24"/>
      <c r="T19" s="24"/>
      <c r="V19" s="24"/>
      <c r="X19" s="24"/>
      <c r="Z19" s="24"/>
    </row>
    <row r="20" customFormat="false" ht="15" hidden="false" customHeight="false" outlineLevel="0" collapsed="false">
      <c r="B20" s="24"/>
      <c r="C20" s="24"/>
      <c r="D20" s="24"/>
      <c r="F20" s="24"/>
      <c r="H20" s="24"/>
      <c r="J20" s="24"/>
      <c r="L20" s="24"/>
      <c r="N20" s="24"/>
      <c r="P20" s="24"/>
      <c r="R20" s="24"/>
      <c r="T20" s="24"/>
      <c r="V20" s="24"/>
      <c r="X20" s="24"/>
      <c r="Z20" s="24"/>
    </row>
    <row r="21" customFormat="false" ht="15" hidden="false" customHeight="false" outlineLevel="0" collapsed="false">
      <c r="B21" s="24"/>
      <c r="C21" s="24"/>
      <c r="D21" s="24"/>
      <c r="F21" s="24"/>
      <c r="H21" s="24"/>
      <c r="J21" s="24"/>
      <c r="L21" s="24"/>
      <c r="N21" s="24"/>
      <c r="P21" s="24"/>
      <c r="R21" s="24"/>
      <c r="T21" s="24"/>
      <c r="V21" s="24"/>
      <c r="X21" s="24"/>
      <c r="Z21" s="24"/>
    </row>
    <row r="22" customFormat="false" ht="15" hidden="false" customHeight="false" outlineLevel="0" collapsed="false">
      <c r="B22" s="24"/>
      <c r="C22" s="24"/>
      <c r="D22" s="24"/>
      <c r="F22" s="24"/>
      <c r="H22" s="24"/>
      <c r="J22" s="24"/>
      <c r="L22" s="24"/>
      <c r="N22" s="24"/>
      <c r="P22" s="24"/>
      <c r="R22" s="24"/>
      <c r="T22" s="24"/>
      <c r="V22" s="24"/>
      <c r="X22" s="24"/>
      <c r="Z22" s="24"/>
    </row>
    <row r="23" customFormat="false" ht="15" hidden="false" customHeight="false" outlineLevel="0" collapsed="false">
      <c r="B23" s="24"/>
      <c r="C23" s="24"/>
      <c r="D23" s="24"/>
      <c r="F23" s="24"/>
      <c r="H23" s="24"/>
      <c r="J23" s="24"/>
      <c r="L23" s="24"/>
      <c r="N23" s="24"/>
      <c r="P23" s="24"/>
      <c r="R23" s="24"/>
      <c r="T23" s="24"/>
      <c r="V23" s="24"/>
      <c r="X23" s="24"/>
      <c r="Z23" s="24"/>
    </row>
    <row r="24" customFormat="false" ht="15" hidden="false" customHeight="false" outlineLevel="0" collapsed="false">
      <c r="B24" s="24"/>
      <c r="C24" s="24"/>
      <c r="D24" s="24"/>
      <c r="F24" s="24"/>
      <c r="H24" s="24"/>
      <c r="J24" s="24"/>
      <c r="L24" s="24"/>
      <c r="N24" s="24"/>
      <c r="P24" s="24"/>
      <c r="R24" s="24"/>
      <c r="T24" s="24"/>
      <c r="V24" s="24"/>
      <c r="X24" s="24"/>
      <c r="Z24" s="24"/>
    </row>
    <row r="25" customFormat="false" ht="15" hidden="false" customHeight="false" outlineLevel="0" collapsed="false">
      <c r="B25" s="24"/>
      <c r="C25" s="24"/>
      <c r="D25" s="24"/>
      <c r="F25" s="24"/>
      <c r="H25" s="24"/>
      <c r="J25" s="24"/>
      <c r="L25" s="24"/>
      <c r="N25" s="24"/>
      <c r="P25" s="24"/>
      <c r="R25" s="24"/>
      <c r="T25" s="24"/>
      <c r="V25" s="24"/>
      <c r="X25" s="24"/>
      <c r="Z25" s="24"/>
    </row>
    <row r="26" customFormat="false" ht="15" hidden="false" customHeight="false" outlineLevel="0" collapsed="false">
      <c r="B26" s="24"/>
      <c r="C26" s="24"/>
      <c r="D26" s="24"/>
      <c r="F26" s="24"/>
      <c r="H26" s="24"/>
      <c r="J26" s="24"/>
      <c r="L26" s="24"/>
      <c r="N26" s="24"/>
      <c r="P26" s="24"/>
      <c r="R26" s="24"/>
      <c r="T26" s="24"/>
      <c r="V26" s="24"/>
      <c r="X26" s="24"/>
      <c r="Z26" s="24"/>
    </row>
    <row r="27" customFormat="false" ht="15" hidden="false" customHeight="false" outlineLevel="0" collapsed="false">
      <c r="B27" s="24"/>
      <c r="C27" s="24"/>
      <c r="D27" s="24"/>
      <c r="F27" s="24"/>
      <c r="H27" s="24"/>
      <c r="J27" s="24"/>
      <c r="L27" s="24"/>
      <c r="N27" s="24"/>
      <c r="P27" s="24"/>
      <c r="R27" s="24"/>
      <c r="T27" s="24"/>
      <c r="V27" s="24"/>
      <c r="X27" s="24"/>
      <c r="Z27" s="24"/>
    </row>
    <row r="28" customFormat="false" ht="15" hidden="false" customHeight="false" outlineLevel="0" collapsed="false">
      <c r="B28" s="24"/>
      <c r="C28" s="24"/>
      <c r="D28" s="24"/>
      <c r="F28" s="24"/>
      <c r="H28" s="24"/>
      <c r="J28" s="24"/>
      <c r="L28" s="24"/>
      <c r="N28" s="24"/>
      <c r="P28" s="24"/>
      <c r="R28" s="24"/>
      <c r="T28" s="24"/>
      <c r="V28" s="24"/>
      <c r="X28" s="24"/>
      <c r="Z28" s="24"/>
    </row>
    <row r="29" customFormat="false" ht="15" hidden="false" customHeight="false" outlineLevel="0" collapsed="false">
      <c r="B29" s="24"/>
      <c r="C29" s="24"/>
      <c r="D29" s="24"/>
      <c r="F29" s="24"/>
      <c r="H29" s="24"/>
      <c r="J29" s="24"/>
      <c r="L29" s="24"/>
      <c r="N29" s="24"/>
      <c r="P29" s="24"/>
      <c r="R29" s="24"/>
      <c r="T29" s="24"/>
      <c r="V29" s="24"/>
      <c r="X29" s="24"/>
      <c r="Z29" s="24"/>
    </row>
    <row r="30" customFormat="false" ht="15" hidden="false" customHeight="false" outlineLevel="0" collapsed="false">
      <c r="B30" s="24"/>
      <c r="C30" s="24"/>
      <c r="D30" s="24"/>
      <c r="F30" s="24"/>
      <c r="H30" s="24"/>
      <c r="J30" s="24"/>
      <c r="L30" s="24"/>
      <c r="N30" s="24"/>
      <c r="P30" s="24"/>
      <c r="R30" s="24"/>
      <c r="T30" s="24"/>
      <c r="V30" s="24"/>
      <c r="X30" s="24"/>
      <c r="Z30" s="24"/>
    </row>
    <row r="31" customFormat="false" ht="15" hidden="false" customHeight="false" outlineLevel="0" collapsed="false">
      <c r="B31" s="24"/>
      <c r="C31" s="24"/>
      <c r="D31" s="24"/>
      <c r="F31" s="24"/>
      <c r="H31" s="24"/>
      <c r="J31" s="24"/>
      <c r="L31" s="24"/>
      <c r="N31" s="24"/>
      <c r="P31" s="24"/>
      <c r="R31" s="24"/>
      <c r="T31" s="24"/>
      <c r="V31" s="24"/>
      <c r="X31" s="24"/>
      <c r="Z31" s="24"/>
    </row>
    <row r="32" customFormat="false" ht="15" hidden="false" customHeight="false" outlineLevel="0" collapsed="false">
      <c r="B32" s="24"/>
      <c r="C32" s="24"/>
      <c r="D32" s="24"/>
      <c r="F32" s="24"/>
      <c r="H32" s="24"/>
      <c r="J32" s="24"/>
      <c r="L32" s="24"/>
      <c r="N32" s="24"/>
      <c r="P32" s="24"/>
      <c r="R32" s="24"/>
      <c r="T32" s="24"/>
      <c r="V32" s="24"/>
      <c r="X32" s="24"/>
      <c r="Z32" s="24"/>
    </row>
    <row r="33" customFormat="false" ht="15" hidden="false" customHeight="false" outlineLevel="0" collapsed="false">
      <c r="B33" s="24"/>
      <c r="C33" s="24"/>
      <c r="D33" s="24"/>
      <c r="F33" s="24"/>
      <c r="H33" s="24"/>
      <c r="J33" s="24"/>
      <c r="L33" s="24"/>
      <c r="N33" s="24"/>
      <c r="P33" s="24"/>
      <c r="R33" s="24"/>
      <c r="T33" s="24"/>
      <c r="V33" s="24"/>
      <c r="X33" s="24"/>
      <c r="Z33" s="24"/>
    </row>
    <row r="34" customFormat="false" ht="15" hidden="false" customHeight="false" outlineLevel="0" collapsed="false">
      <c r="B34" s="24"/>
      <c r="C34" s="24"/>
      <c r="D34" s="24"/>
      <c r="F34" s="24"/>
      <c r="H34" s="24"/>
      <c r="J34" s="24"/>
      <c r="L34" s="24"/>
      <c r="N34" s="24"/>
      <c r="P34" s="24"/>
      <c r="R34" s="24"/>
      <c r="T34" s="24"/>
      <c r="V34" s="24"/>
      <c r="X34" s="24"/>
      <c r="Z34" s="24"/>
    </row>
    <row r="35" customFormat="false" ht="15" hidden="false" customHeight="false" outlineLevel="0" collapsed="false">
      <c r="B35" s="24"/>
      <c r="C35" s="24"/>
      <c r="D35" s="24"/>
      <c r="F35" s="24"/>
      <c r="H35" s="24"/>
      <c r="J35" s="24"/>
      <c r="L35" s="24"/>
      <c r="N35" s="24"/>
      <c r="P35" s="24"/>
      <c r="R35" s="24"/>
      <c r="T35" s="24"/>
      <c r="V35" s="24"/>
      <c r="X35" s="24"/>
      <c r="Z35" s="24"/>
    </row>
    <row r="36" customFormat="false" ht="15" hidden="false" customHeight="false" outlineLevel="0" collapsed="false">
      <c r="B36" s="24"/>
      <c r="C36" s="24"/>
      <c r="D36" s="24"/>
      <c r="F36" s="24"/>
      <c r="H36" s="24"/>
      <c r="J36" s="24"/>
      <c r="L36" s="24"/>
      <c r="N36" s="24"/>
      <c r="P36" s="24"/>
      <c r="R36" s="24"/>
      <c r="T36" s="24"/>
      <c r="V36" s="24"/>
      <c r="X36" s="24"/>
      <c r="Z36" s="24"/>
    </row>
    <row r="37" customFormat="false" ht="15" hidden="false" customHeight="false" outlineLevel="0" collapsed="false">
      <c r="B37" s="24"/>
      <c r="C37" s="24"/>
      <c r="D37" s="24"/>
      <c r="F37" s="24"/>
      <c r="H37" s="24"/>
      <c r="J37" s="24"/>
      <c r="L37" s="24"/>
      <c r="N37" s="24"/>
      <c r="P37" s="24"/>
      <c r="R37" s="24"/>
      <c r="T37" s="24"/>
      <c r="V37" s="24"/>
      <c r="X37" s="24"/>
      <c r="Z37" s="24"/>
    </row>
    <row r="38" customFormat="false" ht="15" hidden="false" customHeight="false" outlineLevel="0" collapsed="false">
      <c r="B38" s="24"/>
      <c r="C38" s="24"/>
      <c r="D38" s="24"/>
      <c r="F38" s="24"/>
      <c r="H38" s="24"/>
      <c r="J38" s="24"/>
      <c r="L38" s="24"/>
      <c r="N38" s="24"/>
      <c r="P38" s="24"/>
      <c r="R38" s="24"/>
      <c r="T38" s="24"/>
      <c r="V38" s="24"/>
      <c r="X38" s="24"/>
      <c r="Z38" s="24"/>
    </row>
    <row r="39" customFormat="false" ht="15" hidden="false" customHeight="false" outlineLevel="0" collapsed="false">
      <c r="B39" s="24"/>
      <c r="C39" s="24"/>
      <c r="D39" s="24"/>
      <c r="F39" s="24"/>
      <c r="H39" s="24"/>
      <c r="J39" s="24"/>
      <c r="L39" s="24"/>
      <c r="N39" s="24"/>
      <c r="P39" s="24"/>
      <c r="R39" s="24"/>
      <c r="T39" s="24"/>
      <c r="V39" s="24"/>
      <c r="X39" s="24"/>
      <c r="Z39" s="24"/>
    </row>
    <row r="40" customFormat="false" ht="15" hidden="false" customHeight="false" outlineLevel="0" collapsed="false">
      <c r="B40" s="24"/>
      <c r="C40" s="24"/>
      <c r="D40" s="24"/>
      <c r="F40" s="24"/>
      <c r="H40" s="24"/>
      <c r="J40" s="24"/>
      <c r="L40" s="24"/>
      <c r="N40" s="24"/>
      <c r="P40" s="24"/>
      <c r="R40" s="24"/>
      <c r="T40" s="24"/>
      <c r="V40" s="24"/>
      <c r="X40" s="24"/>
      <c r="Z40" s="24"/>
    </row>
    <row r="41" customFormat="false" ht="15" hidden="false" customHeight="false" outlineLevel="0" collapsed="false">
      <c r="B41" s="24"/>
      <c r="C41" s="24"/>
      <c r="D41" s="24"/>
      <c r="F41" s="24"/>
      <c r="H41" s="24"/>
      <c r="J41" s="24"/>
      <c r="L41" s="24"/>
      <c r="N41" s="24"/>
      <c r="P41" s="24"/>
      <c r="R41" s="24"/>
      <c r="T41" s="24"/>
      <c r="V41" s="24"/>
      <c r="X41" s="24"/>
      <c r="Z41" s="24"/>
    </row>
    <row r="42" customFormat="false" ht="15" hidden="false" customHeight="false" outlineLevel="0" collapsed="false">
      <c r="B42" s="24"/>
      <c r="C42" s="24"/>
      <c r="D42" s="24"/>
      <c r="F42" s="24"/>
      <c r="H42" s="24"/>
      <c r="J42" s="24"/>
      <c r="L42" s="24"/>
      <c r="N42" s="24"/>
      <c r="P42" s="24"/>
      <c r="R42" s="24"/>
      <c r="T42" s="24"/>
      <c r="V42" s="24"/>
      <c r="X42" s="24"/>
      <c r="Z42" s="24"/>
    </row>
    <row r="43" customFormat="false" ht="15" hidden="false" customHeight="false" outlineLevel="0" collapsed="false">
      <c r="B43" s="24"/>
      <c r="C43" s="24"/>
      <c r="D43" s="24"/>
      <c r="F43" s="24"/>
      <c r="H43" s="24"/>
      <c r="J43" s="24"/>
      <c r="L43" s="24"/>
      <c r="N43" s="24"/>
      <c r="P43" s="24"/>
      <c r="R43" s="24"/>
      <c r="T43" s="24"/>
      <c r="V43" s="24"/>
      <c r="X43" s="24"/>
      <c r="Z43" s="24"/>
    </row>
    <row r="44" customFormat="false" ht="15" hidden="false" customHeight="false" outlineLevel="0" collapsed="false">
      <c r="B44" s="24"/>
      <c r="C44" s="24"/>
      <c r="D44" s="24"/>
      <c r="F44" s="24"/>
      <c r="H44" s="24"/>
      <c r="J44" s="24"/>
      <c r="L44" s="24"/>
      <c r="N44" s="24"/>
      <c r="P44" s="24"/>
      <c r="R44" s="24"/>
      <c r="T44" s="24"/>
      <c r="V44" s="24"/>
      <c r="X44" s="24"/>
      <c r="Z44" s="24"/>
    </row>
    <row r="45" customFormat="false" ht="15" hidden="false" customHeight="false" outlineLevel="0" collapsed="false">
      <c r="B45" s="24"/>
      <c r="C45" s="24"/>
      <c r="D45" s="24"/>
      <c r="F45" s="24"/>
      <c r="H45" s="24"/>
      <c r="J45" s="24"/>
      <c r="L45" s="24"/>
      <c r="N45" s="24"/>
      <c r="P45" s="24"/>
      <c r="R45" s="24"/>
      <c r="T45" s="24"/>
      <c r="V45" s="24"/>
      <c r="X45" s="24"/>
      <c r="Z45" s="24"/>
    </row>
    <row r="48" customFormat="false" ht="19.5" hidden="false" customHeight="true" outlineLevel="0" collapsed="false">
      <c r="A48" s="3" t="s">
        <v>314</v>
      </c>
      <c r="B48" s="3"/>
      <c r="C48" s="3"/>
      <c r="D48" s="3"/>
      <c r="E48" s="3"/>
      <c r="F48" s="3"/>
      <c r="G48" s="3"/>
      <c r="H48" s="3"/>
      <c r="I48" s="3"/>
      <c r="J48" s="3"/>
      <c r="K48" s="3"/>
      <c r="L48" s="3"/>
      <c r="M48" s="3"/>
      <c r="N48" s="3"/>
      <c r="O48" s="3"/>
      <c r="P48" s="3"/>
      <c r="Q48" s="3"/>
      <c r="R48" s="3"/>
      <c r="S48" s="3"/>
      <c r="T48" s="3"/>
      <c r="U48" s="3"/>
      <c r="V48" s="3"/>
      <c r="W48" s="3"/>
      <c r="X48" s="3"/>
      <c r="Y48" s="3"/>
      <c r="Z48" s="3"/>
      <c r="AA48" s="3"/>
    </row>
    <row r="49" customFormat="false" ht="15" hidden="false" customHeight="false" outlineLevel="0" collapsed="false">
      <c r="B49" s="68" t="s">
        <v>315</v>
      </c>
      <c r="C49" s="69" t="s">
        <v>316</v>
      </c>
      <c r="D49" s="69"/>
      <c r="E49" s="69"/>
      <c r="F49" s="69"/>
      <c r="G49" s="69"/>
      <c r="H49" s="69"/>
      <c r="I49" s="69"/>
      <c r="J49" s="69"/>
    </row>
    <row r="50" customFormat="false" ht="15" hidden="false" customHeight="false" outlineLevel="0" collapsed="false">
      <c r="B50" s="68" t="s">
        <v>317</v>
      </c>
      <c r="C50" s="69" t="s">
        <v>318</v>
      </c>
      <c r="D50" s="69"/>
      <c r="E50" s="69"/>
      <c r="F50" s="69"/>
      <c r="G50" s="69"/>
      <c r="H50" s="69"/>
      <c r="I50" s="69"/>
      <c r="J50" s="69"/>
    </row>
    <row r="51" customFormat="false" ht="15" hidden="false" customHeight="false" outlineLevel="0" collapsed="false">
      <c r="B51" s="68" t="s">
        <v>319</v>
      </c>
      <c r="C51" s="69" t="s">
        <v>320</v>
      </c>
      <c r="D51" s="69"/>
      <c r="E51" s="69"/>
      <c r="F51" s="69"/>
      <c r="G51" s="69"/>
      <c r="H51" s="69"/>
      <c r="I51" s="69"/>
      <c r="J51" s="69"/>
    </row>
    <row r="52" customFormat="false" ht="15" hidden="false" customHeight="false" outlineLevel="0" collapsed="false">
      <c r="B52" s="68" t="s">
        <v>321</v>
      </c>
      <c r="C52" s="69" t="s">
        <v>322</v>
      </c>
      <c r="D52" s="69"/>
      <c r="E52" s="69"/>
      <c r="F52" s="69"/>
      <c r="G52" s="69"/>
      <c r="H52" s="69"/>
      <c r="I52" s="69"/>
      <c r="J52" s="69"/>
    </row>
    <row r="54" customFormat="false" ht="19.5" hidden="false" customHeight="true" outlineLevel="0" collapsed="false">
      <c r="A54" s="3" t="s">
        <v>323</v>
      </c>
      <c r="B54" s="3"/>
      <c r="C54" s="3"/>
      <c r="D54" s="3"/>
      <c r="E54" s="3"/>
      <c r="F54" s="3"/>
      <c r="G54" s="3"/>
      <c r="H54" s="3"/>
      <c r="I54" s="3"/>
      <c r="J54" s="3"/>
      <c r="K54" s="3"/>
      <c r="L54" s="3"/>
      <c r="M54" s="3"/>
      <c r="N54" s="3"/>
      <c r="O54" s="3"/>
      <c r="P54" s="3"/>
      <c r="Q54" s="3"/>
      <c r="R54" s="3"/>
      <c r="S54" s="3"/>
      <c r="T54" s="3"/>
      <c r="U54" s="3"/>
      <c r="V54" s="3"/>
      <c r="W54" s="3"/>
      <c r="X54" s="3"/>
      <c r="Y54" s="3"/>
      <c r="Z54" s="3"/>
      <c r="AA54" s="3"/>
    </row>
    <row r="55" customFormat="false" ht="15" hidden="false" customHeight="false" outlineLevel="0" collapsed="false">
      <c r="B55" s="68" t="s">
        <v>324</v>
      </c>
      <c r="C55" s="70" t="n">
        <v>0</v>
      </c>
      <c r="D55" s="71" t="s">
        <v>325</v>
      </c>
      <c r="E55" s="71"/>
      <c r="F55" s="71"/>
      <c r="G55" s="71"/>
      <c r="H55" s="71"/>
      <c r="I55" s="71"/>
      <c r="J55" s="71"/>
    </row>
    <row r="56" customFormat="false" ht="15" hidden="false" customHeight="false" outlineLevel="0" collapsed="false">
      <c r="B56" s="68" t="s">
        <v>326</v>
      </c>
      <c r="C56" s="70" t="n">
        <v>100</v>
      </c>
      <c r="D56" s="71" t="s">
        <v>327</v>
      </c>
      <c r="E56" s="71"/>
      <c r="F56" s="71"/>
      <c r="G56" s="71"/>
      <c r="H56" s="71"/>
      <c r="I56" s="71"/>
      <c r="J56" s="71"/>
    </row>
    <row r="57" customFormat="false" ht="15" hidden="false" customHeight="false" outlineLevel="0" collapsed="false">
      <c r="B57" s="68" t="s">
        <v>328</v>
      </c>
      <c r="C57" s="70" t="n">
        <v>4</v>
      </c>
      <c r="D57" s="71" t="s">
        <v>329</v>
      </c>
      <c r="E57" s="71"/>
      <c r="F57" s="71"/>
      <c r="G57" s="71"/>
      <c r="H57" s="71"/>
      <c r="I57" s="71"/>
      <c r="J57" s="71"/>
    </row>
    <row r="58" customFormat="false" ht="15" hidden="false" customHeight="false" outlineLevel="0" collapsed="false">
      <c r="B58" s="68" t="s">
        <v>330</v>
      </c>
      <c r="C58" s="70" t="n">
        <v>-18</v>
      </c>
      <c r="D58" s="71" t="s">
        <v>329</v>
      </c>
      <c r="E58" s="71"/>
      <c r="F58" s="71"/>
      <c r="G58" s="71"/>
      <c r="H58" s="71"/>
      <c r="I58" s="71"/>
      <c r="J58" s="71"/>
    </row>
  </sheetData>
  <mergeCells count="13">
    <mergeCell ref="A1:AA1"/>
    <mergeCell ref="A2:AA2"/>
    <mergeCell ref="A4:AA4"/>
    <mergeCell ref="A48:AA48"/>
    <mergeCell ref="C49:J49"/>
    <mergeCell ref="C50:J50"/>
    <mergeCell ref="C51:J51"/>
    <mergeCell ref="C52:J52"/>
    <mergeCell ref="A54:AA54"/>
    <mergeCell ref="D55:J55"/>
    <mergeCell ref="D56:J56"/>
    <mergeCell ref="D57:J57"/>
    <mergeCell ref="D58:J58"/>
  </mergeCells>
  <dataValidations count="1">
    <dataValidation allowBlank="true" error="Choisissez une valeur dans la liste deroulante." errorStyle="stop" errorTitle="Valeur non autorisee" operator="between" showDropDown="false" showErrorMessage="true" showInputMessage="false" sqref="C6:C45" type="list">
      <formula1>"INTERNE,EXTERNE"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7A8C"/>
    <pageSetUpPr fitToPage="false"/>
  </sheetPr>
  <dimension ref="A1:F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120"/>
  </cols>
  <sheetData>
    <row r="1" customFormat="false" ht="30" hidden="false" customHeight="true" outlineLevel="0" collapsed="false">
      <c r="A1" s="1" t="s">
        <v>331</v>
      </c>
      <c r="B1" s="1"/>
      <c r="C1" s="1"/>
      <c r="D1" s="1"/>
      <c r="E1" s="1"/>
      <c r="F1" s="1"/>
    </row>
    <row r="2" customFormat="false" ht="18" hidden="false" customHeight="true" outlineLevel="0" collapsed="false">
      <c r="A2" s="2" t="s">
        <v>332</v>
      </c>
      <c r="B2" s="2"/>
      <c r="C2" s="2"/>
      <c r="D2" s="2"/>
      <c r="E2" s="2"/>
      <c r="F2" s="2"/>
    </row>
    <row r="4" customFormat="false" ht="19.5" hidden="false" customHeight="true" outlineLevel="0" collapsed="false">
      <c r="A4" s="72" t="s">
        <v>333</v>
      </c>
      <c r="B4" s="72"/>
      <c r="C4" s="72"/>
      <c r="D4" s="72"/>
      <c r="E4" s="72"/>
      <c r="F4" s="72"/>
    </row>
    <row r="6" customFormat="false" ht="21.75" hidden="false" customHeight="true" outlineLevel="0" collapsed="false">
      <c r="B6" s="73" t="s">
        <v>334</v>
      </c>
    </row>
    <row r="7" customFormat="false" ht="25.5" hidden="false" customHeight="true" outlineLevel="0" collapsed="false">
      <c r="B7" s="74" t="s">
        <v>335</v>
      </c>
    </row>
    <row r="8" customFormat="false" ht="39" hidden="false" customHeight="true" outlineLevel="0" collapsed="false">
      <c r="B8" s="74" t="s">
        <v>336</v>
      </c>
    </row>
    <row r="9" customFormat="false" ht="21.75" hidden="false" customHeight="true" outlineLevel="0" collapsed="false">
      <c r="B9" s="73" t="s">
        <v>337</v>
      </c>
    </row>
    <row r="10" customFormat="false" ht="39" hidden="false" customHeight="true" outlineLevel="0" collapsed="false">
      <c r="B10" s="74" t="s">
        <v>338</v>
      </c>
    </row>
    <row r="11" customFormat="false" ht="21.75" hidden="false" customHeight="true" outlineLevel="0" collapsed="false">
      <c r="B11" s="73" t="s">
        <v>339</v>
      </c>
    </row>
    <row r="12" customFormat="false" ht="15.75" hidden="false" customHeight="true" outlineLevel="0" collapsed="false">
      <c r="B12" s="74" t="s">
        <v>340</v>
      </c>
    </row>
    <row r="13" customFormat="false" ht="25.5" hidden="false" customHeight="true" outlineLevel="0" collapsed="false">
      <c r="B13" s="74" t="s">
        <v>341</v>
      </c>
    </row>
    <row r="14" customFormat="false" ht="25.5" hidden="false" customHeight="true" outlineLevel="0" collapsed="false">
      <c r="B14" s="74" t="s">
        <v>342</v>
      </c>
    </row>
    <row r="15" customFormat="false" ht="21.75" hidden="false" customHeight="true" outlineLevel="0" collapsed="false">
      <c r="B15" s="73" t="s">
        <v>343</v>
      </c>
    </row>
    <row r="16" customFormat="false" ht="25.5" hidden="false" customHeight="true" outlineLevel="0" collapsed="false">
      <c r="B16" s="74" t="s">
        <v>344</v>
      </c>
    </row>
    <row r="17" customFormat="false" ht="39" hidden="false" customHeight="true" outlineLevel="0" collapsed="false">
      <c r="B17" s="74" t="s">
        <v>345</v>
      </c>
    </row>
    <row r="18" customFormat="false" ht="51.75" hidden="false" customHeight="true" outlineLevel="0" collapsed="false">
      <c r="B18" s="74" t="s">
        <v>346</v>
      </c>
    </row>
    <row r="19" customFormat="false" ht="25.5" hidden="false" customHeight="true" outlineLevel="0" collapsed="false">
      <c r="B19" s="74" t="s">
        <v>347</v>
      </c>
    </row>
    <row r="20" customFormat="false" ht="21.75" hidden="false" customHeight="true" outlineLevel="0" collapsed="false">
      <c r="B20" s="73" t="s">
        <v>348</v>
      </c>
    </row>
    <row r="21" customFormat="false" ht="25.5" hidden="false" customHeight="true" outlineLevel="0" collapsed="false">
      <c r="B21" s="74" t="s">
        <v>349</v>
      </c>
    </row>
    <row r="22" customFormat="false" ht="25.5" hidden="false" customHeight="true" outlineLevel="0" collapsed="false">
      <c r="B22" s="74" t="s">
        <v>350</v>
      </c>
    </row>
    <row r="23" customFormat="false" ht="25.5" hidden="false" customHeight="true" outlineLevel="0" collapsed="false">
      <c r="B23" s="74" t="s">
        <v>351</v>
      </c>
    </row>
    <row r="24" customFormat="false" ht="25.5" hidden="false" customHeight="true" outlineLevel="0" collapsed="false">
      <c r="B24" s="74" t="s">
        <v>352</v>
      </c>
    </row>
    <row r="25" customFormat="false" ht="25.5" hidden="false" customHeight="true" outlineLevel="0" collapsed="false">
      <c r="B25" s="74" t="s">
        <v>353</v>
      </c>
    </row>
    <row r="26" customFormat="false" ht="25.5" hidden="false" customHeight="true" outlineLevel="0" collapsed="false">
      <c r="B26" s="74" t="s">
        <v>354</v>
      </c>
    </row>
    <row r="27" customFormat="false" ht="21.75" hidden="false" customHeight="true" outlineLevel="0" collapsed="false">
      <c r="B27" s="73" t="s">
        <v>355</v>
      </c>
    </row>
    <row r="28" customFormat="false" ht="25.5" hidden="false" customHeight="true" outlineLevel="0" collapsed="false">
      <c r="B28" s="74" t="s">
        <v>356</v>
      </c>
    </row>
    <row r="29" customFormat="false" ht="25.5" hidden="false" customHeight="true" outlineLevel="0" collapsed="false">
      <c r="B29" s="74" t="s">
        <v>357</v>
      </c>
    </row>
    <row r="30" customFormat="false" ht="21.75" hidden="false" customHeight="true" outlineLevel="0" collapsed="false">
      <c r="B30" s="73" t="s">
        <v>358</v>
      </c>
    </row>
    <row r="31" customFormat="false" ht="15.75" hidden="false" customHeight="true" outlineLevel="0" collapsed="false">
      <c r="B31" s="74" t="s">
        <v>359</v>
      </c>
    </row>
    <row r="32" customFormat="false" ht="15.75" hidden="false" customHeight="true" outlineLevel="0" collapsed="false">
      <c r="B32" s="74" t="s">
        <v>360</v>
      </c>
    </row>
    <row r="33" customFormat="false" ht="15.75" hidden="false" customHeight="true" outlineLevel="0" collapsed="false">
      <c r="B33" s="74" t="s">
        <v>361</v>
      </c>
    </row>
    <row r="34" customFormat="false" ht="15.75" hidden="false" customHeight="true" outlineLevel="0" collapsed="false">
      <c r="B34" s="74" t="s">
        <v>362</v>
      </c>
    </row>
    <row r="35" customFormat="false" ht="15.75" hidden="false" customHeight="true" outlineLevel="0" collapsed="false">
      <c r="B35" s="74" t="s">
        <v>363</v>
      </c>
    </row>
    <row r="36" customFormat="false" ht="15.75" hidden="false" customHeight="true" outlineLevel="0" collapsed="false">
      <c r="B36" s="74" t="s">
        <v>364</v>
      </c>
    </row>
    <row r="37" customFormat="false" ht="15.75" hidden="false" customHeight="true" outlineLevel="0" collapsed="false">
      <c r="B37" s="74" t="s">
        <v>365</v>
      </c>
    </row>
    <row r="38" customFormat="false" ht="21.75" hidden="false" customHeight="true" outlineLevel="0" collapsed="false">
      <c r="B38" s="73" t="s">
        <v>366</v>
      </c>
    </row>
    <row r="39" customFormat="false" ht="25.5" hidden="false" customHeight="true" outlineLevel="0" collapsed="false">
      <c r="B39" s="74" t="s">
        <v>367</v>
      </c>
    </row>
    <row r="40" customFormat="false" ht="25.5" hidden="false" customHeight="true" outlineLevel="0" collapsed="false">
      <c r="B40" s="74" t="s">
        <v>368</v>
      </c>
    </row>
    <row r="41" customFormat="false" ht="25.5" hidden="false" customHeight="true" outlineLevel="0" collapsed="false">
      <c r="B41" s="74" t="s">
        <v>369</v>
      </c>
    </row>
    <row r="42" customFormat="false" ht="21.75" hidden="false" customHeight="true" outlineLevel="0" collapsed="false">
      <c r="B42" s="73" t="s">
        <v>370</v>
      </c>
    </row>
    <row r="43" customFormat="false" ht="25.5" hidden="false" customHeight="true" outlineLevel="0" collapsed="false">
      <c r="B43" s="74" t="s">
        <v>371</v>
      </c>
    </row>
  </sheetData>
  <mergeCells count="3">
    <mergeCell ref="A1:F1"/>
    <mergeCell ref="A2:F2"/>
    <mergeCell ref="A4:F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7A8C"/>
    <pageSetUpPr fitToPage="false"/>
  </sheetPr>
  <dimension ref="A1:F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7"/>
    <col collapsed="false" customWidth="true" hidden="false" outlineLevel="0" max="3" min="3" style="0" width="74"/>
    <col collapsed="false" customWidth="true" hidden="false" outlineLevel="0" max="5" min="4" style="0" width="24"/>
    <col collapsed="false" customWidth="true" hidden="false" outlineLevel="0" max="6" min="6" style="0" width="12"/>
  </cols>
  <sheetData>
    <row r="1" customFormat="false" ht="30" hidden="false" customHeight="true" outlineLevel="0" collapsed="false">
      <c r="A1" s="1" t="s">
        <v>372</v>
      </c>
      <c r="B1" s="1"/>
      <c r="C1" s="1"/>
      <c r="D1" s="1"/>
      <c r="E1" s="1"/>
      <c r="F1" s="1"/>
    </row>
    <row r="2" customFormat="false" ht="18" hidden="false" customHeight="true" outlineLevel="0" collapsed="false">
      <c r="A2" s="2" t="s">
        <v>373</v>
      </c>
      <c r="B2" s="2"/>
      <c r="C2" s="2"/>
      <c r="D2" s="2"/>
      <c r="E2" s="2"/>
      <c r="F2" s="2"/>
    </row>
    <row r="4" customFormat="false" ht="24" hidden="false" customHeight="true" outlineLevel="0" collapsed="false">
      <c r="B4" s="8" t="str">
        <f aca="false">IF(COUNTIF($F$7:$F$35,"FAIL")=0,"RESULTAT GLOBAL : 29 / 29 TESTS PASS","RESULTAT GLOBAL : "&amp;COUNTIF($F$7:$F$35,"FAIL")&amp;" TEST(S) EN ECHEC")</f>
        <v>RESULTAT GLOBAL : 29 / 29 TESTS PASS</v>
      </c>
      <c r="C4" s="8"/>
    </row>
    <row r="6" customFormat="false" ht="15" hidden="false" customHeight="false" outlineLevel="0" collapsed="false">
      <c r="B6" s="40" t="s">
        <v>251</v>
      </c>
      <c r="C6" s="40" t="s">
        <v>374</v>
      </c>
      <c r="D6" s="40" t="s">
        <v>375</v>
      </c>
      <c r="E6" s="40" t="s">
        <v>376</v>
      </c>
      <c r="F6" s="40" t="s">
        <v>377</v>
      </c>
    </row>
    <row r="7" customFormat="false" ht="15" hidden="false" customHeight="false" outlineLevel="0" collapsed="false">
      <c r="B7" s="75" t="s">
        <v>378</v>
      </c>
      <c r="C7" s="76" t="s">
        <v>379</v>
      </c>
      <c r="D7" s="77" t="n">
        <v>1000</v>
      </c>
      <c r="E7" s="78" t="n">
        <f aca="false">SUMIFS(MVT_NET,MVT_LOT,"255",MVT_EMPL,"OCEAMIC 2",MVT_OP,"RECEPTION")</f>
        <v>1000</v>
      </c>
      <c r="F7" s="79" t="str">
        <f aca="false">IF(ISNUMBER($D7),IF(ABS($E7-$D7)&lt;0.001,"PASS","FAIL"),IF(EXACT(TRIM($E7),TRIM($D7)),"PASS","FAIL"))</f>
        <v>PASS</v>
      </c>
    </row>
    <row r="8" customFormat="false" ht="15" hidden="false" customHeight="false" outlineLevel="0" collapsed="false">
      <c r="B8" s="75" t="s">
        <v>380</v>
      </c>
      <c r="C8" s="76" t="s">
        <v>381</v>
      </c>
      <c r="D8" s="77" t="n">
        <v>2000</v>
      </c>
      <c r="E8" s="78" t="n">
        <f aca="false">SUMIFS(MVT_NET,MVT_LOT,"256",MVT_EMPL,"SARMA",MVT_OP,"RECEPTION")</f>
        <v>2000</v>
      </c>
      <c r="F8" s="79" t="str">
        <f aca="false">IF(ISNUMBER($D8),IF(ABS($E8-$D8)&lt;0.001,"PASS","FAIL"),IF(EXACT(TRIM($E8),TRIM($D8)),"PASS","FAIL"))</f>
        <v>PASS</v>
      </c>
    </row>
    <row r="9" customFormat="false" ht="15" hidden="false" customHeight="false" outlineLevel="0" collapsed="false">
      <c r="B9" s="75" t="s">
        <v>382</v>
      </c>
      <c r="C9" s="76" t="s">
        <v>383</v>
      </c>
      <c r="D9" s="77" t="n">
        <v>500</v>
      </c>
      <c r="E9" s="78" t="n">
        <f aca="false">SUMIFS(MVT_NET,MVT_LOT,"257",MVT_EMPL,"OCEAMIC 2")</f>
        <v>500</v>
      </c>
      <c r="F9" s="79" t="str">
        <f aca="false">IF(ISNUMBER($D9),IF(ABS($E9-$D9)&lt;0.001,"PASS","FAIL"),IF(EXACT(TRIM($E9),TRIM($D9)),"PASS","FAIL"))</f>
        <v>PASS</v>
      </c>
    </row>
    <row r="10" customFormat="false" ht="15" hidden="false" customHeight="false" outlineLevel="0" collapsed="false">
      <c r="B10" s="75" t="s">
        <v>384</v>
      </c>
      <c r="C10" s="76" t="s">
        <v>385</v>
      </c>
      <c r="D10" s="77" t="n">
        <v>1200</v>
      </c>
      <c r="E10" s="78" t="n">
        <f aca="false">SUMIFS(MVT_NET,MVT_LOT,"256",MVT_EMPL,"SARMA")</f>
        <v>1200</v>
      </c>
      <c r="F10" s="79" t="str">
        <f aca="false">IF(ISNUMBER($D10),IF(ABS($E10-$D10)&lt;0.001,"PASS","FAIL"),IF(EXACT(TRIM($E10),TRIM($D10)),"PASS","FAIL"))</f>
        <v>PASS</v>
      </c>
    </row>
    <row r="11" customFormat="false" ht="15" hidden="false" customHeight="false" outlineLevel="0" collapsed="false">
      <c r="B11" s="75" t="s">
        <v>386</v>
      </c>
      <c r="C11" s="76" t="s">
        <v>387</v>
      </c>
      <c r="D11" s="77" t="n">
        <v>800</v>
      </c>
      <c r="E11" s="78" t="n">
        <f aca="false">SUMIFS(MVT_NET,MVT_LOT,"256",MVT_EMPL,"OCEAMIC 2")</f>
        <v>800</v>
      </c>
      <c r="F11" s="79" t="str">
        <f aca="false">IF(ISNUMBER($D11),IF(ABS($E11-$D11)&lt;0.001,"PASS","FAIL"),IF(EXACT(TRIM($E11),TRIM($D11)),"PASS","FAIL"))</f>
        <v>PASS</v>
      </c>
    </row>
    <row r="12" customFormat="false" ht="15" hidden="false" customHeight="false" outlineLevel="0" collapsed="false">
      <c r="B12" s="75" t="s">
        <v>388</v>
      </c>
      <c r="C12" s="76" t="s">
        <v>389</v>
      </c>
      <c r="D12" s="77" t="n">
        <v>500</v>
      </c>
      <c r="E12" s="78" t="n">
        <f aca="false">SUMIFS(MVT_NET,MVT_LOT,"255",MVT_EMPL,"OCEAMIC 2")</f>
        <v>500</v>
      </c>
      <c r="F12" s="79" t="str">
        <f aca="false">IF(ISNUMBER($D12),IF(ABS($E12-$D12)&lt;0.001,"PASS","FAIL"),IF(EXACT(TRIM($E12),TRIM($D12)),"PASS","FAIL"))</f>
        <v>PASS</v>
      </c>
    </row>
    <row r="13" customFormat="false" ht="15" hidden="false" customHeight="false" outlineLevel="0" collapsed="false">
      <c r="B13" s="75" t="s">
        <v>390</v>
      </c>
      <c r="C13" s="76" t="s">
        <v>391</v>
      </c>
      <c r="D13" s="77" t="n">
        <v>0</v>
      </c>
      <c r="E13" s="78" t="n">
        <f aca="false">SUMIFS(MVT_NET,MVT_LOT,"300")</f>
        <v>0</v>
      </c>
      <c r="F13" s="79" t="str">
        <f aca="false">IF(ISNUMBER($D13),IF(ABS($E13-$D13)&lt;0.001,"PASS","FAIL"),IF(EXACT(TRIM($E13),TRIM($D13)),"PASS","FAIL"))</f>
        <v>PASS</v>
      </c>
    </row>
    <row r="14" customFormat="false" ht="15" hidden="false" customHeight="false" outlineLevel="0" collapsed="false">
      <c r="B14" s="75" t="s">
        <v>392</v>
      </c>
      <c r="C14" s="76" t="s">
        <v>393</v>
      </c>
      <c r="D14" s="77" t="n">
        <v>0</v>
      </c>
      <c r="E14" s="78" t="n">
        <f aca="false">ABS(SUMIFS(MVT_BRUT,MVT_REF,"ST-002",MVT_SENS,"SORTIE"))</f>
        <v>0</v>
      </c>
      <c r="F14" s="79" t="str">
        <f aca="false">IF(ISNUMBER($D14),IF(ABS($E14-$D14)&lt;0.001,"PASS","FAIL"),IF(EXACT(TRIM($E14),TRIM($D14)),"PASS","FAIL"))</f>
        <v>PASS</v>
      </c>
    </row>
    <row r="15" customFormat="false" ht="15" hidden="false" customHeight="false" outlineLevel="0" collapsed="false">
      <c r="B15" s="75" t="s">
        <v>394</v>
      </c>
      <c r="C15" s="76" t="s">
        <v>395</v>
      </c>
      <c r="D15" s="80" t="s">
        <v>396</v>
      </c>
      <c r="E15" s="79" t="str">
        <f aca="false">INDEX(ST_STATUT,MATCH("ST-003",ST_ID,0))</f>
        <v>EN COURS</v>
      </c>
      <c r="F15" s="79" t="str">
        <f aca="false">IF(ISNUMBER($D15),IF(ABS($E15-$D15)&lt;0.001,"PASS","FAIL"),IF(EXACT(TRIM($E15),TRIM($D15)),"PASS","FAIL"))</f>
        <v>PASS</v>
      </c>
    </row>
    <row r="16" customFormat="false" ht="15" hidden="false" customHeight="false" outlineLevel="0" collapsed="false">
      <c r="B16" s="75" t="s">
        <v>397</v>
      </c>
      <c r="C16" s="76" t="s">
        <v>398</v>
      </c>
      <c r="D16" s="77" t="n">
        <v>2</v>
      </c>
      <c r="E16" s="78" t="n">
        <f aca="false">INDEX(ST_NBRES,MATCH("ST-001",ST_ID,0))</f>
        <v>2</v>
      </c>
      <c r="F16" s="79" t="str">
        <f aca="false">IF(ISNUMBER($D16),IF(ABS($E16-$D16)&lt;0.001,"PASS","FAIL"),IF(EXACT(TRIM($E16),TRIM($D16)),"PASS","FAIL"))</f>
        <v>PASS</v>
      </c>
    </row>
    <row r="17" customFormat="false" ht="15" hidden="false" customHeight="false" outlineLevel="0" collapsed="false">
      <c r="B17" s="75" t="s">
        <v>399</v>
      </c>
      <c r="C17" s="76" t="s">
        <v>400</v>
      </c>
      <c r="D17" s="77" t="n">
        <v>450</v>
      </c>
      <c r="E17" s="78" t="n">
        <f aca="false">INDEX(ST_TOTSORTIE,MATCH("ST-001",ST_ID,0))</f>
        <v>450</v>
      </c>
      <c r="F17" s="79" t="str">
        <f aca="false">IF(ISNUMBER($D17),IF(ABS($E17-$D17)&lt;0.001,"PASS","FAIL"),IF(EXACT(TRIM($E17),TRIM($D17)),"PASS","FAIL"))</f>
        <v>PASS</v>
      </c>
    </row>
    <row r="18" customFormat="false" ht="15" hidden="false" customHeight="false" outlineLevel="0" collapsed="false">
      <c r="B18" s="75" t="s">
        <v>401</v>
      </c>
      <c r="C18" s="76" t="s">
        <v>402</v>
      </c>
      <c r="D18" s="77" t="n">
        <v>300</v>
      </c>
      <c r="E18" s="78" t="n">
        <f aca="false">SUMIFS(MVT_NET,MVT_LOT,"255-HG",MVT_EMPL,"OCEAMIC 2")</f>
        <v>300</v>
      </c>
      <c r="F18" s="79" t="str">
        <f aca="false">IF(ISNUMBER($D18),IF(ABS($E18-$D18)&lt;0.001,"PASS","FAIL"),IF(EXACT(TRIM($E18),TRIM($D18)),"PASS","FAIL"))</f>
        <v>PASS</v>
      </c>
    </row>
    <row r="19" customFormat="false" ht="15" hidden="false" customHeight="false" outlineLevel="0" collapsed="false">
      <c r="B19" s="75" t="s">
        <v>403</v>
      </c>
      <c r="C19" s="76" t="s">
        <v>404</v>
      </c>
      <c r="D19" s="77" t="n">
        <v>150</v>
      </c>
      <c r="E19" s="78" t="n">
        <f aca="false">SUMIFS(MVT_NET,MVT_LOT,"255-HGT",MVT_EMPL,"COFRIGOP")</f>
        <v>150</v>
      </c>
      <c r="F19" s="79" t="str">
        <f aca="false">IF(ISNUMBER($D19),IF(ABS($E19-$D19)&lt;0.001,"PASS","FAIL"),IF(EXACT(TRIM($E19),TRIM($D19)),"PASS","FAIL"))</f>
        <v>PASS</v>
      </c>
    </row>
    <row r="20" customFormat="false" ht="15" hidden="false" customHeight="false" outlineLevel="0" collapsed="false">
      <c r="B20" s="75" t="s">
        <v>405</v>
      </c>
      <c r="C20" s="76" t="s">
        <v>406</v>
      </c>
      <c r="D20" s="77" t="n">
        <v>50</v>
      </c>
      <c r="E20" s="78" t="n">
        <f aca="false">INDEX(ST_ECART,MATCH("ST-001",ST_ID,0))</f>
        <v>50</v>
      </c>
      <c r="F20" s="79" t="str">
        <f aca="false">IF(ISNUMBER($D20),IF(ABS($E20-$D20)&lt;0.001,"PASS","FAIL"),IF(EXACT(TRIM($E20),TRIM($D20)),"PASS","FAIL"))</f>
        <v>PASS</v>
      </c>
    </row>
    <row r="21" customFormat="false" ht="15" hidden="false" customHeight="false" outlineLevel="0" collapsed="false">
      <c r="B21" s="75" t="s">
        <v>407</v>
      </c>
      <c r="C21" s="76" t="s">
        <v>408</v>
      </c>
      <c r="D21" s="80" t="s">
        <v>409</v>
      </c>
      <c r="E21" s="79" t="str">
        <f aca="false">INDEX(ST_STATUT,MATCH("ST-001",ST_ID,0))</f>
        <v>A JUSTIFIER</v>
      </c>
      <c r="F21" s="79" t="str">
        <f aca="false">IF(ISNUMBER($D21),IF(ABS($E21-$D21)&lt;0.001,"PASS","FAIL"),IF(EXACT(TRIM($E21),TRIM($D21)),"PASS","FAIL"))</f>
        <v>PASS</v>
      </c>
    </row>
    <row r="22" customFormat="false" ht="15" hidden="false" customHeight="false" outlineLevel="0" collapsed="false">
      <c r="B22" s="75" t="s">
        <v>410</v>
      </c>
      <c r="C22" s="76" t="s">
        <v>411</v>
      </c>
      <c r="D22" s="80" t="s">
        <v>412</v>
      </c>
      <c r="E22" s="79" t="str">
        <f aca="false">INDEX(ST_STATUT,MATCH("ST-002",ST_ID,0))</f>
        <v>OK</v>
      </c>
      <c r="F22" s="79" t="str">
        <f aca="false">IF(ISNUMBER($D22),IF(ABS($E22-$D22)&lt;0.001,"PASS","FAIL"),IF(EXACT(TRIM($E22),TRIM($D22)),"PASS","FAIL"))</f>
        <v>PASS</v>
      </c>
    </row>
    <row r="23" customFormat="false" ht="15" hidden="false" customHeight="false" outlineLevel="0" collapsed="false">
      <c r="B23" s="75" t="s">
        <v>413</v>
      </c>
      <c r="C23" s="76" t="s">
        <v>414</v>
      </c>
      <c r="D23" s="77" t="n">
        <v>0</v>
      </c>
      <c r="E23" s="78" t="n">
        <f aca="false">COUNTIF(MVT_SRC,"QUALITE")</f>
        <v>0</v>
      </c>
      <c r="F23" s="79" t="str">
        <f aca="false">IF(ISNUMBER($D23),IF(ABS($E23-$D23)&lt;0.001,"PASS","FAIL"),IF(EXACT(TRIM($E23),TRIM($D23)),"PASS","FAIL"))</f>
        <v>PASS</v>
      </c>
    </row>
    <row r="24" customFormat="false" ht="15" hidden="false" customHeight="false" outlineLevel="0" collapsed="false">
      <c r="B24" s="75" t="s">
        <v>415</v>
      </c>
      <c r="C24" s="76" t="s">
        <v>416</v>
      </c>
      <c r="D24" s="77" t="n">
        <v>500</v>
      </c>
      <c r="E24" s="78" t="n">
        <f aca="false">SUMIFS(MVT_NET,MVT_LOT,"255",MVT_EMPL,"OCEAMIC 2")</f>
        <v>500</v>
      </c>
      <c r="F24" s="79" t="str">
        <f aca="false">IF(ISNUMBER($D24),IF(ABS($E24-$D24)&lt;0.001,"PASS","FAIL"),IF(EXACT(TRIM($E24),TRIM($D24)),"PASS","FAIL"))</f>
        <v>PASS</v>
      </c>
    </row>
    <row r="25" customFormat="false" ht="15" hidden="false" customHeight="false" outlineLevel="0" collapsed="false">
      <c r="B25" s="75" t="s">
        <v>417</v>
      </c>
      <c r="C25" s="76" t="s">
        <v>418</v>
      </c>
      <c r="D25" s="80" t="s">
        <v>419</v>
      </c>
      <c r="E25" s="79" t="str">
        <f aca="false">INDEX(QC_STATUT,MATCH("257",QC_LOT,0))</f>
        <v>EMPLACEMENT INCOHERENT</v>
      </c>
      <c r="F25" s="79" t="str">
        <f aca="false">IF(ISNUMBER($D25),IF(ABS($E25-$D25)&lt;0.001,"PASS","FAIL"),IF(EXACT(TRIM($E25),TRIM($D25)),"PASS","FAIL"))</f>
        <v>PASS</v>
      </c>
    </row>
    <row r="26" customFormat="false" ht="15" hidden="false" customHeight="false" outlineLevel="0" collapsed="false">
      <c r="B26" s="75" t="s">
        <v>420</v>
      </c>
      <c r="C26" s="76" t="s">
        <v>421</v>
      </c>
      <c r="D26" s="80" t="s">
        <v>422</v>
      </c>
      <c r="E26" s="79" t="str">
        <f aca="false">OPERATIONS!$P$12</f>
        <v>STOCK INSUFFISANT</v>
      </c>
      <c r="F26" s="79" t="str">
        <f aca="false">IF(ISNUMBER($D26),IF(ABS($E26-$D26)&lt;0.001,"PASS","FAIL"),IF(EXACT(TRIM($E26),TRIM($D26)),"PASS","FAIL"))</f>
        <v>PASS</v>
      </c>
    </row>
    <row r="27" customFormat="false" ht="15" hidden="false" customHeight="false" outlineLevel="0" collapsed="false">
      <c r="B27" s="75" t="s">
        <v>423</v>
      </c>
      <c r="C27" s="76" t="s">
        <v>424</v>
      </c>
      <c r="D27" s="77" t="n">
        <v>200</v>
      </c>
      <c r="E27" s="78" t="n">
        <f aca="false">SUMIFS(MVT_NET,MVT_LOT,"258")</f>
        <v>200</v>
      </c>
      <c r="F27" s="79" t="str">
        <f aca="false">IF(ISNUMBER($D27),IF(ABS($E27-$D27)&lt;0.001,"PASS","FAIL"),IF(EXACT(TRIM($E27),TRIM($D27)),"PASS","FAIL"))</f>
        <v>PASS</v>
      </c>
    </row>
    <row r="28" customFormat="false" ht="15" hidden="false" customHeight="false" outlineLevel="0" collapsed="false">
      <c r="B28" s="75" t="s">
        <v>425</v>
      </c>
      <c r="C28" s="76" t="s">
        <v>426</v>
      </c>
      <c r="D28" s="80" t="s">
        <v>70</v>
      </c>
      <c r="E28" s="79" t="str">
        <f aca="false">OPERATIONS!$J$12</f>
        <v>SARDINE</v>
      </c>
      <c r="F28" s="79" t="str">
        <f aca="false">IF(ISNUMBER($D28),IF(ABS($E28-$D28)&lt;0.001,"PASS","FAIL"),IF(EXACT(TRIM($E28),TRIM($D28)),"PASS","FAIL"))</f>
        <v>PASS</v>
      </c>
    </row>
    <row r="29" customFormat="false" ht="15" hidden="false" customHeight="false" outlineLevel="0" collapsed="false">
      <c r="B29" s="75" t="s">
        <v>427</v>
      </c>
      <c r="C29" s="76" t="s">
        <v>428</v>
      </c>
      <c r="D29" s="77" t="n">
        <v>2</v>
      </c>
      <c r="E29" s="78" t="n">
        <f aca="false">COUNT(RES_RANGLIEN)</f>
        <v>2</v>
      </c>
      <c r="F29" s="79" t="str">
        <f aca="false">IF(ISNUMBER($D29),IF(ABS($E29-$D29)&lt;0.001,"PASS","FAIL"),IF(EXACT(TRIM($E29),TRIM($D29)),"PASS","FAIL"))</f>
        <v>PASS</v>
      </c>
    </row>
    <row r="30" customFormat="false" ht="15" hidden="false" customHeight="false" outlineLevel="0" collapsed="false">
      <c r="B30" s="75" t="s">
        <v>429</v>
      </c>
      <c r="C30" s="76" t="s">
        <v>430</v>
      </c>
      <c r="D30" s="80" t="s">
        <v>69</v>
      </c>
      <c r="E30" s="79" t="str">
        <f aca="false">IFERROR(INDEX(RES_LOTSRC,MATCH("255-HG",RES_LOTEFF,0)),"")</f>
        <v>255</v>
      </c>
      <c r="F30" s="79" t="str">
        <f aca="false">IF(ISNUMBER($D30),IF(ABS($E30-$D30)&lt;0.001,"PASS","FAIL"),IF(EXACT(TRIM($E30),TRIM($D30)),"PASS","FAIL"))</f>
        <v>PASS</v>
      </c>
    </row>
    <row r="31" customFormat="false" ht="15" hidden="false" customHeight="false" outlineLevel="0" collapsed="false">
      <c r="B31" s="75" t="s">
        <v>431</v>
      </c>
      <c r="C31" s="76" t="s">
        <v>432</v>
      </c>
      <c r="D31" s="77" t="n">
        <v>0</v>
      </c>
      <c r="E31" s="78" t="n">
        <f aca="false">COUNTIF(STOCK!$N$14:$N$213,"&lt;0")</f>
        <v>0</v>
      </c>
      <c r="F31" s="79" t="str">
        <f aca="false">IF(ISNUMBER($D31),IF(ABS($E31-$D31)&lt;0.001,"PASS","FAIL"),IF(EXACT(TRIM($E31),TRIM($D31)),"PASS","FAIL"))</f>
        <v>PASS</v>
      </c>
    </row>
    <row r="32" customFormat="false" ht="15" hidden="false" customHeight="false" outlineLevel="0" collapsed="false">
      <c r="B32" s="75" t="s">
        <v>433</v>
      </c>
      <c r="C32" s="76" t="s">
        <v>434</v>
      </c>
      <c r="D32" s="77" t="n">
        <v>0</v>
      </c>
      <c r="E32" s="78" t="n">
        <f aca="false">STOCK!$D$9</f>
        <v>0</v>
      </c>
      <c r="F32" s="79" t="str">
        <f aca="false">IF(ISNUMBER($D32),IF(ABS($E32-$D32)&lt;0.001,"PASS","FAIL"),IF(EXACT(TRIM($E32),TRIM($D32)),"PASS","FAIL"))</f>
        <v>PASS</v>
      </c>
    </row>
    <row r="33" customFormat="false" ht="15" hidden="false" customHeight="false" outlineLevel="0" collapsed="false">
      <c r="B33" s="75" t="s">
        <v>435</v>
      </c>
      <c r="C33" s="76" t="s">
        <v>436</v>
      </c>
      <c r="D33" s="77" t="n">
        <v>3090</v>
      </c>
      <c r="E33" s="78" t="n">
        <f aca="false">SUMIFS(MVT_NET,MVT_CLASSE,"INTERNE")</f>
        <v>3090</v>
      </c>
      <c r="F33" s="79" t="str">
        <f aca="false">IF(ISNUMBER($D33),IF(ABS($E33-$D33)&lt;0.001,"PASS","FAIL"),IF(EXACT(TRIM($E33),TRIM($D33)),"PASS","FAIL"))</f>
        <v>PASS</v>
      </c>
    </row>
    <row r="34" customFormat="false" ht="15" hidden="false" customHeight="false" outlineLevel="0" collapsed="false">
      <c r="B34" s="75" t="s">
        <v>437</v>
      </c>
      <c r="C34" s="76" t="s">
        <v>438</v>
      </c>
      <c r="D34" s="77" t="n">
        <v>1350</v>
      </c>
      <c r="E34" s="78" t="n">
        <f aca="false">SUMIFS(MVT_NET,MVT_CLASSE,"EXTERNE")</f>
        <v>1350</v>
      </c>
      <c r="F34" s="79" t="str">
        <f aca="false">IF(ISNUMBER($D34),IF(ABS($E34-$D34)&lt;0.001,"PASS","FAIL"),IF(EXACT(TRIM($E34),TRIM($D34)),"PASS","FAIL"))</f>
        <v>PASS</v>
      </c>
    </row>
    <row r="35" customFormat="false" ht="15" hidden="false" customHeight="false" outlineLevel="0" collapsed="false">
      <c r="B35" s="75" t="s">
        <v>439</v>
      </c>
      <c r="C35" s="76" t="s">
        <v>440</v>
      </c>
      <c r="D35" s="77" t="n">
        <v>1</v>
      </c>
      <c r="E35" s="78" t="n">
        <f aca="false">IF(LEN(INDEX(QC_ALERTE,MATCH("256",QC_LOT,0)))&gt;0,1,0)</f>
        <v>1</v>
      </c>
      <c r="F35" s="79" t="str">
        <f aca="false">IF(ISNUMBER($D35),IF(ABS($E35-$D35)&lt;0.001,"PASS","FAIL"),IF(EXACT(TRIM($E35),TRIM($D35)),"PASS","FAIL"))</f>
        <v>PASS</v>
      </c>
    </row>
    <row r="37" customFormat="false" ht="30" hidden="false" customHeight="true" outlineLevel="0" collapsed="false">
      <c r="B37" s="81" t="s">
        <v>441</v>
      </c>
      <c r="C37" s="81"/>
      <c r="D37" s="81"/>
      <c r="E37" s="81"/>
      <c r="F37" s="81"/>
    </row>
  </sheetData>
  <mergeCells count="4">
    <mergeCell ref="A1:F1"/>
    <mergeCell ref="A2:F2"/>
    <mergeCell ref="B4:C4"/>
    <mergeCell ref="B37:F37"/>
  </mergeCells>
  <conditionalFormatting sqref="B4">
    <cfRule type="expression" priority="2" aboveAverage="0" equalAverage="0" bottom="0" percent="0" rank="0" text="" dxfId="0">
      <formula>COUNTIF($F$7:$F$35,"FAIL")&gt;0</formula>
    </cfRule>
  </conditionalFormatting>
  <conditionalFormatting sqref="F7:F35">
    <cfRule type="cellIs" priority="3" operator="equal" aboveAverage="0" equalAverage="0" bottom="0" percent="0" rank="0" text="" dxfId="11">
      <formula>"PASS"</formula>
    </cfRule>
    <cfRule type="cellIs" priority="4" operator="equal" aboveAverage="0" equalAverage="0" bottom="0" percent="0" rank="0" text="" dxfId="15">
      <formula>"FAIL"</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2026-09-02T00:18:13Z</dcterms:created>
  <dc:creator>openpyxl</dc:creator>
  <dc:description/>
  <dc:language>en-US</dc:language>
  <cp:lastModifiedBy/>
  <dcterms:modified xsi:type="dcterms:W3CDTF">2026-09-02T00:18:19Z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