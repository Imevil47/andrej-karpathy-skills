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3"/>
  <workbookPr/>
  <xr:revisionPtr revIDLastSave="0" documentId="8_{B0119288-90EC-434C-8B0F-B46DCE3DE6A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Fiche Jour" sheetId="1" r:id="rId1"/>
    <sheet name="Suivi Mensuel" sheetId="2" r:id="rId2"/>
    <sheet name="PARAMETRES" sheetId="4" r:id="rId3"/>
  </sheets>
  <definedNames>
    <definedName name="_xlnm._FilterDatabase" localSheetId="1" hidden="1">'Suivi Mensuel'!$A$2:$M$302</definedName>
    <definedName name="ListeLignes">#REF!</definedName>
    <definedName name="ListeMotifs">PARAMETRES!$E$5:$E$18</definedName>
    <definedName name="ListeProduits">PARAMETRES!$A$5:$A$24</definedName>
    <definedName name="_xlnm.Print_Area" localSheetId="0">'Fiche Jour'!$A$1:$AB$57</definedName>
    <definedName name="_xlnm.Print_Area" localSheetId="2">PARAMETRES!$A$1:$E$25</definedName>
    <definedName name="_xlnm.Print_Titles" localSheetId="1">'Suivi Mensuel'!$2:$2</definedName>
    <definedName name="SeuilAlerte">PARAMETRES!$B$2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8" i="1"/>
  <c r="D19" i="1"/>
  <c r="D20" i="1"/>
  <c r="D21" i="1"/>
  <c r="C25" i="1"/>
  <c r="H52" i="1"/>
  <c r="A29" i="1"/>
  <c r="I3" i="2"/>
  <c r="M302" i="2"/>
  <c r="I302" i="2"/>
  <c r="L302" i="2"/>
  <c r="K302" i="2"/>
  <c r="J302" i="2"/>
  <c r="M301" i="2"/>
  <c r="I301" i="2"/>
  <c r="L301" i="2"/>
  <c r="K301" i="2"/>
  <c r="J301" i="2"/>
  <c r="M300" i="2"/>
  <c r="I300" i="2"/>
  <c r="L300" i="2"/>
  <c r="K300" i="2"/>
  <c r="J300" i="2"/>
  <c r="M299" i="2"/>
  <c r="I299" i="2"/>
  <c r="L299" i="2"/>
  <c r="K299" i="2"/>
  <c r="J299" i="2"/>
  <c r="M298" i="2"/>
  <c r="I298" i="2"/>
  <c r="L298" i="2"/>
  <c r="K298" i="2"/>
  <c r="J298" i="2"/>
  <c r="M297" i="2"/>
  <c r="I297" i="2"/>
  <c r="L297" i="2"/>
  <c r="K297" i="2"/>
  <c r="J297" i="2"/>
  <c r="M296" i="2"/>
  <c r="I296" i="2"/>
  <c r="L296" i="2"/>
  <c r="K296" i="2"/>
  <c r="J296" i="2"/>
  <c r="M295" i="2"/>
  <c r="I295" i="2"/>
  <c r="L295" i="2"/>
  <c r="K295" i="2"/>
  <c r="J295" i="2"/>
  <c r="M294" i="2"/>
  <c r="I294" i="2"/>
  <c r="L294" i="2"/>
  <c r="K294" i="2"/>
  <c r="J294" i="2"/>
  <c r="M293" i="2"/>
  <c r="I293" i="2"/>
  <c r="L293" i="2"/>
  <c r="K293" i="2"/>
  <c r="J293" i="2"/>
  <c r="M292" i="2"/>
  <c r="I292" i="2"/>
  <c r="L292" i="2"/>
  <c r="K292" i="2"/>
  <c r="J292" i="2"/>
  <c r="M291" i="2"/>
  <c r="I291" i="2"/>
  <c r="L291" i="2"/>
  <c r="K291" i="2"/>
  <c r="J291" i="2"/>
  <c r="M290" i="2"/>
  <c r="I290" i="2"/>
  <c r="L290" i="2"/>
  <c r="K290" i="2"/>
  <c r="J290" i="2"/>
  <c r="M289" i="2"/>
  <c r="I289" i="2"/>
  <c r="L289" i="2"/>
  <c r="K289" i="2"/>
  <c r="J289" i="2"/>
  <c r="M288" i="2"/>
  <c r="I288" i="2"/>
  <c r="L288" i="2"/>
  <c r="K288" i="2"/>
  <c r="J288" i="2"/>
  <c r="M287" i="2"/>
  <c r="I287" i="2"/>
  <c r="L287" i="2"/>
  <c r="K287" i="2"/>
  <c r="J287" i="2"/>
  <c r="M286" i="2"/>
  <c r="I286" i="2"/>
  <c r="L286" i="2"/>
  <c r="K286" i="2"/>
  <c r="J286" i="2"/>
  <c r="M285" i="2"/>
  <c r="I285" i="2"/>
  <c r="L285" i="2"/>
  <c r="K285" i="2"/>
  <c r="J285" i="2"/>
  <c r="M284" i="2"/>
  <c r="I284" i="2"/>
  <c r="L284" i="2"/>
  <c r="K284" i="2"/>
  <c r="J284" i="2"/>
  <c r="M283" i="2"/>
  <c r="I283" i="2"/>
  <c r="L283" i="2"/>
  <c r="K283" i="2"/>
  <c r="J283" i="2"/>
  <c r="M282" i="2"/>
  <c r="I282" i="2"/>
  <c r="L282" i="2"/>
  <c r="K282" i="2"/>
  <c r="J282" i="2"/>
  <c r="M281" i="2"/>
  <c r="I281" i="2"/>
  <c r="L281" i="2"/>
  <c r="K281" i="2"/>
  <c r="J281" i="2"/>
  <c r="M280" i="2"/>
  <c r="I280" i="2"/>
  <c r="L280" i="2"/>
  <c r="K280" i="2"/>
  <c r="J280" i="2"/>
  <c r="M279" i="2"/>
  <c r="I279" i="2"/>
  <c r="L279" i="2"/>
  <c r="K279" i="2"/>
  <c r="J279" i="2"/>
  <c r="M278" i="2"/>
  <c r="I278" i="2"/>
  <c r="L278" i="2"/>
  <c r="K278" i="2"/>
  <c r="J278" i="2"/>
  <c r="M277" i="2"/>
  <c r="I277" i="2"/>
  <c r="L277" i="2"/>
  <c r="K277" i="2"/>
  <c r="J277" i="2"/>
  <c r="M276" i="2"/>
  <c r="I276" i="2"/>
  <c r="L276" i="2"/>
  <c r="K276" i="2"/>
  <c r="J276" i="2"/>
  <c r="M275" i="2"/>
  <c r="I275" i="2"/>
  <c r="L275" i="2"/>
  <c r="K275" i="2"/>
  <c r="J275" i="2"/>
  <c r="M274" i="2"/>
  <c r="I274" i="2"/>
  <c r="L274" i="2"/>
  <c r="K274" i="2"/>
  <c r="J274" i="2"/>
  <c r="M273" i="2"/>
  <c r="I273" i="2"/>
  <c r="L273" i="2"/>
  <c r="K273" i="2"/>
  <c r="J273" i="2"/>
  <c r="M272" i="2"/>
  <c r="I272" i="2"/>
  <c r="L272" i="2"/>
  <c r="K272" i="2"/>
  <c r="J272" i="2"/>
  <c r="M271" i="2"/>
  <c r="I271" i="2"/>
  <c r="L271" i="2"/>
  <c r="K271" i="2"/>
  <c r="J271" i="2"/>
  <c r="M270" i="2"/>
  <c r="I270" i="2"/>
  <c r="L270" i="2"/>
  <c r="K270" i="2"/>
  <c r="J270" i="2"/>
  <c r="M269" i="2"/>
  <c r="I269" i="2"/>
  <c r="L269" i="2"/>
  <c r="K269" i="2"/>
  <c r="J269" i="2"/>
  <c r="M268" i="2"/>
  <c r="I268" i="2"/>
  <c r="L268" i="2"/>
  <c r="K268" i="2"/>
  <c r="J268" i="2"/>
  <c r="M267" i="2"/>
  <c r="I267" i="2"/>
  <c r="L267" i="2"/>
  <c r="K267" i="2"/>
  <c r="J267" i="2"/>
  <c r="M266" i="2"/>
  <c r="I266" i="2"/>
  <c r="L266" i="2"/>
  <c r="K266" i="2"/>
  <c r="J266" i="2"/>
  <c r="M265" i="2"/>
  <c r="I265" i="2"/>
  <c r="L265" i="2"/>
  <c r="K265" i="2"/>
  <c r="J265" i="2"/>
  <c r="M264" i="2"/>
  <c r="I264" i="2"/>
  <c r="L264" i="2"/>
  <c r="K264" i="2"/>
  <c r="J264" i="2"/>
  <c r="M263" i="2"/>
  <c r="I263" i="2"/>
  <c r="L263" i="2"/>
  <c r="K263" i="2"/>
  <c r="J263" i="2"/>
  <c r="M262" i="2"/>
  <c r="I262" i="2"/>
  <c r="L262" i="2"/>
  <c r="K262" i="2"/>
  <c r="J262" i="2"/>
  <c r="M261" i="2"/>
  <c r="I261" i="2"/>
  <c r="L261" i="2"/>
  <c r="K261" i="2"/>
  <c r="J261" i="2"/>
  <c r="M260" i="2"/>
  <c r="I260" i="2"/>
  <c r="L260" i="2"/>
  <c r="K260" i="2"/>
  <c r="J260" i="2"/>
  <c r="M259" i="2"/>
  <c r="I259" i="2"/>
  <c r="L259" i="2"/>
  <c r="K259" i="2"/>
  <c r="J259" i="2"/>
  <c r="M258" i="2"/>
  <c r="I258" i="2"/>
  <c r="L258" i="2"/>
  <c r="K258" i="2"/>
  <c r="J258" i="2"/>
  <c r="M257" i="2"/>
  <c r="I257" i="2"/>
  <c r="L257" i="2"/>
  <c r="K257" i="2"/>
  <c r="J257" i="2"/>
  <c r="M256" i="2"/>
  <c r="I256" i="2"/>
  <c r="L256" i="2"/>
  <c r="K256" i="2"/>
  <c r="J256" i="2"/>
  <c r="M255" i="2"/>
  <c r="I255" i="2"/>
  <c r="L255" i="2"/>
  <c r="K255" i="2"/>
  <c r="J255" i="2"/>
  <c r="M254" i="2"/>
  <c r="I254" i="2"/>
  <c r="L254" i="2"/>
  <c r="K254" i="2"/>
  <c r="J254" i="2"/>
  <c r="M253" i="2"/>
  <c r="I253" i="2"/>
  <c r="L253" i="2"/>
  <c r="K253" i="2"/>
  <c r="J253" i="2"/>
  <c r="M252" i="2"/>
  <c r="I252" i="2"/>
  <c r="L252" i="2"/>
  <c r="K252" i="2"/>
  <c r="J252" i="2"/>
  <c r="M251" i="2"/>
  <c r="I251" i="2"/>
  <c r="L251" i="2"/>
  <c r="K251" i="2"/>
  <c r="J251" i="2"/>
  <c r="M250" i="2"/>
  <c r="I250" i="2"/>
  <c r="L250" i="2"/>
  <c r="K250" i="2"/>
  <c r="J250" i="2"/>
  <c r="M249" i="2"/>
  <c r="I249" i="2"/>
  <c r="L249" i="2"/>
  <c r="K249" i="2"/>
  <c r="J249" i="2"/>
  <c r="M248" i="2"/>
  <c r="I248" i="2"/>
  <c r="L248" i="2"/>
  <c r="K248" i="2"/>
  <c r="J248" i="2"/>
  <c r="M247" i="2"/>
  <c r="I247" i="2"/>
  <c r="L247" i="2"/>
  <c r="K247" i="2"/>
  <c r="J247" i="2"/>
  <c r="M246" i="2"/>
  <c r="I246" i="2"/>
  <c r="L246" i="2"/>
  <c r="K246" i="2"/>
  <c r="J246" i="2"/>
  <c r="M245" i="2"/>
  <c r="I245" i="2"/>
  <c r="L245" i="2"/>
  <c r="K245" i="2"/>
  <c r="J245" i="2"/>
  <c r="M244" i="2"/>
  <c r="I244" i="2"/>
  <c r="L244" i="2"/>
  <c r="K244" i="2"/>
  <c r="J244" i="2"/>
  <c r="M243" i="2"/>
  <c r="I243" i="2"/>
  <c r="L243" i="2"/>
  <c r="K243" i="2"/>
  <c r="J243" i="2"/>
  <c r="M242" i="2"/>
  <c r="I242" i="2"/>
  <c r="L242" i="2"/>
  <c r="K242" i="2"/>
  <c r="J242" i="2"/>
  <c r="M241" i="2"/>
  <c r="I241" i="2"/>
  <c r="L241" i="2"/>
  <c r="K241" i="2"/>
  <c r="J241" i="2"/>
  <c r="M240" i="2"/>
  <c r="I240" i="2"/>
  <c r="L240" i="2"/>
  <c r="K240" i="2"/>
  <c r="J240" i="2"/>
  <c r="M239" i="2"/>
  <c r="I239" i="2"/>
  <c r="L239" i="2"/>
  <c r="K239" i="2"/>
  <c r="J239" i="2"/>
  <c r="M238" i="2"/>
  <c r="I238" i="2"/>
  <c r="L238" i="2"/>
  <c r="K238" i="2"/>
  <c r="J238" i="2"/>
  <c r="M237" i="2"/>
  <c r="I237" i="2"/>
  <c r="L237" i="2"/>
  <c r="K237" i="2"/>
  <c r="J237" i="2"/>
  <c r="M236" i="2"/>
  <c r="I236" i="2"/>
  <c r="L236" i="2"/>
  <c r="K236" i="2"/>
  <c r="J236" i="2"/>
  <c r="M235" i="2"/>
  <c r="I235" i="2"/>
  <c r="L235" i="2"/>
  <c r="K235" i="2"/>
  <c r="J235" i="2"/>
  <c r="M234" i="2"/>
  <c r="I234" i="2"/>
  <c r="L234" i="2"/>
  <c r="K234" i="2"/>
  <c r="J234" i="2"/>
  <c r="M233" i="2"/>
  <c r="I233" i="2"/>
  <c r="L233" i="2"/>
  <c r="K233" i="2"/>
  <c r="J233" i="2"/>
  <c r="M232" i="2"/>
  <c r="I232" i="2"/>
  <c r="L232" i="2"/>
  <c r="K232" i="2"/>
  <c r="J232" i="2"/>
  <c r="M231" i="2"/>
  <c r="I231" i="2"/>
  <c r="L231" i="2"/>
  <c r="K231" i="2"/>
  <c r="J231" i="2"/>
  <c r="M230" i="2"/>
  <c r="I230" i="2"/>
  <c r="L230" i="2"/>
  <c r="K230" i="2"/>
  <c r="J230" i="2"/>
  <c r="M229" i="2"/>
  <c r="I229" i="2"/>
  <c r="L229" i="2"/>
  <c r="K229" i="2"/>
  <c r="J229" i="2"/>
  <c r="M228" i="2"/>
  <c r="I228" i="2"/>
  <c r="L228" i="2"/>
  <c r="K228" i="2"/>
  <c r="J228" i="2"/>
  <c r="M227" i="2"/>
  <c r="I227" i="2"/>
  <c r="L227" i="2"/>
  <c r="K227" i="2"/>
  <c r="J227" i="2"/>
  <c r="M226" i="2"/>
  <c r="I226" i="2"/>
  <c r="L226" i="2"/>
  <c r="K226" i="2"/>
  <c r="J226" i="2"/>
  <c r="M225" i="2"/>
  <c r="I225" i="2"/>
  <c r="L225" i="2"/>
  <c r="K225" i="2"/>
  <c r="J225" i="2"/>
  <c r="M224" i="2"/>
  <c r="I224" i="2"/>
  <c r="L224" i="2"/>
  <c r="K224" i="2"/>
  <c r="J224" i="2"/>
  <c r="M223" i="2"/>
  <c r="I223" i="2"/>
  <c r="L223" i="2"/>
  <c r="K223" i="2"/>
  <c r="J223" i="2"/>
  <c r="M222" i="2"/>
  <c r="I222" i="2"/>
  <c r="L222" i="2"/>
  <c r="K222" i="2"/>
  <c r="J222" i="2"/>
  <c r="M221" i="2"/>
  <c r="I221" i="2"/>
  <c r="L221" i="2"/>
  <c r="K221" i="2"/>
  <c r="J221" i="2"/>
  <c r="M220" i="2"/>
  <c r="I220" i="2"/>
  <c r="L220" i="2"/>
  <c r="K220" i="2"/>
  <c r="J220" i="2"/>
  <c r="M219" i="2"/>
  <c r="I219" i="2"/>
  <c r="L219" i="2"/>
  <c r="K219" i="2"/>
  <c r="J219" i="2"/>
  <c r="M218" i="2"/>
  <c r="I218" i="2"/>
  <c r="L218" i="2"/>
  <c r="K218" i="2"/>
  <c r="J218" i="2"/>
  <c r="M217" i="2"/>
  <c r="I217" i="2"/>
  <c r="L217" i="2"/>
  <c r="K217" i="2"/>
  <c r="J217" i="2"/>
  <c r="M216" i="2"/>
  <c r="I216" i="2"/>
  <c r="L216" i="2"/>
  <c r="K216" i="2"/>
  <c r="J216" i="2"/>
  <c r="M215" i="2"/>
  <c r="I215" i="2"/>
  <c r="L215" i="2"/>
  <c r="K215" i="2"/>
  <c r="J215" i="2"/>
  <c r="M214" i="2"/>
  <c r="I214" i="2"/>
  <c r="L214" i="2"/>
  <c r="K214" i="2"/>
  <c r="J214" i="2"/>
  <c r="M213" i="2"/>
  <c r="I213" i="2"/>
  <c r="L213" i="2"/>
  <c r="K213" i="2"/>
  <c r="J213" i="2"/>
  <c r="M212" i="2"/>
  <c r="I212" i="2"/>
  <c r="L212" i="2"/>
  <c r="K212" i="2"/>
  <c r="J212" i="2"/>
  <c r="M211" i="2"/>
  <c r="I211" i="2"/>
  <c r="L211" i="2"/>
  <c r="K211" i="2"/>
  <c r="J211" i="2"/>
  <c r="M210" i="2"/>
  <c r="I210" i="2"/>
  <c r="L210" i="2"/>
  <c r="K210" i="2"/>
  <c r="J210" i="2"/>
  <c r="M209" i="2"/>
  <c r="I209" i="2"/>
  <c r="L209" i="2"/>
  <c r="K209" i="2"/>
  <c r="J209" i="2"/>
  <c r="M208" i="2"/>
  <c r="I208" i="2"/>
  <c r="L208" i="2"/>
  <c r="K208" i="2"/>
  <c r="J208" i="2"/>
  <c r="M207" i="2"/>
  <c r="I207" i="2"/>
  <c r="L207" i="2"/>
  <c r="K207" i="2"/>
  <c r="J207" i="2"/>
  <c r="M206" i="2"/>
  <c r="I206" i="2"/>
  <c r="L206" i="2"/>
  <c r="K206" i="2"/>
  <c r="J206" i="2"/>
  <c r="M205" i="2"/>
  <c r="I205" i="2"/>
  <c r="L205" i="2"/>
  <c r="K205" i="2"/>
  <c r="J205" i="2"/>
  <c r="M204" i="2"/>
  <c r="I204" i="2"/>
  <c r="L204" i="2"/>
  <c r="K204" i="2"/>
  <c r="J204" i="2"/>
  <c r="M203" i="2"/>
  <c r="I203" i="2"/>
  <c r="L203" i="2"/>
  <c r="K203" i="2"/>
  <c r="J203" i="2"/>
  <c r="M202" i="2"/>
  <c r="I202" i="2"/>
  <c r="L202" i="2"/>
  <c r="K202" i="2"/>
  <c r="J202" i="2"/>
  <c r="M201" i="2"/>
  <c r="I201" i="2"/>
  <c r="L201" i="2"/>
  <c r="K201" i="2"/>
  <c r="J201" i="2"/>
  <c r="M200" i="2"/>
  <c r="I200" i="2"/>
  <c r="L200" i="2"/>
  <c r="K200" i="2"/>
  <c r="J200" i="2"/>
  <c r="M199" i="2"/>
  <c r="I199" i="2"/>
  <c r="L199" i="2"/>
  <c r="K199" i="2"/>
  <c r="J199" i="2"/>
  <c r="M198" i="2"/>
  <c r="I198" i="2"/>
  <c r="L198" i="2"/>
  <c r="K198" i="2"/>
  <c r="J198" i="2"/>
  <c r="M197" i="2"/>
  <c r="I197" i="2"/>
  <c r="L197" i="2"/>
  <c r="K197" i="2"/>
  <c r="J197" i="2"/>
  <c r="M196" i="2"/>
  <c r="I196" i="2"/>
  <c r="L196" i="2"/>
  <c r="K196" i="2"/>
  <c r="J196" i="2"/>
  <c r="M195" i="2"/>
  <c r="I195" i="2"/>
  <c r="L195" i="2"/>
  <c r="K195" i="2"/>
  <c r="J195" i="2"/>
  <c r="M194" i="2"/>
  <c r="I194" i="2"/>
  <c r="L194" i="2"/>
  <c r="K194" i="2"/>
  <c r="J194" i="2"/>
  <c r="M193" i="2"/>
  <c r="I193" i="2"/>
  <c r="L193" i="2"/>
  <c r="K193" i="2"/>
  <c r="J193" i="2"/>
  <c r="M192" i="2"/>
  <c r="I192" i="2"/>
  <c r="L192" i="2"/>
  <c r="K192" i="2"/>
  <c r="J192" i="2"/>
  <c r="M191" i="2"/>
  <c r="I191" i="2"/>
  <c r="L191" i="2"/>
  <c r="K191" i="2"/>
  <c r="J191" i="2"/>
  <c r="M190" i="2"/>
  <c r="I190" i="2"/>
  <c r="L190" i="2"/>
  <c r="K190" i="2"/>
  <c r="J190" i="2"/>
  <c r="M189" i="2"/>
  <c r="I189" i="2"/>
  <c r="L189" i="2"/>
  <c r="K189" i="2"/>
  <c r="J189" i="2"/>
  <c r="M188" i="2"/>
  <c r="I188" i="2"/>
  <c r="L188" i="2"/>
  <c r="K188" i="2"/>
  <c r="J188" i="2"/>
  <c r="M187" i="2"/>
  <c r="I187" i="2"/>
  <c r="L187" i="2"/>
  <c r="K187" i="2"/>
  <c r="J187" i="2"/>
  <c r="M186" i="2"/>
  <c r="I186" i="2"/>
  <c r="L186" i="2"/>
  <c r="K186" i="2"/>
  <c r="J186" i="2"/>
  <c r="M185" i="2"/>
  <c r="I185" i="2"/>
  <c r="L185" i="2"/>
  <c r="K185" i="2"/>
  <c r="J185" i="2"/>
  <c r="M184" i="2"/>
  <c r="I184" i="2"/>
  <c r="L184" i="2"/>
  <c r="K184" i="2"/>
  <c r="J184" i="2"/>
  <c r="M183" i="2"/>
  <c r="I183" i="2"/>
  <c r="L183" i="2"/>
  <c r="K183" i="2"/>
  <c r="J183" i="2"/>
  <c r="M182" i="2"/>
  <c r="I182" i="2"/>
  <c r="L182" i="2"/>
  <c r="K182" i="2"/>
  <c r="J182" i="2"/>
  <c r="M181" i="2"/>
  <c r="I181" i="2"/>
  <c r="L181" i="2"/>
  <c r="K181" i="2"/>
  <c r="J181" i="2"/>
  <c r="M180" i="2"/>
  <c r="I180" i="2"/>
  <c r="L180" i="2"/>
  <c r="K180" i="2"/>
  <c r="J180" i="2"/>
  <c r="M179" i="2"/>
  <c r="I179" i="2"/>
  <c r="L179" i="2"/>
  <c r="K179" i="2"/>
  <c r="J179" i="2"/>
  <c r="M178" i="2"/>
  <c r="I178" i="2"/>
  <c r="L178" i="2"/>
  <c r="K178" i="2"/>
  <c r="J178" i="2"/>
  <c r="M177" i="2"/>
  <c r="I177" i="2"/>
  <c r="L177" i="2"/>
  <c r="K177" i="2"/>
  <c r="J177" i="2"/>
  <c r="M176" i="2"/>
  <c r="I176" i="2"/>
  <c r="L176" i="2"/>
  <c r="K176" i="2"/>
  <c r="J176" i="2"/>
  <c r="M175" i="2"/>
  <c r="I175" i="2"/>
  <c r="L175" i="2"/>
  <c r="K175" i="2"/>
  <c r="J175" i="2"/>
  <c r="M174" i="2"/>
  <c r="I174" i="2"/>
  <c r="L174" i="2"/>
  <c r="K174" i="2"/>
  <c r="J174" i="2"/>
  <c r="M173" i="2"/>
  <c r="I173" i="2"/>
  <c r="L173" i="2"/>
  <c r="K173" i="2"/>
  <c r="J173" i="2"/>
  <c r="M172" i="2"/>
  <c r="I172" i="2"/>
  <c r="L172" i="2"/>
  <c r="K172" i="2"/>
  <c r="J172" i="2"/>
  <c r="M171" i="2"/>
  <c r="I171" i="2"/>
  <c r="L171" i="2"/>
  <c r="K171" i="2"/>
  <c r="J171" i="2"/>
  <c r="M170" i="2"/>
  <c r="I170" i="2"/>
  <c r="L170" i="2"/>
  <c r="K170" i="2"/>
  <c r="J170" i="2"/>
  <c r="M169" i="2"/>
  <c r="I169" i="2"/>
  <c r="L169" i="2"/>
  <c r="K169" i="2"/>
  <c r="J169" i="2"/>
  <c r="M168" i="2"/>
  <c r="I168" i="2"/>
  <c r="L168" i="2"/>
  <c r="K168" i="2"/>
  <c r="J168" i="2"/>
  <c r="M167" i="2"/>
  <c r="I167" i="2"/>
  <c r="L167" i="2"/>
  <c r="K167" i="2"/>
  <c r="J167" i="2"/>
  <c r="M166" i="2"/>
  <c r="I166" i="2"/>
  <c r="L166" i="2"/>
  <c r="K166" i="2"/>
  <c r="J166" i="2"/>
  <c r="M165" i="2"/>
  <c r="I165" i="2"/>
  <c r="L165" i="2"/>
  <c r="K165" i="2"/>
  <c r="J165" i="2"/>
  <c r="M164" i="2"/>
  <c r="I164" i="2"/>
  <c r="L164" i="2"/>
  <c r="K164" i="2"/>
  <c r="J164" i="2"/>
  <c r="M163" i="2"/>
  <c r="I163" i="2"/>
  <c r="L163" i="2"/>
  <c r="K163" i="2"/>
  <c r="J163" i="2"/>
  <c r="M162" i="2"/>
  <c r="I162" i="2"/>
  <c r="L162" i="2"/>
  <c r="K162" i="2"/>
  <c r="J162" i="2"/>
  <c r="M161" i="2"/>
  <c r="I161" i="2"/>
  <c r="L161" i="2"/>
  <c r="K161" i="2"/>
  <c r="J161" i="2"/>
  <c r="M160" i="2"/>
  <c r="I160" i="2"/>
  <c r="L160" i="2"/>
  <c r="K160" i="2"/>
  <c r="J160" i="2"/>
  <c r="M159" i="2"/>
  <c r="I159" i="2"/>
  <c r="L159" i="2"/>
  <c r="K159" i="2"/>
  <c r="J159" i="2"/>
  <c r="M158" i="2"/>
  <c r="I158" i="2"/>
  <c r="L158" i="2"/>
  <c r="K158" i="2"/>
  <c r="J158" i="2"/>
  <c r="M157" i="2"/>
  <c r="I157" i="2"/>
  <c r="L157" i="2"/>
  <c r="K157" i="2"/>
  <c r="J157" i="2"/>
  <c r="M156" i="2"/>
  <c r="I156" i="2"/>
  <c r="L156" i="2"/>
  <c r="K156" i="2"/>
  <c r="J156" i="2"/>
  <c r="M155" i="2"/>
  <c r="I155" i="2"/>
  <c r="L155" i="2"/>
  <c r="K155" i="2"/>
  <c r="J155" i="2"/>
  <c r="M154" i="2"/>
  <c r="I154" i="2"/>
  <c r="L154" i="2"/>
  <c r="K154" i="2"/>
  <c r="J154" i="2"/>
  <c r="M153" i="2"/>
  <c r="I153" i="2"/>
  <c r="L153" i="2"/>
  <c r="K153" i="2"/>
  <c r="J153" i="2"/>
  <c r="M152" i="2"/>
  <c r="I152" i="2"/>
  <c r="L152" i="2"/>
  <c r="K152" i="2"/>
  <c r="J152" i="2"/>
  <c r="M151" i="2"/>
  <c r="I151" i="2"/>
  <c r="L151" i="2"/>
  <c r="K151" i="2"/>
  <c r="J151" i="2"/>
  <c r="M150" i="2"/>
  <c r="I150" i="2"/>
  <c r="L150" i="2"/>
  <c r="K150" i="2"/>
  <c r="J150" i="2"/>
  <c r="M149" i="2"/>
  <c r="I149" i="2"/>
  <c r="L149" i="2"/>
  <c r="K149" i="2"/>
  <c r="J149" i="2"/>
  <c r="M148" i="2"/>
  <c r="I148" i="2"/>
  <c r="L148" i="2"/>
  <c r="K148" i="2"/>
  <c r="J148" i="2"/>
  <c r="M147" i="2"/>
  <c r="I147" i="2"/>
  <c r="L147" i="2"/>
  <c r="K147" i="2"/>
  <c r="J147" i="2"/>
  <c r="M146" i="2"/>
  <c r="I146" i="2"/>
  <c r="L146" i="2"/>
  <c r="K146" i="2"/>
  <c r="J146" i="2"/>
  <c r="M145" i="2"/>
  <c r="I145" i="2"/>
  <c r="L145" i="2"/>
  <c r="K145" i="2"/>
  <c r="J145" i="2"/>
  <c r="M144" i="2"/>
  <c r="I144" i="2"/>
  <c r="L144" i="2"/>
  <c r="K144" i="2"/>
  <c r="J144" i="2"/>
  <c r="M143" i="2"/>
  <c r="I143" i="2"/>
  <c r="L143" i="2"/>
  <c r="K143" i="2"/>
  <c r="J143" i="2"/>
  <c r="M142" i="2"/>
  <c r="I142" i="2"/>
  <c r="L142" i="2"/>
  <c r="K142" i="2"/>
  <c r="J142" i="2"/>
  <c r="M141" i="2"/>
  <c r="I141" i="2"/>
  <c r="L141" i="2"/>
  <c r="K141" i="2"/>
  <c r="J141" i="2"/>
  <c r="M140" i="2"/>
  <c r="I140" i="2"/>
  <c r="L140" i="2"/>
  <c r="K140" i="2"/>
  <c r="J140" i="2"/>
  <c r="M139" i="2"/>
  <c r="I139" i="2"/>
  <c r="L139" i="2"/>
  <c r="K139" i="2"/>
  <c r="J139" i="2"/>
  <c r="M138" i="2"/>
  <c r="I138" i="2"/>
  <c r="L138" i="2"/>
  <c r="K138" i="2"/>
  <c r="J138" i="2"/>
  <c r="M137" i="2"/>
  <c r="I137" i="2"/>
  <c r="L137" i="2"/>
  <c r="K137" i="2"/>
  <c r="J137" i="2"/>
  <c r="M136" i="2"/>
  <c r="I136" i="2"/>
  <c r="L136" i="2"/>
  <c r="K136" i="2"/>
  <c r="J136" i="2"/>
  <c r="M135" i="2"/>
  <c r="I135" i="2"/>
  <c r="L135" i="2"/>
  <c r="K135" i="2"/>
  <c r="J135" i="2"/>
  <c r="M134" i="2"/>
  <c r="I134" i="2"/>
  <c r="L134" i="2"/>
  <c r="K134" i="2"/>
  <c r="J134" i="2"/>
  <c r="M133" i="2"/>
  <c r="I133" i="2"/>
  <c r="L133" i="2"/>
  <c r="K133" i="2"/>
  <c r="J133" i="2"/>
  <c r="M132" i="2"/>
  <c r="I132" i="2"/>
  <c r="L132" i="2"/>
  <c r="K132" i="2"/>
  <c r="J132" i="2"/>
  <c r="M131" i="2"/>
  <c r="I131" i="2"/>
  <c r="L131" i="2"/>
  <c r="K131" i="2"/>
  <c r="J131" i="2"/>
  <c r="M130" i="2"/>
  <c r="I130" i="2"/>
  <c r="L130" i="2"/>
  <c r="K130" i="2"/>
  <c r="J130" i="2"/>
  <c r="M129" i="2"/>
  <c r="I129" i="2"/>
  <c r="L129" i="2"/>
  <c r="K129" i="2"/>
  <c r="J129" i="2"/>
  <c r="M128" i="2"/>
  <c r="I128" i="2"/>
  <c r="L128" i="2"/>
  <c r="K128" i="2"/>
  <c r="J128" i="2"/>
  <c r="M127" i="2"/>
  <c r="I127" i="2"/>
  <c r="L127" i="2"/>
  <c r="K127" i="2"/>
  <c r="J127" i="2"/>
  <c r="M126" i="2"/>
  <c r="I126" i="2"/>
  <c r="L126" i="2"/>
  <c r="K126" i="2"/>
  <c r="J126" i="2"/>
  <c r="M125" i="2"/>
  <c r="I125" i="2"/>
  <c r="L125" i="2"/>
  <c r="K125" i="2"/>
  <c r="J125" i="2"/>
  <c r="M124" i="2"/>
  <c r="I124" i="2"/>
  <c r="L124" i="2"/>
  <c r="K124" i="2"/>
  <c r="J124" i="2"/>
  <c r="M123" i="2"/>
  <c r="I123" i="2"/>
  <c r="L123" i="2"/>
  <c r="K123" i="2"/>
  <c r="J123" i="2"/>
  <c r="M122" i="2"/>
  <c r="I122" i="2"/>
  <c r="L122" i="2"/>
  <c r="K122" i="2"/>
  <c r="J122" i="2"/>
  <c r="M121" i="2"/>
  <c r="I121" i="2"/>
  <c r="L121" i="2"/>
  <c r="K121" i="2"/>
  <c r="J121" i="2"/>
  <c r="M120" i="2"/>
  <c r="I120" i="2"/>
  <c r="L120" i="2"/>
  <c r="K120" i="2"/>
  <c r="J120" i="2"/>
  <c r="M119" i="2"/>
  <c r="I119" i="2"/>
  <c r="L119" i="2"/>
  <c r="K119" i="2"/>
  <c r="J119" i="2"/>
  <c r="M118" i="2"/>
  <c r="I118" i="2"/>
  <c r="L118" i="2"/>
  <c r="K118" i="2"/>
  <c r="J118" i="2"/>
  <c r="M117" i="2"/>
  <c r="I117" i="2"/>
  <c r="L117" i="2"/>
  <c r="K117" i="2"/>
  <c r="J117" i="2"/>
  <c r="M116" i="2"/>
  <c r="I116" i="2"/>
  <c r="L116" i="2"/>
  <c r="K116" i="2"/>
  <c r="J116" i="2"/>
  <c r="M115" i="2"/>
  <c r="I115" i="2"/>
  <c r="L115" i="2"/>
  <c r="K115" i="2"/>
  <c r="J115" i="2"/>
  <c r="M114" i="2"/>
  <c r="I114" i="2"/>
  <c r="L114" i="2"/>
  <c r="K114" i="2"/>
  <c r="J114" i="2"/>
  <c r="M113" i="2"/>
  <c r="I113" i="2"/>
  <c r="L113" i="2"/>
  <c r="K113" i="2"/>
  <c r="J113" i="2"/>
  <c r="M112" i="2"/>
  <c r="I112" i="2"/>
  <c r="L112" i="2"/>
  <c r="K112" i="2"/>
  <c r="J112" i="2"/>
  <c r="M111" i="2"/>
  <c r="I111" i="2"/>
  <c r="L111" i="2"/>
  <c r="K111" i="2"/>
  <c r="J111" i="2"/>
  <c r="M110" i="2"/>
  <c r="I110" i="2"/>
  <c r="L110" i="2"/>
  <c r="K110" i="2"/>
  <c r="J110" i="2"/>
  <c r="M109" i="2"/>
  <c r="I109" i="2"/>
  <c r="L109" i="2"/>
  <c r="K109" i="2"/>
  <c r="J109" i="2"/>
  <c r="M108" i="2"/>
  <c r="I108" i="2"/>
  <c r="L108" i="2"/>
  <c r="K108" i="2"/>
  <c r="J108" i="2"/>
  <c r="M107" i="2"/>
  <c r="I107" i="2"/>
  <c r="L107" i="2"/>
  <c r="K107" i="2"/>
  <c r="J107" i="2"/>
  <c r="M106" i="2"/>
  <c r="I106" i="2"/>
  <c r="L106" i="2"/>
  <c r="K106" i="2"/>
  <c r="J106" i="2"/>
  <c r="M105" i="2"/>
  <c r="I105" i="2"/>
  <c r="L105" i="2"/>
  <c r="K105" i="2"/>
  <c r="J105" i="2"/>
  <c r="M104" i="2"/>
  <c r="I104" i="2"/>
  <c r="L104" i="2"/>
  <c r="K104" i="2"/>
  <c r="J104" i="2"/>
  <c r="M103" i="2"/>
  <c r="I103" i="2"/>
  <c r="L103" i="2"/>
  <c r="K103" i="2"/>
  <c r="J103" i="2"/>
  <c r="M102" i="2"/>
  <c r="I102" i="2"/>
  <c r="L102" i="2"/>
  <c r="K102" i="2"/>
  <c r="J102" i="2"/>
  <c r="M101" i="2"/>
  <c r="I101" i="2"/>
  <c r="L101" i="2"/>
  <c r="K101" i="2"/>
  <c r="J101" i="2"/>
  <c r="M100" i="2"/>
  <c r="I100" i="2"/>
  <c r="L100" i="2"/>
  <c r="K100" i="2"/>
  <c r="J100" i="2"/>
  <c r="M99" i="2"/>
  <c r="I99" i="2"/>
  <c r="L99" i="2"/>
  <c r="K99" i="2"/>
  <c r="J99" i="2"/>
  <c r="M98" i="2"/>
  <c r="I98" i="2"/>
  <c r="L98" i="2"/>
  <c r="K98" i="2"/>
  <c r="J98" i="2"/>
  <c r="M97" i="2"/>
  <c r="I97" i="2"/>
  <c r="L97" i="2"/>
  <c r="K97" i="2"/>
  <c r="J97" i="2"/>
  <c r="M96" i="2"/>
  <c r="I96" i="2"/>
  <c r="L96" i="2"/>
  <c r="K96" i="2"/>
  <c r="J96" i="2"/>
  <c r="M95" i="2"/>
  <c r="I95" i="2"/>
  <c r="L95" i="2"/>
  <c r="K95" i="2"/>
  <c r="J95" i="2"/>
  <c r="M94" i="2"/>
  <c r="I94" i="2"/>
  <c r="L94" i="2"/>
  <c r="K94" i="2"/>
  <c r="J94" i="2"/>
  <c r="M93" i="2"/>
  <c r="I93" i="2"/>
  <c r="L93" i="2"/>
  <c r="K93" i="2"/>
  <c r="J93" i="2"/>
  <c r="M92" i="2"/>
  <c r="I92" i="2"/>
  <c r="L92" i="2"/>
  <c r="K92" i="2"/>
  <c r="J92" i="2"/>
  <c r="M91" i="2"/>
  <c r="I91" i="2"/>
  <c r="L91" i="2"/>
  <c r="K91" i="2"/>
  <c r="J91" i="2"/>
  <c r="M90" i="2"/>
  <c r="I90" i="2"/>
  <c r="L90" i="2"/>
  <c r="K90" i="2"/>
  <c r="J90" i="2"/>
  <c r="M89" i="2"/>
  <c r="I89" i="2"/>
  <c r="L89" i="2"/>
  <c r="K89" i="2"/>
  <c r="J89" i="2"/>
  <c r="M88" i="2"/>
  <c r="I88" i="2"/>
  <c r="L88" i="2"/>
  <c r="K88" i="2"/>
  <c r="J88" i="2"/>
  <c r="M87" i="2"/>
  <c r="I87" i="2"/>
  <c r="L87" i="2"/>
  <c r="K87" i="2"/>
  <c r="J87" i="2"/>
  <c r="M86" i="2"/>
  <c r="I86" i="2"/>
  <c r="L86" i="2"/>
  <c r="K86" i="2"/>
  <c r="J86" i="2"/>
  <c r="M85" i="2"/>
  <c r="I85" i="2"/>
  <c r="L85" i="2"/>
  <c r="K85" i="2"/>
  <c r="J85" i="2"/>
  <c r="M84" i="2"/>
  <c r="I84" i="2"/>
  <c r="L84" i="2"/>
  <c r="K84" i="2"/>
  <c r="J84" i="2"/>
  <c r="M83" i="2"/>
  <c r="I83" i="2"/>
  <c r="L83" i="2"/>
  <c r="K83" i="2"/>
  <c r="J83" i="2"/>
  <c r="M82" i="2"/>
  <c r="I82" i="2"/>
  <c r="L82" i="2"/>
  <c r="K82" i="2"/>
  <c r="J82" i="2"/>
  <c r="M81" i="2"/>
  <c r="I81" i="2"/>
  <c r="L81" i="2"/>
  <c r="K81" i="2"/>
  <c r="J81" i="2"/>
  <c r="M80" i="2"/>
  <c r="I80" i="2"/>
  <c r="L80" i="2"/>
  <c r="K80" i="2"/>
  <c r="J80" i="2"/>
  <c r="M79" i="2"/>
  <c r="I79" i="2"/>
  <c r="L79" i="2"/>
  <c r="K79" i="2"/>
  <c r="J79" i="2"/>
  <c r="M78" i="2"/>
  <c r="I78" i="2"/>
  <c r="L78" i="2"/>
  <c r="K78" i="2"/>
  <c r="J78" i="2"/>
  <c r="M77" i="2"/>
  <c r="I77" i="2"/>
  <c r="L77" i="2"/>
  <c r="K77" i="2"/>
  <c r="J77" i="2"/>
  <c r="M76" i="2"/>
  <c r="I76" i="2"/>
  <c r="L76" i="2"/>
  <c r="K76" i="2"/>
  <c r="J76" i="2"/>
  <c r="M75" i="2"/>
  <c r="I75" i="2"/>
  <c r="L75" i="2"/>
  <c r="K75" i="2"/>
  <c r="J75" i="2"/>
  <c r="M74" i="2"/>
  <c r="I74" i="2"/>
  <c r="L74" i="2"/>
  <c r="K74" i="2"/>
  <c r="J74" i="2"/>
  <c r="M73" i="2"/>
  <c r="I73" i="2"/>
  <c r="L73" i="2"/>
  <c r="K73" i="2"/>
  <c r="J73" i="2"/>
  <c r="M72" i="2"/>
  <c r="I72" i="2"/>
  <c r="L72" i="2"/>
  <c r="K72" i="2"/>
  <c r="J72" i="2"/>
  <c r="M71" i="2"/>
  <c r="I71" i="2"/>
  <c r="L71" i="2"/>
  <c r="K71" i="2"/>
  <c r="J71" i="2"/>
  <c r="M70" i="2"/>
  <c r="I70" i="2"/>
  <c r="L70" i="2"/>
  <c r="K70" i="2"/>
  <c r="J70" i="2"/>
  <c r="M69" i="2"/>
  <c r="I69" i="2"/>
  <c r="L69" i="2"/>
  <c r="K69" i="2"/>
  <c r="J69" i="2"/>
  <c r="M68" i="2"/>
  <c r="I68" i="2"/>
  <c r="L68" i="2"/>
  <c r="K68" i="2"/>
  <c r="J68" i="2"/>
  <c r="M67" i="2"/>
  <c r="I67" i="2"/>
  <c r="L67" i="2"/>
  <c r="K67" i="2"/>
  <c r="J67" i="2"/>
  <c r="M66" i="2"/>
  <c r="I66" i="2"/>
  <c r="L66" i="2"/>
  <c r="K66" i="2"/>
  <c r="J66" i="2"/>
  <c r="M65" i="2"/>
  <c r="I65" i="2"/>
  <c r="L65" i="2"/>
  <c r="K65" i="2"/>
  <c r="J65" i="2"/>
  <c r="M64" i="2"/>
  <c r="I64" i="2"/>
  <c r="L64" i="2"/>
  <c r="K64" i="2"/>
  <c r="J64" i="2"/>
  <c r="M63" i="2"/>
  <c r="I63" i="2"/>
  <c r="L63" i="2"/>
  <c r="K63" i="2"/>
  <c r="J63" i="2"/>
  <c r="M62" i="2"/>
  <c r="I62" i="2"/>
  <c r="L62" i="2"/>
  <c r="K62" i="2"/>
  <c r="J62" i="2"/>
  <c r="M61" i="2"/>
  <c r="I61" i="2"/>
  <c r="L61" i="2"/>
  <c r="K61" i="2"/>
  <c r="J61" i="2"/>
  <c r="M60" i="2"/>
  <c r="I60" i="2"/>
  <c r="L60" i="2"/>
  <c r="K60" i="2"/>
  <c r="J60" i="2"/>
  <c r="M59" i="2"/>
  <c r="I59" i="2"/>
  <c r="L59" i="2"/>
  <c r="K59" i="2"/>
  <c r="J59" i="2"/>
  <c r="M58" i="2"/>
  <c r="I58" i="2"/>
  <c r="L58" i="2"/>
  <c r="K58" i="2"/>
  <c r="J58" i="2"/>
  <c r="M57" i="2"/>
  <c r="I57" i="2"/>
  <c r="L57" i="2"/>
  <c r="K57" i="2"/>
  <c r="J57" i="2"/>
  <c r="M56" i="2"/>
  <c r="I56" i="2"/>
  <c r="L56" i="2"/>
  <c r="K56" i="2"/>
  <c r="J56" i="2"/>
  <c r="M55" i="2"/>
  <c r="I55" i="2"/>
  <c r="L55" i="2"/>
  <c r="K55" i="2"/>
  <c r="J55" i="2"/>
  <c r="M54" i="2"/>
  <c r="I54" i="2"/>
  <c r="L54" i="2"/>
  <c r="K54" i="2"/>
  <c r="J54" i="2"/>
  <c r="M53" i="2"/>
  <c r="I53" i="2"/>
  <c r="L53" i="2"/>
  <c r="K53" i="2"/>
  <c r="J53" i="2"/>
  <c r="M52" i="2"/>
  <c r="I52" i="2"/>
  <c r="L52" i="2"/>
  <c r="K52" i="2"/>
  <c r="J52" i="2"/>
  <c r="M51" i="2"/>
  <c r="I51" i="2"/>
  <c r="L51" i="2"/>
  <c r="K51" i="2"/>
  <c r="J51" i="2"/>
  <c r="M50" i="2"/>
  <c r="I50" i="2"/>
  <c r="L50" i="2"/>
  <c r="K50" i="2"/>
  <c r="J50" i="2"/>
  <c r="M49" i="2"/>
  <c r="I49" i="2"/>
  <c r="L49" i="2"/>
  <c r="K49" i="2"/>
  <c r="J49" i="2"/>
  <c r="M48" i="2"/>
  <c r="I48" i="2"/>
  <c r="L48" i="2"/>
  <c r="K48" i="2"/>
  <c r="J48" i="2"/>
  <c r="M47" i="2"/>
  <c r="I47" i="2"/>
  <c r="L47" i="2"/>
  <c r="K47" i="2"/>
  <c r="J47" i="2"/>
  <c r="M46" i="2"/>
  <c r="I46" i="2"/>
  <c r="L46" i="2"/>
  <c r="K46" i="2"/>
  <c r="J46" i="2"/>
  <c r="M45" i="2"/>
  <c r="I45" i="2"/>
  <c r="L45" i="2"/>
  <c r="K45" i="2"/>
  <c r="J45" i="2"/>
  <c r="M44" i="2"/>
  <c r="I44" i="2"/>
  <c r="L44" i="2"/>
  <c r="K44" i="2"/>
  <c r="J44" i="2"/>
  <c r="M43" i="2"/>
  <c r="I43" i="2"/>
  <c r="L43" i="2"/>
  <c r="K43" i="2"/>
  <c r="J43" i="2"/>
  <c r="M42" i="2"/>
  <c r="I42" i="2"/>
  <c r="L42" i="2"/>
  <c r="K42" i="2"/>
  <c r="J42" i="2"/>
  <c r="M41" i="2"/>
  <c r="I41" i="2"/>
  <c r="L41" i="2"/>
  <c r="K41" i="2"/>
  <c r="J41" i="2"/>
  <c r="M40" i="2"/>
  <c r="I40" i="2"/>
  <c r="L40" i="2"/>
  <c r="K40" i="2"/>
  <c r="J40" i="2"/>
  <c r="M39" i="2"/>
  <c r="I39" i="2"/>
  <c r="L39" i="2"/>
  <c r="K39" i="2"/>
  <c r="J39" i="2"/>
  <c r="M38" i="2"/>
  <c r="I38" i="2"/>
  <c r="L38" i="2"/>
  <c r="K38" i="2"/>
  <c r="J38" i="2"/>
  <c r="M37" i="2"/>
  <c r="I37" i="2"/>
  <c r="L37" i="2"/>
  <c r="K37" i="2"/>
  <c r="J37" i="2"/>
  <c r="M36" i="2"/>
  <c r="I36" i="2"/>
  <c r="L36" i="2"/>
  <c r="K36" i="2"/>
  <c r="J36" i="2"/>
  <c r="M35" i="2"/>
  <c r="I35" i="2"/>
  <c r="L35" i="2"/>
  <c r="K35" i="2"/>
  <c r="J35" i="2"/>
  <c r="M34" i="2"/>
  <c r="I34" i="2"/>
  <c r="L34" i="2"/>
  <c r="K34" i="2"/>
  <c r="J34" i="2"/>
  <c r="M33" i="2"/>
  <c r="I33" i="2"/>
  <c r="L33" i="2"/>
  <c r="K33" i="2"/>
  <c r="J33" i="2"/>
  <c r="M32" i="2"/>
  <c r="I32" i="2"/>
  <c r="L32" i="2"/>
  <c r="K32" i="2"/>
  <c r="J32" i="2"/>
  <c r="M31" i="2"/>
  <c r="I31" i="2"/>
  <c r="L31" i="2"/>
  <c r="K31" i="2"/>
  <c r="J31" i="2"/>
  <c r="M30" i="2"/>
  <c r="I30" i="2"/>
  <c r="L30" i="2"/>
  <c r="K30" i="2"/>
  <c r="J30" i="2"/>
  <c r="M29" i="2"/>
  <c r="I29" i="2"/>
  <c r="L29" i="2"/>
  <c r="K29" i="2"/>
  <c r="J29" i="2"/>
  <c r="M28" i="2"/>
  <c r="I28" i="2"/>
  <c r="L28" i="2"/>
  <c r="K28" i="2"/>
  <c r="J28" i="2"/>
  <c r="M27" i="2"/>
  <c r="I27" i="2"/>
  <c r="L27" i="2"/>
  <c r="K27" i="2"/>
  <c r="J27" i="2"/>
  <c r="M26" i="2"/>
  <c r="I26" i="2"/>
  <c r="L26" i="2"/>
  <c r="K26" i="2"/>
  <c r="J26" i="2"/>
  <c r="M25" i="2"/>
  <c r="I25" i="2"/>
  <c r="L25" i="2"/>
  <c r="K25" i="2"/>
  <c r="J25" i="2"/>
  <c r="M24" i="2"/>
  <c r="I24" i="2"/>
  <c r="L24" i="2"/>
  <c r="K24" i="2"/>
  <c r="J24" i="2"/>
  <c r="M23" i="2"/>
  <c r="I23" i="2"/>
  <c r="L23" i="2"/>
  <c r="K23" i="2"/>
  <c r="J23" i="2"/>
  <c r="M22" i="2"/>
  <c r="I22" i="2"/>
  <c r="L22" i="2"/>
  <c r="K22" i="2"/>
  <c r="J22" i="2"/>
  <c r="M21" i="2"/>
  <c r="I21" i="2"/>
  <c r="L21" i="2"/>
  <c r="K21" i="2"/>
  <c r="J21" i="2"/>
  <c r="M20" i="2"/>
  <c r="I20" i="2"/>
  <c r="L20" i="2"/>
  <c r="K20" i="2"/>
  <c r="J20" i="2"/>
  <c r="M19" i="2"/>
  <c r="I19" i="2"/>
  <c r="L19" i="2"/>
  <c r="K19" i="2"/>
  <c r="J19" i="2"/>
  <c r="M18" i="2"/>
  <c r="I18" i="2"/>
  <c r="L18" i="2"/>
  <c r="K18" i="2"/>
  <c r="J18" i="2"/>
  <c r="M17" i="2"/>
  <c r="I17" i="2"/>
  <c r="L17" i="2"/>
  <c r="K17" i="2"/>
  <c r="J17" i="2"/>
  <c r="M16" i="2"/>
  <c r="I16" i="2"/>
  <c r="L16" i="2"/>
  <c r="K16" i="2"/>
  <c r="J16" i="2"/>
  <c r="M15" i="2"/>
  <c r="I15" i="2"/>
  <c r="L15" i="2"/>
  <c r="K15" i="2"/>
  <c r="J15" i="2"/>
  <c r="M14" i="2"/>
  <c r="I14" i="2"/>
  <c r="L14" i="2"/>
  <c r="K14" i="2"/>
  <c r="J14" i="2"/>
  <c r="M13" i="2"/>
  <c r="I13" i="2"/>
  <c r="L13" i="2"/>
  <c r="K13" i="2"/>
  <c r="J13" i="2"/>
  <c r="M12" i="2"/>
  <c r="I12" i="2"/>
  <c r="L12" i="2"/>
  <c r="K12" i="2"/>
  <c r="J12" i="2"/>
  <c r="M11" i="2"/>
  <c r="I11" i="2"/>
  <c r="L11" i="2"/>
  <c r="K11" i="2"/>
  <c r="J11" i="2"/>
  <c r="M10" i="2"/>
  <c r="I10" i="2"/>
  <c r="L10" i="2"/>
  <c r="K10" i="2"/>
  <c r="J10" i="2"/>
  <c r="M9" i="2"/>
  <c r="I9" i="2"/>
  <c r="L9" i="2"/>
  <c r="K9" i="2"/>
  <c r="J9" i="2"/>
  <c r="M8" i="2"/>
  <c r="I8" i="2"/>
  <c r="L8" i="2"/>
  <c r="K8" i="2"/>
  <c r="J8" i="2"/>
  <c r="M7" i="2"/>
  <c r="I7" i="2"/>
  <c r="L7" i="2"/>
  <c r="K7" i="2"/>
  <c r="J7" i="2"/>
  <c r="M6" i="2"/>
  <c r="I6" i="2"/>
  <c r="L6" i="2"/>
  <c r="K6" i="2"/>
  <c r="J6" i="2"/>
  <c r="M5" i="2"/>
  <c r="I5" i="2"/>
  <c r="L5" i="2"/>
  <c r="K5" i="2"/>
  <c r="J5" i="2"/>
  <c r="M4" i="2"/>
  <c r="I4" i="2"/>
  <c r="L4" i="2"/>
  <c r="K4" i="2"/>
  <c r="J4" i="2"/>
  <c r="M3" i="2"/>
  <c r="J3" i="2"/>
  <c r="L3" i="2"/>
  <c r="K3" i="2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C28" i="1"/>
  <c r="H55" i="1"/>
  <c r="G55" i="1"/>
  <c r="F55" i="1"/>
  <c r="E55" i="1"/>
  <c r="D55" i="1"/>
  <c r="C55" i="1"/>
  <c r="B55" i="1"/>
  <c r="A55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C27" i="1"/>
  <c r="H54" i="1"/>
  <c r="P21" i="1"/>
  <c r="D27" i="1"/>
  <c r="F54" i="1"/>
  <c r="E54" i="1"/>
  <c r="S21" i="1"/>
  <c r="B27" i="1"/>
  <c r="D54" i="1"/>
  <c r="C54" i="1"/>
  <c r="B54" i="1"/>
  <c r="A54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C26" i="1"/>
  <c r="H53" i="1"/>
  <c r="I21" i="1"/>
  <c r="D26" i="1"/>
  <c r="F53" i="1"/>
  <c r="E53" i="1"/>
  <c r="L21" i="1"/>
  <c r="B26" i="1"/>
  <c r="D53" i="1"/>
  <c r="C53" i="1"/>
  <c r="B53" i="1"/>
  <c r="A53" i="1"/>
  <c r="D7" i="1"/>
  <c r="D8" i="1"/>
  <c r="D9" i="1"/>
  <c r="D10" i="1"/>
  <c r="D11" i="1"/>
  <c r="B21" i="1"/>
  <c r="D25" i="1"/>
  <c r="F52" i="1"/>
  <c r="E52" i="1"/>
  <c r="E21" i="1"/>
  <c r="B25" i="1"/>
  <c r="D52" i="1"/>
  <c r="C52" i="1"/>
  <c r="B52" i="1"/>
  <c r="A52" i="1"/>
  <c r="C47" i="1"/>
  <c r="A33" i="1"/>
  <c r="C33" i="1"/>
  <c r="A34" i="1"/>
  <c r="C34" i="1"/>
  <c r="A35" i="1"/>
  <c r="C35" i="1"/>
  <c r="A36" i="1"/>
  <c r="C36" i="1"/>
  <c r="A37" i="1"/>
  <c r="C37" i="1"/>
  <c r="A38" i="1"/>
  <c r="C38" i="1"/>
  <c r="A39" i="1"/>
  <c r="C39" i="1"/>
  <c r="A40" i="1"/>
  <c r="C40" i="1"/>
  <c r="A41" i="1"/>
  <c r="C41" i="1"/>
  <c r="A42" i="1"/>
  <c r="C42" i="1"/>
  <c r="A43" i="1"/>
  <c r="C43" i="1"/>
  <c r="A44" i="1"/>
  <c r="C44" i="1"/>
  <c r="A45" i="1"/>
  <c r="C45" i="1"/>
  <c r="A46" i="1"/>
  <c r="C46" i="1"/>
  <c r="C48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C29" i="1"/>
  <c r="B29" i="1"/>
  <c r="G29" i="1"/>
  <c r="W21" i="1"/>
  <c r="D28" i="1"/>
  <c r="D29" i="1"/>
  <c r="Z21" i="1"/>
  <c r="B28" i="1"/>
  <c r="G28" i="1"/>
  <c r="A28" i="1"/>
  <c r="G27" i="1"/>
  <c r="A27" i="1"/>
  <c r="G26" i="1"/>
  <c r="A26" i="1"/>
  <c r="G25" i="1"/>
  <c r="A25" i="1"/>
  <c r="X21" i="1"/>
  <c r="Q21" i="1"/>
  <c r="J21" i="1"/>
  <c r="C21" i="1"/>
  <c r="AA20" i="1"/>
  <c r="AK20" i="1"/>
  <c r="T20" i="1"/>
  <c r="AJ20" i="1"/>
  <c r="M20" i="1"/>
  <c r="AI20" i="1"/>
  <c r="F20" i="1"/>
  <c r="AH20" i="1"/>
  <c r="AG20" i="1"/>
  <c r="AF20" i="1"/>
  <c r="AE20" i="1"/>
  <c r="AD20" i="1"/>
  <c r="AB20" i="1"/>
  <c r="U20" i="1"/>
  <c r="N20" i="1"/>
  <c r="G20" i="1"/>
  <c r="AA19" i="1"/>
  <c r="AK19" i="1"/>
  <c r="T19" i="1"/>
  <c r="AJ19" i="1"/>
  <c r="M19" i="1"/>
  <c r="AI19" i="1"/>
  <c r="F19" i="1"/>
  <c r="AH19" i="1"/>
  <c r="AG19" i="1"/>
  <c r="AF19" i="1"/>
  <c r="AE19" i="1"/>
  <c r="AD19" i="1"/>
  <c r="AB19" i="1"/>
  <c r="U19" i="1"/>
  <c r="N19" i="1"/>
  <c r="G19" i="1"/>
  <c r="AA18" i="1"/>
  <c r="AK18" i="1"/>
  <c r="T18" i="1"/>
  <c r="AJ18" i="1"/>
  <c r="M18" i="1"/>
  <c r="AI18" i="1"/>
  <c r="F18" i="1"/>
  <c r="AH18" i="1"/>
  <c r="AG18" i="1"/>
  <c r="AF18" i="1"/>
  <c r="AE18" i="1"/>
  <c r="AD18" i="1"/>
  <c r="AB18" i="1"/>
  <c r="U18" i="1"/>
  <c r="N18" i="1"/>
  <c r="G18" i="1"/>
  <c r="AA17" i="1"/>
  <c r="AK17" i="1"/>
  <c r="T17" i="1"/>
  <c r="AJ17" i="1"/>
  <c r="M17" i="1"/>
  <c r="AI17" i="1"/>
  <c r="F17" i="1"/>
  <c r="AH17" i="1"/>
  <c r="AG17" i="1"/>
  <c r="AF17" i="1"/>
  <c r="AE17" i="1"/>
  <c r="AD17" i="1"/>
  <c r="AB17" i="1"/>
  <c r="U17" i="1"/>
  <c r="N17" i="1"/>
  <c r="G17" i="1"/>
  <c r="AA16" i="1"/>
  <c r="AK16" i="1"/>
  <c r="T16" i="1"/>
  <c r="AJ16" i="1"/>
  <c r="M16" i="1"/>
  <c r="AI16" i="1"/>
  <c r="F16" i="1"/>
  <c r="AH16" i="1"/>
  <c r="AG16" i="1"/>
  <c r="AF16" i="1"/>
  <c r="AE16" i="1"/>
  <c r="AD16" i="1"/>
  <c r="AB16" i="1"/>
  <c r="U16" i="1"/>
  <c r="N16" i="1"/>
  <c r="G16" i="1"/>
  <c r="AA15" i="1"/>
  <c r="AK15" i="1"/>
  <c r="T15" i="1"/>
  <c r="AJ15" i="1"/>
  <c r="M15" i="1"/>
  <c r="AI15" i="1"/>
  <c r="F15" i="1"/>
  <c r="AH15" i="1"/>
  <c r="AG15" i="1"/>
  <c r="AF15" i="1"/>
  <c r="AE15" i="1"/>
  <c r="AD15" i="1"/>
  <c r="AB15" i="1"/>
  <c r="U15" i="1"/>
  <c r="N15" i="1"/>
  <c r="G15" i="1"/>
  <c r="AA14" i="1"/>
  <c r="AK14" i="1"/>
  <c r="T14" i="1"/>
  <c r="AJ14" i="1"/>
  <c r="M14" i="1"/>
  <c r="AI14" i="1"/>
  <c r="F14" i="1"/>
  <c r="AH14" i="1"/>
  <c r="AG14" i="1"/>
  <c r="AF14" i="1"/>
  <c r="AE14" i="1"/>
  <c r="AD14" i="1"/>
  <c r="AB14" i="1"/>
  <c r="U14" i="1"/>
  <c r="N14" i="1"/>
  <c r="G14" i="1"/>
  <c r="AA13" i="1"/>
  <c r="AK13" i="1"/>
  <c r="T13" i="1"/>
  <c r="AJ13" i="1"/>
  <c r="M13" i="1"/>
  <c r="AI13" i="1"/>
  <c r="F13" i="1"/>
  <c r="AH13" i="1"/>
  <c r="AG13" i="1"/>
  <c r="AF13" i="1"/>
  <c r="AE13" i="1"/>
  <c r="AD13" i="1"/>
  <c r="AB13" i="1"/>
  <c r="U13" i="1"/>
  <c r="N13" i="1"/>
  <c r="G13" i="1"/>
  <c r="AA12" i="1"/>
  <c r="AK12" i="1"/>
  <c r="T12" i="1"/>
  <c r="AJ12" i="1"/>
  <c r="M12" i="1"/>
  <c r="AI12" i="1"/>
  <c r="F12" i="1"/>
  <c r="AH12" i="1"/>
  <c r="AG12" i="1"/>
  <c r="AF12" i="1"/>
  <c r="AE12" i="1"/>
  <c r="AD12" i="1"/>
  <c r="AB12" i="1"/>
  <c r="U12" i="1"/>
  <c r="N12" i="1"/>
  <c r="G12" i="1"/>
  <c r="AA11" i="1"/>
  <c r="AK11" i="1"/>
  <c r="T11" i="1"/>
  <c r="AJ11" i="1"/>
  <c r="M11" i="1"/>
  <c r="AI11" i="1"/>
  <c r="F11" i="1"/>
  <c r="AH11" i="1"/>
  <c r="AG11" i="1"/>
  <c r="AF11" i="1"/>
  <c r="AE11" i="1"/>
  <c r="AD11" i="1"/>
  <c r="AB11" i="1"/>
  <c r="U11" i="1"/>
  <c r="N11" i="1"/>
  <c r="G11" i="1"/>
  <c r="AA10" i="1"/>
  <c r="AK10" i="1"/>
  <c r="T10" i="1"/>
  <c r="AJ10" i="1"/>
  <c r="M10" i="1"/>
  <c r="AI10" i="1"/>
  <c r="F10" i="1"/>
  <c r="AH10" i="1"/>
  <c r="AG10" i="1"/>
  <c r="AF10" i="1"/>
  <c r="AE10" i="1"/>
  <c r="AD10" i="1"/>
  <c r="AB10" i="1"/>
  <c r="U10" i="1"/>
  <c r="N10" i="1"/>
  <c r="G10" i="1"/>
  <c r="AA9" i="1"/>
  <c r="AK9" i="1"/>
  <c r="T9" i="1"/>
  <c r="AJ9" i="1"/>
  <c r="M9" i="1"/>
  <c r="AI9" i="1"/>
  <c r="F9" i="1"/>
  <c r="AH9" i="1"/>
  <c r="AG9" i="1"/>
  <c r="AF9" i="1"/>
  <c r="AE9" i="1"/>
  <c r="AD9" i="1"/>
  <c r="AB9" i="1"/>
  <c r="U9" i="1"/>
  <c r="N9" i="1"/>
  <c r="G9" i="1"/>
  <c r="AA8" i="1"/>
  <c r="AK8" i="1"/>
  <c r="T8" i="1"/>
  <c r="AJ8" i="1"/>
  <c r="M8" i="1"/>
  <c r="AI8" i="1"/>
  <c r="F8" i="1"/>
  <c r="AH8" i="1"/>
  <c r="AG8" i="1"/>
  <c r="AF8" i="1"/>
  <c r="AE8" i="1"/>
  <c r="AD8" i="1"/>
  <c r="AB8" i="1"/>
  <c r="U8" i="1"/>
  <c r="N8" i="1"/>
  <c r="G8" i="1"/>
  <c r="AA7" i="1"/>
  <c r="AK7" i="1"/>
  <c r="T7" i="1"/>
  <c r="AJ7" i="1"/>
  <c r="M7" i="1"/>
  <c r="AI7" i="1"/>
  <c r="F7" i="1"/>
  <c r="AH7" i="1"/>
  <c r="AG7" i="1"/>
  <c r="AF7" i="1"/>
  <c r="AE7" i="1"/>
  <c r="AD7" i="1"/>
  <c r="AB7" i="1"/>
  <c r="U7" i="1"/>
  <c r="N7" i="1"/>
  <c r="G7" i="1"/>
  <c r="M2" i="1"/>
  <c r="AA21" i="1"/>
  <c r="AB21" i="1"/>
  <c r="F28" i="1"/>
  <c r="H28" i="1"/>
  <c r="I28" i="1"/>
  <c r="E28" i="1"/>
  <c r="F21" i="1"/>
  <c r="E25" i="1"/>
  <c r="G21" i="1"/>
  <c r="F25" i="1"/>
  <c r="I25" i="1"/>
  <c r="H25" i="1"/>
  <c r="G52" i="1"/>
  <c r="M21" i="1"/>
  <c r="E26" i="1"/>
  <c r="N21" i="1"/>
  <c r="F26" i="1"/>
  <c r="I26" i="1"/>
  <c r="H26" i="1"/>
  <c r="G53" i="1"/>
  <c r="T21" i="1"/>
  <c r="E27" i="1"/>
  <c r="F29" i="1"/>
  <c r="I29" i="1"/>
  <c r="H29" i="1"/>
  <c r="E29" i="1"/>
  <c r="U21" i="1"/>
  <c r="F27" i="1"/>
  <c r="I27" i="1"/>
  <c r="H27" i="1"/>
  <c r="G54" i="1"/>
</calcChain>
</file>

<file path=xl/sharedStrings.xml><?xml version="1.0" encoding="utf-8"?>
<sst xmlns="http://schemas.openxmlformats.org/spreadsheetml/2006/main" count="112" uniqueCount="53">
  <si>
    <t>CADENCES MO (GRATTAGE)</t>
  </si>
  <si>
    <t>Date</t>
  </si>
  <si>
    <t>Produit</t>
  </si>
  <si>
    <t>Standard boites/h/femme</t>
  </si>
  <si>
    <t>LIGNE 1</t>
  </si>
  <si>
    <t>LIGNE 2</t>
  </si>
  <si>
    <t>LIGNE 3</t>
  </si>
  <si>
    <t>LIGNE 4</t>
  </si>
  <si>
    <t>Demarrage</t>
  </si>
  <si>
    <t>Effectif</t>
  </si>
  <si>
    <t>Heure controle</t>
  </si>
  <si>
    <t>Arret (min)</t>
  </si>
  <si>
    <t>Motif d'arret</t>
  </si>
  <si>
    <t>Duree nette (h)</t>
  </si>
  <si>
    <t>Nb boites</t>
  </si>
  <si>
    <t>Nbre Femmes</t>
  </si>
  <si>
    <t>Cadence boites/h/femme</t>
  </si>
  <si>
    <t>TOTAL</t>
  </si>
  <si>
    <t>SYNTHESE DU JOUR</t>
  </si>
  <si>
    <t>Ligne</t>
  </si>
  <si>
    <t>Total arret (min)</t>
  </si>
  <si>
    <t>Nbre femmes (moy)</t>
  </si>
  <si>
    <t>Cadence ligne (boites/h)</t>
  </si>
  <si>
    <t>% atteinte</t>
  </si>
  <si>
    <t>Ecart vs standard</t>
  </si>
  <si>
    <t>% des arrets</t>
  </si>
  <si>
    <t>Nb occurrences</t>
  </si>
  <si>
    <t>TOTAL ARRETS</t>
  </si>
  <si>
    <t>Arrets sans motif (min)</t>
  </si>
  <si>
    <t>SUIVI MENSUEL — CADENCES MO GRATTAGE</t>
  </si>
  <si>
    <t>Statut</t>
  </si>
  <si>
    <t>PARAMETRES — CADENCES MO GRATTAGE</t>
  </si>
  <si>
    <t>Seuil alerte (% du standard)</t>
  </si>
  <si>
    <t>STANDARDS PAR PRODUIT</t>
  </si>
  <si>
    <t>LISTE DES MOTIFS D'ARRET</t>
  </si>
  <si>
    <t>Commentaire</t>
  </si>
  <si>
    <t>Pause repas / reglementaire</t>
  </si>
  <si>
    <t>Panne machine</t>
  </si>
  <si>
    <t>Manque matiere premiere</t>
  </si>
  <si>
    <t>Changement de lot</t>
  </si>
  <si>
    <t>Nettoyage / sanitation</t>
  </si>
  <si>
    <t>Reglage machine</t>
  </si>
  <si>
    <t>Manque de personnel</t>
  </si>
  <si>
    <t>Attente controle qualite</t>
  </si>
  <si>
    <t>Coupure electricite</t>
  </si>
  <si>
    <t>Manque emballage</t>
  </si>
  <si>
    <t>Evacuation dechets</t>
  </si>
  <si>
    <t>Nbre femmes</t>
  </si>
  <si>
    <t>FMHOEV BIO</t>
  </si>
  <si>
    <t>ARRETS DU JOUR PAR MOTIF</t>
  </si>
  <si>
    <t>EXPORT — LIGNES A COPIER DANS SUIVI MENSUEL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</si>
</sst>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"/>
    <numFmt numFmtId="165" formatCode="#,##0.0"/>
    <numFmt numFmtId="166" formatCode="hh:mm"/>
    <numFmt numFmtId="167" formatCode=";;;"/>
    <numFmt numFmtId="168" formatCode="0.0%"/>
    <numFmt numFmtId="169" formatCode="\+#,##0.0;\-#,##0.0;0.0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0A0F1A"/>
      <name val="Arial"/>
      <charset val="1"/>
    </font>
    <font>
      <sz val="10"/>
      <color rgb="FF0000FF"/>
      <name val="Arial"/>
      <charset val="1"/>
    </font>
    <font>
      <b/>
      <sz val="9"/>
      <color rgb="FFFFFFFF"/>
      <name val="Arial"/>
      <charset val="1"/>
    </font>
    <font>
      <sz val="8"/>
      <color rgb="FF5A6672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sz val="9"/>
      <color rgb="FF5A6672"/>
      <name val="Arial"/>
      <charset val="1"/>
    </font>
    <font>
      <sz val="10"/>
      <color rgb="FF0A0F1A"/>
      <name val="Arial"/>
      <charset val="1"/>
    </font>
    <font>
      <b/>
      <sz val="13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0A0F1A"/>
        <bgColor rgb="FF000000"/>
      </patternFill>
    </fill>
    <fill>
      <patternFill patternType="solid">
        <fgColor rgb="FFFFF6E5"/>
        <bgColor rgb="FFFFEBDA"/>
      </patternFill>
    </fill>
    <fill>
      <patternFill patternType="solid">
        <fgColor rgb="FFF2F5F7"/>
        <bgColor rgb="FFEAF7F5"/>
      </patternFill>
    </fill>
    <fill>
      <patternFill patternType="solid">
        <fgColor rgb="FFD6F2EC"/>
        <bgColor rgb="FFEAF7F5"/>
      </patternFill>
    </fill>
    <fill>
      <patternFill patternType="solid">
        <fgColor rgb="FFFF7F3F"/>
        <bgColor rgb="FFFF6600"/>
      </patternFill>
    </fill>
    <fill>
      <patternFill patternType="solid">
        <fgColor rgb="FF17A598"/>
        <bgColor rgb="FF00808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A598"/>
      </bottom>
      <diagonal/>
    </border>
    <border>
      <left style="thin">
        <color rgb="FFBFC7CE"/>
      </left>
      <right style="thin">
        <color rgb="FFBFC7CE"/>
      </right>
      <top style="thin">
        <color rgb="FFBFC7CE"/>
      </top>
      <bottom style="thin">
        <color rgb="FFBFC7CE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5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right" vertical="center"/>
    </xf>
    <xf numFmtId="164" fontId="3" fillId="3" borderId="2" xfId="0" applyNumberFormat="1" applyFont="1" applyFill="1" applyBorder="1" applyAlignment="1" applyProtection="1">
      <alignment horizontal="center" vertical="center"/>
      <protection locked="0"/>
    </xf>
    <xf numFmtId="165" fontId="2" fillId="4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right" vertical="center"/>
    </xf>
    <xf numFmtId="166" fontId="3" fillId="3" borderId="2" xfId="0" applyNumberFormat="1" applyFont="1" applyFill="1" applyBorder="1" applyAlignment="1" applyProtection="1">
      <alignment horizontal="center" vertical="center"/>
      <protection locked="0"/>
    </xf>
    <xf numFmtId="0" fontId="2" fillId="5" borderId="0" xfId="0" applyFont="1" applyFill="1" applyAlignment="1">
      <alignment horizontal="right" vertical="center"/>
    </xf>
    <xf numFmtId="3" fontId="3" fillId="3" borderId="0" xfId="0" applyNumberFormat="1" applyFont="1" applyFill="1" applyAlignment="1" applyProtection="1">
      <alignment horizontal="center" vertical="center"/>
      <protection locked="0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2" fontId="2" fillId="4" borderId="2" xfId="0" applyNumberFormat="1" applyFont="1" applyFill="1" applyBorder="1" applyAlignment="1">
      <alignment horizontal="center" vertical="center"/>
    </xf>
    <xf numFmtId="167" fontId="0" fillId="0" borderId="0" xfId="0" applyNumberFormat="1" applyAlignment="1"/>
    <xf numFmtId="0" fontId="6" fillId="2" borderId="2" xfId="0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165" fontId="2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center" vertical="center"/>
    </xf>
    <xf numFmtId="168" fontId="2" fillId="4" borderId="2" xfId="0" applyNumberFormat="1" applyFont="1" applyFill="1" applyBorder="1" applyAlignment="1">
      <alignment horizontal="center" vertical="center"/>
    </xf>
    <xf numFmtId="169" fontId="2" fillId="4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168" fontId="2" fillId="5" borderId="2" xfId="0" applyNumberFormat="1" applyFont="1" applyFill="1" applyBorder="1" applyAlignment="1">
      <alignment horizontal="center" vertical="center"/>
    </xf>
    <xf numFmtId="169" fontId="2" fillId="5" borderId="2" xfId="0" applyNumberFormat="1" applyFont="1" applyFill="1" applyBorder="1" applyAlignment="1">
      <alignment horizontal="center" vertical="center"/>
    </xf>
    <xf numFmtId="164" fontId="9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3" fontId="9" fillId="4" borderId="2" xfId="0" applyNumberFormat="1" applyFont="1" applyFill="1" applyBorder="1" applyAlignment="1">
      <alignment horizontal="center" vertical="center"/>
    </xf>
    <xf numFmtId="2" fontId="9" fillId="4" borderId="2" xfId="0" applyNumberFormat="1" applyFont="1" applyFill="1" applyBorder="1" applyAlignment="1">
      <alignment horizontal="center" vertical="center"/>
    </xf>
    <xf numFmtId="165" fontId="9" fillId="4" borderId="2" xfId="0" applyNumberFormat="1" applyFont="1" applyFill="1" applyBorder="1" applyAlignment="1">
      <alignment horizontal="center" vertical="center"/>
    </xf>
    <xf numFmtId="0" fontId="0" fillId="0" borderId="1" xfId="0" applyBorder="1" applyAlignment="1"/>
    <xf numFmtId="0" fontId="4" fillId="0" borderId="2" xfId="0" applyFont="1" applyBorder="1" applyAlignment="1">
      <alignment horizontal="center" vertical="center" wrapText="1"/>
    </xf>
    <xf numFmtId="2" fontId="3" fillId="3" borderId="2" xfId="0" applyNumberFormat="1" applyFont="1" applyFill="1" applyBorder="1" applyAlignment="1" applyProtection="1">
      <alignment horizontal="center" vertical="center"/>
      <protection locked="0"/>
    </xf>
    <xf numFmtId="165" fontId="3" fillId="3" borderId="2" xfId="0" applyNumberFormat="1" applyFont="1" applyFill="1" applyBorder="1" applyAlignment="1" applyProtection="1">
      <alignment horizontal="center" vertical="center"/>
      <protection locked="0"/>
    </xf>
    <xf numFmtId="165" fontId="9" fillId="4" borderId="2" xfId="0" applyNumberFormat="1" applyFont="1" applyFill="1" applyBorder="1" applyAlignment="1" applyProtection="1">
      <alignment horizontal="center" vertical="center"/>
      <protection locked="0"/>
    </xf>
    <xf numFmtId="168" fontId="9" fillId="4" borderId="2" xfId="0" applyNumberFormat="1" applyFont="1" applyFill="1" applyBorder="1" applyAlignment="1">
      <alignment horizontal="center" vertical="center"/>
    </xf>
    <xf numFmtId="169" fontId="9" fillId="4" borderId="2" xfId="0" applyNumberFormat="1" applyFont="1" applyFill="1" applyBorder="1" applyAlignment="1">
      <alignment horizontal="center" vertical="center"/>
    </xf>
    <xf numFmtId="0" fontId="5" fillId="0" borderId="0" xfId="0" applyFont="1" applyAlignment="1"/>
    <xf numFmtId="9" fontId="3" fillId="3" borderId="2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40">
    <dxf>
      <font>
        <b/>
        <color rgb="FF5A6672"/>
      </font>
      <fill>
        <patternFill>
          <bgColor rgb="FFF2F5F7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B04E14"/>
      </font>
      <fill>
        <patternFill>
          <bgColor rgb="FFFFEBDA"/>
        </patternFill>
      </fill>
    </dxf>
    <dxf>
      <font>
        <b/>
        <color rgb="FF0E6B62"/>
      </font>
      <fill>
        <patternFill>
          <bgColor rgb="FFD6F2EC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B04E14"/>
      </font>
      <fill>
        <patternFill>
          <bgColor rgb="FFFFEBDA"/>
        </patternFill>
      </fill>
    </dxf>
    <dxf>
      <font>
        <b/>
        <color rgb="FF0E6B62"/>
      </font>
      <fill>
        <patternFill>
          <bgColor rgb="FFD6F2EC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B04E14"/>
      </font>
      <fill>
        <patternFill>
          <bgColor rgb="FFFFEBDA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B04E14"/>
      </font>
      <fill>
        <patternFill>
          <bgColor rgb="FFFFEBDA"/>
        </patternFill>
      </fill>
    </dxf>
    <dxf>
      <font>
        <b/>
        <color rgb="FF0E6B62"/>
      </font>
      <fill>
        <patternFill>
          <bgColor rgb="FFD6F2EC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B04E14"/>
      </font>
      <fill>
        <patternFill>
          <bgColor rgb="FFFFEBDA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B04E14"/>
      </font>
      <fill>
        <patternFill>
          <bgColor rgb="FFFFEBDA"/>
        </patternFill>
      </fill>
    </dxf>
    <dxf>
      <font>
        <b/>
        <color rgb="FF0E6B62"/>
      </font>
      <fill>
        <patternFill>
          <bgColor rgb="FFD6F2EC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B04E14"/>
      </font>
      <fill>
        <patternFill>
          <bgColor rgb="FFFFEBDA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B04E14"/>
      </font>
      <fill>
        <patternFill>
          <bgColor rgb="FFFFEBDA"/>
        </patternFill>
      </fill>
    </dxf>
    <dxf>
      <font>
        <b/>
        <color rgb="FF0E6B62"/>
      </font>
      <fill>
        <patternFill>
          <bgColor rgb="FFD6F2EC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B04E14"/>
      </font>
      <fill>
        <patternFill>
          <bgColor rgb="FFFFEBDA"/>
        </patternFill>
      </fill>
    </dxf>
    <dxf>
      <font>
        <b/>
        <color rgb="FF0E6B62"/>
      </font>
      <fill>
        <patternFill>
          <bgColor rgb="FFD6F2EC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9E1C1C"/>
      </font>
      <fill>
        <patternFill>
          <bgColor rgb="FFFBD9D9"/>
        </patternFill>
      </fill>
    </dxf>
    <dxf>
      <font>
        <b/>
        <color rgb="FFB04E14"/>
      </font>
      <fill>
        <patternFill>
          <bgColor rgb="FFFFEB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B62"/>
      <rgbColor rgb="FFBFC7CE"/>
      <rgbColor rgb="FF878787"/>
      <rgbColor rgb="FF9999FF"/>
      <rgbColor rgb="FFB04E14"/>
      <rgbColor rgb="FFFFF6E5"/>
      <rgbColor rgb="FFD6F2EC"/>
      <rgbColor rgb="FF660066"/>
      <rgbColor rgb="FFFF7F3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7F5"/>
      <rgbColor rgb="FFF2F5F7"/>
      <rgbColor rgb="FFFFEBDA"/>
      <rgbColor rgb="FF99CCFF"/>
      <rgbColor rgb="FFFF99CC"/>
      <rgbColor rgb="FFCC99FF"/>
      <rgbColor rgb="FFFBD9D9"/>
      <rgbColor rgb="FF3366FF"/>
      <rgbColor rgb="FF33CCCC"/>
      <rgbColor rgb="FF99CC00"/>
      <rgbColor rgb="FFFFCC00"/>
      <rgbColor rgb="FFFF9900"/>
      <rgbColor rgb="FFFF6600"/>
      <rgbColor rgb="FF5A6672"/>
      <rgbColor rgb="FF9AA5B1"/>
      <rgbColor rgb="FF003366"/>
      <rgbColor rgb="FF17A598"/>
      <rgbColor rgb="FF0A0F1A"/>
      <rgbColor rgb="FF333300"/>
      <rgbColor rgb="FF9E1C1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55"/>
  <sheetViews>
    <sheetView showGridLines="0" tabSelected="1" zoomScaleNormal="100" workbookViewId="0">
      <pane ySplit="6" topLeftCell="A7" activePane="bottomLeft" state="frozen"/>
      <selection pane="bottomLeft" activeCell="E66" sqref="E66"/>
    </sheetView>
  </sheetViews>
  <sheetFormatPr defaultColWidth="8.7421875" defaultRowHeight="15" x14ac:dyDescent="0.2"/>
  <cols>
    <col min="1" max="1" width="12.5078125" style="12" customWidth="1"/>
    <col min="2" max="2" width="9.953125" style="12" customWidth="1"/>
    <col min="3" max="3" width="20.04296875" style="12" customWidth="1"/>
    <col min="4" max="4" width="11.02734375" style="12" customWidth="1"/>
    <col min="5" max="6" width="10.4921875" style="12" customWidth="1"/>
    <col min="7" max="7" width="13.046875" style="12" customWidth="1"/>
    <col min="8" max="8" width="12.5078125" style="12" customWidth="1"/>
    <col min="9" max="9" width="9.953125" style="12" customWidth="1"/>
    <col min="10" max="10" width="20.04296875" style="12" customWidth="1"/>
    <col min="11" max="11" width="11.02734375" style="12" customWidth="1"/>
    <col min="12" max="13" width="10.4921875" style="12" customWidth="1"/>
    <col min="14" max="14" width="13.046875" style="12" customWidth="1"/>
    <col min="15" max="15" width="12.5078125" style="12" customWidth="1"/>
    <col min="16" max="16" width="9.953125" style="12" customWidth="1"/>
    <col min="17" max="17" width="20.04296875" style="12" customWidth="1"/>
    <col min="18" max="18" width="11.02734375" style="12" customWidth="1"/>
    <col min="19" max="20" width="10.4921875" style="12" customWidth="1"/>
    <col min="21" max="21" width="13.046875" style="12" customWidth="1"/>
    <col min="22" max="22" width="12.5078125" style="12" customWidth="1"/>
    <col min="23" max="23" width="9.953125" style="12" customWidth="1"/>
    <col min="24" max="24" width="20.04296875" style="12" customWidth="1"/>
    <col min="25" max="25" width="11.02734375" style="12" customWidth="1"/>
    <col min="26" max="27" width="10.4921875" style="12" customWidth="1"/>
    <col min="28" max="28" width="13.046875" style="12" customWidth="1"/>
    <col min="30" max="37" width="13.046875" style="12" hidden="1" customWidth="1"/>
  </cols>
  <sheetData>
    <row r="1" spans="1:37" ht="30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37" ht="19.5" customHeight="1" x14ac:dyDescent="0.2">
      <c r="A2" s="13" t="s">
        <v>1</v>
      </c>
      <c r="B2" s="14">
        <v>46251</v>
      </c>
      <c r="D2" s="10" t="s">
        <v>2</v>
      </c>
      <c r="E2" s="10"/>
      <c r="F2" s="9" t="s">
        <v>48</v>
      </c>
      <c r="G2" s="9"/>
      <c r="H2" s="9"/>
      <c r="J2" s="10" t="s">
        <v>3</v>
      </c>
      <c r="K2" s="10"/>
      <c r="L2" s="10"/>
      <c r="M2" s="15">
        <f>IFERROR(INDEX(PARAMETRES!$B$5:$B$24,MATCH($F$2,PARAMETRES!$A$5:$A$24,0)),"")</f>
        <v>112</v>
      </c>
    </row>
    <row r="4" spans="1:37" ht="15" customHeight="1" x14ac:dyDescent="0.2">
      <c r="A4" s="8" t="s">
        <v>4</v>
      </c>
      <c r="B4" s="8"/>
      <c r="C4" s="8"/>
      <c r="D4" s="8"/>
      <c r="E4" s="8"/>
      <c r="F4" s="8"/>
      <c r="G4" s="8"/>
      <c r="H4" s="8" t="s">
        <v>5</v>
      </c>
      <c r="I4" s="8"/>
      <c r="J4" s="8"/>
      <c r="K4" s="8"/>
      <c r="L4" s="8"/>
      <c r="M4" s="8"/>
      <c r="N4" s="8"/>
      <c r="O4" s="8" t="s">
        <v>6</v>
      </c>
      <c r="P4" s="8"/>
      <c r="Q4" s="8"/>
      <c r="R4" s="8"/>
      <c r="S4" s="8"/>
      <c r="T4" s="8"/>
      <c r="U4" s="8"/>
      <c r="V4" s="8" t="s">
        <v>7</v>
      </c>
      <c r="W4" s="8"/>
      <c r="X4" s="8"/>
      <c r="Y4" s="8"/>
      <c r="Z4" s="8"/>
      <c r="AA4" s="8"/>
      <c r="AB4" s="8"/>
    </row>
    <row r="5" spans="1:37" ht="18" customHeight="1" x14ac:dyDescent="0.2">
      <c r="A5" s="16" t="s">
        <v>8</v>
      </c>
      <c r="B5" s="17">
        <v>0.36458333333333331</v>
      </c>
      <c r="C5" s="18" t="s">
        <v>9</v>
      </c>
      <c r="D5" s="19">
        <v>11</v>
      </c>
      <c r="E5" s="7"/>
      <c r="F5" s="7"/>
      <c r="G5" s="7"/>
      <c r="H5" s="16" t="s">
        <v>8</v>
      </c>
      <c r="I5" s="17">
        <v>0.36458333333333331</v>
      </c>
      <c r="J5" s="18" t="s">
        <v>9</v>
      </c>
      <c r="K5" s="19">
        <v>11</v>
      </c>
      <c r="L5" s="7"/>
      <c r="M5" s="7"/>
      <c r="N5" s="7"/>
      <c r="O5" s="16" t="s">
        <v>8</v>
      </c>
      <c r="P5" s="17">
        <v>0.36458333333333331</v>
      </c>
      <c r="Q5" s="18" t="s">
        <v>9</v>
      </c>
      <c r="R5" s="19">
        <v>13</v>
      </c>
      <c r="S5" s="7"/>
      <c r="T5" s="7"/>
      <c r="U5" s="7"/>
      <c r="V5" s="16" t="s">
        <v>8</v>
      </c>
      <c r="W5" s="17">
        <v>0.33333333333333298</v>
      </c>
      <c r="X5" s="18" t="s">
        <v>9</v>
      </c>
      <c r="Y5" s="19"/>
      <c r="Z5" s="7"/>
      <c r="AA5" s="7"/>
      <c r="AB5" s="7"/>
    </row>
    <row r="6" spans="1:37" ht="37.5" customHeight="1" x14ac:dyDescent="0.2">
      <c r="A6" s="20" t="s">
        <v>10</v>
      </c>
      <c r="B6" s="20" t="s">
        <v>11</v>
      </c>
      <c r="C6" s="20" t="s">
        <v>12</v>
      </c>
      <c r="D6" s="21" t="s">
        <v>13</v>
      </c>
      <c r="E6" s="20" t="s">
        <v>14</v>
      </c>
      <c r="F6" s="20" t="s">
        <v>15</v>
      </c>
      <c r="G6" s="21" t="s">
        <v>16</v>
      </c>
      <c r="H6" s="20" t="s">
        <v>10</v>
      </c>
      <c r="I6" s="20" t="s">
        <v>11</v>
      </c>
      <c r="J6" s="20" t="s">
        <v>12</v>
      </c>
      <c r="K6" s="21" t="s">
        <v>13</v>
      </c>
      <c r="L6" s="20" t="s">
        <v>14</v>
      </c>
      <c r="M6" s="20" t="s">
        <v>15</v>
      </c>
      <c r="N6" s="21" t="s">
        <v>16</v>
      </c>
      <c r="O6" s="20" t="s">
        <v>10</v>
      </c>
      <c r="P6" s="20" t="s">
        <v>11</v>
      </c>
      <c r="Q6" s="20" t="s">
        <v>12</v>
      </c>
      <c r="R6" s="21" t="s">
        <v>13</v>
      </c>
      <c r="S6" s="20" t="s">
        <v>14</v>
      </c>
      <c r="T6" s="20" t="s">
        <v>15</v>
      </c>
      <c r="U6" s="21" t="s">
        <v>16</v>
      </c>
      <c r="V6" s="20" t="s">
        <v>10</v>
      </c>
      <c r="W6" s="20" t="s">
        <v>11</v>
      </c>
      <c r="X6" s="20" t="s">
        <v>12</v>
      </c>
      <c r="Y6" s="21" t="s">
        <v>13</v>
      </c>
      <c r="Z6" s="20" t="s">
        <v>14</v>
      </c>
      <c r="AA6" s="20" t="s">
        <v>15</v>
      </c>
      <c r="AB6" s="21" t="s">
        <v>16</v>
      </c>
    </row>
    <row r="7" spans="1:37" ht="18" customHeight="1" x14ac:dyDescent="0.2">
      <c r="A7" s="17">
        <v>0.40625</v>
      </c>
      <c r="B7" s="22"/>
      <c r="C7" s="23"/>
      <c r="D7" s="24">
        <f>IF(A7="","",(A7-$B$5+IF(A7&lt;$B$5,1,0))*24-IF(B7="",0,B7)/60)</f>
        <v>1.0000000000000004</v>
      </c>
      <c r="E7" s="22">
        <v>1008</v>
      </c>
      <c r="F7" s="22">
        <f>IF($D$5="","",$D$5)</f>
        <v>11</v>
      </c>
      <c r="G7" s="15">
        <f>IF(OR(E7="",F7="",F7=0,D7="",D7&lt;=0),"",E7/D7/F7)</f>
        <v>91.636363636363598</v>
      </c>
      <c r="H7" s="17">
        <v>0.40625</v>
      </c>
      <c r="I7" s="22"/>
      <c r="J7" s="23"/>
      <c r="K7" s="24">
        <f>IF(H7="","",(H7-$I$5+IF(H7&lt;$I$5,1,0))*24-IF(I7="",0,I7)/60)</f>
        <v>1.0000000000000004</v>
      </c>
      <c r="L7" s="22">
        <v>980</v>
      </c>
      <c r="M7" s="22">
        <f>IF($K$5="","",$K$5)</f>
        <v>11</v>
      </c>
      <c r="N7" s="15">
        <f>IF(OR(L7="",M7="",M7=0,K7="",K7&lt;=0),"",L7/K7/M7)</f>
        <v>89.090909090909051</v>
      </c>
      <c r="O7" s="17">
        <v>0.40625</v>
      </c>
      <c r="P7" s="22"/>
      <c r="Q7" s="23"/>
      <c r="R7" s="24">
        <f>IF(O7="","",(O7-$P$5+IF(O7&lt;$P$5,1,0))*24-IF(P7="",0,P7)/60)</f>
        <v>1.0000000000000004</v>
      </c>
      <c r="S7" s="22">
        <v>1008</v>
      </c>
      <c r="T7" s="22">
        <f>IF($R$5="","",$R$5)</f>
        <v>13</v>
      </c>
      <c r="U7" s="15">
        <f>IF(OR(S7="",T7="",T7=0,R7="",R7&lt;=0),"",S7/R7/T7)</f>
        <v>77.538461538461505</v>
      </c>
      <c r="V7" s="17"/>
      <c r="W7" s="22"/>
      <c r="X7" s="23"/>
      <c r="Y7" s="24" t="str">
        <f>IF(V7="","",(V7-$W$5+IF(V7&lt;$W$5,1,0))*24-IF(W7="",0,W7)/60)</f>
        <v/>
      </c>
      <c r="Z7" s="22"/>
      <c r="AA7" s="22" t="str">
        <f>IF($Y$5="","",$Y$5)</f>
        <v/>
      </c>
      <c r="AB7" s="15" t="str">
        <f>IF(OR(Z7="",AA7="",AA7=0,Y7="",Y7&lt;=0),"",Z7/Y7/AA7)</f>
        <v/>
      </c>
      <c r="AD7" s="25">
        <f>IF(D7="",0,D7)</f>
        <v>1.0000000000000004</v>
      </c>
      <c r="AE7" s="25">
        <f>IF(K7="",0,K7)</f>
        <v>1.0000000000000004</v>
      </c>
      <c r="AF7" s="25">
        <f>IF(R7="",0,R7)</f>
        <v>1.0000000000000004</v>
      </c>
      <c r="AG7" s="25">
        <f>IF(Y7="",0,Y7)</f>
        <v>0</v>
      </c>
      <c r="AH7" s="25">
        <f>IF(F7="",0,F7)</f>
        <v>11</v>
      </c>
      <c r="AI7" s="25">
        <f>IF(M7="",0,M7)</f>
        <v>11</v>
      </c>
      <c r="AJ7" s="25">
        <f>IF(T7="",0,T7)</f>
        <v>13</v>
      </c>
      <c r="AK7" s="25">
        <f>IF(AA7="",0,AA7)</f>
        <v>0</v>
      </c>
    </row>
    <row r="8" spans="1:37" ht="18" customHeight="1" x14ac:dyDescent="0.2">
      <c r="A8" s="17">
        <v>0.44791666666666669</v>
      </c>
      <c r="B8" s="22"/>
      <c r="C8" s="23"/>
      <c r="D8" s="24">
        <f>IF(A8="","",(A8-IFERROR(LOOKUP(2,1/($A$7:A7&lt;&gt;""),$A$7:A7),$B$5)+IF(A8&lt;IFERROR(LOOKUP(2,1/($A$7:A7&lt;&gt;""),$A$7:A7),$B$5),1,0))*24-IF(B8="",0,B8)/60)</f>
        <v>1.0000000000000004</v>
      </c>
      <c r="E8" s="22">
        <v>1260</v>
      </c>
      <c r="F8" s="22">
        <f>IF($D$5="","",$D$5)</f>
        <v>11</v>
      </c>
      <c r="G8" s="15">
        <f>IF(OR(E8="",F8="",F8=0,D8="",D8&lt;=0),"",E8/D8/F8)</f>
        <v>114.5454545454545</v>
      </c>
      <c r="H8" s="17">
        <v>0.44791666666666669</v>
      </c>
      <c r="I8" s="22"/>
      <c r="J8" s="23"/>
      <c r="K8" s="24">
        <f>IF(H8="","",(H8-IFERROR(LOOKUP(2,1/($H$7:H7&lt;&gt;""),$H$7:H7),$I$5)+IF(H8&lt;IFERROR(LOOKUP(2,1/($H$7:H7&lt;&gt;""),$H$7:H7),$I$5),1,0))*24-IF(I8="",0,I8)/60)</f>
        <v>1.0000000000000004</v>
      </c>
      <c r="L8" s="22">
        <v>1148</v>
      </c>
      <c r="M8" s="22">
        <f>IF($K$5="","",$K$5)</f>
        <v>11</v>
      </c>
      <c r="N8" s="15">
        <f>IF(OR(L8="",M8="",M8=0,K8="",K8&lt;=0),"",L8/K8/M8)</f>
        <v>104.36363636363632</v>
      </c>
      <c r="O8" s="17">
        <v>0.44791666666666669</v>
      </c>
      <c r="P8" s="22"/>
      <c r="Q8" s="23"/>
      <c r="R8" s="24">
        <f>IF(O8="","",(O8-IFERROR(LOOKUP(2,1/($O$7:O7&lt;&gt;""),$O$7:O7),$P$5)+IF(O8&lt;IFERROR(LOOKUP(2,1/($O$7:O7&lt;&gt;""),$O$7:O7),$P$5),1,0))*24-IF(P8="",0,P8)/60)</f>
        <v>1.0000000000000004</v>
      </c>
      <c r="S8" s="22">
        <v>1428</v>
      </c>
      <c r="T8" s="22">
        <f>IF($R$5="","",$R$5)</f>
        <v>13</v>
      </c>
      <c r="U8" s="15">
        <f>IF(OR(S8="",T8="",T8=0,R8="",R8&lt;=0),"",S8/R8/T8)</f>
        <v>109.8461538461538</v>
      </c>
      <c r="V8" s="17"/>
      <c r="W8" s="22"/>
      <c r="X8" s="23"/>
      <c r="Y8" s="24" t="str">
        <f>IF(V8="","",(V8-IFERROR(LOOKUP(2,1/($V$7:V7&lt;&gt;""),$V$7:V7),$W$5)+IF(V8&lt;IFERROR(LOOKUP(2,1/($V$7:V7&lt;&gt;""),$V$7:V7),$W$5),1,0))*24-IF(W8="",0,W8)/60)</f>
        <v/>
      </c>
      <c r="Z8" s="22"/>
      <c r="AA8" s="22" t="str">
        <f>IF($Y$5="","",$Y$5)</f>
        <v/>
      </c>
      <c r="AB8" s="15" t="str">
        <f>IF(OR(Z8="",AA8="",AA8=0,Y8="",Y8&lt;=0),"",Z8/Y8/AA8)</f>
        <v/>
      </c>
      <c r="AD8" s="25">
        <f>IF(D8="",0,D8)</f>
        <v>1.0000000000000004</v>
      </c>
      <c r="AE8" s="25">
        <f>IF(K8="",0,K8)</f>
        <v>1.0000000000000004</v>
      </c>
      <c r="AF8" s="25">
        <f>IF(R8="",0,R8)</f>
        <v>1.0000000000000004</v>
      </c>
      <c r="AG8" s="25">
        <f>IF(Y8="",0,Y8)</f>
        <v>0</v>
      </c>
      <c r="AH8" s="25">
        <f>IF(F8="",0,F8)</f>
        <v>11</v>
      </c>
      <c r="AI8" s="25">
        <f>IF(M8="",0,M8)</f>
        <v>11</v>
      </c>
      <c r="AJ8" s="25">
        <f>IF(T8="",0,T8)</f>
        <v>13</v>
      </c>
      <c r="AK8" s="25">
        <f>IF(AA8="",0,AA8)</f>
        <v>0</v>
      </c>
    </row>
    <row r="9" spans="1:37" ht="18" customHeight="1" x14ac:dyDescent="0.2">
      <c r="A9" s="17">
        <v>0.48958333333333331</v>
      </c>
      <c r="B9" s="22"/>
      <c r="C9" s="23"/>
      <c r="D9" s="24">
        <f>IF(A9="","",(A9-IFERROR(LOOKUP(2,1/($A$7:A8&lt;&gt;""),$A$7:A8),$B$5)+IF(A9&lt;IFERROR(LOOKUP(2,1/($A$7:A8&lt;&gt;""),$A$7:A8),$B$5),1,0))*24-IF(B9="",0,B9)/60)</f>
        <v>0.99999999999999911</v>
      </c>
      <c r="E9" s="22">
        <v>1204</v>
      </c>
      <c r="F9" s="22">
        <f>IF($D$5="","",$D$5)</f>
        <v>11</v>
      </c>
      <c r="G9" s="15">
        <f>IF(OR(E9="",F9="",F9=0,D9="",D9&lt;=0),"",E9/D9/F9)</f>
        <v>109.45454545454555</v>
      </c>
      <c r="H9" s="17">
        <v>0.48958333333333331</v>
      </c>
      <c r="I9" s="22"/>
      <c r="J9" s="23"/>
      <c r="K9" s="24">
        <f>IF(H9="","",(H9-IFERROR(LOOKUP(2,1/($H$7:H8&lt;&gt;""),$H$7:H8),$I$5)+IF(H9&lt;IFERROR(LOOKUP(2,1/($H$7:H8&lt;&gt;""),$H$7:H8),$I$5),1,0))*24-IF(I9="",0,I9)/60)</f>
        <v>0.99999999999999911</v>
      </c>
      <c r="L9" s="22">
        <v>1036</v>
      </c>
      <c r="M9" s="22">
        <f>IF($K$5="","",$K$5)</f>
        <v>11</v>
      </c>
      <c r="N9" s="15">
        <f>IF(OR(L9="",M9="",M9=0,K9="",K9&lt;=0),"",L9/K9/M9)</f>
        <v>94.181818181818258</v>
      </c>
      <c r="O9" s="17">
        <v>0.48958333333333331</v>
      </c>
      <c r="P9" s="22"/>
      <c r="Q9" s="23"/>
      <c r="R9" s="24">
        <f>IF(O9="","",(O9-IFERROR(LOOKUP(2,1/($O$7:O8&lt;&gt;""),$O$7:O8),$P$5)+IF(O9&lt;IFERROR(LOOKUP(2,1/($O$7:O8&lt;&gt;""),$O$7:O8),$P$5),1,0))*24-IF(P9="",0,P9)/60)</f>
        <v>0.99999999999999911</v>
      </c>
      <c r="S9" s="22">
        <v>1372</v>
      </c>
      <c r="T9" s="22">
        <f>IF($R$5="","",$R$5)</f>
        <v>13</v>
      </c>
      <c r="U9" s="15">
        <f>IF(OR(S9="",T9="",T9=0,R9="",R9&lt;=0),"",S9/R9/T9)</f>
        <v>105.53846153846163</v>
      </c>
      <c r="V9" s="17"/>
      <c r="W9" s="22"/>
      <c r="X9" s="23"/>
      <c r="Y9" s="24" t="str">
        <f>IF(V9="","",(V9-IFERROR(LOOKUP(2,1/($V$7:V8&lt;&gt;""),$V$7:V8),$W$5)+IF(V9&lt;IFERROR(LOOKUP(2,1/($V$7:V8&lt;&gt;""),$V$7:V8),$W$5),1,0))*24-IF(W9="",0,W9)/60)</f>
        <v/>
      </c>
      <c r="Z9" s="22"/>
      <c r="AA9" s="22" t="str">
        <f>IF($Y$5="","",$Y$5)</f>
        <v/>
      </c>
      <c r="AB9" s="15" t="str">
        <f>IF(OR(Z9="",AA9="",AA9=0,Y9="",Y9&lt;=0),"",Z9/Y9/AA9)</f>
        <v/>
      </c>
      <c r="AD9" s="25">
        <f>IF(D9="",0,D9)</f>
        <v>0.99999999999999911</v>
      </c>
      <c r="AE9" s="25">
        <f>IF(K9="",0,K9)</f>
        <v>0.99999999999999911</v>
      </c>
      <c r="AF9" s="25">
        <f>IF(R9="",0,R9)</f>
        <v>0.99999999999999911</v>
      </c>
      <c r="AG9" s="25">
        <f>IF(Y9="",0,Y9)</f>
        <v>0</v>
      </c>
      <c r="AH9" s="25">
        <f>IF(F9="",0,F9)</f>
        <v>11</v>
      </c>
      <c r="AI9" s="25">
        <f>IF(M9="",0,M9)</f>
        <v>11</v>
      </c>
      <c r="AJ9" s="25">
        <f>IF(T9="",0,T9)</f>
        <v>13</v>
      </c>
      <c r="AK9" s="25">
        <f>IF(AA9="",0,AA9)</f>
        <v>0</v>
      </c>
    </row>
    <row r="10" spans="1:37" ht="18" customHeight="1" x14ac:dyDescent="0.2">
      <c r="A10" s="17">
        <v>0.53125</v>
      </c>
      <c r="B10" s="22"/>
      <c r="C10" s="23"/>
      <c r="D10" s="24">
        <f>IF(A10="","",(A10-IFERROR(LOOKUP(2,1/($A$7:A9&lt;&gt;""),$A$7:A9),$B$5)+IF(A10&lt;IFERROR(LOOKUP(2,1/($A$7:A9&lt;&gt;""),$A$7:A9),$B$5),1,0))*24-IF(B10="",0,B10)/60)</f>
        <v>1.0000000000000004</v>
      </c>
      <c r="E10" s="22">
        <v>1176</v>
      </c>
      <c r="F10" s="22">
        <f>IF($D$5="","",$D$5)</f>
        <v>11</v>
      </c>
      <c r="G10" s="15">
        <f>IF(OR(E10="",F10="",F10=0,D10="",D10&lt;=0),"",E10/D10/F10)</f>
        <v>106.90909090909086</v>
      </c>
      <c r="H10" s="17">
        <v>0.53125</v>
      </c>
      <c r="I10" s="22"/>
      <c r="J10" s="23"/>
      <c r="K10" s="24">
        <f>IF(H10="","",(H10-IFERROR(LOOKUP(2,1/($H$7:H9&lt;&gt;""),$H$7:H9),$I$5)+IF(H10&lt;IFERROR(LOOKUP(2,1/($H$7:H9&lt;&gt;""),$H$7:H9),$I$5),1,0))*24-IF(I10="",0,I10)/60)</f>
        <v>1.0000000000000004</v>
      </c>
      <c r="L10" s="22">
        <v>1120</v>
      </c>
      <c r="M10" s="22">
        <f>IF($K$5="","",$K$5)</f>
        <v>11</v>
      </c>
      <c r="N10" s="15">
        <f>IF(OR(L10="",M10="",M10=0,K10="",K10&lt;=0),"",L10/K10/M10)</f>
        <v>101.81818181818177</v>
      </c>
      <c r="O10" s="17">
        <v>0.53125</v>
      </c>
      <c r="P10" s="22"/>
      <c r="Q10" s="23"/>
      <c r="R10" s="24">
        <f>IF(O10="","",(O10-IFERROR(LOOKUP(2,1/($O$7:O9&lt;&gt;""),$O$7:O9),$P$5)+IF(O10&lt;IFERROR(LOOKUP(2,1/($O$7:O9&lt;&gt;""),$O$7:O9),$P$5),1,0))*24-IF(P10="",0,P10)/60)</f>
        <v>1.0000000000000004</v>
      </c>
      <c r="S10" s="22">
        <v>1438</v>
      </c>
      <c r="T10" s="22">
        <f>IF($R$5="","",$R$5)</f>
        <v>13</v>
      </c>
      <c r="U10" s="15">
        <f>IF(OR(S10="",T10="",T10=0,R10="",R10&lt;=0),"",S10/R10/T10)</f>
        <v>110.61538461538456</v>
      </c>
      <c r="V10" s="17"/>
      <c r="W10" s="22"/>
      <c r="X10" s="23"/>
      <c r="Y10" s="24" t="str">
        <f>IF(V10="","",(V10-IFERROR(LOOKUP(2,1/($V$7:V9&lt;&gt;""),$V$7:V9),$W$5)+IF(V10&lt;IFERROR(LOOKUP(2,1/($V$7:V9&lt;&gt;""),$V$7:V9),$W$5),1,0))*24-IF(W10="",0,W10)/60)</f>
        <v/>
      </c>
      <c r="Z10" s="22"/>
      <c r="AA10" s="22" t="str">
        <f>IF($Y$5="","",$Y$5)</f>
        <v/>
      </c>
      <c r="AB10" s="15" t="str">
        <f>IF(OR(Z10="",AA10="",AA10=0,Y10="",Y10&lt;=0),"",Z10/Y10/AA10)</f>
        <v/>
      </c>
      <c r="AD10" s="25">
        <f>IF(D10="",0,D10)</f>
        <v>1.0000000000000004</v>
      </c>
      <c r="AE10" s="25">
        <f>IF(K10="",0,K10)</f>
        <v>1.0000000000000004</v>
      </c>
      <c r="AF10" s="25">
        <f>IF(R10="",0,R10)</f>
        <v>1.0000000000000004</v>
      </c>
      <c r="AG10" s="25">
        <f>IF(Y10="",0,Y10)</f>
        <v>0</v>
      </c>
      <c r="AH10" s="25">
        <f>IF(F10="",0,F10)</f>
        <v>11</v>
      </c>
      <c r="AI10" s="25">
        <f>IF(M10="",0,M10)</f>
        <v>11</v>
      </c>
      <c r="AJ10" s="25">
        <f>IF(T10="",0,T10)</f>
        <v>13</v>
      </c>
      <c r="AK10" s="25">
        <f>IF(AA10="",0,AA10)</f>
        <v>0</v>
      </c>
    </row>
    <row r="11" spans="1:37" ht="18" customHeight="1" x14ac:dyDescent="0.2">
      <c r="A11" s="17">
        <v>0.55694444444444446</v>
      </c>
      <c r="B11" s="22"/>
      <c r="C11" s="23"/>
      <c r="D11" s="24">
        <f>IF(A11="","",(A11-IFERROR(LOOKUP(2,1/($A$7:A10&lt;&gt;""),$A$7:A10),$B$5)+IF(A11&lt;IFERROR(LOOKUP(2,1/($A$7:A10&lt;&gt;""),$A$7:A10),$B$5),1,0))*24-IF(B11="",0,B11)/60)</f>
        <v>0.61666666666666714</v>
      </c>
      <c r="E11" s="22">
        <v>716</v>
      </c>
      <c r="F11" s="22">
        <f>IF($D$5="","",$D$5)</f>
        <v>11</v>
      </c>
      <c r="G11" s="15">
        <f>IF(OR(E11="",F11="",F11=0,D11="",D11&lt;=0),"",E11/D11/F11)</f>
        <v>105.55282555282547</v>
      </c>
      <c r="H11" s="17">
        <v>0.55694444444444446</v>
      </c>
      <c r="I11" s="22"/>
      <c r="J11" s="23"/>
      <c r="K11" s="24">
        <f>IF(H11="","",(H11-IFERROR(LOOKUP(2,1/($H$7:H10&lt;&gt;""),$H$7:H10),$I$5)+IF(H11&lt;IFERROR(LOOKUP(2,1/($H$7:H10&lt;&gt;""),$H$7:H10),$I$5),1,0))*24-IF(I11="",0,I11)/60)</f>
        <v>0.61666666666666714</v>
      </c>
      <c r="L11" s="22">
        <v>493</v>
      </c>
      <c r="M11" s="22">
        <f>IF($K$5="","",$K$5)</f>
        <v>11</v>
      </c>
      <c r="N11" s="15">
        <f>IF(OR(L11="",M11="",M11=0,K11="",K11&lt;=0),"",L11/K11/M11)</f>
        <v>72.678132678132613</v>
      </c>
      <c r="O11" s="17">
        <v>0.55694444444444446</v>
      </c>
      <c r="P11" s="22"/>
      <c r="Q11" s="23"/>
      <c r="R11" s="24">
        <f>IF(O11="","",(O11-IFERROR(LOOKUP(2,1/($O$7:O10&lt;&gt;""),$O$7:O10),$P$5)+IF(O11&lt;IFERROR(LOOKUP(2,1/($O$7:O10&lt;&gt;""),$O$7:O10),$P$5),1,0))*24-IF(P11="",0,P11)/60)</f>
        <v>0.61666666666666714</v>
      </c>
      <c r="S11" s="22">
        <v>511</v>
      </c>
      <c r="T11" s="22">
        <f>IF($R$5="","",$R$5)</f>
        <v>13</v>
      </c>
      <c r="U11" s="15">
        <f>IF(OR(S11="",T11="",T11=0,R11="",R11&lt;=0),"",S11/R11/T11)</f>
        <v>63.742203742203692</v>
      </c>
      <c r="V11" s="17"/>
      <c r="W11" s="22"/>
      <c r="X11" s="23"/>
      <c r="Y11" s="24" t="str">
        <f>IF(V11="","",(V11-IFERROR(LOOKUP(2,1/($V$7:V10&lt;&gt;""),$V$7:V10),$W$5)+IF(V11&lt;IFERROR(LOOKUP(2,1/($V$7:V10&lt;&gt;""),$V$7:V10),$W$5),1,0))*24-IF(W11="",0,W11)/60)</f>
        <v/>
      </c>
      <c r="Z11" s="22"/>
      <c r="AA11" s="22" t="str">
        <f>IF($Y$5="","",$Y$5)</f>
        <v/>
      </c>
      <c r="AB11" s="15" t="str">
        <f>IF(OR(Z11="",AA11="",AA11=0,Y11="",Y11&lt;=0),"",Z11/Y11/AA11)</f>
        <v/>
      </c>
      <c r="AD11" s="25">
        <f>IF(D11="",0,D11)</f>
        <v>0.61666666666666714</v>
      </c>
      <c r="AE11" s="25">
        <f>IF(K11="",0,K11)</f>
        <v>0.61666666666666714</v>
      </c>
      <c r="AF11" s="25">
        <f>IF(R11="",0,R11)</f>
        <v>0.61666666666666714</v>
      </c>
      <c r="AG11" s="25">
        <f>IF(Y11="",0,Y11)</f>
        <v>0</v>
      </c>
      <c r="AH11" s="25">
        <f>IF(F11="",0,F11)</f>
        <v>11</v>
      </c>
      <c r="AI11" s="25">
        <f>IF(M11="",0,M11)</f>
        <v>11</v>
      </c>
      <c r="AJ11" s="25">
        <f>IF(T11="",0,T11)</f>
        <v>13</v>
      </c>
      <c r="AK11" s="25">
        <f>IF(AA11="",0,AA11)</f>
        <v>0</v>
      </c>
    </row>
    <row r="12" spans="1:37" ht="18" customHeight="1" x14ac:dyDescent="0.2">
      <c r="A12" s="17">
        <v>0.64236111111111116</v>
      </c>
      <c r="B12" s="22">
        <v>70</v>
      </c>
      <c r="C12" s="23" t="s">
        <v>36</v>
      </c>
      <c r="D12" s="24">
        <f>IF(A12="","",(A12-IFERROR(LOOKUP(2,1/($A$7:A11&lt;&gt;""),$A$7:A11),$B$5)+IF(A12&lt;IFERROR(LOOKUP(2,1/($A$7:A11&lt;&gt;""),$A$7:A11),$B$5),1,0))*24-IF(B12="",0,B12)/60)</f>
        <v>0.88333333333333397</v>
      </c>
      <c r="E12" s="22">
        <v>1419</v>
      </c>
      <c r="F12" s="22">
        <f>IF($D$5="","",$D$5)</f>
        <v>11</v>
      </c>
      <c r="G12" s="15">
        <f>IF(OR(E12="",F12="",F12=0,D12="",D12&lt;=0),"",E12/D12/F12)</f>
        <v>146.0377358490565</v>
      </c>
      <c r="H12" s="17">
        <v>0.64236111111111116</v>
      </c>
      <c r="I12" s="22">
        <v>70</v>
      </c>
      <c r="J12" s="23" t="s">
        <v>36</v>
      </c>
      <c r="K12" s="24">
        <f>IF(H12="","",(H12-IFERROR(LOOKUP(2,1/($H$7:H11&lt;&gt;""),$H$7:H11),$I$5)+IF(H12&lt;IFERROR(LOOKUP(2,1/($H$7:H11&lt;&gt;""),$H$7:H11),$I$5),1,0))*24-IF(I12="",0,I12)/60)</f>
        <v>0.88333333333333397</v>
      </c>
      <c r="L12" s="22">
        <v>1392</v>
      </c>
      <c r="M12" s="22">
        <f>IF($K$5="","",$K$5)</f>
        <v>11</v>
      </c>
      <c r="N12" s="15">
        <f>IF(OR(L12="",M12="",M12=0,K12="",K12&lt;=0),"",L12/K12/M12)</f>
        <v>143.25900514579749</v>
      </c>
      <c r="O12" s="17">
        <v>0.64236111111111116</v>
      </c>
      <c r="P12" s="22">
        <v>70</v>
      </c>
      <c r="Q12" s="23" t="s">
        <v>36</v>
      </c>
      <c r="R12" s="24">
        <f>IF(O12="","",(O12-IFERROR(LOOKUP(2,1/($O$7:O11&lt;&gt;""),$O$7:O11),$P$5)+IF(O12&lt;IFERROR(LOOKUP(2,1/($O$7:O11&lt;&gt;""),$O$7:O11),$P$5),1,0))*24-IF(P12="",0,P12)/60)</f>
        <v>0.88333333333333397</v>
      </c>
      <c r="S12" s="22">
        <v>2417</v>
      </c>
      <c r="T12" s="22">
        <f>IF($R$5="","",$R$5)</f>
        <v>13</v>
      </c>
      <c r="U12" s="15">
        <f>IF(OR(S12="",T12="",T12=0,R12="",R12&lt;=0),"",S12/R12/T12)</f>
        <v>210.47895500725673</v>
      </c>
      <c r="V12" s="17"/>
      <c r="W12" s="22"/>
      <c r="X12" s="23"/>
      <c r="Y12" s="24" t="str">
        <f>IF(V12="","",(V12-IFERROR(LOOKUP(2,1/($V$7:V11&lt;&gt;""),$V$7:V11),$W$5)+IF(V12&lt;IFERROR(LOOKUP(2,1/($V$7:V11&lt;&gt;""),$V$7:V11),$W$5),1,0))*24-IF(W12="",0,W12)/60)</f>
        <v/>
      </c>
      <c r="Z12" s="22"/>
      <c r="AA12" s="22" t="str">
        <f>IF($Y$5="","",$Y$5)</f>
        <v/>
      </c>
      <c r="AB12" s="15" t="str">
        <f>IF(OR(Z12="",AA12="",AA12=0,Y12="",Y12&lt;=0),"",Z12/Y12/AA12)</f>
        <v/>
      </c>
      <c r="AD12" s="25">
        <f>IF(D12="",0,D12)</f>
        <v>0.88333333333333397</v>
      </c>
      <c r="AE12" s="25">
        <f>IF(K12="",0,K12)</f>
        <v>0.88333333333333397</v>
      </c>
      <c r="AF12" s="25">
        <f>IF(R12="",0,R12)</f>
        <v>0.88333333333333397</v>
      </c>
      <c r="AG12" s="25">
        <f>IF(Y12="",0,Y12)</f>
        <v>0</v>
      </c>
      <c r="AH12" s="25">
        <f>IF(F12="",0,F12)</f>
        <v>11</v>
      </c>
      <c r="AI12" s="25">
        <f>IF(M12="",0,M12)</f>
        <v>11</v>
      </c>
      <c r="AJ12" s="25">
        <f>IF(T12="",0,T12)</f>
        <v>13</v>
      </c>
      <c r="AK12" s="25">
        <f>IF(AA12="",0,AA12)</f>
        <v>0</v>
      </c>
    </row>
    <row r="13" spans="1:37" ht="18" customHeight="1" x14ac:dyDescent="0.2">
      <c r="A13" s="17"/>
      <c r="B13" s="22"/>
      <c r="C13" s="23"/>
      <c r="D13" s="24" t="str">
        <f>IF(A13="","",(A13-IFERROR(LOOKUP(2,1/($A$7:A12&lt;&gt;""),$A$7:A12),$B$5)+IF(A13&lt;IFERROR(LOOKUP(2,1/($A$7:A12&lt;&gt;""),$A$7:A12),$B$5),1,0))*24-IF(B13="",0,B13)/60)</f>
        <v/>
      </c>
      <c r="E13" s="22"/>
      <c r="F13" s="22">
        <f>IF($D$5="","",$D$5)</f>
        <v>11</v>
      </c>
      <c r="G13" s="15" t="str">
        <f>IF(OR(E13="",F13="",F13=0,D13="",D13&lt;=0),"",E13/D13/F13)</f>
        <v/>
      </c>
      <c r="H13" s="17"/>
      <c r="I13" s="22"/>
      <c r="J13" s="23"/>
      <c r="K13" s="24" t="str">
        <f>IF(H13="","",(H13-IFERROR(LOOKUP(2,1/($H$7:H12&lt;&gt;""),$H$7:H12),$I$5)+IF(H13&lt;IFERROR(LOOKUP(2,1/($H$7:H12&lt;&gt;""),$H$7:H12),$I$5),1,0))*24-IF(I13="",0,I13)/60)</f>
        <v/>
      </c>
      <c r="L13" s="22"/>
      <c r="M13" s="22">
        <f>IF($K$5="","",$K$5)</f>
        <v>11</v>
      </c>
      <c r="N13" s="15" t="str">
        <f>IF(OR(L13="",M13="",M13=0,K13="",K13&lt;=0),"",L13/K13/M13)</f>
        <v/>
      </c>
      <c r="O13" s="17"/>
      <c r="P13" s="22"/>
      <c r="Q13" s="23"/>
      <c r="R13" s="24" t="str">
        <f>IF(O13="","",(O13-IFERROR(LOOKUP(2,1/($O$7:O12&lt;&gt;""),$O$7:O12),$P$5)+IF(O13&lt;IFERROR(LOOKUP(2,1/($O$7:O12&lt;&gt;""),$O$7:O12),$P$5),1,0))*24-IF(P13="",0,P13)/60)</f>
        <v/>
      </c>
      <c r="S13" s="22"/>
      <c r="T13" s="22">
        <f>IF($R$5="","",$R$5)</f>
        <v>13</v>
      </c>
      <c r="U13" s="15" t="str">
        <f>IF(OR(S13="",T13="",T13=0,R13="",R13&lt;=0),"",S13/R13/T13)</f>
        <v/>
      </c>
      <c r="V13" s="17"/>
      <c r="W13" s="22"/>
      <c r="X13" s="23"/>
      <c r="Y13" s="24" t="str">
        <f>IF(V13="","",(V13-IFERROR(LOOKUP(2,1/($V$7:V12&lt;&gt;""),$V$7:V12),$W$5)+IF(V13&lt;IFERROR(LOOKUP(2,1/($V$7:V12&lt;&gt;""),$V$7:V12),$W$5),1,0))*24-IF(W13="",0,W13)/60)</f>
        <v/>
      </c>
      <c r="Z13" s="22"/>
      <c r="AA13" s="22" t="str">
        <f>IF($Y$5="","",$Y$5)</f>
        <v/>
      </c>
      <c r="AB13" s="15" t="str">
        <f>IF(OR(Z13="",AA13="",AA13=0,Y13="",Y13&lt;=0),"",Z13/Y13/AA13)</f>
        <v/>
      </c>
      <c r="AD13" s="25">
        <f>IF(D13="",0,D13)</f>
        <v>0</v>
      </c>
      <c r="AE13" s="25">
        <f>IF(K13="",0,K13)</f>
        <v>0</v>
      </c>
      <c r="AF13" s="25">
        <f>IF(R13="",0,R13)</f>
        <v>0</v>
      </c>
      <c r="AG13" s="25">
        <f>IF(Y13="",0,Y13)</f>
        <v>0</v>
      </c>
      <c r="AH13" s="25">
        <f>IF(F13="",0,F13)</f>
        <v>11</v>
      </c>
      <c r="AI13" s="25">
        <f>IF(M13="",0,M13)</f>
        <v>11</v>
      </c>
      <c r="AJ13" s="25">
        <f>IF(T13="",0,T13)</f>
        <v>13</v>
      </c>
      <c r="AK13" s="25">
        <f>IF(AA13="",0,AA13)</f>
        <v>0</v>
      </c>
    </row>
    <row r="14" spans="1:37" ht="18" customHeight="1" x14ac:dyDescent="0.2">
      <c r="A14" s="17"/>
      <c r="B14" s="22"/>
      <c r="C14" s="23"/>
      <c r="D14" s="24" t="str">
        <f>IF(A14="","",(A14-IFERROR(LOOKUP(2,1/($A$7:A13&lt;&gt;""),$A$7:A13),$B$5)+IF(A14&lt;IFERROR(LOOKUP(2,1/($A$7:A13&lt;&gt;""),$A$7:A13),$B$5),1,0))*24-IF(B14="",0,B14)/60)</f>
        <v/>
      </c>
      <c r="E14" s="22"/>
      <c r="F14" s="22">
        <f>IF($D$5="","",$D$5)</f>
        <v>11</v>
      </c>
      <c r="G14" s="15" t="str">
        <f>IF(OR(E14="",F14="",F14=0,D14="",D14&lt;=0),"",E14/D14/F14)</f>
        <v/>
      </c>
      <c r="H14" s="17"/>
      <c r="I14" s="22"/>
      <c r="J14" s="23"/>
      <c r="K14" s="24" t="str">
        <f>IF(H14="","",(H14-IFERROR(LOOKUP(2,1/($H$7:H13&lt;&gt;""),$H$7:H13),$I$5)+IF(H14&lt;IFERROR(LOOKUP(2,1/($H$7:H13&lt;&gt;""),$H$7:H13),$I$5),1,0))*24-IF(I14="",0,I14)/60)</f>
        <v/>
      </c>
      <c r="L14" s="22"/>
      <c r="M14" s="22">
        <f>IF($K$5="","",$K$5)</f>
        <v>11</v>
      </c>
      <c r="N14" s="15" t="str">
        <f>IF(OR(L14="",M14="",M14=0,K14="",K14&lt;=0),"",L14/K14/M14)</f>
        <v/>
      </c>
      <c r="O14" s="17"/>
      <c r="P14" s="22"/>
      <c r="Q14" s="23"/>
      <c r="R14" s="24" t="str">
        <f>IF(O14="","",(O14-IFERROR(LOOKUP(2,1/($O$7:O13&lt;&gt;""),$O$7:O13),$P$5)+IF(O14&lt;IFERROR(LOOKUP(2,1/($O$7:O13&lt;&gt;""),$O$7:O13),$P$5),1,0))*24-IF(P14="",0,P14)/60)</f>
        <v/>
      </c>
      <c r="S14" s="22"/>
      <c r="T14" s="22">
        <f>IF($R$5="","",$R$5)</f>
        <v>13</v>
      </c>
      <c r="U14" s="15" t="str">
        <f>IF(OR(S14="",T14="",T14=0,R14="",R14&lt;=0),"",S14/R14/T14)</f>
        <v/>
      </c>
      <c r="V14" s="17"/>
      <c r="W14" s="22"/>
      <c r="X14" s="23"/>
      <c r="Y14" s="24" t="str">
        <f>IF(V14="","",(V14-IFERROR(LOOKUP(2,1/($V$7:V13&lt;&gt;""),$V$7:V13),$W$5)+IF(V14&lt;IFERROR(LOOKUP(2,1/($V$7:V13&lt;&gt;""),$V$7:V13),$W$5),1,0))*24-IF(W14="",0,W14)/60)</f>
        <v/>
      </c>
      <c r="Z14" s="22"/>
      <c r="AA14" s="22" t="str">
        <f>IF($Y$5="","",$Y$5)</f>
        <v/>
      </c>
      <c r="AB14" s="15" t="str">
        <f>IF(OR(Z14="",AA14="",AA14=0,Y14="",Y14&lt;=0),"",Z14/Y14/AA14)</f>
        <v/>
      </c>
      <c r="AD14" s="25">
        <f>IF(D14="",0,D14)</f>
        <v>0</v>
      </c>
      <c r="AE14" s="25">
        <f>IF(K14="",0,K14)</f>
        <v>0</v>
      </c>
      <c r="AF14" s="25">
        <f>IF(R14="",0,R14)</f>
        <v>0</v>
      </c>
      <c r="AG14" s="25">
        <f>IF(Y14="",0,Y14)</f>
        <v>0</v>
      </c>
      <c r="AH14" s="25">
        <f>IF(F14="",0,F14)</f>
        <v>11</v>
      </c>
      <c r="AI14" s="25">
        <f>IF(M14="",0,M14)</f>
        <v>11</v>
      </c>
      <c r="AJ14" s="25">
        <f>IF(T14="",0,T14)</f>
        <v>13</v>
      </c>
      <c r="AK14" s="25">
        <f>IF(AA14="",0,AA14)</f>
        <v>0</v>
      </c>
    </row>
    <row r="15" spans="1:37" ht="18" customHeight="1" x14ac:dyDescent="0.2">
      <c r="A15" s="17"/>
      <c r="B15" s="22"/>
      <c r="C15" s="23"/>
      <c r="D15" s="24" t="str">
        <f>IF(A15="","",(A15-IFERROR(LOOKUP(2,1/($A$7:A14&lt;&gt;""),$A$7:A14),$B$5)+IF(A15&lt;IFERROR(LOOKUP(2,1/($A$7:A14&lt;&gt;""),$A$7:A14),$B$5),1,0))*24-IF(B15="",0,B15)/60)</f>
        <v/>
      </c>
      <c r="E15" s="22"/>
      <c r="F15" s="22">
        <f>IF($D$5="","",$D$5)</f>
        <v>11</v>
      </c>
      <c r="G15" s="15" t="str">
        <f>IF(OR(E15="",F15="",F15=0,D15="",D15&lt;=0),"",E15/D15/F15)</f>
        <v/>
      </c>
      <c r="H15" s="17"/>
      <c r="I15" s="22"/>
      <c r="J15" s="23"/>
      <c r="K15" s="24" t="str">
        <f>IF(H15="","",(H15-IFERROR(LOOKUP(2,1/($H$7:H14&lt;&gt;""),$H$7:H14),$I$5)+IF(H15&lt;IFERROR(LOOKUP(2,1/($H$7:H14&lt;&gt;""),$H$7:H14),$I$5),1,0))*24-IF(I15="",0,I15)/60)</f>
        <v/>
      </c>
      <c r="L15" s="22"/>
      <c r="M15" s="22">
        <f>IF($K$5="","",$K$5)</f>
        <v>11</v>
      </c>
      <c r="N15" s="15" t="str">
        <f>IF(OR(L15="",M15="",M15=0,K15="",K15&lt;=0),"",L15/K15/M15)</f>
        <v/>
      </c>
      <c r="O15" s="17"/>
      <c r="P15" s="22"/>
      <c r="Q15" s="23"/>
      <c r="R15" s="24" t="str">
        <f>IF(O15="","",(O15-IFERROR(LOOKUP(2,1/($O$7:O14&lt;&gt;""),$O$7:O14),$P$5)+IF(O15&lt;IFERROR(LOOKUP(2,1/($O$7:O14&lt;&gt;""),$O$7:O14),$P$5),1,0))*24-IF(P15="",0,P15)/60)</f>
        <v/>
      </c>
      <c r="S15" s="22"/>
      <c r="T15" s="22">
        <f>IF($R$5="","",$R$5)</f>
        <v>13</v>
      </c>
      <c r="U15" s="15" t="str">
        <f>IF(OR(S15="",T15="",T15=0,R15="",R15&lt;=0),"",S15/R15/T15)</f>
        <v/>
      </c>
      <c r="V15" s="17"/>
      <c r="W15" s="22"/>
      <c r="X15" s="23"/>
      <c r="Y15" s="24" t="str">
        <f>IF(V15="","",(V15-IFERROR(LOOKUP(2,1/($V$7:V14&lt;&gt;""),$V$7:V14),$W$5)+IF(V15&lt;IFERROR(LOOKUP(2,1/($V$7:V14&lt;&gt;""),$V$7:V14),$W$5),1,0))*24-IF(W15="",0,W15)/60)</f>
        <v/>
      </c>
      <c r="Z15" s="22"/>
      <c r="AA15" s="22" t="str">
        <f>IF($Y$5="","",$Y$5)</f>
        <v/>
      </c>
      <c r="AB15" s="15" t="str">
        <f>IF(OR(Z15="",AA15="",AA15=0,Y15="",Y15&lt;=0),"",Z15/Y15/AA15)</f>
        <v/>
      </c>
      <c r="AD15" s="25">
        <f>IF(D15="",0,D15)</f>
        <v>0</v>
      </c>
      <c r="AE15" s="25">
        <f>IF(K15="",0,K15)</f>
        <v>0</v>
      </c>
      <c r="AF15" s="25">
        <f>IF(R15="",0,R15)</f>
        <v>0</v>
      </c>
      <c r="AG15" s="25">
        <f>IF(Y15="",0,Y15)</f>
        <v>0</v>
      </c>
      <c r="AH15" s="25">
        <f>IF(F15="",0,F15)</f>
        <v>11</v>
      </c>
      <c r="AI15" s="25">
        <f>IF(M15="",0,M15)</f>
        <v>11</v>
      </c>
      <c r="AJ15" s="25">
        <f>IF(T15="",0,T15)</f>
        <v>13</v>
      </c>
      <c r="AK15" s="25">
        <f>IF(AA15="",0,AA15)</f>
        <v>0</v>
      </c>
    </row>
    <row r="16" spans="1:37" ht="18" customHeight="1" x14ac:dyDescent="0.2">
      <c r="A16" s="17"/>
      <c r="B16" s="22"/>
      <c r="C16" s="23"/>
      <c r="D16" s="24" t="str">
        <f>IF(A16="","",(A16-IFERROR(LOOKUP(2,1/($A$7:A15&lt;&gt;""),$A$7:A15),$B$5)+IF(A16&lt;IFERROR(LOOKUP(2,1/($A$7:A15&lt;&gt;""),$A$7:A15),$B$5),1,0))*24-IF(B16="",0,B16)/60)</f>
        <v/>
      </c>
      <c r="E16" s="22"/>
      <c r="F16" s="22">
        <f>IF($D$5="","",$D$5)</f>
        <v>11</v>
      </c>
      <c r="G16" s="15" t="str">
        <f>IF(OR(E16="",F16="",F16=0,D16="",D16&lt;=0),"",E16/D16/F16)</f>
        <v/>
      </c>
      <c r="H16" s="17"/>
      <c r="I16" s="22"/>
      <c r="J16" s="23"/>
      <c r="K16" s="24" t="str">
        <f>IF(H16="","",(H16-IFERROR(LOOKUP(2,1/($H$7:H15&lt;&gt;""),$H$7:H15),$I$5)+IF(H16&lt;IFERROR(LOOKUP(2,1/($H$7:H15&lt;&gt;""),$H$7:H15),$I$5),1,0))*24-IF(I16="",0,I16)/60)</f>
        <v/>
      </c>
      <c r="L16" s="22"/>
      <c r="M16" s="22">
        <f>IF($K$5="","",$K$5)</f>
        <v>11</v>
      </c>
      <c r="N16" s="15" t="str">
        <f>IF(OR(L16="",M16="",M16=0,K16="",K16&lt;=0),"",L16/K16/M16)</f>
        <v/>
      </c>
      <c r="O16" s="17"/>
      <c r="P16" s="22"/>
      <c r="Q16" s="23"/>
      <c r="R16" s="24" t="str">
        <f>IF(O16="","",(O16-IFERROR(LOOKUP(2,1/($O$7:O15&lt;&gt;""),$O$7:O15),$P$5)+IF(O16&lt;IFERROR(LOOKUP(2,1/($O$7:O15&lt;&gt;""),$O$7:O15),$P$5),1,0))*24-IF(P16="",0,P16)/60)</f>
        <v/>
      </c>
      <c r="S16" s="22"/>
      <c r="T16" s="22">
        <f>IF($R$5="","",$R$5)</f>
        <v>13</v>
      </c>
      <c r="U16" s="15" t="str">
        <f>IF(OR(S16="",T16="",T16=0,R16="",R16&lt;=0),"",S16/R16/T16)</f>
        <v/>
      </c>
      <c r="V16" s="17"/>
      <c r="W16" s="22"/>
      <c r="X16" s="23"/>
      <c r="Y16" s="24" t="str">
        <f>IF(V16="","",(V16-IFERROR(LOOKUP(2,1/($V$7:V15&lt;&gt;""),$V$7:V15),$W$5)+IF(V16&lt;IFERROR(LOOKUP(2,1/($V$7:V15&lt;&gt;""),$V$7:V15),$W$5),1,0))*24-IF(W16="",0,W16)/60)</f>
        <v/>
      </c>
      <c r="Z16" s="22"/>
      <c r="AA16" s="22" t="str">
        <f>IF($Y$5="","",$Y$5)</f>
        <v/>
      </c>
      <c r="AB16" s="15" t="str">
        <f>IF(OR(Z16="",AA16="",AA16=0,Y16="",Y16&lt;=0),"",Z16/Y16/AA16)</f>
        <v/>
      </c>
      <c r="AD16" s="25">
        <f>IF(D16="",0,D16)</f>
        <v>0</v>
      </c>
      <c r="AE16" s="25">
        <f>IF(K16="",0,K16)</f>
        <v>0</v>
      </c>
      <c r="AF16" s="25">
        <f>IF(R16="",0,R16)</f>
        <v>0</v>
      </c>
      <c r="AG16" s="25">
        <f>IF(Y16="",0,Y16)</f>
        <v>0</v>
      </c>
      <c r="AH16" s="25">
        <f>IF(F16="",0,F16)</f>
        <v>11</v>
      </c>
      <c r="AI16" s="25">
        <f>IF(M16="",0,M16)</f>
        <v>11</v>
      </c>
      <c r="AJ16" s="25">
        <f>IF(T16="",0,T16)</f>
        <v>13</v>
      </c>
      <c r="AK16" s="25">
        <f>IF(AA16="",0,AA16)</f>
        <v>0</v>
      </c>
    </row>
    <row r="17" spans="1:37" ht="18" customHeight="1" x14ac:dyDescent="0.2">
      <c r="A17" s="17"/>
      <c r="B17" s="22"/>
      <c r="C17" s="23"/>
      <c r="D17" s="24" t="str">
        <f>IF(A17="","",(A17-IFERROR(LOOKUP(2,1/($A$7:A16&lt;&gt;""),$A$7:A16),$B$5)+IF(A17&lt;IFERROR(LOOKUP(2,1/($A$7:A16&lt;&gt;""),$A$7:A16),$B$5),1,0))*24-IF(B17="",0,B17)/60)</f>
        <v/>
      </c>
      <c r="E17" s="22"/>
      <c r="F17" s="22">
        <f>IF($D$5="","",$D$5)</f>
        <v>11</v>
      </c>
      <c r="G17" s="15" t="str">
        <f>IF(OR(E17="",F17="",F17=0,D17="",D17&lt;=0),"",E17/D17/F17)</f>
        <v/>
      </c>
      <c r="H17" s="17"/>
      <c r="I17" s="22"/>
      <c r="J17" s="23"/>
      <c r="K17" s="24" t="str">
        <f>IF(H17="","",(H17-IFERROR(LOOKUP(2,1/($H$7:H16&lt;&gt;""),$H$7:H16),$I$5)+IF(H17&lt;IFERROR(LOOKUP(2,1/($H$7:H16&lt;&gt;""),$H$7:H16),$I$5),1,0))*24-IF(I17="",0,I17)/60)</f>
        <v/>
      </c>
      <c r="L17" s="22"/>
      <c r="M17" s="22">
        <f>IF($K$5="","",$K$5)</f>
        <v>11</v>
      </c>
      <c r="N17" s="15" t="str">
        <f>IF(OR(L17="",M17="",M17=0,K17="",K17&lt;=0),"",L17/K17/M17)</f>
        <v/>
      </c>
      <c r="O17" s="17"/>
      <c r="P17" s="22"/>
      <c r="Q17" s="23"/>
      <c r="R17" s="24" t="str">
        <f>IF(O17="","",(O17-IFERROR(LOOKUP(2,1/($O$7:O16&lt;&gt;""),$O$7:O16),$P$5)+IF(O17&lt;IFERROR(LOOKUP(2,1/($O$7:O16&lt;&gt;""),$O$7:O16),$P$5),1,0))*24-IF(P17="",0,P17)/60)</f>
        <v/>
      </c>
      <c r="S17" s="22"/>
      <c r="T17" s="22">
        <f>IF($R$5="","",$R$5)</f>
        <v>13</v>
      </c>
      <c r="U17" s="15" t="str">
        <f>IF(OR(S17="",T17="",T17=0,R17="",R17&lt;=0),"",S17/R17/T17)</f>
        <v/>
      </c>
      <c r="V17" s="17"/>
      <c r="W17" s="22"/>
      <c r="X17" s="23"/>
      <c r="Y17" s="24" t="str">
        <f>IF(V17="","",(V17-IFERROR(LOOKUP(2,1/($V$7:V16&lt;&gt;""),$V$7:V16),$W$5)+IF(V17&lt;IFERROR(LOOKUP(2,1/($V$7:V16&lt;&gt;""),$V$7:V16),$W$5),1,0))*24-IF(W17="",0,W17)/60)</f>
        <v/>
      </c>
      <c r="Z17" s="22"/>
      <c r="AA17" s="22" t="str">
        <f>IF($Y$5="","",$Y$5)</f>
        <v/>
      </c>
      <c r="AB17" s="15" t="str">
        <f>IF(OR(Z17="",AA17="",AA17=0,Y17="",Y17&lt;=0),"",Z17/Y17/AA17)</f>
        <v/>
      </c>
      <c r="AD17" s="25">
        <f>IF(D17="",0,D17)</f>
        <v>0</v>
      </c>
      <c r="AE17" s="25">
        <f>IF(K17="",0,K17)</f>
        <v>0</v>
      </c>
      <c r="AF17" s="25">
        <f>IF(R17="",0,R17)</f>
        <v>0</v>
      </c>
      <c r="AG17" s="25">
        <f>IF(Y17="",0,Y17)</f>
        <v>0</v>
      </c>
      <c r="AH17" s="25">
        <f>IF(F17="",0,F17)</f>
        <v>11</v>
      </c>
      <c r="AI17" s="25">
        <f>IF(M17="",0,M17)</f>
        <v>11</v>
      </c>
      <c r="AJ17" s="25">
        <f>IF(T17="",0,T17)</f>
        <v>13</v>
      </c>
      <c r="AK17" s="25">
        <f>IF(AA17="",0,AA17)</f>
        <v>0</v>
      </c>
    </row>
    <row r="18" spans="1:37" ht="18" customHeight="1" x14ac:dyDescent="0.2">
      <c r="A18" s="17"/>
      <c r="B18" s="22"/>
      <c r="C18" s="23"/>
      <c r="D18" s="24" t="str">
        <f>IF(A18="","",(A18-IFERROR(LOOKUP(2,1/($A$7:A17&lt;&gt;""),$A$7:A17),$B$5)+IF(A18&lt;IFERROR(LOOKUP(2,1/($A$7:A17&lt;&gt;""),$A$7:A17),$B$5),1,0))*24-IF(B18="",0,B18)/60)</f>
        <v/>
      </c>
      <c r="E18" s="22"/>
      <c r="F18" s="22">
        <f>IF($D$5="","",$D$5)</f>
        <v>11</v>
      </c>
      <c r="G18" s="15" t="str">
        <f>IF(OR(E18="",F18="",F18=0,D18="",D18&lt;=0),"",E18/D18/F18)</f>
        <v/>
      </c>
      <c r="H18" s="17"/>
      <c r="I18" s="22"/>
      <c r="J18" s="23"/>
      <c r="K18" s="24" t="str">
        <f>IF(H18="","",(H18-IFERROR(LOOKUP(2,1/($H$7:H17&lt;&gt;""),$H$7:H17),$I$5)+IF(H18&lt;IFERROR(LOOKUP(2,1/($H$7:H17&lt;&gt;""),$H$7:H17),$I$5),1,0))*24-IF(I18="",0,I18)/60)</f>
        <v/>
      </c>
      <c r="L18" s="22"/>
      <c r="M18" s="22">
        <f>IF($K$5="","",$K$5)</f>
        <v>11</v>
      </c>
      <c r="N18" s="15" t="str">
        <f>IF(OR(L18="",M18="",M18=0,K18="",K18&lt;=0),"",L18/K18/M18)</f>
        <v/>
      </c>
      <c r="O18" s="17"/>
      <c r="P18" s="22"/>
      <c r="Q18" s="23"/>
      <c r="R18" s="24" t="str">
        <f>IF(O18="","",(O18-IFERROR(LOOKUP(2,1/($O$7:O17&lt;&gt;""),$O$7:O17),$P$5)+IF(O18&lt;IFERROR(LOOKUP(2,1/($O$7:O17&lt;&gt;""),$O$7:O17),$P$5),1,0))*24-IF(P18="",0,P18)/60)</f>
        <v/>
      </c>
      <c r="S18" s="22"/>
      <c r="T18" s="22">
        <f>IF($R$5="","",$R$5)</f>
        <v>13</v>
      </c>
      <c r="U18" s="15" t="str">
        <f>IF(OR(S18="",T18="",T18=0,R18="",R18&lt;=0),"",S18/R18/T18)</f>
        <v/>
      </c>
      <c r="V18" s="17"/>
      <c r="W18" s="22"/>
      <c r="X18" s="23"/>
      <c r="Y18" s="24" t="str">
        <f>IF(V18="","",(V18-IFERROR(LOOKUP(2,1/($V$7:V17&lt;&gt;""),$V$7:V17),$W$5)+IF(V18&lt;IFERROR(LOOKUP(2,1/($V$7:V17&lt;&gt;""),$V$7:V17),$W$5),1,0))*24-IF(W18="",0,W18)/60)</f>
        <v/>
      </c>
      <c r="Z18" s="22"/>
      <c r="AA18" s="22" t="str">
        <f>IF($Y$5="","",$Y$5)</f>
        <v/>
      </c>
      <c r="AB18" s="15" t="str">
        <f>IF(OR(Z18="",AA18="",AA18=0,Y18="",Y18&lt;=0),"",Z18/Y18/AA18)</f>
        <v/>
      </c>
      <c r="AD18" s="25">
        <f>IF(D18="",0,D18)</f>
        <v>0</v>
      </c>
      <c r="AE18" s="25">
        <f>IF(K18="",0,K18)</f>
        <v>0</v>
      </c>
      <c r="AF18" s="25">
        <f>IF(R18="",0,R18)</f>
        <v>0</v>
      </c>
      <c r="AG18" s="25">
        <f>IF(Y18="",0,Y18)</f>
        <v>0</v>
      </c>
      <c r="AH18" s="25">
        <f>IF(F18="",0,F18)</f>
        <v>11</v>
      </c>
      <c r="AI18" s="25">
        <f>IF(M18="",0,M18)</f>
        <v>11</v>
      </c>
      <c r="AJ18" s="25">
        <f>IF(T18="",0,T18)</f>
        <v>13</v>
      </c>
      <c r="AK18" s="25">
        <f>IF(AA18="",0,AA18)</f>
        <v>0</v>
      </c>
    </row>
    <row r="19" spans="1:37" ht="18" customHeight="1" x14ac:dyDescent="0.2">
      <c r="A19" s="17"/>
      <c r="B19" s="22"/>
      <c r="C19" s="23"/>
      <c r="D19" s="24" t="str">
        <f>IF(A19="","",(A19-IFERROR(LOOKUP(2,1/($A$7:A18&lt;&gt;""),$A$7:A18),$B$5)+IF(A19&lt;IFERROR(LOOKUP(2,1/($A$7:A18&lt;&gt;""),$A$7:A18),$B$5),1,0))*24-IF(B19="",0,B19)/60)</f>
        <v/>
      </c>
      <c r="E19" s="22"/>
      <c r="F19" s="22">
        <f>IF($D$5="","",$D$5)</f>
        <v>11</v>
      </c>
      <c r="G19" s="15" t="str">
        <f>IF(OR(E19="",F19="",F19=0,D19="",D19&lt;=0),"",E19/D19/F19)</f>
        <v/>
      </c>
      <c r="H19" s="17"/>
      <c r="I19" s="22"/>
      <c r="J19" s="23"/>
      <c r="K19" s="24" t="str">
        <f>IF(H19="","",(H19-IFERROR(LOOKUP(2,1/($H$7:H18&lt;&gt;""),$H$7:H18),$I$5)+IF(H19&lt;IFERROR(LOOKUP(2,1/($H$7:H18&lt;&gt;""),$H$7:H18),$I$5),1,0))*24-IF(I19="",0,I19)/60)</f>
        <v/>
      </c>
      <c r="L19" s="22"/>
      <c r="M19" s="22">
        <f>IF($K$5="","",$K$5)</f>
        <v>11</v>
      </c>
      <c r="N19" s="15" t="str">
        <f>IF(OR(L19="",M19="",M19=0,K19="",K19&lt;=0),"",L19/K19/M19)</f>
        <v/>
      </c>
      <c r="O19" s="17"/>
      <c r="P19" s="22"/>
      <c r="Q19" s="23"/>
      <c r="R19" s="24" t="str">
        <f>IF(O19="","",(O19-IFERROR(LOOKUP(2,1/($O$7:O18&lt;&gt;""),$O$7:O18),$P$5)+IF(O19&lt;IFERROR(LOOKUP(2,1/($O$7:O18&lt;&gt;""),$O$7:O18),$P$5),1,0))*24-IF(P19="",0,P19)/60)</f>
        <v/>
      </c>
      <c r="S19" s="22"/>
      <c r="T19" s="22">
        <f>IF($R$5="","",$R$5)</f>
        <v>13</v>
      </c>
      <c r="U19" s="15" t="str">
        <f>IF(OR(S19="",T19="",T19=0,R19="",R19&lt;=0),"",S19/R19/T19)</f>
        <v/>
      </c>
      <c r="V19" s="17"/>
      <c r="W19" s="22"/>
      <c r="X19" s="23"/>
      <c r="Y19" s="24" t="str">
        <f>IF(V19="","",(V19-IFERROR(LOOKUP(2,1/($V$7:V18&lt;&gt;""),$V$7:V18),$W$5)+IF(V19&lt;IFERROR(LOOKUP(2,1/($V$7:V18&lt;&gt;""),$V$7:V18),$W$5),1,0))*24-IF(W19="",0,W19)/60)</f>
        <v/>
      </c>
      <c r="Z19" s="22"/>
      <c r="AA19" s="22" t="str">
        <f>IF($Y$5="","",$Y$5)</f>
        <v/>
      </c>
      <c r="AB19" s="15" t="str">
        <f>IF(OR(Z19="",AA19="",AA19=0,Y19="",Y19&lt;=0),"",Z19/Y19/AA19)</f>
        <v/>
      </c>
      <c r="AD19" s="25">
        <f>IF(D19="",0,D19)</f>
        <v>0</v>
      </c>
      <c r="AE19" s="25">
        <f>IF(K19="",0,K19)</f>
        <v>0</v>
      </c>
      <c r="AF19" s="25">
        <f>IF(R19="",0,R19)</f>
        <v>0</v>
      </c>
      <c r="AG19" s="25">
        <f>IF(Y19="",0,Y19)</f>
        <v>0</v>
      </c>
      <c r="AH19" s="25">
        <f>IF(F19="",0,F19)</f>
        <v>11</v>
      </c>
      <c r="AI19" s="25">
        <f>IF(M19="",0,M19)</f>
        <v>11</v>
      </c>
      <c r="AJ19" s="25">
        <f>IF(T19="",0,T19)</f>
        <v>13</v>
      </c>
      <c r="AK19" s="25">
        <f>IF(AA19="",0,AA19)</f>
        <v>0</v>
      </c>
    </row>
    <row r="20" spans="1:37" ht="18" customHeight="1" x14ac:dyDescent="0.2">
      <c r="A20" s="17"/>
      <c r="B20" s="22"/>
      <c r="C20" s="23"/>
      <c r="D20" s="24" t="str">
        <f>IF(A20="","",(A20-IFERROR(LOOKUP(2,1/($A$7:A19&lt;&gt;""),$A$7:A19),$B$5)+IF(A20&lt;IFERROR(LOOKUP(2,1/($A$7:A19&lt;&gt;""),$A$7:A19),$B$5),1,0))*24-IF(B20="",0,B20)/60)</f>
        <v/>
      </c>
      <c r="E20" s="22"/>
      <c r="F20" s="22">
        <f>IF($D$5="","",$D$5)</f>
        <v>11</v>
      </c>
      <c r="G20" s="15" t="str">
        <f>IF(OR(E20="",F20="",F20=0,D20="",D20&lt;=0),"",E20/D20/F20)</f>
        <v/>
      </c>
      <c r="H20" s="17"/>
      <c r="I20" s="22"/>
      <c r="J20" s="23"/>
      <c r="K20" s="24" t="str">
        <f>IF(H20="","",(H20-IFERROR(LOOKUP(2,1/($H$7:H19&lt;&gt;""),$H$7:H19),$I$5)+IF(H20&lt;IFERROR(LOOKUP(2,1/($H$7:H19&lt;&gt;""),$H$7:H19),$I$5),1,0))*24-IF(I20="",0,I20)/60)</f>
        <v/>
      </c>
      <c r="L20" s="22"/>
      <c r="M20" s="22">
        <f>IF($K$5="","",$K$5)</f>
        <v>11</v>
      </c>
      <c r="N20" s="15" t="str">
        <f>IF(OR(L20="",M20="",M20=0,K20="",K20&lt;=0),"",L20/K20/M20)</f>
        <v/>
      </c>
      <c r="O20" s="17"/>
      <c r="P20" s="22"/>
      <c r="Q20" s="23"/>
      <c r="R20" s="24" t="str">
        <f>IF(O20="","",(O20-IFERROR(LOOKUP(2,1/($O$7:O19&lt;&gt;""),$O$7:O19),$P$5)+IF(O20&lt;IFERROR(LOOKUP(2,1/($O$7:O19&lt;&gt;""),$O$7:O19),$P$5),1,0))*24-IF(P20="",0,P20)/60)</f>
        <v/>
      </c>
      <c r="S20" s="22"/>
      <c r="T20" s="22">
        <f>IF($R$5="","",$R$5)</f>
        <v>13</v>
      </c>
      <c r="U20" s="15" t="str">
        <f>IF(OR(S20="",T20="",T20=0,R20="",R20&lt;=0),"",S20/R20/T20)</f>
        <v/>
      </c>
      <c r="V20" s="17"/>
      <c r="W20" s="22"/>
      <c r="X20" s="23"/>
      <c r="Y20" s="24" t="str">
        <f>IF(V20="","",(V20-IFERROR(LOOKUP(2,1/($V$7:V19&lt;&gt;""),$V$7:V19),$W$5)+IF(V20&lt;IFERROR(LOOKUP(2,1/($V$7:V19&lt;&gt;""),$V$7:V19),$W$5),1,0))*24-IF(W20="",0,W20)/60)</f>
        <v/>
      </c>
      <c r="Z20" s="22"/>
      <c r="AA20" s="22" t="str">
        <f>IF($Y$5="","",$Y$5)</f>
        <v/>
      </c>
      <c r="AB20" s="15" t="str">
        <f>IF(OR(Z20="",AA20="",AA20=0,Y20="",Y20&lt;=0),"",Z20/Y20/AA20)</f>
        <v/>
      </c>
      <c r="AD20" s="25">
        <f>IF(D20="",0,D20)</f>
        <v>0</v>
      </c>
      <c r="AE20" s="25">
        <f>IF(K20="",0,K20)</f>
        <v>0</v>
      </c>
      <c r="AF20" s="25">
        <f>IF(R20="",0,R20)</f>
        <v>0</v>
      </c>
      <c r="AG20" s="25">
        <f>IF(Y20="",0,Y20)</f>
        <v>0</v>
      </c>
      <c r="AH20" s="25">
        <f>IF(F20="",0,F20)</f>
        <v>11</v>
      </c>
      <c r="AI20" s="25">
        <f>IF(M20="",0,M20)</f>
        <v>11</v>
      </c>
      <c r="AJ20" s="25">
        <f>IF(T20="",0,T20)</f>
        <v>13</v>
      </c>
      <c r="AK20" s="25">
        <f>IF(AA20="",0,AA20)</f>
        <v>0</v>
      </c>
    </row>
    <row r="21" spans="1:37" ht="21.75" customHeight="1" x14ac:dyDescent="0.2">
      <c r="A21" s="26" t="s">
        <v>17</v>
      </c>
      <c r="B21" s="27">
        <f>SUM(B7:B20)</f>
        <v>70</v>
      </c>
      <c r="C21" s="28" t="str">
        <f>COUNTIF(B7:B20,"&gt;0")&amp;" arret(s)"</f>
        <v>1 arret(s)</v>
      </c>
      <c r="D21" s="29">
        <f>SUM(D7:D20)</f>
        <v>5.5000000000000009</v>
      </c>
      <c r="E21" s="27">
        <f>SUM(E7:E20)</f>
        <v>6783</v>
      </c>
      <c r="F21" s="30">
        <f>IF(OR(SUM($D$7:$D$20)=0,SUMPRODUCT($AD$7:$AD$20*$AH$7:$AH$20)=0),"",SUMPRODUCT($AD$7:$AD$20*$AH$7:$AH$20)/SUM($D$7:$D$20))</f>
        <v>11.000000000000002</v>
      </c>
      <c r="G21" s="30">
        <f>IF(OR($D$21=0,$F$21="",$F$21=0),"",$E$21/$D$21/$F$21)</f>
        <v>112.11570247933881</v>
      </c>
      <c r="H21" s="26" t="s">
        <v>17</v>
      </c>
      <c r="I21" s="27">
        <f>SUM(I7:I20)</f>
        <v>70</v>
      </c>
      <c r="J21" s="28" t="str">
        <f>COUNTIF(I7:I20,"&gt;0")&amp;" arret(s)"</f>
        <v>1 arret(s)</v>
      </c>
      <c r="K21" s="29">
        <f>SUM(K7:K20)</f>
        <v>5.5000000000000009</v>
      </c>
      <c r="L21" s="27">
        <f>SUM(L7:L20)</f>
        <v>6169</v>
      </c>
      <c r="M21" s="30">
        <f>IF(OR(SUM($K$7:$K$20)=0,SUMPRODUCT($AE$7:$AE$20*$AI$7:$AI$20)=0),"",SUMPRODUCT($AE$7:$AE$20*$AI$7:$AI$20)/SUM($K$7:$K$20))</f>
        <v>11.000000000000002</v>
      </c>
      <c r="N21" s="30">
        <f>IF(OR($K$21=0,$M$21="",$M$21=0),"",$L$21/$K$21/$M$21)</f>
        <v>101.9669421487603</v>
      </c>
      <c r="O21" s="26" t="s">
        <v>17</v>
      </c>
      <c r="P21" s="27">
        <f>SUM(P7:P20)</f>
        <v>70</v>
      </c>
      <c r="Q21" s="28" t="str">
        <f>COUNTIF(P7:P20,"&gt;0")&amp;" arret(s)"</f>
        <v>1 arret(s)</v>
      </c>
      <c r="R21" s="29">
        <f>SUM(R7:R20)</f>
        <v>5.5000000000000009</v>
      </c>
      <c r="S21" s="27">
        <f>SUM(S7:S20)</f>
        <v>8174</v>
      </c>
      <c r="T21" s="30">
        <f>IF(OR(SUM($R$7:$R$20)=0,SUMPRODUCT($AF$7:$AF$20*$AJ$7:$AJ$20)=0),"",SUMPRODUCT($AF$7:$AF$20*$AJ$7:$AJ$20)/SUM($R$7:$R$20))</f>
        <v>13.000000000000004</v>
      </c>
      <c r="U21" s="30">
        <f>IF(OR($R$21=0,$T$21="",$T$21=0),"",$S$21/$R$21/$T$21)</f>
        <v>114.32167832167828</v>
      </c>
      <c r="V21" s="26" t="s">
        <v>17</v>
      </c>
      <c r="W21" s="27">
        <f>SUM(W7:W20)</f>
        <v>0</v>
      </c>
      <c r="X21" s="28" t="str">
        <f>COUNTIF(W7:W20,"&gt;0")&amp;" arret(s)"</f>
        <v>0 arret(s)</v>
      </c>
      <c r="Y21" s="29">
        <f>SUM(Y7:Y20)</f>
        <v>0</v>
      </c>
      <c r="Z21" s="27">
        <f>SUM(Z7:Z20)</f>
        <v>0</v>
      </c>
      <c r="AA21" s="30" t="str">
        <f>IF(OR(SUM($Y$7:$Y$20)=0,SUMPRODUCT($AG$7:$AG$20*$AK$7:$AK$20)=0),"",SUMPRODUCT($AG$7:$AG$20*$AK$7:$AK$20)/SUM($Y$7:$Y$20))</f>
        <v/>
      </c>
      <c r="AB21" s="30" t="str">
        <f>IF(OR($Y$21=0,$AA$21="",$AA$21=0),"",$Z$21/$Y$21/$AA$21)</f>
        <v/>
      </c>
    </row>
    <row r="23" spans="1:37" ht="21.75" customHeight="1" x14ac:dyDescent="0.2">
      <c r="A23" s="6" t="s">
        <v>18</v>
      </c>
      <c r="B23" s="6"/>
      <c r="C23" s="6"/>
      <c r="D23" s="6"/>
      <c r="E23" s="6"/>
      <c r="F23" s="6"/>
      <c r="G23" s="6"/>
      <c r="H23" s="6"/>
      <c r="I23" s="6"/>
    </row>
    <row r="24" spans="1:37" ht="37.5" customHeight="1" x14ac:dyDescent="0.2">
      <c r="A24" s="21" t="s">
        <v>19</v>
      </c>
      <c r="B24" s="21" t="s">
        <v>14</v>
      </c>
      <c r="C24" s="21" t="s">
        <v>13</v>
      </c>
      <c r="D24" s="21" t="s">
        <v>20</v>
      </c>
      <c r="E24" s="21" t="s">
        <v>47</v>
      </c>
      <c r="F24" s="21" t="s">
        <v>16</v>
      </c>
      <c r="G24" s="21" t="s">
        <v>22</v>
      </c>
      <c r="H24" s="21" t="s">
        <v>23</v>
      </c>
      <c r="I24" s="21" t="s">
        <v>24</v>
      </c>
    </row>
    <row r="25" spans="1:37" ht="18" customHeight="1" x14ac:dyDescent="0.2">
      <c r="A25" s="31" t="str">
        <f>"Ligne 1"</f>
        <v>Ligne 1</v>
      </c>
      <c r="B25" s="32">
        <f>$E$21</f>
        <v>6783</v>
      </c>
      <c r="C25" s="24">
        <f>$D$21</f>
        <v>5.5000000000000009</v>
      </c>
      <c r="D25" s="32">
        <f>$B$21</f>
        <v>70</v>
      </c>
      <c r="E25" s="15">
        <f>$F$21</f>
        <v>11.000000000000002</v>
      </c>
      <c r="F25" s="15">
        <f>$G$21</f>
        <v>112.11570247933881</v>
      </c>
      <c r="G25" s="32">
        <f>IF(OR($C25="",$C25=0),"",$B25/$C25)</f>
        <v>1233.272727272727</v>
      </c>
      <c r="H25" s="33">
        <f>IF(OR($F25="",NOT(ISNUMBER($M$2)),$M$2=0),"",$F25/$M$2)</f>
        <v>1.0010330578512394</v>
      </c>
      <c r="I25" s="34">
        <f>IF(OR($F25="",NOT(ISNUMBER($M$2))),"",$F25-$M$2)</f>
        <v>0.11570247933880751</v>
      </c>
      <c r="J25" s="25"/>
      <c r="K25" s="25"/>
    </row>
    <row r="26" spans="1:37" ht="18" customHeight="1" x14ac:dyDescent="0.2">
      <c r="A26" s="31" t="str">
        <f>"Ligne 2"</f>
        <v>Ligne 2</v>
      </c>
      <c r="B26" s="32">
        <f>$L$21</f>
        <v>6169</v>
      </c>
      <c r="C26" s="24">
        <f>$K$21</f>
        <v>5.5000000000000009</v>
      </c>
      <c r="D26" s="32">
        <f>$I$21</f>
        <v>70</v>
      </c>
      <c r="E26" s="15">
        <f>$M$21</f>
        <v>11.000000000000002</v>
      </c>
      <c r="F26" s="15">
        <f>$N$21</f>
        <v>101.9669421487603</v>
      </c>
      <c r="G26" s="32">
        <f>IF(OR($C26="",$C26=0),"",$B26/$C26)</f>
        <v>1121.6363636363635</v>
      </c>
      <c r="H26" s="33">
        <f>IF(OR($F26="",NOT(ISNUMBER($M$2)),$M$2=0),"",$F26/$M$2)</f>
        <v>0.91041912632821698</v>
      </c>
      <c r="I26" s="34">
        <f>IF(OR($F26="",NOT(ISNUMBER($M$2))),"",$F26-$M$2)</f>
        <v>-10.033057851239704</v>
      </c>
      <c r="J26" s="25"/>
      <c r="K26" s="25"/>
    </row>
    <row r="27" spans="1:37" ht="18" customHeight="1" x14ac:dyDescent="0.2">
      <c r="A27" s="31" t="str">
        <f>"Ligne 3"</f>
        <v>Ligne 3</v>
      </c>
      <c r="B27" s="32">
        <f>$S$21</f>
        <v>8174</v>
      </c>
      <c r="C27" s="24">
        <f>$R$21</f>
        <v>5.5000000000000009</v>
      </c>
      <c r="D27" s="32">
        <f>$P$21</f>
        <v>70</v>
      </c>
      <c r="E27" s="15">
        <f>$T$21</f>
        <v>13.000000000000004</v>
      </c>
      <c r="F27" s="15">
        <f>$U$21</f>
        <v>114.32167832167828</v>
      </c>
      <c r="G27" s="32">
        <f>IF(OR($C27="",$C27=0),"",$B27/$C27)</f>
        <v>1486.181818181818</v>
      </c>
      <c r="H27" s="33">
        <f>IF(OR($F27="",NOT(ISNUMBER($M$2)),$M$2=0),"",$F27/$M$2)</f>
        <v>1.0207292707292703</v>
      </c>
      <c r="I27" s="34">
        <f>IF(OR($F27="",NOT(ISNUMBER($M$2))),"",$F27-$M$2)</f>
        <v>2.3216783216782773</v>
      </c>
      <c r="J27" s="25"/>
      <c r="K27" s="25"/>
    </row>
    <row r="28" spans="1:37" ht="18" customHeight="1" x14ac:dyDescent="0.2">
      <c r="A28" s="31" t="str">
        <f>"Ligne 4"</f>
        <v>Ligne 4</v>
      </c>
      <c r="B28" s="32">
        <f>$Z$21</f>
        <v>0</v>
      </c>
      <c r="C28" s="24">
        <f>$Y$21</f>
        <v>0</v>
      </c>
      <c r="D28" s="32">
        <f>$W$21</f>
        <v>0</v>
      </c>
      <c r="E28" s="15" t="str">
        <f>$AA$21</f>
        <v/>
      </c>
      <c r="F28" s="15" t="str">
        <f>$AB$21</f>
        <v/>
      </c>
      <c r="G28" s="32" t="str">
        <f>IF(OR($C28="",$C28=0),"",$B28/$C28)</f>
        <v/>
      </c>
      <c r="H28" s="33" t="str">
        <f>IF(OR($F28="",NOT(ISNUMBER($M$2)),$M$2=0),"",$F28/$M$2)</f>
        <v/>
      </c>
      <c r="I28" s="34" t="str">
        <f>IF(OR($F28="",NOT(ISNUMBER($M$2))),"",$F28-$M$2)</f>
        <v/>
      </c>
      <c r="J28" s="25"/>
      <c r="K28" s="25"/>
    </row>
    <row r="29" spans="1:37" ht="18" customHeight="1" x14ac:dyDescent="0.2">
      <c r="A29" s="35" t="str">
        <f>"TOTAL"</f>
        <v>TOTAL</v>
      </c>
      <c r="B29" s="27">
        <f>SUM($B$25:$B$28)</f>
        <v>21126</v>
      </c>
      <c r="C29" s="29">
        <f>SUM($C$25:$C$28)</f>
        <v>16.500000000000004</v>
      </c>
      <c r="D29" s="27">
        <f>SUM($D$25:$D$28)</f>
        <v>210</v>
      </c>
      <c r="E29" s="30">
        <f>IF(COUNT($E$25:$E$28)=0,"",SUM($E$25:$E$28))</f>
        <v>35.000000000000007</v>
      </c>
      <c r="F29" s="30" t="str">
        <f>IF(SUMPRODUCT($C$25:$C$28*$K$25:$K$28)=0,"",SUMPRODUCT($B$25:$B$28*$J$25:$J$28)/SUMPRODUCT($C$25:$C$28*$K$25:$K$28))</f>
        <v/>
      </c>
      <c r="G29" s="27">
        <f>IF(OR($C29="",$C29=0),"",$B29/$C29)</f>
        <v>1280.363636363636</v>
      </c>
      <c r="H29" s="36" t="str">
        <f>IF(OR($F29="",NOT(ISNUMBER($M$2)),$M$2=0),"",$F29/$M$2)</f>
        <v/>
      </c>
      <c r="I29" s="37" t="str">
        <f>IF(OR($F29="",NOT(ISNUMBER($M$2))),"",$F29-$M$2)</f>
        <v/>
      </c>
    </row>
    <row r="31" spans="1:37" ht="21.75" customHeight="1" x14ac:dyDescent="0.2">
      <c r="A31" s="6" t="s">
        <v>49</v>
      </c>
      <c r="B31" s="6"/>
      <c r="C31" s="6"/>
      <c r="D31" s="6"/>
      <c r="E31" s="6"/>
    </row>
    <row r="32" spans="1:37" ht="37.5" customHeight="1" x14ac:dyDescent="0.2">
      <c r="A32" s="5" t="s">
        <v>12</v>
      </c>
      <c r="B32" s="5"/>
      <c r="C32" s="21" t="s">
        <v>20</v>
      </c>
      <c r="D32" s="21" t="s">
        <v>25</v>
      </c>
      <c r="E32" s="21" t="s">
        <v>26</v>
      </c>
    </row>
    <row r="33" spans="1:6" ht="15" customHeight="1" x14ac:dyDescent="0.2">
      <c r="A33" s="4" t="str">
        <f>IF(PARAMETRES!$E$5="","",PARAMETRES!$E$5)</f>
        <v>Pause repas / reglementaire</v>
      </c>
      <c r="B33" s="4"/>
      <c r="C33" s="32">
        <f>IF($A33="","",SUMIF($C$7:$C$20,$A33,$B$7:$B$20)+SUMIF($J$7:$J$20,$A33,$I$7:$I$20)+SUMIF($Q$7:$Q$20,$A33,$P$7:$P$20)+SUMIF($X$7:$X$20,$A33,$W$7:$W$20))</f>
        <v>210</v>
      </c>
      <c r="D33" s="33">
        <f>IF(OR($A33="",$C$47=0),"",$C33/$C$47)</f>
        <v>1</v>
      </c>
      <c r="E33" s="32">
        <f>IF($A33="","",COUNTIF($C$7:$C$20,$A33)+COUNTIF($J$7:$J$20,$A33)+COUNTIF($Q$7:$Q$20,$A33)+COUNTIF($X$7:$X$20,$A33))</f>
        <v>3</v>
      </c>
    </row>
    <row r="34" spans="1:6" ht="15" customHeight="1" x14ac:dyDescent="0.2">
      <c r="A34" s="4" t="str">
        <f>IF(PARAMETRES!$E$6="","",PARAMETRES!$E$6)</f>
        <v>Panne machine</v>
      </c>
      <c r="B34" s="4"/>
      <c r="C34" s="32">
        <f>IF($A34="","",SUMIF($C$7:$C$20,$A34,$B$7:$B$20)+SUMIF($J$7:$J$20,$A34,$I$7:$I$20)+SUMIF($Q$7:$Q$20,$A34,$P$7:$P$20)+SUMIF($X$7:$X$20,$A34,$W$7:$W$20))</f>
        <v>0</v>
      </c>
      <c r="D34" s="33">
        <f>IF(OR($A34="",$C$47=0),"",$C34/$C$47)</f>
        <v>0</v>
      </c>
      <c r="E34" s="32">
        <f>IF($A34="","",COUNTIF($C$7:$C$20,$A34)+COUNTIF($J$7:$J$20,$A34)+COUNTIF($Q$7:$Q$20,$A34)+COUNTIF($X$7:$X$20,$A34))</f>
        <v>0</v>
      </c>
    </row>
    <row r="35" spans="1:6" ht="15" customHeight="1" x14ac:dyDescent="0.2">
      <c r="A35" s="4" t="str">
        <f>IF(PARAMETRES!$E$7="","",PARAMETRES!$E$7)</f>
        <v>Manque matiere premiere</v>
      </c>
      <c r="B35" s="4"/>
      <c r="C35" s="32">
        <f>IF($A35="","",SUMIF($C$7:$C$20,$A35,$B$7:$B$20)+SUMIF($J$7:$J$20,$A35,$I$7:$I$20)+SUMIF($Q$7:$Q$20,$A35,$P$7:$P$20)+SUMIF($X$7:$X$20,$A35,$W$7:$W$20))</f>
        <v>0</v>
      </c>
      <c r="D35" s="33">
        <f>IF(OR($A35="",$C$47=0),"",$C35/$C$47)</f>
        <v>0</v>
      </c>
      <c r="E35" s="32">
        <f>IF($A35="","",COUNTIF($C$7:$C$20,$A35)+COUNTIF($J$7:$J$20,$A35)+COUNTIF($Q$7:$Q$20,$A35)+COUNTIF($X$7:$X$20,$A35))</f>
        <v>0</v>
      </c>
    </row>
    <row r="36" spans="1:6" ht="15" customHeight="1" x14ac:dyDescent="0.2">
      <c r="A36" s="4" t="str">
        <f>IF(PARAMETRES!$E$8="","",PARAMETRES!$E$8)</f>
        <v>Changement de lot</v>
      </c>
      <c r="B36" s="4"/>
      <c r="C36" s="32">
        <f>IF($A36="","",SUMIF($C$7:$C$20,$A36,$B$7:$B$20)+SUMIF($J$7:$J$20,$A36,$I$7:$I$20)+SUMIF($Q$7:$Q$20,$A36,$P$7:$P$20)+SUMIF($X$7:$X$20,$A36,$W$7:$W$20))</f>
        <v>0</v>
      </c>
      <c r="D36" s="33">
        <f>IF(OR($A36="",$C$47=0),"",$C36/$C$47)</f>
        <v>0</v>
      </c>
      <c r="E36" s="32">
        <f>IF($A36="","",COUNTIF($C$7:$C$20,$A36)+COUNTIF($J$7:$J$20,$A36)+COUNTIF($Q$7:$Q$20,$A36)+COUNTIF($X$7:$X$20,$A36))</f>
        <v>0</v>
      </c>
    </row>
    <row r="37" spans="1:6" ht="15" customHeight="1" x14ac:dyDescent="0.2">
      <c r="A37" s="4" t="str">
        <f>IF(PARAMETRES!$E$9="","",PARAMETRES!$E$9)</f>
        <v>Nettoyage / sanitation</v>
      </c>
      <c r="B37" s="4"/>
      <c r="C37" s="32">
        <f>IF($A37="","",SUMIF($C$7:$C$20,$A37,$B$7:$B$20)+SUMIF($J$7:$J$20,$A37,$I$7:$I$20)+SUMIF($Q$7:$Q$20,$A37,$P$7:$P$20)+SUMIF($X$7:$X$20,$A37,$W$7:$W$20))</f>
        <v>0</v>
      </c>
      <c r="D37" s="33">
        <f>IF(OR($A37="",$C$47=0),"",$C37/$C$47)</f>
        <v>0</v>
      </c>
      <c r="E37" s="32">
        <f>IF($A37="","",COUNTIF($C$7:$C$20,$A37)+COUNTIF($J$7:$J$20,$A37)+COUNTIF($Q$7:$Q$20,$A37)+COUNTIF($X$7:$X$20,$A37))</f>
        <v>0</v>
      </c>
    </row>
    <row r="38" spans="1:6" ht="15" customHeight="1" x14ac:dyDescent="0.2">
      <c r="A38" s="4" t="str">
        <f>IF(PARAMETRES!$E$10="","",PARAMETRES!$E$10)</f>
        <v>Reglage machine</v>
      </c>
      <c r="B38" s="4"/>
      <c r="C38" s="32">
        <f>IF($A38="","",SUMIF($C$7:$C$20,$A38,$B$7:$B$20)+SUMIF($J$7:$J$20,$A38,$I$7:$I$20)+SUMIF($Q$7:$Q$20,$A38,$P$7:$P$20)+SUMIF($X$7:$X$20,$A38,$W$7:$W$20))</f>
        <v>0</v>
      </c>
      <c r="D38" s="33">
        <f>IF(OR($A38="",$C$47=0),"",$C38/$C$47)</f>
        <v>0</v>
      </c>
      <c r="E38" s="32">
        <f>IF($A38="","",COUNTIF($C$7:$C$20,$A38)+COUNTIF($J$7:$J$20,$A38)+COUNTIF($Q$7:$Q$20,$A38)+COUNTIF($X$7:$X$20,$A38))</f>
        <v>0</v>
      </c>
    </row>
    <row r="39" spans="1:6" ht="15" customHeight="1" x14ac:dyDescent="0.2">
      <c r="A39" s="4" t="str">
        <f>IF(PARAMETRES!$E$11="","",PARAMETRES!$E$11)</f>
        <v>Manque de personnel</v>
      </c>
      <c r="B39" s="4"/>
      <c r="C39" s="32">
        <f>IF($A39="","",SUMIF($C$7:$C$20,$A39,$B$7:$B$20)+SUMIF($J$7:$J$20,$A39,$I$7:$I$20)+SUMIF($Q$7:$Q$20,$A39,$P$7:$P$20)+SUMIF($X$7:$X$20,$A39,$W$7:$W$20))</f>
        <v>0</v>
      </c>
      <c r="D39" s="33">
        <f>IF(OR($A39="",$C$47=0),"",$C39/$C$47)</f>
        <v>0</v>
      </c>
      <c r="E39" s="32">
        <f>IF($A39="","",COUNTIF($C$7:$C$20,$A39)+COUNTIF($J$7:$J$20,$A39)+COUNTIF($Q$7:$Q$20,$A39)+COUNTIF($X$7:$X$20,$A39))</f>
        <v>0</v>
      </c>
    </row>
    <row r="40" spans="1:6" ht="15" customHeight="1" x14ac:dyDescent="0.2">
      <c r="A40" s="4" t="str">
        <f>IF(PARAMETRES!$E$12="","",PARAMETRES!$E$12)</f>
        <v>Attente controle qualite</v>
      </c>
      <c r="B40" s="4"/>
      <c r="C40" s="32">
        <f>IF($A40="","",SUMIF($C$7:$C$20,$A40,$B$7:$B$20)+SUMIF($J$7:$J$20,$A40,$I$7:$I$20)+SUMIF($Q$7:$Q$20,$A40,$P$7:$P$20)+SUMIF($X$7:$X$20,$A40,$W$7:$W$20))</f>
        <v>0</v>
      </c>
      <c r="D40" s="33">
        <f>IF(OR($A40="",$C$47=0),"",$C40/$C$47)</f>
        <v>0</v>
      </c>
      <c r="E40" s="32">
        <f>IF($A40="","",COUNTIF($C$7:$C$20,$A40)+COUNTIF($J$7:$J$20,$A40)+COUNTIF($Q$7:$Q$20,$A40)+COUNTIF($X$7:$X$20,$A40))</f>
        <v>0</v>
      </c>
    </row>
    <row r="41" spans="1:6" ht="15" customHeight="1" x14ac:dyDescent="0.2">
      <c r="A41" s="4" t="str">
        <f>IF(PARAMETRES!$E$13="","",PARAMETRES!$E$13)</f>
        <v>Coupure electricite</v>
      </c>
      <c r="B41" s="4"/>
      <c r="C41" s="32">
        <f>IF($A41="","",SUMIF($C$7:$C$20,$A41,$B$7:$B$20)+SUMIF($J$7:$J$20,$A41,$I$7:$I$20)+SUMIF($Q$7:$Q$20,$A41,$P$7:$P$20)+SUMIF($X$7:$X$20,$A41,$W$7:$W$20))</f>
        <v>0</v>
      </c>
      <c r="D41" s="33">
        <f>IF(OR($A41="",$C$47=0),"",$C41/$C$47)</f>
        <v>0</v>
      </c>
      <c r="E41" s="32">
        <f>IF($A41="","",COUNTIF($C$7:$C$20,$A41)+COUNTIF($J$7:$J$20,$A41)+COUNTIF($Q$7:$Q$20,$A41)+COUNTIF($X$7:$X$20,$A41))</f>
        <v>0</v>
      </c>
    </row>
    <row r="42" spans="1:6" ht="15" customHeight="1" x14ac:dyDescent="0.2">
      <c r="A42" s="4" t="str">
        <f>IF(PARAMETRES!$E$14="","",PARAMETRES!$E$14)</f>
        <v>Manque emballage</v>
      </c>
      <c r="B42" s="4"/>
      <c r="C42" s="32">
        <f>IF($A42="","",SUMIF($C$7:$C$20,$A42,$B$7:$B$20)+SUMIF($J$7:$J$20,$A42,$I$7:$I$20)+SUMIF($Q$7:$Q$20,$A42,$P$7:$P$20)+SUMIF($X$7:$X$20,$A42,$W$7:$W$20))</f>
        <v>0</v>
      </c>
      <c r="D42" s="33">
        <f>IF(OR($A42="",$C$47=0),"",$C42/$C$47)</f>
        <v>0</v>
      </c>
      <c r="E42" s="32">
        <f>IF($A42="","",COUNTIF($C$7:$C$20,$A42)+COUNTIF($J$7:$J$20,$A42)+COUNTIF($Q$7:$Q$20,$A42)+COUNTIF($X$7:$X$20,$A42))</f>
        <v>0</v>
      </c>
    </row>
    <row r="43" spans="1:6" ht="15" customHeight="1" x14ac:dyDescent="0.2">
      <c r="A43" s="4" t="str">
        <f>IF(PARAMETRES!$E$15="","",PARAMETRES!$E$15)</f>
        <v>Evacuation dechets</v>
      </c>
      <c r="B43" s="4"/>
      <c r="C43" s="32">
        <f>IF($A43="","",SUMIF($C$7:$C$20,$A43,$B$7:$B$20)+SUMIF($J$7:$J$20,$A43,$I$7:$I$20)+SUMIF($Q$7:$Q$20,$A43,$P$7:$P$20)+SUMIF($X$7:$X$20,$A43,$W$7:$W$20))</f>
        <v>0</v>
      </c>
      <c r="D43" s="33">
        <f>IF(OR($A43="",$C$47=0),"",$C43/$C$47)</f>
        <v>0</v>
      </c>
      <c r="E43" s="32">
        <f>IF($A43="","",COUNTIF($C$7:$C$20,$A43)+COUNTIF($J$7:$J$20,$A43)+COUNTIF($Q$7:$Q$20,$A43)+COUNTIF($X$7:$X$20,$A43))</f>
        <v>0</v>
      </c>
    </row>
    <row r="44" spans="1:6" ht="15" customHeight="1" x14ac:dyDescent="0.2">
      <c r="A44" s="4" t="str">
        <f>IF(PARAMETRES!$E$16="","",PARAMETRES!$E$16)</f>
        <v/>
      </c>
      <c r="B44" s="4"/>
      <c r="C44" s="32" t="str">
        <f>IF($A44="","",SUMIF($C$7:$C$20,$A44,$B$7:$B$20)+SUMIF($J$7:$J$20,$A44,$I$7:$I$20)+SUMIF($Q$7:$Q$20,$A44,$P$7:$P$20)+SUMIF($X$7:$X$20,$A44,$W$7:$W$20))</f>
        <v/>
      </c>
      <c r="D44" s="33" t="str">
        <f>IF(OR($A44="",$C$47=0),"",$C44/$C$47)</f>
        <v/>
      </c>
      <c r="E44" s="32" t="str">
        <f>IF($A44="","",COUNTIF($C$7:$C$20,$A44)+COUNTIF($J$7:$J$20,$A44)+COUNTIF($Q$7:$Q$20,$A44)+COUNTIF($X$7:$X$20,$A44))</f>
        <v/>
      </c>
    </row>
    <row r="45" spans="1:6" ht="15" customHeight="1" x14ac:dyDescent="0.2">
      <c r="A45" s="4" t="str">
        <f>IF(PARAMETRES!$E$17="","",PARAMETRES!$E$17)</f>
        <v/>
      </c>
      <c r="B45" s="4"/>
      <c r="C45" s="32" t="str">
        <f>IF($A45="","",SUMIF($C$7:$C$20,$A45,$B$7:$B$20)+SUMIF($J$7:$J$20,$A45,$I$7:$I$20)+SUMIF($Q$7:$Q$20,$A45,$P$7:$P$20)+SUMIF($X$7:$X$20,$A45,$W$7:$W$20))</f>
        <v/>
      </c>
      <c r="D45" s="33" t="str">
        <f>IF(OR($A45="",$C$47=0),"",$C45/$C$47)</f>
        <v/>
      </c>
      <c r="E45" s="32" t="str">
        <f>IF($A45="","",COUNTIF($C$7:$C$20,$A45)+COUNTIF($J$7:$J$20,$A45)+COUNTIF($Q$7:$Q$20,$A45)+COUNTIF($X$7:$X$20,$A45))</f>
        <v/>
      </c>
    </row>
    <row r="46" spans="1:6" ht="15" customHeight="1" x14ac:dyDescent="0.2">
      <c r="A46" s="4" t="str">
        <f>IF(PARAMETRES!$E$18="","",PARAMETRES!$E$18)</f>
        <v/>
      </c>
      <c r="B46" s="4"/>
      <c r="C46" s="32" t="str">
        <f>IF($A46="","",SUMIF($C$7:$C$20,$A46,$B$7:$B$20)+SUMIF($J$7:$J$20,$A46,$I$7:$I$20)+SUMIF($Q$7:$Q$20,$A46,$P$7:$P$20)+SUMIF($X$7:$X$20,$A46,$W$7:$W$20))</f>
        <v/>
      </c>
      <c r="D46" s="33" t="str">
        <f>IF(OR($A46="",$C$47=0),"",$C46/$C$47)</f>
        <v/>
      </c>
      <c r="E46" s="32" t="str">
        <f>IF($A46="","",COUNTIF($C$7:$C$20,$A46)+COUNTIF($J$7:$J$20,$A46)+COUNTIF($Q$7:$Q$20,$A46)+COUNTIF($X$7:$X$20,$A46))</f>
        <v/>
      </c>
    </row>
    <row r="47" spans="1:6" ht="15" customHeight="1" x14ac:dyDescent="0.2">
      <c r="A47" s="3" t="s">
        <v>27</v>
      </c>
      <c r="B47" s="3"/>
      <c r="C47" s="27">
        <f>SUM($B$7:$B$20)+SUM($I$7:$I$20)+SUM($P$7:$P$20)+SUM($W$7:$W$20)</f>
        <v>210</v>
      </c>
      <c r="D47" s="36">
        <f>IF($C$47=0,"",SUM($D$33:$D$46))</f>
        <v>1</v>
      </c>
      <c r="E47" s="27">
        <f>SUM($E$33:$E$46)</f>
        <v>3</v>
      </c>
    </row>
    <row r="48" spans="1:6" ht="15" customHeight="1" x14ac:dyDescent="0.2">
      <c r="A48" s="2" t="s">
        <v>28</v>
      </c>
      <c r="B48" s="2"/>
      <c r="C48" s="32">
        <f>$C$47-SUM($C$33:$C$46)</f>
        <v>0</v>
      </c>
      <c r="D48" s="1"/>
      <c r="E48" s="1"/>
      <c r="F48" s="1"/>
    </row>
    <row r="50" spans="1:8" ht="21.75" customHeight="1" x14ac:dyDescent="0.2">
      <c r="A50" s="6" t="s">
        <v>50</v>
      </c>
      <c r="B50" s="6"/>
      <c r="C50" s="6"/>
      <c r="D50" s="6"/>
      <c r="E50" s="6"/>
      <c r="F50" s="6"/>
      <c r="G50" s="6"/>
      <c r="H50" s="6"/>
    </row>
    <row r="51" spans="1:8" ht="37.5" customHeight="1" x14ac:dyDescent="0.2">
      <c r="A51" s="21" t="s">
        <v>1</v>
      </c>
      <c r="B51" s="21" t="s">
        <v>2</v>
      </c>
      <c r="C51" s="21" t="s">
        <v>19</v>
      </c>
      <c r="D51" s="21" t="s">
        <v>14</v>
      </c>
      <c r="E51" s="21" t="s">
        <v>13</v>
      </c>
      <c r="F51" s="21" t="s">
        <v>20</v>
      </c>
      <c r="G51" s="21" t="s">
        <v>21</v>
      </c>
      <c r="H51" s="21" t="s">
        <v>3</v>
      </c>
    </row>
    <row r="52" spans="1:8" ht="18" customHeight="1" x14ac:dyDescent="0.2">
      <c r="A52" s="38">
        <f>IF(OR($C25="",$C25=0),"",$B$2)</f>
        <v>46251</v>
      </c>
      <c r="B52" s="39" t="str">
        <f>IF(OR($C25="",$C25=0),"",$F$2)</f>
        <v>FMHOEV BIO</v>
      </c>
      <c r="C52" s="39" t="str">
        <f>IF(OR($C25="",$C25=0),"",$A25)</f>
        <v>Ligne 1</v>
      </c>
      <c r="D52" s="40">
        <f>IF(OR($C25="",$C25=0),"",$B25)</f>
        <v>6783</v>
      </c>
      <c r="E52" s="41">
        <f>IF(OR($C25="",$C25=0),"",$C25)</f>
        <v>5.5000000000000009</v>
      </c>
      <c r="F52" s="40">
        <f>IF(OR($C25="",$C25=0),"",$D25)</f>
        <v>70</v>
      </c>
      <c r="G52" s="42">
        <f>IF(OR($C25="",$C25=0),"",$E25)</f>
        <v>11.000000000000002</v>
      </c>
      <c r="H52" s="42">
        <f>IF(OR($C25="",$C25=0),"",$M$2)</f>
        <v>112</v>
      </c>
    </row>
    <row r="53" spans="1:8" ht="18" customHeight="1" x14ac:dyDescent="0.2">
      <c r="A53" s="38">
        <f>IF(OR($C26="",$C26=0),"",$B$2)</f>
        <v>46251</v>
      </c>
      <c r="B53" s="39" t="str">
        <f>IF(OR($C26="",$C26=0),"",$F$2)</f>
        <v>FMHOEV BIO</v>
      </c>
      <c r="C53" s="39" t="str">
        <f>IF(OR($C26="",$C26=0),"",$A26)</f>
        <v>Ligne 2</v>
      </c>
      <c r="D53" s="40">
        <f>IF(OR($C26="",$C26=0),"",$B26)</f>
        <v>6169</v>
      </c>
      <c r="E53" s="41">
        <f>IF(OR($C26="",$C26=0),"",$C26)</f>
        <v>5.5000000000000009</v>
      </c>
      <c r="F53" s="40">
        <f>IF(OR($C26="",$C26=0),"",$D26)</f>
        <v>70</v>
      </c>
      <c r="G53" s="42">
        <f>IF(OR($C26="",$C26=0),"",$E26)</f>
        <v>11.000000000000002</v>
      </c>
      <c r="H53" s="42">
        <f>IF(OR($C26="",$C26=0),"",$M$2)</f>
        <v>112</v>
      </c>
    </row>
    <row r="54" spans="1:8" ht="18" customHeight="1" x14ac:dyDescent="0.2">
      <c r="A54" s="38">
        <f>IF(OR($C27="",$C27=0),"",$B$2)</f>
        <v>46251</v>
      </c>
      <c r="B54" s="39" t="str">
        <f>IF(OR($C27="",$C27=0),"",$F$2)</f>
        <v>FMHOEV BIO</v>
      </c>
      <c r="C54" s="39" t="str">
        <f>IF(OR($C27="",$C27=0),"",$A27)</f>
        <v>Ligne 3</v>
      </c>
      <c r="D54" s="40">
        <f>IF(OR($C27="",$C27=0),"",$B27)</f>
        <v>8174</v>
      </c>
      <c r="E54" s="41">
        <f>IF(OR($C27="",$C27=0),"",$C27)</f>
        <v>5.5000000000000009</v>
      </c>
      <c r="F54" s="40">
        <f>IF(OR($C27="",$C27=0),"",$D27)</f>
        <v>70</v>
      </c>
      <c r="G54" s="42">
        <f>IF(OR($C27="",$C27=0),"",$E27)</f>
        <v>13.000000000000004</v>
      </c>
      <c r="H54" s="42">
        <f>IF(OR($C27="",$C27=0),"",$M$2)</f>
        <v>112</v>
      </c>
    </row>
    <row r="55" spans="1:8" ht="18" customHeight="1" x14ac:dyDescent="0.2">
      <c r="A55" s="38" t="str">
        <f>IF(OR($C28="",$C28=0),"",$B$2)</f>
        <v/>
      </c>
      <c r="B55" s="39" t="str">
        <f>IF(OR($C28="",$C28=0),"",$F$2)</f>
        <v/>
      </c>
      <c r="C55" s="39" t="str">
        <f>IF(OR($C28="",$C28=0),"",$A28)</f>
        <v/>
      </c>
      <c r="D55" s="40" t="str">
        <f>IF(OR($C28="",$C28=0),"",$B28)</f>
        <v/>
      </c>
      <c r="E55" s="41" t="str">
        <f>IF(OR($C28="",$C28=0),"",$C28)</f>
        <v/>
      </c>
      <c r="F55" s="40" t="str">
        <f>IF(OR($C28="",$C28=0),"",$D28)</f>
        <v/>
      </c>
      <c r="G55" s="42" t="str">
        <f>IF(OR($C28="",$C28=0),"",$E28)</f>
        <v/>
      </c>
      <c r="H55" s="42" t="str">
        <f>IF(OR($C28="",$C28=0),"",$M$2)</f>
        <v/>
      </c>
    </row>
  </sheetData>
  <mergeCells count="33">
    <mergeCell ref="A50:H50"/>
    <mergeCell ref="A45:B45"/>
    <mergeCell ref="A46:B46"/>
    <mergeCell ref="A47:B47"/>
    <mergeCell ref="A48:B48"/>
    <mergeCell ref="D48:F48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23:I23"/>
    <mergeCell ref="A31:E31"/>
    <mergeCell ref="A32:B32"/>
    <mergeCell ref="A33:B33"/>
    <mergeCell ref="A34:B34"/>
    <mergeCell ref="A4:G4"/>
    <mergeCell ref="H4:N4"/>
    <mergeCell ref="O4:U4"/>
    <mergeCell ref="V4:AB4"/>
    <mergeCell ref="E5:G5"/>
    <mergeCell ref="L5:N5"/>
    <mergeCell ref="S5:U5"/>
    <mergeCell ref="Z5:AB5"/>
    <mergeCell ref="A1:AB1"/>
    <mergeCell ref="D2:E2"/>
    <mergeCell ref="F2:H2"/>
    <mergeCell ref="J2:L2"/>
  </mergeCells>
  <conditionalFormatting sqref="B7:B20">
    <cfRule type="expression" dxfId="39" priority="7">
      <formula>AND($B7&lt;&gt;"",$B7&gt;0)</formula>
    </cfRule>
  </conditionalFormatting>
  <conditionalFormatting sqref="C7:C20">
    <cfRule type="expression" dxfId="38" priority="6">
      <formula>AND($B7&gt;0,$C7="")</formula>
    </cfRule>
  </conditionalFormatting>
  <conditionalFormatting sqref="C48">
    <cfRule type="expression" dxfId="37" priority="29">
      <formula>$C$48&gt;0</formula>
    </cfRule>
  </conditionalFormatting>
  <conditionalFormatting sqref="D5">
    <cfRule type="expression" dxfId="36" priority="34">
      <formula>AND(SUM($E$7:$E$20)&gt;0,$D$5="")</formula>
    </cfRule>
  </conditionalFormatting>
  <conditionalFormatting sqref="D7:D20">
    <cfRule type="expression" dxfId="35" priority="2">
      <formula>AND(D7&lt;&gt;"",D7&lt;=0)</formula>
    </cfRule>
  </conditionalFormatting>
  <conditionalFormatting sqref="F7:F20">
    <cfRule type="expression" dxfId="34" priority="30">
      <formula>AND($E7&lt;&gt;"",$F7="")</formula>
    </cfRule>
  </conditionalFormatting>
  <conditionalFormatting sqref="G7:G20">
    <cfRule type="expression" dxfId="33" priority="3">
      <formula>AND(ISNUMBER($M$2),G7&lt;&gt;"",G7&gt;=$M$2)</formula>
    </cfRule>
    <cfRule type="expression" dxfId="32" priority="4">
      <formula>AND(ISNUMBER($M$2),G7&lt;&gt;"",G7&gt;=$M$2*SeuilAlerte,G7&lt;$M$2)</formula>
    </cfRule>
    <cfRule type="expression" dxfId="31" priority="5">
      <formula>AND(ISNUMBER($M$2),G7&lt;&gt;"",G7&lt;$M$2*SeuilAlerte)</formula>
    </cfRule>
  </conditionalFormatting>
  <conditionalFormatting sqref="H25:H29">
    <cfRule type="expression" dxfId="30" priority="26">
      <formula>AND($H25&lt;&gt;"",$H25&gt;=1)</formula>
    </cfRule>
    <cfRule type="expression" dxfId="29" priority="27">
      <formula>AND($H25&lt;&gt;"",$H25&gt;=SeuilAlerte,$H25&lt;1)</formula>
    </cfRule>
    <cfRule type="expression" dxfId="28" priority="28">
      <formula>AND($H25&lt;&gt;"",$H25&lt;SeuilAlerte)</formula>
    </cfRule>
  </conditionalFormatting>
  <conditionalFormatting sqref="I7:I20">
    <cfRule type="expression" dxfId="27" priority="13">
      <formula>AND($I7&lt;&gt;"",$I7&gt;0)</formula>
    </cfRule>
  </conditionalFormatting>
  <conditionalFormatting sqref="J7:J20">
    <cfRule type="expression" dxfId="26" priority="12">
      <formula>AND($I7&gt;0,$J7="")</formula>
    </cfRule>
  </conditionalFormatting>
  <conditionalFormatting sqref="K5">
    <cfRule type="expression" dxfId="25" priority="35">
      <formula>AND(SUM($L$7:$L$20)&gt;0,$K$5="")</formula>
    </cfRule>
  </conditionalFormatting>
  <conditionalFormatting sqref="K7:K20">
    <cfRule type="expression" dxfId="24" priority="8">
      <formula>AND(K7&lt;&gt;"",K7&lt;=0)</formula>
    </cfRule>
  </conditionalFormatting>
  <conditionalFormatting sqref="M7:M20">
    <cfRule type="expression" dxfId="23" priority="31">
      <formula>AND($L7&lt;&gt;"",$M7="")</formula>
    </cfRule>
  </conditionalFormatting>
  <conditionalFormatting sqref="N7:N20">
    <cfRule type="expression" dxfId="22" priority="9">
      <formula>AND(ISNUMBER($M$2),N7&lt;&gt;"",N7&gt;=$M$2)</formula>
    </cfRule>
    <cfRule type="expression" dxfId="21" priority="10">
      <formula>AND(ISNUMBER($M$2),N7&lt;&gt;"",N7&gt;=$M$2*SeuilAlerte,N7&lt;$M$2)</formula>
    </cfRule>
    <cfRule type="expression" dxfId="20" priority="11">
      <formula>AND(ISNUMBER($M$2),N7&lt;&gt;"",N7&lt;$M$2*SeuilAlerte)</formula>
    </cfRule>
  </conditionalFormatting>
  <conditionalFormatting sqref="P7:P20">
    <cfRule type="expression" dxfId="19" priority="19">
      <formula>AND($P7&lt;&gt;"",$P7&gt;0)</formula>
    </cfRule>
  </conditionalFormatting>
  <conditionalFormatting sqref="Q7:Q20">
    <cfRule type="expression" dxfId="18" priority="18">
      <formula>AND($P7&gt;0,$Q7="")</formula>
    </cfRule>
  </conditionalFormatting>
  <conditionalFormatting sqref="R5">
    <cfRule type="expression" dxfId="17" priority="36">
      <formula>AND(SUM($S$7:$S$20)&gt;0,$R$5="")</formula>
    </cfRule>
  </conditionalFormatting>
  <conditionalFormatting sqref="R7:R20">
    <cfRule type="expression" dxfId="16" priority="14">
      <formula>AND(R7&lt;&gt;"",R7&lt;=0)</formula>
    </cfRule>
  </conditionalFormatting>
  <conditionalFormatting sqref="T7:T20">
    <cfRule type="expression" dxfId="15" priority="32">
      <formula>AND($S7&lt;&gt;"",$T7="")</formula>
    </cfRule>
  </conditionalFormatting>
  <conditionalFormatting sqref="U7:U20">
    <cfRule type="expression" dxfId="14" priority="15">
      <formula>AND(ISNUMBER($M$2),U7&lt;&gt;"",U7&gt;=$M$2)</formula>
    </cfRule>
    <cfRule type="expression" dxfId="13" priority="16">
      <formula>AND(ISNUMBER($M$2),U7&lt;&gt;"",U7&gt;=$M$2*SeuilAlerte,U7&lt;$M$2)</formula>
    </cfRule>
    <cfRule type="expression" dxfId="12" priority="17">
      <formula>AND(ISNUMBER($M$2),U7&lt;&gt;"",U7&lt;$M$2*SeuilAlerte)</formula>
    </cfRule>
  </conditionalFormatting>
  <conditionalFormatting sqref="W7:W20">
    <cfRule type="expression" dxfId="11" priority="25">
      <formula>AND($W7&lt;&gt;"",$W7&gt;0)</formula>
    </cfRule>
  </conditionalFormatting>
  <conditionalFormatting sqref="X7:X20">
    <cfRule type="expression" dxfId="10" priority="24">
      <formula>AND($W7&gt;0,$X7="")</formula>
    </cfRule>
  </conditionalFormatting>
  <conditionalFormatting sqref="Y5">
    <cfRule type="expression" dxfId="9" priority="37">
      <formula>AND(SUM($Z$7:$Z$20)&gt;0,$Y$5="")</formula>
    </cfRule>
  </conditionalFormatting>
  <conditionalFormatting sqref="Y7:Y20">
    <cfRule type="expression" dxfId="8" priority="20">
      <formula>AND(Y7&lt;&gt;"",Y7&lt;=0)</formula>
    </cfRule>
  </conditionalFormatting>
  <conditionalFormatting sqref="AA7:AA20">
    <cfRule type="expression" dxfId="7" priority="33">
      <formula>AND($Z7&lt;&gt;"",$AA7="")</formula>
    </cfRule>
  </conditionalFormatting>
  <conditionalFormatting sqref="AB7:AB20">
    <cfRule type="expression" dxfId="6" priority="21">
      <formula>AND(ISNUMBER($M$2),AB7&lt;&gt;"",AB7&gt;=$M$2)</formula>
    </cfRule>
    <cfRule type="expression" dxfId="5" priority="22">
      <formula>AND(ISNUMBER($M$2),AB7&lt;&gt;"",AB7&gt;=$M$2*SeuilAlerte,AB7&lt;$M$2)</formula>
    </cfRule>
    <cfRule type="expression" dxfId="4" priority="23">
      <formula>AND(ISNUMBER($M$2),AB7&lt;&gt;"",AB7&lt;$M$2*SeuilAlerte)</formula>
    </cfRule>
  </conditionalFormatting>
  <dataValidations count="6">
    <dataValidation type="list" allowBlank="1" errorTitle="Produit inconnu" error="Produit absent de l'onglet PARAMETRES." sqref="F2" xr:uid="{00000000-0002-0000-0000-000000000000}">
      <formula1>ListeProduits</formula1>
      <formula2>0</formula2>
    </dataValidation>
    <dataValidation type="list" allowBlank="1" errorTitle="Motif inconnu" error="Motif absent de la liste PARAMETRES (colonne E)." sqref="C7:C20 J7:J20 Q7:Q20 X7:X20" xr:uid="{00000000-0002-0000-0000-000001000000}">
      <formula1>ListeMotifs</formula1>
      <formula2>0</formula2>
    </dataValidation>
    <dataValidation type="whole" allowBlank="1" errorTitle="Duree invalide" error="Saisir un nombre entier de minutes entre 0 et 600." sqref="B7:B20 I7:I20 P7:P20 W7:W20" xr:uid="{00000000-0002-0000-0000-000002000000}">
      <formula1>0</formula1>
      <formula2>600</formula2>
    </dataValidation>
    <dataValidation type="whole" allowBlank="1" errorTitle="Nb boites invalide" error="Le nombre de boites doit etre un entier positif." sqref="E7:E20 L7:L20 S7:S20 Z7:Z20" xr:uid="{00000000-0002-0000-0000-000003000000}">
      <formula1>0</formula1>
      <formula2>100000</formula2>
    </dataValidation>
    <dataValidation type="whole" allowBlank="1" errorTitle="Effectif invalide" error="Le nombre de femmes doit etre un entier entre 1 et 200." sqref="F7:F20 M7:M20 T7:T20 AA7:AA20" xr:uid="{00000000-0002-0000-0000-000004000000}">
      <formula1>1</formula1>
      <formula2>200</formula2>
    </dataValidation>
    <dataValidation type="whole" allowBlank="1" errorTitle="Effectif invalide" error="Saisir un nombre entier de femmes entre 1 et 200." sqref="D5 K5 R5 Y5" xr:uid="{00000000-0002-0000-0000-000005000000}">
      <formula1>1</formula1>
      <formula2>200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02"/>
  <sheetViews>
    <sheetView showGridLines="0" zoomScaleNormal="100" workbookViewId="0">
      <pane ySplit="2" topLeftCell="A3" activePane="bottomLeft" state="frozen"/>
      <selection pane="bottomLeft" activeCell="H3" sqref="H3"/>
    </sheetView>
  </sheetViews>
  <sheetFormatPr defaultColWidth="8.7421875" defaultRowHeight="15" x14ac:dyDescent="0.2"/>
  <cols>
    <col min="1" max="1" width="11.97265625" style="12" customWidth="1"/>
    <col min="2" max="2" width="14.9296875" style="12" customWidth="1"/>
    <col min="3" max="4" width="11.97265625" style="12" customWidth="1"/>
    <col min="5" max="6" width="13.046875" style="12" customWidth="1"/>
    <col min="7" max="9" width="13.98828125" style="12" customWidth="1"/>
    <col min="10" max="10" width="11.97265625" style="12" customWidth="1"/>
    <col min="11" max="11" width="13.98828125" style="12" customWidth="1"/>
    <col min="12" max="13" width="14.9296875" style="12" customWidth="1"/>
    <col min="14" max="14" width="8.47265625" style="12" customWidth="1"/>
  </cols>
  <sheetData>
    <row r="1" spans="1:14" ht="27.75" customHeight="1" x14ac:dyDescent="0.2">
      <c r="A1" s="53" t="s">
        <v>29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43"/>
    </row>
    <row r="2" spans="1:14" ht="39.75" customHeight="1" x14ac:dyDescent="0.2">
      <c r="A2" s="20" t="s">
        <v>1</v>
      </c>
      <c r="B2" s="20" t="s">
        <v>2</v>
      </c>
      <c r="C2" s="20" t="s">
        <v>19</v>
      </c>
      <c r="D2" s="20" t="s">
        <v>14</v>
      </c>
      <c r="E2" s="20" t="s">
        <v>13</v>
      </c>
      <c r="F2" s="20" t="s">
        <v>20</v>
      </c>
      <c r="G2" s="20" t="s">
        <v>47</v>
      </c>
      <c r="H2" s="20" t="s">
        <v>3</v>
      </c>
      <c r="I2" s="21" t="s">
        <v>16</v>
      </c>
      <c r="J2" s="21" t="s">
        <v>23</v>
      </c>
      <c r="K2" s="21" t="s">
        <v>24</v>
      </c>
      <c r="L2" s="21" t="s">
        <v>30</v>
      </c>
      <c r="M2" s="21" t="s">
        <v>22</v>
      </c>
      <c r="N2" s="44"/>
    </row>
    <row r="3" spans="1:14" ht="15" customHeight="1" x14ac:dyDescent="0.2">
      <c r="A3" s="14"/>
      <c r="B3" s="23"/>
      <c r="C3" s="23"/>
      <c r="D3" s="22"/>
      <c r="E3" s="45"/>
      <c r="F3" s="22"/>
      <c r="G3" s="46"/>
      <c r="H3" s="46"/>
      <c r="I3" s="47" t="str">
        <f>IF(OR($D3="",$E3="",$G3="",$E3&lt;=0,$G3=0),"",$D3/$E3/$G3)</f>
        <v/>
      </c>
      <c r="J3" s="48" t="str">
        <f>IF(OR($I3="",NOT(ISNUMBER($H3)),$H3=0),"",$I3/$H3)</f>
        <v/>
      </c>
      <c r="K3" s="49" t="str">
        <f>IF(OR($I3="",NOT(ISNUMBER($H3))),"",$I3-$H3)</f>
        <v/>
      </c>
      <c r="L3" s="39" t="str">
        <f>IF($I3="","",IF(NOT(ISNUMBER($H3)),"Standard manquant",IF($J3&gt;=1,"Standard atteint",IF($J3&gt;=SeuilAlerte,"Alerte","Sous standard"))))</f>
        <v/>
      </c>
      <c r="M3" s="40" t="str">
        <f>IF(OR($D3="",$E3="",$E3&lt;=0),"",$D3/$E3)</f>
        <v/>
      </c>
      <c r="N3" s="40"/>
    </row>
    <row r="4" spans="1:14" ht="15" customHeight="1" x14ac:dyDescent="0.2">
      <c r="A4" s="14"/>
      <c r="B4" s="23"/>
      <c r="C4" s="23"/>
      <c r="D4" s="22"/>
      <c r="E4" s="45"/>
      <c r="F4" s="22"/>
      <c r="G4" s="46"/>
      <c r="H4" s="46"/>
      <c r="I4" s="47" t="str">
        <f>IF(OR($D4="",$E4="",$G4="",$E4&lt;=0,$G4=0),"",$D4/$E4/$G4)</f>
        <v/>
      </c>
      <c r="J4" s="48" t="str">
        <f>IF(OR($I4="",NOT(ISNUMBER($H4)),$H4=0),"",$I4/$H4)</f>
        <v/>
      </c>
      <c r="K4" s="49" t="str">
        <f>IF(OR($I4="",NOT(ISNUMBER($H4))),"",$I4-$H4)</f>
        <v/>
      </c>
      <c r="L4" s="39" t="str">
        <f>IF($I4="","",IF(NOT(ISNUMBER($H4)),"Standard manquant",IF($J4&gt;=1,"Standard atteint",IF($J4&gt;=SeuilAlerte,"Alerte","Sous standard"))))</f>
        <v/>
      </c>
      <c r="M4" s="40" t="str">
        <f>IF(OR($D4="",$E4="",$E4&lt;=0),"",$D4/$E4)</f>
        <v/>
      </c>
      <c r="N4" s="40"/>
    </row>
    <row r="5" spans="1:14" ht="15" customHeight="1" x14ac:dyDescent="0.2">
      <c r="A5" s="14"/>
      <c r="B5" s="23"/>
      <c r="C5" s="23"/>
      <c r="D5" s="22"/>
      <c r="E5" s="45"/>
      <c r="F5" s="22"/>
      <c r="G5" s="46"/>
      <c r="H5" s="46"/>
      <c r="I5" s="47" t="str">
        <f>IF(OR($D5="",$E5="",$G5="",$E5&lt;=0,$G5=0),"",$D5/$E5/$G5)</f>
        <v/>
      </c>
      <c r="J5" s="48" t="str">
        <f>IF(OR($I5="",NOT(ISNUMBER($H5)),$H5=0),"",$I5/$H5)</f>
        <v/>
      </c>
      <c r="K5" s="49" t="str">
        <f>IF(OR($I5="",NOT(ISNUMBER($H5))),"",$I5-$H5)</f>
        <v/>
      </c>
      <c r="L5" s="39" t="str">
        <f>IF($I5="","",IF(NOT(ISNUMBER($H5)),"Standard manquant",IF($J5&gt;=1,"Standard atteint",IF($J5&gt;=SeuilAlerte,"Alerte","Sous standard"))))</f>
        <v/>
      </c>
      <c r="M5" s="40" t="str">
        <f>IF(OR($D5="",$E5="",$E5&lt;=0),"",$D5/$E5)</f>
        <v/>
      </c>
      <c r="N5" s="40"/>
    </row>
    <row r="6" spans="1:14" ht="15" customHeight="1" x14ac:dyDescent="0.2">
      <c r="A6" s="14"/>
      <c r="B6" s="23"/>
      <c r="C6" s="23"/>
      <c r="D6" s="22"/>
      <c r="E6" s="45"/>
      <c r="F6" s="22"/>
      <c r="G6" s="46"/>
      <c r="H6" s="46"/>
      <c r="I6" s="47" t="str">
        <f>IF(OR($D6="",$E6="",$G6="",$E6&lt;=0,$G6=0),"",$D6/$E6/$G6)</f>
        <v/>
      </c>
      <c r="J6" s="48" t="str">
        <f>IF(OR($I6="",NOT(ISNUMBER($H6)),$H6=0),"",$I6/$H6)</f>
        <v/>
      </c>
      <c r="K6" s="49" t="str">
        <f>IF(OR($I6="",NOT(ISNUMBER($H6))),"",$I6-$H6)</f>
        <v/>
      </c>
      <c r="L6" s="39" t="str">
        <f>IF($I6="","",IF(NOT(ISNUMBER($H6)),"Standard manquant",IF($J6&gt;=1,"Standard atteint",IF($J6&gt;=SeuilAlerte,"Alerte","Sous standard"))))</f>
        <v/>
      </c>
      <c r="M6" s="40" t="str">
        <f>IF(OR($D6="",$E6="",$E6&lt;=0),"",$D6/$E6)</f>
        <v/>
      </c>
      <c r="N6" s="40"/>
    </row>
    <row r="7" spans="1:14" ht="15" customHeight="1" x14ac:dyDescent="0.2">
      <c r="A7" s="14"/>
      <c r="B7" s="23"/>
      <c r="C7" s="23"/>
      <c r="D7" s="22"/>
      <c r="E7" s="45"/>
      <c r="F7" s="22"/>
      <c r="G7" s="46"/>
      <c r="H7" s="46"/>
      <c r="I7" s="47" t="str">
        <f>IF(OR($D7="",$E7="",$G7="",$E7&lt;=0,$G7=0),"",$D7/$E7/$G7)</f>
        <v/>
      </c>
      <c r="J7" s="48" t="str">
        <f>IF(OR($I7="",NOT(ISNUMBER($H7)),$H7=0),"",$I7/$H7)</f>
        <v/>
      </c>
      <c r="K7" s="49" t="str">
        <f>IF(OR($I7="",NOT(ISNUMBER($H7))),"",$I7-$H7)</f>
        <v/>
      </c>
      <c r="L7" s="39" t="str">
        <f>IF($I7="","",IF(NOT(ISNUMBER($H7)),"Standard manquant",IF($J7&gt;=1,"Standard atteint",IF($J7&gt;=SeuilAlerte,"Alerte","Sous standard"))))</f>
        <v/>
      </c>
      <c r="M7" s="40" t="str">
        <f>IF(OR($D7="",$E7="",$E7&lt;=0),"",$D7/$E7)</f>
        <v/>
      </c>
      <c r="N7" s="40"/>
    </row>
    <row r="8" spans="1:14" ht="15" customHeight="1" x14ac:dyDescent="0.2">
      <c r="A8" s="14"/>
      <c r="B8" s="23"/>
      <c r="C8" s="23"/>
      <c r="D8" s="22"/>
      <c r="E8" s="45"/>
      <c r="F8" s="22"/>
      <c r="G8" s="46"/>
      <c r="H8" s="46"/>
      <c r="I8" s="47" t="str">
        <f>IF(OR($D8="",$E8="",$G8="",$E8&lt;=0,$G8=0),"",$D8/$E8/$G8)</f>
        <v/>
      </c>
      <c r="J8" s="48" t="str">
        <f>IF(OR($I8="",NOT(ISNUMBER($H8)),$H8=0),"",$I8/$H8)</f>
        <v/>
      </c>
      <c r="K8" s="49" t="str">
        <f>IF(OR($I8="",NOT(ISNUMBER($H8))),"",$I8-$H8)</f>
        <v/>
      </c>
      <c r="L8" s="39" t="str">
        <f>IF($I8="","",IF(NOT(ISNUMBER($H8)),"Standard manquant",IF($J8&gt;=1,"Standard atteint",IF($J8&gt;=SeuilAlerte,"Alerte","Sous standard"))))</f>
        <v/>
      </c>
      <c r="M8" s="40" t="str">
        <f>IF(OR($D8="",$E8="",$E8&lt;=0),"",$D8/$E8)</f>
        <v/>
      </c>
      <c r="N8" s="40"/>
    </row>
    <row r="9" spans="1:14" ht="15" customHeight="1" x14ac:dyDescent="0.2">
      <c r="A9" s="14"/>
      <c r="B9" s="23"/>
      <c r="C9" s="23"/>
      <c r="D9" s="22"/>
      <c r="E9" s="45"/>
      <c r="F9" s="22"/>
      <c r="G9" s="46"/>
      <c r="H9" s="46"/>
      <c r="I9" s="47" t="str">
        <f>IF(OR($D9="",$E9="",$G9="",$E9&lt;=0,$G9=0),"",$D9/$E9/$G9)</f>
        <v/>
      </c>
      <c r="J9" s="48" t="str">
        <f>IF(OR($I9="",NOT(ISNUMBER($H9)),$H9=0),"",$I9/$H9)</f>
        <v/>
      </c>
      <c r="K9" s="49" t="str">
        <f>IF(OR($I9="",NOT(ISNUMBER($H9))),"",$I9-$H9)</f>
        <v/>
      </c>
      <c r="L9" s="39" t="str">
        <f>IF($I9="","",IF(NOT(ISNUMBER($H9)),"Standard manquant",IF($J9&gt;=1,"Standard atteint",IF($J9&gt;=SeuilAlerte,"Alerte","Sous standard"))))</f>
        <v/>
      </c>
      <c r="M9" s="40" t="str">
        <f>IF(OR($D9="",$E9="",$E9&lt;=0),"",$D9/$E9)</f>
        <v/>
      </c>
      <c r="N9" s="40"/>
    </row>
    <row r="10" spans="1:14" ht="15" customHeight="1" x14ac:dyDescent="0.2">
      <c r="A10" s="14"/>
      <c r="B10" s="23"/>
      <c r="C10" s="23"/>
      <c r="D10" s="22"/>
      <c r="E10" s="45"/>
      <c r="F10" s="22"/>
      <c r="G10" s="46"/>
      <c r="H10" s="46"/>
      <c r="I10" s="47" t="str">
        <f>IF(OR($D10="",$E10="",$G10="",$E10&lt;=0,$G10=0),"",$D10/$E10/$G10)</f>
        <v/>
      </c>
      <c r="J10" s="48" t="str">
        <f>IF(OR($I10="",NOT(ISNUMBER($H10)),$H10=0),"",$I10/$H10)</f>
        <v/>
      </c>
      <c r="K10" s="49" t="str">
        <f>IF(OR($I10="",NOT(ISNUMBER($H10))),"",$I10-$H10)</f>
        <v/>
      </c>
      <c r="L10" s="39" t="str">
        <f>IF($I10="","",IF(NOT(ISNUMBER($H10)),"Standard manquant",IF($J10&gt;=1,"Standard atteint",IF($J10&gt;=SeuilAlerte,"Alerte","Sous standard"))))</f>
        <v/>
      </c>
      <c r="M10" s="40" t="str">
        <f>IF(OR($D10="",$E10="",$E10&lt;=0),"",$D10/$E10)</f>
        <v/>
      </c>
      <c r="N10" s="40"/>
    </row>
    <row r="11" spans="1:14" ht="15" customHeight="1" x14ac:dyDescent="0.2">
      <c r="A11" s="14"/>
      <c r="B11" s="23"/>
      <c r="C11" s="23"/>
      <c r="D11" s="22"/>
      <c r="E11" s="45"/>
      <c r="F11" s="22"/>
      <c r="G11" s="46"/>
      <c r="H11" s="46"/>
      <c r="I11" s="47" t="str">
        <f>IF(OR($D11="",$E11="",$G11="",$E11&lt;=0,$G11=0),"",$D11/$E11/$G11)</f>
        <v/>
      </c>
      <c r="J11" s="48" t="str">
        <f>IF(OR($I11="",NOT(ISNUMBER($H11)),$H11=0),"",$I11/$H11)</f>
        <v/>
      </c>
      <c r="K11" s="49" t="str">
        <f>IF(OR($I11="",NOT(ISNUMBER($H11))),"",$I11-$H11)</f>
        <v/>
      </c>
      <c r="L11" s="39" t="str">
        <f>IF($I11="","",IF(NOT(ISNUMBER($H11)),"Standard manquant",IF($J11&gt;=1,"Standard atteint",IF($J11&gt;=SeuilAlerte,"Alerte","Sous standard"))))</f>
        <v/>
      </c>
      <c r="M11" s="40" t="str">
        <f>IF(OR($D11="",$E11="",$E11&lt;=0),"",$D11/$E11)</f>
        <v/>
      </c>
      <c r="N11" s="40"/>
    </row>
    <row r="12" spans="1:14" ht="15" customHeight="1" x14ac:dyDescent="0.2">
      <c r="A12" s="14"/>
      <c r="B12" s="23"/>
      <c r="C12" s="23"/>
      <c r="D12" s="22"/>
      <c r="E12" s="45"/>
      <c r="F12" s="22"/>
      <c r="G12" s="46"/>
      <c r="H12" s="46"/>
      <c r="I12" s="47" t="str">
        <f>IF(OR($D12="",$E12="",$G12="",$E12&lt;=0,$G12=0),"",$D12/$E12/$G12)</f>
        <v/>
      </c>
      <c r="J12" s="48" t="str">
        <f>IF(OR($I12="",NOT(ISNUMBER($H12)),$H12=0),"",$I12/$H12)</f>
        <v/>
      </c>
      <c r="K12" s="49" t="str">
        <f>IF(OR($I12="",NOT(ISNUMBER($H12))),"",$I12-$H12)</f>
        <v/>
      </c>
      <c r="L12" s="39" t="str">
        <f>IF($I12="","",IF(NOT(ISNUMBER($H12)),"Standard manquant",IF($J12&gt;=1,"Standard atteint",IF($J12&gt;=SeuilAlerte,"Alerte","Sous standard"))))</f>
        <v/>
      </c>
      <c r="M12" s="40" t="str">
        <f>IF(OR($D12="",$E12="",$E12&lt;=0),"",$D12/$E12)</f>
        <v/>
      </c>
      <c r="N12" s="40"/>
    </row>
    <row r="13" spans="1:14" ht="15" customHeight="1" x14ac:dyDescent="0.2">
      <c r="A13" s="14"/>
      <c r="B13" s="23"/>
      <c r="C13" s="23"/>
      <c r="D13" s="22"/>
      <c r="E13" s="45"/>
      <c r="F13" s="22"/>
      <c r="G13" s="46"/>
      <c r="H13" s="46"/>
      <c r="I13" s="47" t="str">
        <f>IF(OR($D13="",$E13="",$G13="",$E13&lt;=0,$G13=0),"",$D13/$E13/$G13)</f>
        <v/>
      </c>
      <c r="J13" s="48" t="str">
        <f>IF(OR($I13="",NOT(ISNUMBER($H13)),$H13=0),"",$I13/$H13)</f>
        <v/>
      </c>
      <c r="K13" s="49" t="str">
        <f>IF(OR($I13="",NOT(ISNUMBER($H13))),"",$I13-$H13)</f>
        <v/>
      </c>
      <c r="L13" s="39" t="str">
        <f>IF($I13="","",IF(NOT(ISNUMBER($H13)),"Standard manquant",IF($J13&gt;=1,"Standard atteint",IF($J13&gt;=SeuilAlerte,"Alerte","Sous standard"))))</f>
        <v/>
      </c>
      <c r="M13" s="40" t="str">
        <f>IF(OR($D13="",$E13="",$E13&lt;=0),"",$D13/$E13)</f>
        <v/>
      </c>
      <c r="N13" s="40"/>
    </row>
    <row r="14" spans="1:14" ht="15" customHeight="1" x14ac:dyDescent="0.2">
      <c r="A14" s="14"/>
      <c r="B14" s="23"/>
      <c r="C14" s="23"/>
      <c r="D14" s="22"/>
      <c r="E14" s="45"/>
      <c r="F14" s="22"/>
      <c r="G14" s="46"/>
      <c r="H14" s="46"/>
      <c r="I14" s="47" t="str">
        <f>IF(OR($D14="",$E14="",$G14="",$E14&lt;=0,$G14=0),"",$D14/$E14/$G14)</f>
        <v/>
      </c>
      <c r="J14" s="48" t="str">
        <f>IF(OR($I14="",NOT(ISNUMBER($H14)),$H14=0),"",$I14/$H14)</f>
        <v/>
      </c>
      <c r="K14" s="49" t="str">
        <f>IF(OR($I14="",NOT(ISNUMBER($H14))),"",$I14-$H14)</f>
        <v/>
      </c>
      <c r="L14" s="39" t="str">
        <f>IF($I14="","",IF(NOT(ISNUMBER($H14)),"Standard manquant",IF($J14&gt;=1,"Standard atteint",IF($J14&gt;=SeuilAlerte,"Alerte","Sous standard"))))</f>
        <v/>
      </c>
      <c r="M14" s="40" t="str">
        <f>IF(OR($D14="",$E14="",$E14&lt;=0),"",$D14/$E14)</f>
        <v/>
      </c>
      <c r="N14" s="40"/>
    </row>
    <row r="15" spans="1:14" ht="15" customHeight="1" x14ac:dyDescent="0.2">
      <c r="A15" s="14"/>
      <c r="B15" s="23"/>
      <c r="C15" s="23"/>
      <c r="D15" s="22"/>
      <c r="E15" s="45"/>
      <c r="F15" s="22"/>
      <c r="G15" s="46"/>
      <c r="H15" s="46"/>
      <c r="I15" s="47" t="str">
        <f>IF(OR($D15="",$E15="",$G15="",$E15&lt;=0,$G15=0),"",$D15/$E15/$G15)</f>
        <v/>
      </c>
      <c r="J15" s="48" t="str">
        <f>IF(OR($I15="",NOT(ISNUMBER($H15)),$H15=0),"",$I15/$H15)</f>
        <v/>
      </c>
      <c r="K15" s="49" t="str">
        <f>IF(OR($I15="",NOT(ISNUMBER($H15))),"",$I15-$H15)</f>
        <v/>
      </c>
      <c r="L15" s="39" t="str">
        <f>IF($I15="","",IF(NOT(ISNUMBER($H15)),"Standard manquant",IF($J15&gt;=1,"Standard atteint",IF($J15&gt;=SeuilAlerte,"Alerte","Sous standard"))))</f>
        <v/>
      </c>
      <c r="M15" s="40" t="str">
        <f>IF(OR($D15="",$E15="",$E15&lt;=0),"",$D15/$E15)</f>
        <v/>
      </c>
      <c r="N15" s="40"/>
    </row>
    <row r="16" spans="1:14" ht="15" customHeight="1" x14ac:dyDescent="0.2">
      <c r="A16" s="14"/>
      <c r="B16" s="23"/>
      <c r="C16" s="23"/>
      <c r="D16" s="22"/>
      <c r="E16" s="45"/>
      <c r="F16" s="22"/>
      <c r="G16" s="46"/>
      <c r="H16" s="46"/>
      <c r="I16" s="47" t="str">
        <f>IF(OR($D16="",$E16="",$G16="",$E16&lt;=0,$G16=0),"",$D16/$E16/$G16)</f>
        <v/>
      </c>
      <c r="J16" s="48" t="str">
        <f>IF(OR($I16="",NOT(ISNUMBER($H16)),$H16=0),"",$I16/$H16)</f>
        <v/>
      </c>
      <c r="K16" s="49" t="str">
        <f>IF(OR($I16="",NOT(ISNUMBER($H16))),"",$I16-$H16)</f>
        <v/>
      </c>
      <c r="L16" s="39" t="str">
        <f>IF($I16="","",IF(NOT(ISNUMBER($H16)),"Standard manquant",IF($J16&gt;=1,"Standard atteint",IF($J16&gt;=SeuilAlerte,"Alerte","Sous standard"))))</f>
        <v/>
      </c>
      <c r="M16" s="40" t="str">
        <f>IF(OR($D16="",$E16="",$E16&lt;=0),"",$D16/$E16)</f>
        <v/>
      </c>
      <c r="N16" s="40"/>
    </row>
    <row r="17" spans="1:14" ht="15" customHeight="1" x14ac:dyDescent="0.2">
      <c r="A17" s="14"/>
      <c r="B17" s="23"/>
      <c r="C17" s="23"/>
      <c r="D17" s="22"/>
      <c r="E17" s="45"/>
      <c r="F17" s="22"/>
      <c r="G17" s="46"/>
      <c r="H17" s="46"/>
      <c r="I17" s="47" t="str">
        <f>IF(OR($D17="",$E17="",$G17="",$E17&lt;=0,$G17=0),"",$D17/$E17/$G17)</f>
        <v/>
      </c>
      <c r="J17" s="48" t="str">
        <f>IF(OR($I17="",NOT(ISNUMBER($H17)),$H17=0),"",$I17/$H17)</f>
        <v/>
      </c>
      <c r="K17" s="49" t="str">
        <f>IF(OR($I17="",NOT(ISNUMBER($H17))),"",$I17-$H17)</f>
        <v/>
      </c>
      <c r="L17" s="39" t="str">
        <f>IF($I17="","",IF(NOT(ISNUMBER($H17)),"Standard manquant",IF($J17&gt;=1,"Standard atteint",IF($J17&gt;=SeuilAlerte,"Alerte","Sous standard"))))</f>
        <v/>
      </c>
      <c r="M17" s="40" t="str">
        <f>IF(OR($D17="",$E17="",$E17&lt;=0),"",$D17/$E17)</f>
        <v/>
      </c>
      <c r="N17" s="40"/>
    </row>
    <row r="18" spans="1:14" ht="15" customHeight="1" x14ac:dyDescent="0.2">
      <c r="A18" s="14"/>
      <c r="B18" s="23"/>
      <c r="C18" s="23"/>
      <c r="D18" s="22"/>
      <c r="E18" s="45"/>
      <c r="F18" s="22"/>
      <c r="G18" s="46"/>
      <c r="H18" s="46"/>
      <c r="I18" s="47" t="str">
        <f>IF(OR($D18="",$E18="",$G18="",$E18&lt;=0,$G18=0),"",$D18/$E18/$G18)</f>
        <v/>
      </c>
      <c r="J18" s="48" t="str">
        <f>IF(OR($I18="",NOT(ISNUMBER($H18)),$H18=0),"",$I18/$H18)</f>
        <v/>
      </c>
      <c r="K18" s="49" t="str">
        <f>IF(OR($I18="",NOT(ISNUMBER($H18))),"",$I18-$H18)</f>
        <v/>
      </c>
      <c r="L18" s="39" t="str">
        <f>IF($I18="","",IF(NOT(ISNUMBER($H18)),"Standard manquant",IF($J18&gt;=1,"Standard atteint",IF($J18&gt;=SeuilAlerte,"Alerte","Sous standard"))))</f>
        <v/>
      </c>
      <c r="M18" s="40" t="str">
        <f>IF(OR($D18="",$E18="",$E18&lt;=0),"",$D18/$E18)</f>
        <v/>
      </c>
      <c r="N18" s="40"/>
    </row>
    <row r="19" spans="1:14" ht="15" customHeight="1" x14ac:dyDescent="0.2">
      <c r="A19" s="14"/>
      <c r="B19" s="23"/>
      <c r="C19" s="23"/>
      <c r="D19" s="22"/>
      <c r="E19" s="45"/>
      <c r="F19" s="22"/>
      <c r="G19" s="46"/>
      <c r="H19" s="46"/>
      <c r="I19" s="47" t="str">
        <f>IF(OR($D19="",$E19="",$G19="",$E19&lt;=0,$G19=0),"",$D19/$E19/$G19)</f>
        <v/>
      </c>
      <c r="J19" s="48" t="str">
        <f>IF(OR($I19="",NOT(ISNUMBER($H19)),$H19=0),"",$I19/$H19)</f>
        <v/>
      </c>
      <c r="K19" s="49" t="str">
        <f>IF(OR($I19="",NOT(ISNUMBER($H19))),"",$I19-$H19)</f>
        <v/>
      </c>
      <c r="L19" s="39" t="str">
        <f>IF($I19="","",IF(NOT(ISNUMBER($H19)),"Standard manquant",IF($J19&gt;=1,"Standard atteint",IF($J19&gt;=SeuilAlerte,"Alerte","Sous standard"))))</f>
        <v/>
      </c>
      <c r="M19" s="40" t="str">
        <f>IF(OR($D19="",$E19="",$E19&lt;=0),"",$D19/$E19)</f>
        <v/>
      </c>
      <c r="N19" s="40"/>
    </row>
    <row r="20" spans="1:14" ht="15" customHeight="1" x14ac:dyDescent="0.2">
      <c r="A20" s="14"/>
      <c r="B20" s="23"/>
      <c r="C20" s="23"/>
      <c r="D20" s="22"/>
      <c r="E20" s="45"/>
      <c r="F20" s="22"/>
      <c r="G20" s="46"/>
      <c r="H20" s="46"/>
      <c r="I20" s="47" t="str">
        <f>IF(OR($D20="",$E20="",$G20="",$E20&lt;=0,$G20=0),"",$D20/$E20/$G20)</f>
        <v/>
      </c>
      <c r="J20" s="48" t="str">
        <f>IF(OR($I20="",NOT(ISNUMBER($H20)),$H20=0),"",$I20/$H20)</f>
        <v/>
      </c>
      <c r="K20" s="49" t="str">
        <f>IF(OR($I20="",NOT(ISNUMBER($H20))),"",$I20-$H20)</f>
        <v/>
      </c>
      <c r="L20" s="39" t="str">
        <f>IF($I20="","",IF(NOT(ISNUMBER($H20)),"Standard manquant",IF($J20&gt;=1,"Standard atteint",IF($J20&gt;=SeuilAlerte,"Alerte","Sous standard"))))</f>
        <v/>
      </c>
      <c r="M20" s="40" t="str">
        <f>IF(OR($D20="",$E20="",$E20&lt;=0),"",$D20/$E20)</f>
        <v/>
      </c>
      <c r="N20" s="40"/>
    </row>
    <row r="21" spans="1:14" ht="15" customHeight="1" x14ac:dyDescent="0.2">
      <c r="A21" s="14"/>
      <c r="B21" s="23"/>
      <c r="C21" s="23"/>
      <c r="D21" s="22"/>
      <c r="E21" s="45"/>
      <c r="F21" s="22"/>
      <c r="G21" s="46"/>
      <c r="H21" s="46"/>
      <c r="I21" s="47" t="str">
        <f>IF(OR($D21="",$E21="",$G21="",$E21&lt;=0,$G21=0),"",$D21/$E21/$G21)</f>
        <v/>
      </c>
      <c r="J21" s="48" t="str">
        <f>IF(OR($I21="",NOT(ISNUMBER($H21)),$H21=0),"",$I21/$H21)</f>
        <v/>
      </c>
      <c r="K21" s="49" t="str">
        <f>IF(OR($I21="",NOT(ISNUMBER($H21))),"",$I21-$H21)</f>
        <v/>
      </c>
      <c r="L21" s="39" t="str">
        <f>IF($I21="","",IF(NOT(ISNUMBER($H21)),"Standard manquant",IF($J21&gt;=1,"Standard atteint",IF($J21&gt;=SeuilAlerte,"Alerte","Sous standard"))))</f>
        <v/>
      </c>
      <c r="M21" s="40" t="str">
        <f>IF(OR($D21="",$E21="",$E21&lt;=0),"",$D21/$E21)</f>
        <v/>
      </c>
      <c r="N21" s="40"/>
    </row>
    <row r="22" spans="1:14" ht="15" customHeight="1" x14ac:dyDescent="0.2">
      <c r="A22" s="14"/>
      <c r="B22" s="23"/>
      <c r="C22" s="23"/>
      <c r="D22" s="22"/>
      <c r="E22" s="45"/>
      <c r="F22" s="22"/>
      <c r="G22" s="46"/>
      <c r="H22" s="46"/>
      <c r="I22" s="47" t="str">
        <f>IF(OR($D22="",$E22="",$G22="",$E22&lt;=0,$G22=0),"",$D22/$E22/$G22)</f>
        <v/>
      </c>
      <c r="J22" s="48" t="str">
        <f>IF(OR($I22="",NOT(ISNUMBER($H22)),$H22=0),"",$I22/$H22)</f>
        <v/>
      </c>
      <c r="K22" s="49" t="str">
        <f>IF(OR($I22="",NOT(ISNUMBER($H22))),"",$I22-$H22)</f>
        <v/>
      </c>
      <c r="L22" s="39" t="str">
        <f>IF($I22="","",IF(NOT(ISNUMBER($H22)),"Standard manquant",IF($J22&gt;=1,"Standard atteint",IF($J22&gt;=SeuilAlerte,"Alerte","Sous standard"))))</f>
        <v/>
      </c>
      <c r="M22" s="40" t="str">
        <f>IF(OR($D22="",$E22="",$E22&lt;=0),"",$D22/$E22)</f>
        <v/>
      </c>
      <c r="N22" s="40"/>
    </row>
    <row r="23" spans="1:14" ht="15" customHeight="1" x14ac:dyDescent="0.2">
      <c r="A23" s="14"/>
      <c r="B23" s="23"/>
      <c r="C23" s="23"/>
      <c r="D23" s="22"/>
      <c r="E23" s="45"/>
      <c r="F23" s="22"/>
      <c r="G23" s="46"/>
      <c r="H23" s="46"/>
      <c r="I23" s="47" t="str">
        <f>IF(OR($D23="",$E23="",$G23="",$E23&lt;=0,$G23=0),"",$D23/$E23/$G23)</f>
        <v/>
      </c>
      <c r="J23" s="48" t="str">
        <f>IF(OR($I23="",NOT(ISNUMBER($H23)),$H23=0),"",$I23/$H23)</f>
        <v/>
      </c>
      <c r="K23" s="49" t="str">
        <f>IF(OR($I23="",NOT(ISNUMBER($H23))),"",$I23-$H23)</f>
        <v/>
      </c>
      <c r="L23" s="39" t="str">
        <f>IF($I23="","",IF(NOT(ISNUMBER($H23)),"Standard manquant",IF($J23&gt;=1,"Standard atteint",IF($J23&gt;=SeuilAlerte,"Alerte","Sous standard"))))</f>
        <v/>
      </c>
      <c r="M23" s="40" t="str">
        <f>IF(OR($D23="",$E23="",$E23&lt;=0),"",$D23/$E23)</f>
        <v/>
      </c>
      <c r="N23" s="40"/>
    </row>
    <row r="24" spans="1:14" ht="15" customHeight="1" x14ac:dyDescent="0.2">
      <c r="A24" s="14"/>
      <c r="B24" s="23"/>
      <c r="C24" s="23"/>
      <c r="D24" s="22"/>
      <c r="E24" s="45"/>
      <c r="F24" s="22"/>
      <c r="G24" s="46"/>
      <c r="H24" s="46"/>
      <c r="I24" s="47" t="str">
        <f>IF(OR($D24="",$E24="",$G24="",$E24&lt;=0,$G24=0),"",$D24/$E24/$G24)</f>
        <v/>
      </c>
      <c r="J24" s="48" t="str">
        <f>IF(OR($I24="",NOT(ISNUMBER($H24)),$H24=0),"",$I24/$H24)</f>
        <v/>
      </c>
      <c r="K24" s="49" t="str">
        <f>IF(OR($I24="",NOT(ISNUMBER($H24))),"",$I24-$H24)</f>
        <v/>
      </c>
      <c r="L24" s="39" t="str">
        <f>IF($I24="","",IF(NOT(ISNUMBER($H24)),"Standard manquant",IF($J24&gt;=1,"Standard atteint",IF($J24&gt;=SeuilAlerte,"Alerte","Sous standard"))))</f>
        <v/>
      </c>
      <c r="M24" s="40" t="str">
        <f>IF(OR($D24="",$E24="",$E24&lt;=0),"",$D24/$E24)</f>
        <v/>
      </c>
      <c r="N24" s="40"/>
    </row>
    <row r="25" spans="1:14" ht="15" customHeight="1" x14ac:dyDescent="0.2">
      <c r="A25" s="14"/>
      <c r="B25" s="23"/>
      <c r="C25" s="23"/>
      <c r="D25" s="22"/>
      <c r="E25" s="45"/>
      <c r="F25" s="22"/>
      <c r="G25" s="46"/>
      <c r="H25" s="46"/>
      <c r="I25" s="47" t="str">
        <f>IF(OR($D25="",$E25="",$G25="",$E25&lt;=0,$G25=0),"",$D25/$E25/$G25)</f>
        <v/>
      </c>
      <c r="J25" s="48" t="str">
        <f>IF(OR($I25="",NOT(ISNUMBER($H25)),$H25=0),"",$I25/$H25)</f>
        <v/>
      </c>
      <c r="K25" s="49" t="str">
        <f>IF(OR($I25="",NOT(ISNUMBER($H25))),"",$I25-$H25)</f>
        <v/>
      </c>
      <c r="L25" s="39" t="str">
        <f>IF($I25="","",IF(NOT(ISNUMBER($H25)),"Standard manquant",IF($J25&gt;=1,"Standard atteint",IF($J25&gt;=SeuilAlerte,"Alerte","Sous standard"))))</f>
        <v/>
      </c>
      <c r="M25" s="40" t="str">
        <f>IF(OR($D25="",$E25="",$E25&lt;=0),"",$D25/$E25)</f>
        <v/>
      </c>
      <c r="N25" s="40"/>
    </row>
    <row r="26" spans="1:14" ht="15" customHeight="1" x14ac:dyDescent="0.2">
      <c r="A26" s="14"/>
      <c r="B26" s="23"/>
      <c r="C26" s="23"/>
      <c r="D26" s="22"/>
      <c r="E26" s="45"/>
      <c r="F26" s="22"/>
      <c r="G26" s="46"/>
      <c r="H26" s="46"/>
      <c r="I26" s="47" t="str">
        <f>IF(OR($D26="",$E26="",$G26="",$E26&lt;=0,$G26=0),"",$D26/$E26/$G26)</f>
        <v/>
      </c>
      <c r="J26" s="48" t="str">
        <f>IF(OR($I26="",NOT(ISNUMBER($H26)),$H26=0),"",$I26/$H26)</f>
        <v/>
      </c>
      <c r="K26" s="49" t="str">
        <f>IF(OR($I26="",NOT(ISNUMBER($H26))),"",$I26-$H26)</f>
        <v/>
      </c>
      <c r="L26" s="39" t="str">
        <f>IF($I26="","",IF(NOT(ISNUMBER($H26)),"Standard manquant",IF($J26&gt;=1,"Standard atteint",IF($J26&gt;=SeuilAlerte,"Alerte","Sous standard"))))</f>
        <v/>
      </c>
      <c r="M26" s="40" t="str">
        <f>IF(OR($D26="",$E26="",$E26&lt;=0),"",$D26/$E26)</f>
        <v/>
      </c>
      <c r="N26" s="40"/>
    </row>
    <row r="27" spans="1:14" ht="15" customHeight="1" x14ac:dyDescent="0.2">
      <c r="A27" s="14"/>
      <c r="B27" s="23"/>
      <c r="C27" s="23"/>
      <c r="D27" s="22"/>
      <c r="E27" s="45"/>
      <c r="F27" s="22"/>
      <c r="G27" s="46"/>
      <c r="H27" s="46"/>
      <c r="I27" s="47" t="str">
        <f>IF(OR($D27="",$E27="",$G27="",$E27&lt;=0,$G27=0),"",$D27/$E27/$G27)</f>
        <v/>
      </c>
      <c r="J27" s="48" t="str">
        <f>IF(OR($I27="",NOT(ISNUMBER($H27)),$H27=0),"",$I27/$H27)</f>
        <v/>
      </c>
      <c r="K27" s="49" t="str">
        <f>IF(OR($I27="",NOT(ISNUMBER($H27))),"",$I27-$H27)</f>
        <v/>
      </c>
      <c r="L27" s="39" t="str">
        <f>IF($I27="","",IF(NOT(ISNUMBER($H27)),"Standard manquant",IF($J27&gt;=1,"Standard atteint",IF($J27&gt;=SeuilAlerte,"Alerte","Sous standard"))))</f>
        <v/>
      </c>
      <c r="M27" s="40" t="str">
        <f>IF(OR($D27="",$E27="",$E27&lt;=0),"",$D27/$E27)</f>
        <v/>
      </c>
      <c r="N27" s="40"/>
    </row>
    <row r="28" spans="1:14" ht="15" customHeight="1" x14ac:dyDescent="0.2">
      <c r="A28" s="14"/>
      <c r="B28" s="23"/>
      <c r="C28" s="23"/>
      <c r="D28" s="22"/>
      <c r="E28" s="45"/>
      <c r="F28" s="22"/>
      <c r="G28" s="46"/>
      <c r="H28" s="46"/>
      <c r="I28" s="47" t="str">
        <f>IF(OR($D28="",$E28="",$G28="",$E28&lt;=0,$G28=0),"",$D28/$E28/$G28)</f>
        <v/>
      </c>
      <c r="J28" s="48" t="str">
        <f>IF(OR($I28="",NOT(ISNUMBER($H28)),$H28=0),"",$I28/$H28)</f>
        <v/>
      </c>
      <c r="K28" s="49" t="str">
        <f>IF(OR($I28="",NOT(ISNUMBER($H28))),"",$I28-$H28)</f>
        <v/>
      </c>
      <c r="L28" s="39" t="str">
        <f>IF($I28="","",IF(NOT(ISNUMBER($H28)),"Standard manquant",IF($J28&gt;=1,"Standard atteint",IF($J28&gt;=SeuilAlerte,"Alerte","Sous standard"))))</f>
        <v/>
      </c>
      <c r="M28" s="40" t="str">
        <f>IF(OR($D28="",$E28="",$E28&lt;=0),"",$D28/$E28)</f>
        <v/>
      </c>
      <c r="N28" s="40"/>
    </row>
    <row r="29" spans="1:14" ht="15" customHeight="1" x14ac:dyDescent="0.2">
      <c r="A29" s="14"/>
      <c r="B29" s="23"/>
      <c r="C29" s="23"/>
      <c r="D29" s="22"/>
      <c r="E29" s="45"/>
      <c r="F29" s="22"/>
      <c r="G29" s="46"/>
      <c r="H29" s="46"/>
      <c r="I29" s="47" t="str">
        <f>IF(OR($D29="",$E29="",$G29="",$E29&lt;=0,$G29=0),"",$D29/$E29/$G29)</f>
        <v/>
      </c>
      <c r="J29" s="48" t="str">
        <f>IF(OR($I29="",NOT(ISNUMBER($H29)),$H29=0),"",$I29/$H29)</f>
        <v/>
      </c>
      <c r="K29" s="49" t="str">
        <f>IF(OR($I29="",NOT(ISNUMBER($H29))),"",$I29-$H29)</f>
        <v/>
      </c>
      <c r="L29" s="39" t="str">
        <f>IF($I29="","",IF(NOT(ISNUMBER($H29)),"Standard manquant",IF($J29&gt;=1,"Standard atteint",IF($J29&gt;=SeuilAlerte,"Alerte","Sous standard"))))</f>
        <v/>
      </c>
      <c r="M29" s="40" t="str">
        <f>IF(OR($D29="",$E29="",$E29&lt;=0),"",$D29/$E29)</f>
        <v/>
      </c>
      <c r="N29" s="40"/>
    </row>
    <row r="30" spans="1:14" ht="15" customHeight="1" x14ac:dyDescent="0.2">
      <c r="A30" s="14"/>
      <c r="B30" s="23"/>
      <c r="C30" s="23"/>
      <c r="D30" s="22"/>
      <c r="E30" s="45"/>
      <c r="F30" s="22"/>
      <c r="G30" s="46"/>
      <c r="H30" s="46"/>
      <c r="I30" s="47" t="str">
        <f>IF(OR($D30="",$E30="",$G30="",$E30&lt;=0,$G30=0),"",$D30/$E30/$G30)</f>
        <v/>
      </c>
      <c r="J30" s="48" t="str">
        <f>IF(OR($I30="",NOT(ISNUMBER($H30)),$H30=0),"",$I30/$H30)</f>
        <v/>
      </c>
      <c r="K30" s="49" t="str">
        <f>IF(OR($I30="",NOT(ISNUMBER($H30))),"",$I30-$H30)</f>
        <v/>
      </c>
      <c r="L30" s="39" t="str">
        <f>IF($I30="","",IF(NOT(ISNUMBER($H30)),"Standard manquant",IF($J30&gt;=1,"Standard atteint",IF($J30&gt;=SeuilAlerte,"Alerte","Sous standard"))))</f>
        <v/>
      </c>
      <c r="M30" s="40" t="str">
        <f>IF(OR($D30="",$E30="",$E30&lt;=0),"",$D30/$E30)</f>
        <v/>
      </c>
      <c r="N30" s="40"/>
    </row>
    <row r="31" spans="1:14" ht="15" customHeight="1" x14ac:dyDescent="0.2">
      <c r="A31" s="14"/>
      <c r="B31" s="23"/>
      <c r="C31" s="23"/>
      <c r="D31" s="22"/>
      <c r="E31" s="45"/>
      <c r="F31" s="22"/>
      <c r="G31" s="46"/>
      <c r="H31" s="46"/>
      <c r="I31" s="47" t="str">
        <f>IF(OR($D31="",$E31="",$G31="",$E31&lt;=0,$G31=0),"",$D31/$E31/$G31)</f>
        <v/>
      </c>
      <c r="J31" s="48" t="str">
        <f>IF(OR($I31="",NOT(ISNUMBER($H31)),$H31=0),"",$I31/$H31)</f>
        <v/>
      </c>
      <c r="K31" s="49" t="str">
        <f>IF(OR($I31="",NOT(ISNUMBER($H31))),"",$I31-$H31)</f>
        <v/>
      </c>
      <c r="L31" s="39" t="str">
        <f>IF($I31="","",IF(NOT(ISNUMBER($H31)),"Standard manquant",IF($J31&gt;=1,"Standard atteint",IF($J31&gt;=SeuilAlerte,"Alerte","Sous standard"))))</f>
        <v/>
      </c>
      <c r="M31" s="40" t="str">
        <f>IF(OR($D31="",$E31="",$E31&lt;=0),"",$D31/$E31)</f>
        <v/>
      </c>
      <c r="N31" s="40"/>
    </row>
    <row r="32" spans="1:14" ht="15" customHeight="1" x14ac:dyDescent="0.2">
      <c r="A32" s="14"/>
      <c r="B32" s="23"/>
      <c r="C32" s="23"/>
      <c r="D32" s="22"/>
      <c r="E32" s="45"/>
      <c r="F32" s="22"/>
      <c r="G32" s="46"/>
      <c r="H32" s="46"/>
      <c r="I32" s="47" t="str">
        <f>IF(OR($D32="",$E32="",$G32="",$E32&lt;=0,$G32=0),"",$D32/$E32/$G32)</f>
        <v/>
      </c>
      <c r="J32" s="48" t="str">
        <f>IF(OR($I32="",NOT(ISNUMBER($H32)),$H32=0),"",$I32/$H32)</f>
        <v/>
      </c>
      <c r="K32" s="49" t="str">
        <f>IF(OR($I32="",NOT(ISNUMBER($H32))),"",$I32-$H32)</f>
        <v/>
      </c>
      <c r="L32" s="39" t="str">
        <f>IF($I32="","",IF(NOT(ISNUMBER($H32)),"Standard manquant",IF($J32&gt;=1,"Standard atteint",IF($J32&gt;=SeuilAlerte,"Alerte","Sous standard"))))</f>
        <v/>
      </c>
      <c r="M32" s="40" t="str">
        <f>IF(OR($D32="",$E32="",$E32&lt;=0),"",$D32/$E32)</f>
        <v/>
      </c>
      <c r="N32" s="40"/>
    </row>
    <row r="33" spans="1:14" ht="15" customHeight="1" x14ac:dyDescent="0.2">
      <c r="A33" s="14"/>
      <c r="B33" s="23"/>
      <c r="C33" s="23"/>
      <c r="D33" s="22"/>
      <c r="E33" s="45"/>
      <c r="F33" s="22"/>
      <c r="G33" s="46"/>
      <c r="H33" s="46"/>
      <c r="I33" s="47" t="str">
        <f>IF(OR($D33="",$E33="",$G33="",$E33&lt;=0,$G33=0),"",$D33/$E33/$G33)</f>
        <v/>
      </c>
      <c r="J33" s="48" t="str">
        <f>IF(OR($I33="",NOT(ISNUMBER($H33)),$H33=0),"",$I33/$H33)</f>
        <v/>
      </c>
      <c r="K33" s="49" t="str">
        <f>IF(OR($I33="",NOT(ISNUMBER($H33))),"",$I33-$H33)</f>
        <v/>
      </c>
      <c r="L33" s="39" t="str">
        <f>IF($I33="","",IF(NOT(ISNUMBER($H33)),"Standard manquant",IF($J33&gt;=1,"Standard atteint",IF($J33&gt;=SeuilAlerte,"Alerte","Sous standard"))))</f>
        <v/>
      </c>
      <c r="M33" s="40" t="str">
        <f>IF(OR($D33="",$E33="",$E33&lt;=0),"",$D33/$E33)</f>
        <v/>
      </c>
      <c r="N33" s="40"/>
    </row>
    <row r="34" spans="1:14" ht="15" customHeight="1" x14ac:dyDescent="0.2">
      <c r="A34" s="14"/>
      <c r="B34" s="23"/>
      <c r="C34" s="23"/>
      <c r="D34" s="22"/>
      <c r="E34" s="45"/>
      <c r="F34" s="22"/>
      <c r="G34" s="46"/>
      <c r="H34" s="46"/>
      <c r="I34" s="47" t="str">
        <f>IF(OR($D34="",$E34="",$G34="",$E34&lt;=0,$G34=0),"",$D34/$E34/$G34)</f>
        <v/>
      </c>
      <c r="J34" s="48" t="str">
        <f>IF(OR($I34="",NOT(ISNUMBER($H34)),$H34=0),"",$I34/$H34)</f>
        <v/>
      </c>
      <c r="K34" s="49" t="str">
        <f>IF(OR($I34="",NOT(ISNUMBER($H34))),"",$I34-$H34)</f>
        <v/>
      </c>
      <c r="L34" s="39" t="str">
        <f>IF($I34="","",IF(NOT(ISNUMBER($H34)),"Standard manquant",IF($J34&gt;=1,"Standard atteint",IF($J34&gt;=SeuilAlerte,"Alerte","Sous standard"))))</f>
        <v/>
      </c>
      <c r="M34" s="40" t="str">
        <f>IF(OR($D34="",$E34="",$E34&lt;=0),"",$D34/$E34)</f>
        <v/>
      </c>
      <c r="N34" s="40"/>
    </row>
    <row r="35" spans="1:14" ht="15" customHeight="1" x14ac:dyDescent="0.2">
      <c r="A35" s="14"/>
      <c r="B35" s="23"/>
      <c r="C35" s="23"/>
      <c r="D35" s="22"/>
      <c r="E35" s="45"/>
      <c r="F35" s="22"/>
      <c r="G35" s="46"/>
      <c r="H35" s="46"/>
      <c r="I35" s="47" t="str">
        <f>IF(OR($D35="",$E35="",$G35="",$E35&lt;=0,$G35=0),"",$D35/$E35/$G35)</f>
        <v/>
      </c>
      <c r="J35" s="48" t="str">
        <f>IF(OR($I35="",NOT(ISNUMBER($H35)),$H35=0),"",$I35/$H35)</f>
        <v/>
      </c>
      <c r="K35" s="49" t="str">
        <f>IF(OR($I35="",NOT(ISNUMBER($H35))),"",$I35-$H35)</f>
        <v/>
      </c>
      <c r="L35" s="39" t="str">
        <f>IF($I35="","",IF(NOT(ISNUMBER($H35)),"Standard manquant",IF($J35&gt;=1,"Standard atteint",IF($J35&gt;=SeuilAlerte,"Alerte","Sous standard"))))</f>
        <v/>
      </c>
      <c r="M35" s="40" t="str">
        <f>IF(OR($D35="",$E35="",$E35&lt;=0),"",$D35/$E35)</f>
        <v/>
      </c>
      <c r="N35" s="40"/>
    </row>
    <row r="36" spans="1:14" ht="15" customHeight="1" x14ac:dyDescent="0.2">
      <c r="A36" s="14"/>
      <c r="B36" s="23"/>
      <c r="C36" s="23"/>
      <c r="D36" s="22"/>
      <c r="E36" s="45"/>
      <c r="F36" s="22"/>
      <c r="G36" s="46"/>
      <c r="H36" s="46"/>
      <c r="I36" s="47" t="str">
        <f>IF(OR($D36="",$E36="",$G36="",$E36&lt;=0,$G36=0),"",$D36/$E36/$G36)</f>
        <v/>
      </c>
      <c r="J36" s="48" t="str">
        <f>IF(OR($I36="",NOT(ISNUMBER($H36)),$H36=0),"",$I36/$H36)</f>
        <v/>
      </c>
      <c r="K36" s="49" t="str">
        <f>IF(OR($I36="",NOT(ISNUMBER($H36))),"",$I36-$H36)</f>
        <v/>
      </c>
      <c r="L36" s="39" t="str">
        <f>IF($I36="","",IF(NOT(ISNUMBER($H36)),"Standard manquant",IF($J36&gt;=1,"Standard atteint",IF($J36&gt;=SeuilAlerte,"Alerte","Sous standard"))))</f>
        <v/>
      </c>
      <c r="M36" s="40" t="str">
        <f>IF(OR($D36="",$E36="",$E36&lt;=0),"",$D36/$E36)</f>
        <v/>
      </c>
      <c r="N36" s="40"/>
    </row>
    <row r="37" spans="1:14" ht="15" customHeight="1" x14ac:dyDescent="0.2">
      <c r="A37" s="14"/>
      <c r="B37" s="23"/>
      <c r="C37" s="23"/>
      <c r="D37" s="22"/>
      <c r="E37" s="45"/>
      <c r="F37" s="22"/>
      <c r="G37" s="46"/>
      <c r="H37" s="46"/>
      <c r="I37" s="47" t="str">
        <f>IF(OR($D37="",$E37="",$G37="",$E37&lt;=0,$G37=0),"",$D37/$E37/$G37)</f>
        <v/>
      </c>
      <c r="J37" s="48" t="str">
        <f>IF(OR($I37="",NOT(ISNUMBER($H37)),$H37=0),"",$I37/$H37)</f>
        <v/>
      </c>
      <c r="K37" s="49" t="str">
        <f>IF(OR($I37="",NOT(ISNUMBER($H37))),"",$I37-$H37)</f>
        <v/>
      </c>
      <c r="L37" s="39" t="str">
        <f>IF($I37="","",IF(NOT(ISNUMBER($H37)),"Standard manquant",IF($J37&gt;=1,"Standard atteint",IF($J37&gt;=SeuilAlerte,"Alerte","Sous standard"))))</f>
        <v/>
      </c>
      <c r="M37" s="40" t="str">
        <f>IF(OR($D37="",$E37="",$E37&lt;=0),"",$D37/$E37)</f>
        <v/>
      </c>
      <c r="N37" s="40"/>
    </row>
    <row r="38" spans="1:14" ht="15" customHeight="1" x14ac:dyDescent="0.2">
      <c r="A38" s="14"/>
      <c r="B38" s="23"/>
      <c r="C38" s="23"/>
      <c r="D38" s="22"/>
      <c r="E38" s="45"/>
      <c r="F38" s="22"/>
      <c r="G38" s="46"/>
      <c r="H38" s="46"/>
      <c r="I38" s="47" t="str">
        <f>IF(OR($D38="",$E38="",$G38="",$E38&lt;=0,$G38=0),"",$D38/$E38/$G38)</f>
        <v/>
      </c>
      <c r="J38" s="48" t="str">
        <f>IF(OR($I38="",NOT(ISNUMBER($H38)),$H38=0),"",$I38/$H38)</f>
        <v/>
      </c>
      <c r="K38" s="49" t="str">
        <f>IF(OR($I38="",NOT(ISNUMBER($H38))),"",$I38-$H38)</f>
        <v/>
      </c>
      <c r="L38" s="39" t="str">
        <f>IF($I38="","",IF(NOT(ISNUMBER($H38)),"Standard manquant",IF($J38&gt;=1,"Standard atteint",IF($J38&gt;=SeuilAlerte,"Alerte","Sous standard"))))</f>
        <v/>
      </c>
      <c r="M38" s="40" t="str">
        <f>IF(OR($D38="",$E38="",$E38&lt;=0),"",$D38/$E38)</f>
        <v/>
      </c>
      <c r="N38" s="40"/>
    </row>
    <row r="39" spans="1:14" ht="15" customHeight="1" x14ac:dyDescent="0.2">
      <c r="A39" s="14"/>
      <c r="B39" s="23"/>
      <c r="C39" s="23"/>
      <c r="D39" s="22"/>
      <c r="E39" s="45"/>
      <c r="F39" s="22"/>
      <c r="G39" s="46"/>
      <c r="H39" s="46"/>
      <c r="I39" s="47" t="str">
        <f>IF(OR($D39="",$E39="",$G39="",$E39&lt;=0,$G39=0),"",$D39/$E39/$G39)</f>
        <v/>
      </c>
      <c r="J39" s="48" t="str">
        <f>IF(OR($I39="",NOT(ISNUMBER($H39)),$H39=0),"",$I39/$H39)</f>
        <v/>
      </c>
      <c r="K39" s="49" t="str">
        <f>IF(OR($I39="",NOT(ISNUMBER($H39))),"",$I39-$H39)</f>
        <v/>
      </c>
      <c r="L39" s="39" t="str">
        <f>IF($I39="","",IF(NOT(ISNUMBER($H39)),"Standard manquant",IF($J39&gt;=1,"Standard atteint",IF($J39&gt;=SeuilAlerte,"Alerte","Sous standard"))))</f>
        <v/>
      </c>
      <c r="M39" s="40" t="str">
        <f>IF(OR($D39="",$E39="",$E39&lt;=0),"",$D39/$E39)</f>
        <v/>
      </c>
      <c r="N39" s="40"/>
    </row>
    <row r="40" spans="1:14" ht="15" customHeight="1" x14ac:dyDescent="0.2">
      <c r="A40" s="14"/>
      <c r="B40" s="23"/>
      <c r="C40" s="23"/>
      <c r="D40" s="22"/>
      <c r="E40" s="45"/>
      <c r="F40" s="22"/>
      <c r="G40" s="46"/>
      <c r="H40" s="46"/>
      <c r="I40" s="47" t="str">
        <f>IF(OR($D40="",$E40="",$G40="",$E40&lt;=0,$G40=0),"",$D40/$E40/$G40)</f>
        <v/>
      </c>
      <c r="J40" s="48" t="str">
        <f>IF(OR($I40="",NOT(ISNUMBER($H40)),$H40=0),"",$I40/$H40)</f>
        <v/>
      </c>
      <c r="K40" s="49" t="str">
        <f>IF(OR($I40="",NOT(ISNUMBER($H40))),"",$I40-$H40)</f>
        <v/>
      </c>
      <c r="L40" s="39" t="str">
        <f>IF($I40="","",IF(NOT(ISNUMBER($H40)),"Standard manquant",IF($J40&gt;=1,"Standard atteint",IF($J40&gt;=SeuilAlerte,"Alerte","Sous standard"))))</f>
        <v/>
      </c>
      <c r="M40" s="40" t="str">
        <f>IF(OR($D40="",$E40="",$E40&lt;=0),"",$D40/$E40)</f>
        <v/>
      </c>
      <c r="N40" s="40"/>
    </row>
    <row r="41" spans="1:14" ht="15" customHeight="1" x14ac:dyDescent="0.2">
      <c r="A41" s="14"/>
      <c r="B41" s="23"/>
      <c r="C41" s="23"/>
      <c r="D41" s="22"/>
      <c r="E41" s="45"/>
      <c r="F41" s="22"/>
      <c r="G41" s="46"/>
      <c r="H41" s="46"/>
      <c r="I41" s="47" t="str">
        <f>IF(OR($D41="",$E41="",$G41="",$E41&lt;=0,$G41=0),"",$D41/$E41/$G41)</f>
        <v/>
      </c>
      <c r="J41" s="48" t="str">
        <f>IF(OR($I41="",NOT(ISNUMBER($H41)),$H41=0),"",$I41/$H41)</f>
        <v/>
      </c>
      <c r="K41" s="49" t="str">
        <f>IF(OR($I41="",NOT(ISNUMBER($H41))),"",$I41-$H41)</f>
        <v/>
      </c>
      <c r="L41" s="39" t="str">
        <f>IF($I41="","",IF(NOT(ISNUMBER($H41)),"Standard manquant",IF($J41&gt;=1,"Standard atteint",IF($J41&gt;=SeuilAlerte,"Alerte","Sous standard"))))</f>
        <v/>
      </c>
      <c r="M41" s="40" t="str">
        <f>IF(OR($D41="",$E41="",$E41&lt;=0),"",$D41/$E41)</f>
        <v/>
      </c>
      <c r="N41" s="40"/>
    </row>
    <row r="42" spans="1:14" ht="15" customHeight="1" x14ac:dyDescent="0.2">
      <c r="A42" s="14"/>
      <c r="B42" s="23"/>
      <c r="C42" s="23"/>
      <c r="D42" s="22"/>
      <c r="E42" s="45"/>
      <c r="F42" s="22"/>
      <c r="G42" s="46"/>
      <c r="H42" s="46"/>
      <c r="I42" s="47" t="str">
        <f>IF(OR($D42="",$E42="",$G42="",$E42&lt;=0,$G42=0),"",$D42/$E42/$G42)</f>
        <v/>
      </c>
      <c r="J42" s="48" t="str">
        <f>IF(OR($I42="",NOT(ISNUMBER($H42)),$H42=0),"",$I42/$H42)</f>
        <v/>
      </c>
      <c r="K42" s="49" t="str">
        <f>IF(OR($I42="",NOT(ISNUMBER($H42))),"",$I42-$H42)</f>
        <v/>
      </c>
      <c r="L42" s="39" t="str">
        <f>IF($I42="","",IF(NOT(ISNUMBER($H42)),"Standard manquant",IF($J42&gt;=1,"Standard atteint",IF($J42&gt;=SeuilAlerte,"Alerte","Sous standard"))))</f>
        <v/>
      </c>
      <c r="M42" s="40" t="str">
        <f>IF(OR($D42="",$E42="",$E42&lt;=0),"",$D42/$E42)</f>
        <v/>
      </c>
      <c r="N42" s="40"/>
    </row>
    <row r="43" spans="1:14" ht="15" customHeight="1" x14ac:dyDescent="0.2">
      <c r="A43" s="14"/>
      <c r="B43" s="23"/>
      <c r="C43" s="23"/>
      <c r="D43" s="22"/>
      <c r="E43" s="45"/>
      <c r="F43" s="22"/>
      <c r="G43" s="46"/>
      <c r="H43" s="46"/>
      <c r="I43" s="47" t="str">
        <f>IF(OR($D43="",$E43="",$G43="",$E43&lt;=0,$G43=0),"",$D43/$E43/$G43)</f>
        <v/>
      </c>
      <c r="J43" s="48" t="str">
        <f>IF(OR($I43="",NOT(ISNUMBER($H43)),$H43=0),"",$I43/$H43)</f>
        <v/>
      </c>
      <c r="K43" s="49" t="str">
        <f>IF(OR($I43="",NOT(ISNUMBER($H43))),"",$I43-$H43)</f>
        <v/>
      </c>
      <c r="L43" s="39" t="str">
        <f>IF($I43="","",IF(NOT(ISNUMBER($H43)),"Standard manquant",IF($J43&gt;=1,"Standard atteint",IF($J43&gt;=SeuilAlerte,"Alerte","Sous standard"))))</f>
        <v/>
      </c>
      <c r="M43" s="40" t="str">
        <f>IF(OR($D43="",$E43="",$E43&lt;=0),"",$D43/$E43)</f>
        <v/>
      </c>
      <c r="N43" s="40"/>
    </row>
    <row r="44" spans="1:14" ht="15" customHeight="1" x14ac:dyDescent="0.2">
      <c r="A44" s="14"/>
      <c r="B44" s="23"/>
      <c r="C44" s="23"/>
      <c r="D44" s="22"/>
      <c r="E44" s="45"/>
      <c r="F44" s="22"/>
      <c r="G44" s="46"/>
      <c r="H44" s="46"/>
      <c r="I44" s="47" t="str">
        <f>IF(OR($D44="",$E44="",$G44="",$E44&lt;=0,$G44=0),"",$D44/$E44/$G44)</f>
        <v/>
      </c>
      <c r="J44" s="48" t="str">
        <f>IF(OR($I44="",NOT(ISNUMBER($H44)),$H44=0),"",$I44/$H44)</f>
        <v/>
      </c>
      <c r="K44" s="49" t="str">
        <f>IF(OR($I44="",NOT(ISNUMBER($H44))),"",$I44-$H44)</f>
        <v/>
      </c>
      <c r="L44" s="39" t="str">
        <f>IF($I44="","",IF(NOT(ISNUMBER($H44)),"Standard manquant",IF($J44&gt;=1,"Standard atteint",IF($J44&gt;=SeuilAlerte,"Alerte","Sous standard"))))</f>
        <v/>
      </c>
      <c r="M44" s="40" t="str">
        <f>IF(OR($D44="",$E44="",$E44&lt;=0),"",$D44/$E44)</f>
        <v/>
      </c>
      <c r="N44" s="40"/>
    </row>
    <row r="45" spans="1:14" ht="15" customHeight="1" x14ac:dyDescent="0.2">
      <c r="A45" s="14"/>
      <c r="B45" s="23"/>
      <c r="C45" s="23"/>
      <c r="D45" s="22"/>
      <c r="E45" s="45"/>
      <c r="F45" s="22"/>
      <c r="G45" s="46"/>
      <c r="H45" s="46"/>
      <c r="I45" s="47" t="str">
        <f>IF(OR($D45="",$E45="",$G45="",$E45&lt;=0,$G45=0),"",$D45/$E45/$G45)</f>
        <v/>
      </c>
      <c r="J45" s="48" t="str">
        <f>IF(OR($I45="",NOT(ISNUMBER($H45)),$H45=0),"",$I45/$H45)</f>
        <v/>
      </c>
      <c r="K45" s="49" t="str">
        <f>IF(OR($I45="",NOT(ISNUMBER($H45))),"",$I45-$H45)</f>
        <v/>
      </c>
      <c r="L45" s="39" t="str">
        <f>IF($I45="","",IF(NOT(ISNUMBER($H45)),"Standard manquant",IF($J45&gt;=1,"Standard atteint",IF($J45&gt;=SeuilAlerte,"Alerte","Sous standard"))))</f>
        <v/>
      </c>
      <c r="M45" s="40" t="str">
        <f>IF(OR($D45="",$E45="",$E45&lt;=0),"",$D45/$E45)</f>
        <v/>
      </c>
      <c r="N45" s="40"/>
    </row>
    <row r="46" spans="1:14" ht="15" customHeight="1" x14ac:dyDescent="0.2">
      <c r="A46" s="14"/>
      <c r="B46" s="23"/>
      <c r="C46" s="23"/>
      <c r="D46" s="22"/>
      <c r="E46" s="45"/>
      <c r="F46" s="22"/>
      <c r="G46" s="46"/>
      <c r="H46" s="46"/>
      <c r="I46" s="47" t="str">
        <f>IF(OR($D46="",$E46="",$G46="",$E46&lt;=0,$G46=0),"",$D46/$E46/$G46)</f>
        <v/>
      </c>
      <c r="J46" s="48" t="str">
        <f>IF(OR($I46="",NOT(ISNUMBER($H46)),$H46=0),"",$I46/$H46)</f>
        <v/>
      </c>
      <c r="K46" s="49" t="str">
        <f>IF(OR($I46="",NOT(ISNUMBER($H46))),"",$I46-$H46)</f>
        <v/>
      </c>
      <c r="L46" s="39" t="str">
        <f>IF($I46="","",IF(NOT(ISNUMBER($H46)),"Standard manquant",IF($J46&gt;=1,"Standard atteint",IF($J46&gt;=SeuilAlerte,"Alerte","Sous standard"))))</f>
        <v/>
      </c>
      <c r="M46" s="40" t="str">
        <f>IF(OR($D46="",$E46="",$E46&lt;=0),"",$D46/$E46)</f>
        <v/>
      </c>
      <c r="N46" s="40"/>
    </row>
    <row r="47" spans="1:14" ht="15" customHeight="1" x14ac:dyDescent="0.2">
      <c r="A47" s="14"/>
      <c r="B47" s="23"/>
      <c r="C47" s="23"/>
      <c r="D47" s="22"/>
      <c r="E47" s="45"/>
      <c r="F47" s="22"/>
      <c r="G47" s="46"/>
      <c r="H47" s="46"/>
      <c r="I47" s="47" t="str">
        <f>IF(OR($D47="",$E47="",$G47="",$E47&lt;=0,$G47=0),"",$D47/$E47/$G47)</f>
        <v/>
      </c>
      <c r="J47" s="48" t="str">
        <f>IF(OR($I47="",NOT(ISNUMBER($H47)),$H47=0),"",$I47/$H47)</f>
        <v/>
      </c>
      <c r="K47" s="49" t="str">
        <f>IF(OR($I47="",NOT(ISNUMBER($H47))),"",$I47-$H47)</f>
        <v/>
      </c>
      <c r="L47" s="39" t="str">
        <f>IF($I47="","",IF(NOT(ISNUMBER($H47)),"Standard manquant",IF($J47&gt;=1,"Standard atteint",IF($J47&gt;=SeuilAlerte,"Alerte","Sous standard"))))</f>
        <v/>
      </c>
      <c r="M47" s="40" t="str">
        <f>IF(OR($D47="",$E47="",$E47&lt;=0),"",$D47/$E47)</f>
        <v/>
      </c>
      <c r="N47" s="40"/>
    </row>
    <row r="48" spans="1:14" ht="15" customHeight="1" x14ac:dyDescent="0.2">
      <c r="A48" s="14"/>
      <c r="B48" s="23"/>
      <c r="C48" s="23"/>
      <c r="D48" s="22"/>
      <c r="E48" s="45"/>
      <c r="F48" s="22"/>
      <c r="G48" s="46"/>
      <c r="H48" s="46"/>
      <c r="I48" s="47" t="str">
        <f>IF(OR($D48="",$E48="",$G48="",$E48&lt;=0,$G48=0),"",$D48/$E48/$G48)</f>
        <v/>
      </c>
      <c r="J48" s="48" t="str">
        <f>IF(OR($I48="",NOT(ISNUMBER($H48)),$H48=0),"",$I48/$H48)</f>
        <v/>
      </c>
      <c r="K48" s="49" t="str">
        <f>IF(OR($I48="",NOT(ISNUMBER($H48))),"",$I48-$H48)</f>
        <v/>
      </c>
      <c r="L48" s="39" t="str">
        <f>IF($I48="","",IF(NOT(ISNUMBER($H48)),"Standard manquant",IF($J48&gt;=1,"Standard atteint",IF($J48&gt;=SeuilAlerte,"Alerte","Sous standard"))))</f>
        <v/>
      </c>
      <c r="M48" s="40" t="str">
        <f>IF(OR($D48="",$E48="",$E48&lt;=0),"",$D48/$E48)</f>
        <v/>
      </c>
      <c r="N48" s="40"/>
    </row>
    <row r="49" spans="1:14" ht="15" customHeight="1" x14ac:dyDescent="0.2">
      <c r="A49" s="14"/>
      <c r="B49" s="23"/>
      <c r="C49" s="23"/>
      <c r="D49" s="22"/>
      <c r="E49" s="45"/>
      <c r="F49" s="22"/>
      <c r="G49" s="46"/>
      <c r="H49" s="46"/>
      <c r="I49" s="47" t="str">
        <f>IF(OR($D49="",$E49="",$G49="",$E49&lt;=0,$G49=0),"",$D49/$E49/$G49)</f>
        <v/>
      </c>
      <c r="J49" s="48" t="str">
        <f>IF(OR($I49="",NOT(ISNUMBER($H49)),$H49=0),"",$I49/$H49)</f>
        <v/>
      </c>
      <c r="K49" s="49" t="str">
        <f>IF(OR($I49="",NOT(ISNUMBER($H49))),"",$I49-$H49)</f>
        <v/>
      </c>
      <c r="L49" s="39" t="str">
        <f>IF($I49="","",IF(NOT(ISNUMBER($H49)),"Standard manquant",IF($J49&gt;=1,"Standard atteint",IF($J49&gt;=SeuilAlerte,"Alerte","Sous standard"))))</f>
        <v/>
      </c>
      <c r="M49" s="40" t="str">
        <f>IF(OR($D49="",$E49="",$E49&lt;=0),"",$D49/$E49)</f>
        <v/>
      </c>
      <c r="N49" s="40"/>
    </row>
    <row r="50" spans="1:14" ht="15" customHeight="1" x14ac:dyDescent="0.2">
      <c r="A50" s="14"/>
      <c r="B50" s="23"/>
      <c r="C50" s="23"/>
      <c r="D50" s="22"/>
      <c r="E50" s="45"/>
      <c r="F50" s="22"/>
      <c r="G50" s="46"/>
      <c r="H50" s="46"/>
      <c r="I50" s="47" t="str">
        <f>IF(OR($D50="",$E50="",$G50="",$E50&lt;=0,$G50=0),"",$D50/$E50/$G50)</f>
        <v/>
      </c>
      <c r="J50" s="48" t="str">
        <f>IF(OR($I50="",NOT(ISNUMBER($H50)),$H50=0),"",$I50/$H50)</f>
        <v/>
      </c>
      <c r="K50" s="49" t="str">
        <f>IF(OR($I50="",NOT(ISNUMBER($H50))),"",$I50-$H50)</f>
        <v/>
      </c>
      <c r="L50" s="39" t="str">
        <f>IF($I50="","",IF(NOT(ISNUMBER($H50)),"Standard manquant",IF($J50&gt;=1,"Standard atteint",IF($J50&gt;=SeuilAlerte,"Alerte","Sous standard"))))</f>
        <v/>
      </c>
      <c r="M50" s="40" t="str">
        <f>IF(OR($D50="",$E50="",$E50&lt;=0),"",$D50/$E50)</f>
        <v/>
      </c>
      <c r="N50" s="40"/>
    </row>
    <row r="51" spans="1:14" ht="15" customHeight="1" x14ac:dyDescent="0.2">
      <c r="A51" s="14"/>
      <c r="B51" s="23"/>
      <c r="C51" s="23"/>
      <c r="D51" s="22"/>
      <c r="E51" s="45"/>
      <c r="F51" s="22"/>
      <c r="G51" s="46"/>
      <c r="H51" s="46"/>
      <c r="I51" s="47" t="str">
        <f>IF(OR($D51="",$E51="",$G51="",$E51&lt;=0,$G51=0),"",$D51/$E51/$G51)</f>
        <v/>
      </c>
      <c r="J51" s="48" t="str">
        <f>IF(OR($I51="",NOT(ISNUMBER($H51)),$H51=0),"",$I51/$H51)</f>
        <v/>
      </c>
      <c r="K51" s="49" t="str">
        <f>IF(OR($I51="",NOT(ISNUMBER($H51))),"",$I51-$H51)</f>
        <v/>
      </c>
      <c r="L51" s="39" t="str">
        <f>IF($I51="","",IF(NOT(ISNUMBER($H51)),"Standard manquant",IF($J51&gt;=1,"Standard atteint",IF($J51&gt;=SeuilAlerte,"Alerte","Sous standard"))))</f>
        <v/>
      </c>
      <c r="M51" s="40" t="str">
        <f>IF(OR($D51="",$E51="",$E51&lt;=0),"",$D51/$E51)</f>
        <v/>
      </c>
      <c r="N51" s="40"/>
    </row>
    <row r="52" spans="1:14" ht="15" customHeight="1" x14ac:dyDescent="0.2">
      <c r="A52" s="14"/>
      <c r="B52" s="23"/>
      <c r="C52" s="23"/>
      <c r="D52" s="22"/>
      <c r="E52" s="45"/>
      <c r="F52" s="22"/>
      <c r="G52" s="46"/>
      <c r="H52" s="46"/>
      <c r="I52" s="47" t="str">
        <f>IF(OR($D52="",$E52="",$G52="",$E52&lt;=0,$G52=0),"",$D52/$E52/$G52)</f>
        <v/>
      </c>
      <c r="J52" s="48" t="str">
        <f>IF(OR($I52="",NOT(ISNUMBER($H52)),$H52=0),"",$I52/$H52)</f>
        <v/>
      </c>
      <c r="K52" s="49" t="str">
        <f>IF(OR($I52="",NOT(ISNUMBER($H52))),"",$I52-$H52)</f>
        <v/>
      </c>
      <c r="L52" s="39" t="str">
        <f>IF($I52="","",IF(NOT(ISNUMBER($H52)),"Standard manquant",IF($J52&gt;=1,"Standard atteint",IF($J52&gt;=SeuilAlerte,"Alerte","Sous standard"))))</f>
        <v/>
      </c>
      <c r="M52" s="40" t="str">
        <f>IF(OR($D52="",$E52="",$E52&lt;=0),"",$D52/$E52)</f>
        <v/>
      </c>
      <c r="N52" s="40"/>
    </row>
    <row r="53" spans="1:14" ht="15" customHeight="1" x14ac:dyDescent="0.2">
      <c r="A53" s="14"/>
      <c r="B53" s="23"/>
      <c r="C53" s="23"/>
      <c r="D53" s="22"/>
      <c r="E53" s="45"/>
      <c r="F53" s="22"/>
      <c r="G53" s="46"/>
      <c r="H53" s="46"/>
      <c r="I53" s="47" t="str">
        <f>IF(OR($D53="",$E53="",$G53="",$E53&lt;=0,$G53=0),"",$D53/$E53/$G53)</f>
        <v/>
      </c>
      <c r="J53" s="48" t="str">
        <f>IF(OR($I53="",NOT(ISNUMBER($H53)),$H53=0),"",$I53/$H53)</f>
        <v/>
      </c>
      <c r="K53" s="49" t="str">
        <f>IF(OR($I53="",NOT(ISNUMBER($H53))),"",$I53-$H53)</f>
        <v/>
      </c>
      <c r="L53" s="39" t="str">
        <f>IF($I53="","",IF(NOT(ISNUMBER($H53)),"Standard manquant",IF($J53&gt;=1,"Standard atteint",IF($J53&gt;=SeuilAlerte,"Alerte","Sous standard"))))</f>
        <v/>
      </c>
      <c r="M53" s="40" t="str">
        <f>IF(OR($D53="",$E53="",$E53&lt;=0),"",$D53/$E53)</f>
        <v/>
      </c>
      <c r="N53" s="40"/>
    </row>
    <row r="54" spans="1:14" ht="15" customHeight="1" x14ac:dyDescent="0.2">
      <c r="A54" s="14"/>
      <c r="B54" s="23"/>
      <c r="C54" s="23"/>
      <c r="D54" s="22"/>
      <c r="E54" s="45"/>
      <c r="F54" s="22"/>
      <c r="G54" s="46"/>
      <c r="H54" s="46"/>
      <c r="I54" s="47" t="str">
        <f>IF(OR($D54="",$E54="",$G54="",$E54&lt;=0,$G54=0),"",$D54/$E54/$G54)</f>
        <v/>
      </c>
      <c r="J54" s="48" t="str">
        <f>IF(OR($I54="",NOT(ISNUMBER($H54)),$H54=0),"",$I54/$H54)</f>
        <v/>
      </c>
      <c r="K54" s="49" t="str">
        <f>IF(OR($I54="",NOT(ISNUMBER($H54))),"",$I54-$H54)</f>
        <v/>
      </c>
      <c r="L54" s="39" t="str">
        <f>IF($I54="","",IF(NOT(ISNUMBER($H54)),"Standard manquant",IF($J54&gt;=1,"Standard atteint",IF($J54&gt;=SeuilAlerte,"Alerte","Sous standard"))))</f>
        <v/>
      </c>
      <c r="M54" s="40" t="str">
        <f>IF(OR($D54="",$E54="",$E54&lt;=0),"",$D54/$E54)</f>
        <v/>
      </c>
      <c r="N54" s="40"/>
    </row>
    <row r="55" spans="1:14" ht="15" customHeight="1" x14ac:dyDescent="0.2">
      <c r="A55" s="14"/>
      <c r="B55" s="23"/>
      <c r="C55" s="23"/>
      <c r="D55" s="22"/>
      <c r="E55" s="45"/>
      <c r="F55" s="22"/>
      <c r="G55" s="46"/>
      <c r="H55" s="46"/>
      <c r="I55" s="47" t="str">
        <f>IF(OR($D55="",$E55="",$G55="",$E55&lt;=0,$G55=0),"",$D55/$E55/$G55)</f>
        <v/>
      </c>
      <c r="J55" s="48" t="str">
        <f>IF(OR($I55="",NOT(ISNUMBER($H55)),$H55=0),"",$I55/$H55)</f>
        <v/>
      </c>
      <c r="K55" s="49" t="str">
        <f>IF(OR($I55="",NOT(ISNUMBER($H55))),"",$I55-$H55)</f>
        <v/>
      </c>
      <c r="L55" s="39" t="str">
        <f>IF($I55="","",IF(NOT(ISNUMBER($H55)),"Standard manquant",IF($J55&gt;=1,"Standard atteint",IF($J55&gt;=SeuilAlerte,"Alerte","Sous standard"))))</f>
        <v/>
      </c>
      <c r="M55" s="40" t="str">
        <f>IF(OR($D55="",$E55="",$E55&lt;=0),"",$D55/$E55)</f>
        <v/>
      </c>
      <c r="N55" s="40"/>
    </row>
    <row r="56" spans="1:14" ht="15" customHeight="1" x14ac:dyDescent="0.2">
      <c r="A56" s="14"/>
      <c r="B56" s="23"/>
      <c r="C56" s="23"/>
      <c r="D56" s="22"/>
      <c r="E56" s="45"/>
      <c r="F56" s="22"/>
      <c r="G56" s="46"/>
      <c r="H56" s="46"/>
      <c r="I56" s="47" t="str">
        <f>IF(OR($D56="",$E56="",$G56="",$E56&lt;=0,$G56=0),"",$D56/$E56/$G56)</f>
        <v/>
      </c>
      <c r="J56" s="48" t="str">
        <f>IF(OR($I56="",NOT(ISNUMBER($H56)),$H56=0),"",$I56/$H56)</f>
        <v/>
      </c>
      <c r="K56" s="49" t="str">
        <f>IF(OR($I56="",NOT(ISNUMBER($H56))),"",$I56-$H56)</f>
        <v/>
      </c>
      <c r="L56" s="39" t="str">
        <f>IF($I56="","",IF(NOT(ISNUMBER($H56)),"Standard manquant",IF($J56&gt;=1,"Standard atteint",IF($J56&gt;=SeuilAlerte,"Alerte","Sous standard"))))</f>
        <v/>
      </c>
      <c r="M56" s="40" t="str">
        <f>IF(OR($D56="",$E56="",$E56&lt;=0),"",$D56/$E56)</f>
        <v/>
      </c>
      <c r="N56" s="40"/>
    </row>
    <row r="57" spans="1:14" ht="15" customHeight="1" x14ac:dyDescent="0.2">
      <c r="A57" s="14"/>
      <c r="B57" s="23"/>
      <c r="C57" s="23"/>
      <c r="D57" s="22"/>
      <c r="E57" s="45"/>
      <c r="F57" s="22"/>
      <c r="G57" s="46"/>
      <c r="H57" s="46"/>
      <c r="I57" s="47" t="str">
        <f>IF(OR($D57="",$E57="",$G57="",$E57&lt;=0,$G57=0),"",$D57/$E57/$G57)</f>
        <v/>
      </c>
      <c r="J57" s="48" t="str">
        <f>IF(OR($I57="",NOT(ISNUMBER($H57)),$H57=0),"",$I57/$H57)</f>
        <v/>
      </c>
      <c r="K57" s="49" t="str">
        <f>IF(OR($I57="",NOT(ISNUMBER($H57))),"",$I57-$H57)</f>
        <v/>
      </c>
      <c r="L57" s="39" t="str">
        <f>IF($I57="","",IF(NOT(ISNUMBER($H57)),"Standard manquant",IF($J57&gt;=1,"Standard atteint",IF($J57&gt;=SeuilAlerte,"Alerte","Sous standard"))))</f>
        <v/>
      </c>
      <c r="M57" s="40" t="str">
        <f>IF(OR($D57="",$E57="",$E57&lt;=0),"",$D57/$E57)</f>
        <v/>
      </c>
      <c r="N57" s="40"/>
    </row>
    <row r="58" spans="1:14" ht="15" customHeight="1" x14ac:dyDescent="0.2">
      <c r="A58" s="14"/>
      <c r="B58" s="23"/>
      <c r="C58" s="23"/>
      <c r="D58" s="22"/>
      <c r="E58" s="45"/>
      <c r="F58" s="22"/>
      <c r="G58" s="46"/>
      <c r="H58" s="46"/>
      <c r="I58" s="47" t="str">
        <f>IF(OR($D58="",$E58="",$G58="",$E58&lt;=0,$G58=0),"",$D58/$E58/$G58)</f>
        <v/>
      </c>
      <c r="J58" s="48" t="str">
        <f>IF(OR($I58="",NOT(ISNUMBER($H58)),$H58=0),"",$I58/$H58)</f>
        <v/>
      </c>
      <c r="K58" s="49" t="str">
        <f>IF(OR($I58="",NOT(ISNUMBER($H58))),"",$I58-$H58)</f>
        <v/>
      </c>
      <c r="L58" s="39" t="str">
        <f>IF($I58="","",IF(NOT(ISNUMBER($H58)),"Standard manquant",IF($J58&gt;=1,"Standard atteint",IF($J58&gt;=SeuilAlerte,"Alerte","Sous standard"))))</f>
        <v/>
      </c>
      <c r="M58" s="40" t="str">
        <f>IF(OR($D58="",$E58="",$E58&lt;=0),"",$D58/$E58)</f>
        <v/>
      </c>
      <c r="N58" s="40"/>
    </row>
    <row r="59" spans="1:14" ht="15" customHeight="1" x14ac:dyDescent="0.2">
      <c r="A59" s="14"/>
      <c r="B59" s="23"/>
      <c r="C59" s="23"/>
      <c r="D59" s="22"/>
      <c r="E59" s="45"/>
      <c r="F59" s="22"/>
      <c r="G59" s="46"/>
      <c r="H59" s="46"/>
      <c r="I59" s="47" t="str">
        <f>IF(OR($D59="",$E59="",$G59="",$E59&lt;=0,$G59=0),"",$D59/$E59/$G59)</f>
        <v/>
      </c>
      <c r="J59" s="48" t="str">
        <f>IF(OR($I59="",NOT(ISNUMBER($H59)),$H59=0),"",$I59/$H59)</f>
        <v/>
      </c>
      <c r="K59" s="49" t="str">
        <f>IF(OR($I59="",NOT(ISNUMBER($H59))),"",$I59-$H59)</f>
        <v/>
      </c>
      <c r="L59" s="39" t="str">
        <f>IF($I59="","",IF(NOT(ISNUMBER($H59)),"Standard manquant",IF($J59&gt;=1,"Standard atteint",IF($J59&gt;=SeuilAlerte,"Alerte","Sous standard"))))</f>
        <v/>
      </c>
      <c r="M59" s="40" t="str">
        <f>IF(OR($D59="",$E59="",$E59&lt;=0),"",$D59/$E59)</f>
        <v/>
      </c>
      <c r="N59" s="40"/>
    </row>
    <row r="60" spans="1:14" ht="15" customHeight="1" x14ac:dyDescent="0.2">
      <c r="A60" s="14"/>
      <c r="B60" s="23"/>
      <c r="C60" s="23"/>
      <c r="D60" s="22"/>
      <c r="E60" s="45"/>
      <c r="F60" s="22"/>
      <c r="G60" s="46"/>
      <c r="H60" s="46"/>
      <c r="I60" s="47" t="str">
        <f>IF(OR($D60="",$E60="",$G60="",$E60&lt;=0,$G60=0),"",$D60/$E60/$G60)</f>
        <v/>
      </c>
      <c r="J60" s="48" t="str">
        <f>IF(OR($I60="",NOT(ISNUMBER($H60)),$H60=0),"",$I60/$H60)</f>
        <v/>
      </c>
      <c r="K60" s="49" t="str">
        <f>IF(OR($I60="",NOT(ISNUMBER($H60))),"",$I60-$H60)</f>
        <v/>
      </c>
      <c r="L60" s="39" t="str">
        <f>IF($I60="","",IF(NOT(ISNUMBER($H60)),"Standard manquant",IF($J60&gt;=1,"Standard atteint",IF($J60&gt;=SeuilAlerte,"Alerte","Sous standard"))))</f>
        <v/>
      </c>
      <c r="M60" s="40" t="str">
        <f>IF(OR($D60="",$E60="",$E60&lt;=0),"",$D60/$E60)</f>
        <v/>
      </c>
      <c r="N60" s="40"/>
    </row>
    <row r="61" spans="1:14" ht="15" customHeight="1" x14ac:dyDescent="0.2">
      <c r="A61" s="14"/>
      <c r="B61" s="23"/>
      <c r="C61" s="23"/>
      <c r="D61" s="22"/>
      <c r="E61" s="45"/>
      <c r="F61" s="22"/>
      <c r="G61" s="46"/>
      <c r="H61" s="46"/>
      <c r="I61" s="47" t="str">
        <f>IF(OR($D61="",$E61="",$G61="",$E61&lt;=0,$G61=0),"",$D61/$E61/$G61)</f>
        <v/>
      </c>
      <c r="J61" s="48" t="str">
        <f>IF(OR($I61="",NOT(ISNUMBER($H61)),$H61=0),"",$I61/$H61)</f>
        <v/>
      </c>
      <c r="K61" s="49" t="str">
        <f>IF(OR($I61="",NOT(ISNUMBER($H61))),"",$I61-$H61)</f>
        <v/>
      </c>
      <c r="L61" s="39" t="str">
        <f>IF($I61="","",IF(NOT(ISNUMBER($H61)),"Standard manquant",IF($J61&gt;=1,"Standard atteint",IF($J61&gt;=SeuilAlerte,"Alerte","Sous standard"))))</f>
        <v/>
      </c>
      <c r="M61" s="40" t="str">
        <f>IF(OR($D61="",$E61="",$E61&lt;=0),"",$D61/$E61)</f>
        <v/>
      </c>
      <c r="N61" s="40"/>
    </row>
    <row r="62" spans="1:14" ht="15" customHeight="1" x14ac:dyDescent="0.2">
      <c r="A62" s="14"/>
      <c r="B62" s="23"/>
      <c r="C62" s="23"/>
      <c r="D62" s="22"/>
      <c r="E62" s="45"/>
      <c r="F62" s="22"/>
      <c r="G62" s="46"/>
      <c r="H62" s="46"/>
      <c r="I62" s="47" t="str">
        <f>IF(OR($D62="",$E62="",$G62="",$E62&lt;=0,$G62=0),"",$D62/$E62/$G62)</f>
        <v/>
      </c>
      <c r="J62" s="48" t="str">
        <f>IF(OR($I62="",NOT(ISNUMBER($H62)),$H62=0),"",$I62/$H62)</f>
        <v/>
      </c>
      <c r="K62" s="49" t="str">
        <f>IF(OR($I62="",NOT(ISNUMBER($H62))),"",$I62-$H62)</f>
        <v/>
      </c>
      <c r="L62" s="39" t="str">
        <f>IF($I62="","",IF(NOT(ISNUMBER($H62)),"Standard manquant",IF($J62&gt;=1,"Standard atteint",IF($J62&gt;=SeuilAlerte,"Alerte","Sous standard"))))</f>
        <v/>
      </c>
      <c r="M62" s="40" t="str">
        <f>IF(OR($D62="",$E62="",$E62&lt;=0),"",$D62/$E62)</f>
        <v/>
      </c>
      <c r="N62" s="40"/>
    </row>
    <row r="63" spans="1:14" ht="15" customHeight="1" x14ac:dyDescent="0.2">
      <c r="A63" s="14"/>
      <c r="B63" s="23"/>
      <c r="C63" s="23"/>
      <c r="D63" s="22"/>
      <c r="E63" s="45"/>
      <c r="F63" s="22"/>
      <c r="G63" s="46"/>
      <c r="H63" s="46"/>
      <c r="I63" s="47" t="str">
        <f>IF(OR($D63="",$E63="",$G63="",$E63&lt;=0,$G63=0),"",$D63/$E63/$G63)</f>
        <v/>
      </c>
      <c r="J63" s="48" t="str">
        <f>IF(OR($I63="",NOT(ISNUMBER($H63)),$H63=0),"",$I63/$H63)</f>
        <v/>
      </c>
      <c r="K63" s="49" t="str">
        <f>IF(OR($I63="",NOT(ISNUMBER($H63))),"",$I63-$H63)</f>
        <v/>
      </c>
      <c r="L63" s="39" t="str">
        <f>IF($I63="","",IF(NOT(ISNUMBER($H63)),"Standard manquant",IF($J63&gt;=1,"Standard atteint",IF($J63&gt;=SeuilAlerte,"Alerte","Sous standard"))))</f>
        <v/>
      </c>
      <c r="M63" s="40" t="str">
        <f>IF(OR($D63="",$E63="",$E63&lt;=0),"",$D63/$E63)</f>
        <v/>
      </c>
      <c r="N63" s="40"/>
    </row>
    <row r="64" spans="1:14" ht="15" customHeight="1" x14ac:dyDescent="0.2">
      <c r="A64" s="14"/>
      <c r="B64" s="23"/>
      <c r="C64" s="23"/>
      <c r="D64" s="22"/>
      <c r="E64" s="45"/>
      <c r="F64" s="22"/>
      <c r="G64" s="46"/>
      <c r="H64" s="46"/>
      <c r="I64" s="47" t="str">
        <f>IF(OR($D64="",$E64="",$G64="",$E64&lt;=0,$G64=0),"",$D64/$E64/$G64)</f>
        <v/>
      </c>
      <c r="J64" s="48" t="str">
        <f>IF(OR($I64="",NOT(ISNUMBER($H64)),$H64=0),"",$I64/$H64)</f>
        <v/>
      </c>
      <c r="K64" s="49" t="str">
        <f>IF(OR($I64="",NOT(ISNUMBER($H64))),"",$I64-$H64)</f>
        <v/>
      </c>
      <c r="L64" s="39" t="str">
        <f>IF($I64="","",IF(NOT(ISNUMBER($H64)),"Standard manquant",IF($J64&gt;=1,"Standard atteint",IF($J64&gt;=SeuilAlerte,"Alerte","Sous standard"))))</f>
        <v/>
      </c>
      <c r="M64" s="40" t="str">
        <f>IF(OR($D64="",$E64="",$E64&lt;=0),"",$D64/$E64)</f>
        <v/>
      </c>
      <c r="N64" s="40"/>
    </row>
    <row r="65" spans="1:14" ht="15" customHeight="1" x14ac:dyDescent="0.2">
      <c r="A65" s="14"/>
      <c r="B65" s="23"/>
      <c r="C65" s="23"/>
      <c r="D65" s="22"/>
      <c r="E65" s="45"/>
      <c r="F65" s="22"/>
      <c r="G65" s="46"/>
      <c r="H65" s="46"/>
      <c r="I65" s="47" t="str">
        <f>IF(OR($D65="",$E65="",$G65="",$E65&lt;=0,$G65=0),"",$D65/$E65/$G65)</f>
        <v/>
      </c>
      <c r="J65" s="48" t="str">
        <f>IF(OR($I65="",NOT(ISNUMBER($H65)),$H65=0),"",$I65/$H65)</f>
        <v/>
      </c>
      <c r="K65" s="49" t="str">
        <f>IF(OR($I65="",NOT(ISNUMBER($H65))),"",$I65-$H65)</f>
        <v/>
      </c>
      <c r="L65" s="39" t="str">
        <f>IF($I65="","",IF(NOT(ISNUMBER($H65)),"Standard manquant",IF($J65&gt;=1,"Standard atteint",IF($J65&gt;=SeuilAlerte,"Alerte","Sous standard"))))</f>
        <v/>
      </c>
      <c r="M65" s="40" t="str">
        <f>IF(OR($D65="",$E65="",$E65&lt;=0),"",$D65/$E65)</f>
        <v/>
      </c>
      <c r="N65" s="40"/>
    </row>
    <row r="66" spans="1:14" ht="15" customHeight="1" x14ac:dyDescent="0.2">
      <c r="A66" s="14"/>
      <c r="B66" s="23"/>
      <c r="C66" s="23"/>
      <c r="D66" s="22"/>
      <c r="E66" s="45"/>
      <c r="F66" s="22"/>
      <c r="G66" s="46"/>
      <c r="H66" s="46"/>
      <c r="I66" s="47" t="str">
        <f>IF(OR($D66="",$E66="",$G66="",$E66&lt;=0,$G66=0),"",$D66/$E66/$G66)</f>
        <v/>
      </c>
      <c r="J66" s="48" t="str">
        <f>IF(OR($I66="",NOT(ISNUMBER($H66)),$H66=0),"",$I66/$H66)</f>
        <v/>
      </c>
      <c r="K66" s="49" t="str">
        <f>IF(OR($I66="",NOT(ISNUMBER($H66))),"",$I66-$H66)</f>
        <v/>
      </c>
      <c r="L66" s="39" t="str">
        <f>IF($I66="","",IF(NOT(ISNUMBER($H66)),"Standard manquant",IF($J66&gt;=1,"Standard atteint",IF($J66&gt;=SeuilAlerte,"Alerte","Sous standard"))))</f>
        <v/>
      </c>
      <c r="M66" s="40" t="str">
        <f>IF(OR($D66="",$E66="",$E66&lt;=0),"",$D66/$E66)</f>
        <v/>
      </c>
      <c r="N66" s="40"/>
    </row>
    <row r="67" spans="1:14" ht="15" customHeight="1" x14ac:dyDescent="0.2">
      <c r="A67" s="14"/>
      <c r="B67" s="23"/>
      <c r="C67" s="23"/>
      <c r="D67" s="22"/>
      <c r="E67" s="45"/>
      <c r="F67" s="22"/>
      <c r="G67" s="46"/>
      <c r="H67" s="46"/>
      <c r="I67" s="47" t="str">
        <f>IF(OR($D67="",$E67="",$G67="",$E67&lt;=0,$G67=0),"",$D67/$E67/$G67)</f>
        <v/>
      </c>
      <c r="J67" s="48" t="str">
        <f>IF(OR($I67="",NOT(ISNUMBER($H67)),$H67=0),"",$I67/$H67)</f>
        <v/>
      </c>
      <c r="K67" s="49" t="str">
        <f>IF(OR($I67="",NOT(ISNUMBER($H67))),"",$I67-$H67)</f>
        <v/>
      </c>
      <c r="L67" s="39" t="str">
        <f>IF($I67="","",IF(NOT(ISNUMBER($H67)),"Standard manquant",IF($J67&gt;=1,"Standard atteint",IF($J67&gt;=SeuilAlerte,"Alerte","Sous standard"))))</f>
        <v/>
      </c>
      <c r="M67" s="40" t="str">
        <f>IF(OR($D67="",$E67="",$E67&lt;=0),"",$D67/$E67)</f>
        <v/>
      </c>
      <c r="N67" s="40"/>
    </row>
    <row r="68" spans="1:14" ht="15" customHeight="1" x14ac:dyDescent="0.2">
      <c r="A68" s="14"/>
      <c r="B68" s="23"/>
      <c r="C68" s="23"/>
      <c r="D68" s="22"/>
      <c r="E68" s="45"/>
      <c r="F68" s="22"/>
      <c r="G68" s="46"/>
      <c r="H68" s="46"/>
      <c r="I68" s="47" t="str">
        <f>IF(OR($D68="",$E68="",$G68="",$E68&lt;=0,$G68=0),"",$D68/$E68/$G68)</f>
        <v/>
      </c>
      <c r="J68" s="48" t="str">
        <f>IF(OR($I68="",NOT(ISNUMBER($H68)),$H68=0),"",$I68/$H68)</f>
        <v/>
      </c>
      <c r="K68" s="49" t="str">
        <f>IF(OR($I68="",NOT(ISNUMBER($H68))),"",$I68-$H68)</f>
        <v/>
      </c>
      <c r="L68" s="39" t="str">
        <f>IF($I68="","",IF(NOT(ISNUMBER($H68)),"Standard manquant",IF($J68&gt;=1,"Standard atteint",IF($J68&gt;=SeuilAlerte,"Alerte","Sous standard"))))</f>
        <v/>
      </c>
      <c r="M68" s="40" t="str">
        <f>IF(OR($D68="",$E68="",$E68&lt;=0),"",$D68/$E68)</f>
        <v/>
      </c>
      <c r="N68" s="40"/>
    </row>
    <row r="69" spans="1:14" ht="15" customHeight="1" x14ac:dyDescent="0.2">
      <c r="A69" s="14"/>
      <c r="B69" s="23"/>
      <c r="C69" s="23"/>
      <c r="D69" s="22"/>
      <c r="E69" s="45"/>
      <c r="F69" s="22"/>
      <c r="G69" s="46"/>
      <c r="H69" s="46"/>
      <c r="I69" s="47" t="str">
        <f>IF(OR($D69="",$E69="",$G69="",$E69&lt;=0,$G69=0),"",$D69/$E69/$G69)</f>
        <v/>
      </c>
      <c r="J69" s="48" t="str">
        <f>IF(OR($I69="",NOT(ISNUMBER($H69)),$H69=0),"",$I69/$H69)</f>
        <v/>
      </c>
      <c r="K69" s="49" t="str">
        <f>IF(OR($I69="",NOT(ISNUMBER($H69))),"",$I69-$H69)</f>
        <v/>
      </c>
      <c r="L69" s="39" t="str">
        <f>IF($I69="","",IF(NOT(ISNUMBER($H69)),"Standard manquant",IF($J69&gt;=1,"Standard atteint",IF($J69&gt;=SeuilAlerte,"Alerte","Sous standard"))))</f>
        <v/>
      </c>
      <c r="M69" s="40" t="str">
        <f>IF(OR($D69="",$E69="",$E69&lt;=0),"",$D69/$E69)</f>
        <v/>
      </c>
      <c r="N69" s="40"/>
    </row>
    <row r="70" spans="1:14" ht="15" customHeight="1" x14ac:dyDescent="0.2">
      <c r="A70" s="14"/>
      <c r="B70" s="23"/>
      <c r="C70" s="23"/>
      <c r="D70" s="22"/>
      <c r="E70" s="45"/>
      <c r="F70" s="22"/>
      <c r="G70" s="46"/>
      <c r="H70" s="46"/>
      <c r="I70" s="47" t="str">
        <f>IF(OR($D70="",$E70="",$G70="",$E70&lt;=0,$G70=0),"",$D70/$E70/$G70)</f>
        <v/>
      </c>
      <c r="J70" s="48" t="str">
        <f>IF(OR($I70="",NOT(ISNUMBER($H70)),$H70=0),"",$I70/$H70)</f>
        <v/>
      </c>
      <c r="K70" s="49" t="str">
        <f>IF(OR($I70="",NOT(ISNUMBER($H70))),"",$I70-$H70)</f>
        <v/>
      </c>
      <c r="L70" s="39" t="str">
        <f>IF($I70="","",IF(NOT(ISNUMBER($H70)),"Standard manquant",IF($J70&gt;=1,"Standard atteint",IF($J70&gt;=SeuilAlerte,"Alerte","Sous standard"))))</f>
        <v/>
      </c>
      <c r="M70" s="40" t="str">
        <f>IF(OR($D70="",$E70="",$E70&lt;=0),"",$D70/$E70)</f>
        <v/>
      </c>
      <c r="N70" s="40"/>
    </row>
    <row r="71" spans="1:14" ht="15" customHeight="1" x14ac:dyDescent="0.2">
      <c r="A71" s="14"/>
      <c r="B71" s="23"/>
      <c r="C71" s="23"/>
      <c r="D71" s="22"/>
      <c r="E71" s="45"/>
      <c r="F71" s="22"/>
      <c r="G71" s="46"/>
      <c r="H71" s="46"/>
      <c r="I71" s="47" t="str">
        <f>IF(OR($D71="",$E71="",$G71="",$E71&lt;=0,$G71=0),"",$D71/$E71/$G71)</f>
        <v/>
      </c>
      <c r="J71" s="48" t="str">
        <f>IF(OR($I71="",NOT(ISNUMBER($H71)),$H71=0),"",$I71/$H71)</f>
        <v/>
      </c>
      <c r="K71" s="49" t="str">
        <f>IF(OR($I71="",NOT(ISNUMBER($H71))),"",$I71-$H71)</f>
        <v/>
      </c>
      <c r="L71" s="39" t="str">
        <f>IF($I71="","",IF(NOT(ISNUMBER($H71)),"Standard manquant",IF($J71&gt;=1,"Standard atteint",IF($J71&gt;=SeuilAlerte,"Alerte","Sous standard"))))</f>
        <v/>
      </c>
      <c r="M71" s="40" t="str">
        <f>IF(OR($D71="",$E71="",$E71&lt;=0),"",$D71/$E71)</f>
        <v/>
      </c>
      <c r="N71" s="40"/>
    </row>
    <row r="72" spans="1:14" ht="15" customHeight="1" x14ac:dyDescent="0.2">
      <c r="A72" s="14"/>
      <c r="B72" s="23"/>
      <c r="C72" s="23"/>
      <c r="D72" s="22"/>
      <c r="E72" s="45"/>
      <c r="F72" s="22"/>
      <c r="G72" s="46"/>
      <c r="H72" s="46"/>
      <c r="I72" s="47" t="str">
        <f>IF(OR($D72="",$E72="",$G72="",$E72&lt;=0,$G72=0),"",$D72/$E72/$G72)</f>
        <v/>
      </c>
      <c r="J72" s="48" t="str">
        <f>IF(OR($I72="",NOT(ISNUMBER($H72)),$H72=0),"",$I72/$H72)</f>
        <v/>
      </c>
      <c r="K72" s="49" t="str">
        <f>IF(OR($I72="",NOT(ISNUMBER($H72))),"",$I72-$H72)</f>
        <v/>
      </c>
      <c r="L72" s="39" t="str">
        <f>IF($I72="","",IF(NOT(ISNUMBER($H72)),"Standard manquant",IF($J72&gt;=1,"Standard atteint",IF($J72&gt;=SeuilAlerte,"Alerte","Sous standard"))))</f>
        <v/>
      </c>
      <c r="M72" s="40" t="str">
        <f>IF(OR($D72="",$E72="",$E72&lt;=0),"",$D72/$E72)</f>
        <v/>
      </c>
      <c r="N72" s="40"/>
    </row>
    <row r="73" spans="1:14" ht="15" customHeight="1" x14ac:dyDescent="0.2">
      <c r="A73" s="14"/>
      <c r="B73" s="23"/>
      <c r="C73" s="23"/>
      <c r="D73" s="22"/>
      <c r="E73" s="45"/>
      <c r="F73" s="22"/>
      <c r="G73" s="46"/>
      <c r="H73" s="46"/>
      <c r="I73" s="47" t="str">
        <f>IF(OR($D73="",$E73="",$G73="",$E73&lt;=0,$G73=0),"",$D73/$E73/$G73)</f>
        <v/>
      </c>
      <c r="J73" s="48" t="str">
        <f>IF(OR($I73="",NOT(ISNUMBER($H73)),$H73=0),"",$I73/$H73)</f>
        <v/>
      </c>
      <c r="K73" s="49" t="str">
        <f>IF(OR($I73="",NOT(ISNUMBER($H73))),"",$I73-$H73)</f>
        <v/>
      </c>
      <c r="L73" s="39" t="str">
        <f>IF($I73="","",IF(NOT(ISNUMBER($H73)),"Standard manquant",IF($J73&gt;=1,"Standard atteint",IF($J73&gt;=SeuilAlerte,"Alerte","Sous standard"))))</f>
        <v/>
      </c>
      <c r="M73" s="40" t="str">
        <f>IF(OR($D73="",$E73="",$E73&lt;=0),"",$D73/$E73)</f>
        <v/>
      </c>
      <c r="N73" s="40"/>
    </row>
    <row r="74" spans="1:14" ht="15" customHeight="1" x14ac:dyDescent="0.2">
      <c r="A74" s="14"/>
      <c r="B74" s="23"/>
      <c r="C74" s="23"/>
      <c r="D74" s="22"/>
      <c r="E74" s="45"/>
      <c r="F74" s="22"/>
      <c r="G74" s="46"/>
      <c r="H74" s="46"/>
      <c r="I74" s="47" t="str">
        <f>IF(OR($D74="",$E74="",$G74="",$E74&lt;=0,$G74=0),"",$D74/$E74/$G74)</f>
        <v/>
      </c>
      <c r="J74" s="48" t="str">
        <f>IF(OR($I74="",NOT(ISNUMBER($H74)),$H74=0),"",$I74/$H74)</f>
        <v/>
      </c>
      <c r="K74" s="49" t="str">
        <f>IF(OR($I74="",NOT(ISNUMBER($H74))),"",$I74-$H74)</f>
        <v/>
      </c>
      <c r="L74" s="39" t="str">
        <f>IF($I74="","",IF(NOT(ISNUMBER($H74)),"Standard manquant",IF($J74&gt;=1,"Standard atteint",IF($J74&gt;=SeuilAlerte,"Alerte","Sous standard"))))</f>
        <v/>
      </c>
      <c r="M74" s="40" t="str">
        <f>IF(OR($D74="",$E74="",$E74&lt;=0),"",$D74/$E74)</f>
        <v/>
      </c>
      <c r="N74" s="40"/>
    </row>
    <row r="75" spans="1:14" ht="15" customHeight="1" x14ac:dyDescent="0.2">
      <c r="A75" s="14"/>
      <c r="B75" s="23"/>
      <c r="C75" s="23"/>
      <c r="D75" s="22"/>
      <c r="E75" s="45"/>
      <c r="F75" s="22"/>
      <c r="G75" s="46"/>
      <c r="H75" s="46"/>
      <c r="I75" s="47" t="str">
        <f>IF(OR($D75="",$E75="",$G75="",$E75&lt;=0,$G75=0),"",$D75/$E75/$G75)</f>
        <v/>
      </c>
      <c r="J75" s="48" t="str">
        <f>IF(OR($I75="",NOT(ISNUMBER($H75)),$H75=0),"",$I75/$H75)</f>
        <v/>
      </c>
      <c r="K75" s="49" t="str">
        <f>IF(OR($I75="",NOT(ISNUMBER($H75))),"",$I75-$H75)</f>
        <v/>
      </c>
      <c r="L75" s="39" t="str">
        <f>IF($I75="","",IF(NOT(ISNUMBER($H75)),"Standard manquant",IF($J75&gt;=1,"Standard atteint",IF($J75&gt;=SeuilAlerte,"Alerte","Sous standard"))))</f>
        <v/>
      </c>
      <c r="M75" s="40" t="str">
        <f>IF(OR($D75="",$E75="",$E75&lt;=0),"",$D75/$E75)</f>
        <v/>
      </c>
      <c r="N75" s="40"/>
    </row>
    <row r="76" spans="1:14" ht="15" customHeight="1" x14ac:dyDescent="0.2">
      <c r="A76" s="14"/>
      <c r="B76" s="23"/>
      <c r="C76" s="23"/>
      <c r="D76" s="22"/>
      <c r="E76" s="45"/>
      <c r="F76" s="22"/>
      <c r="G76" s="46"/>
      <c r="H76" s="46"/>
      <c r="I76" s="47" t="str">
        <f>IF(OR($D76="",$E76="",$G76="",$E76&lt;=0,$G76=0),"",$D76/$E76/$G76)</f>
        <v/>
      </c>
      <c r="J76" s="48" t="str">
        <f>IF(OR($I76="",NOT(ISNUMBER($H76)),$H76=0),"",$I76/$H76)</f>
        <v/>
      </c>
      <c r="K76" s="49" t="str">
        <f>IF(OR($I76="",NOT(ISNUMBER($H76))),"",$I76-$H76)</f>
        <v/>
      </c>
      <c r="L76" s="39" t="str">
        <f>IF($I76="","",IF(NOT(ISNUMBER($H76)),"Standard manquant",IF($J76&gt;=1,"Standard atteint",IF($J76&gt;=SeuilAlerte,"Alerte","Sous standard"))))</f>
        <v/>
      </c>
      <c r="M76" s="40" t="str">
        <f>IF(OR($D76="",$E76="",$E76&lt;=0),"",$D76/$E76)</f>
        <v/>
      </c>
      <c r="N76" s="40"/>
    </row>
    <row r="77" spans="1:14" ht="15" customHeight="1" x14ac:dyDescent="0.2">
      <c r="A77" s="14"/>
      <c r="B77" s="23"/>
      <c r="C77" s="23"/>
      <c r="D77" s="22"/>
      <c r="E77" s="45"/>
      <c r="F77" s="22"/>
      <c r="G77" s="46"/>
      <c r="H77" s="46"/>
      <c r="I77" s="47" t="str">
        <f>IF(OR($D77="",$E77="",$G77="",$E77&lt;=0,$G77=0),"",$D77/$E77/$G77)</f>
        <v/>
      </c>
      <c r="J77" s="48" t="str">
        <f>IF(OR($I77="",NOT(ISNUMBER($H77)),$H77=0),"",$I77/$H77)</f>
        <v/>
      </c>
      <c r="K77" s="49" t="str">
        <f>IF(OR($I77="",NOT(ISNUMBER($H77))),"",$I77-$H77)</f>
        <v/>
      </c>
      <c r="L77" s="39" t="str">
        <f>IF($I77="","",IF(NOT(ISNUMBER($H77)),"Standard manquant",IF($J77&gt;=1,"Standard atteint",IF($J77&gt;=SeuilAlerte,"Alerte","Sous standard"))))</f>
        <v/>
      </c>
      <c r="M77" s="40" t="str">
        <f>IF(OR($D77="",$E77="",$E77&lt;=0),"",$D77/$E77)</f>
        <v/>
      </c>
      <c r="N77" s="40"/>
    </row>
    <row r="78" spans="1:14" ht="15" customHeight="1" x14ac:dyDescent="0.2">
      <c r="A78" s="14"/>
      <c r="B78" s="23"/>
      <c r="C78" s="23"/>
      <c r="D78" s="22"/>
      <c r="E78" s="45"/>
      <c r="F78" s="22"/>
      <c r="G78" s="46"/>
      <c r="H78" s="46"/>
      <c r="I78" s="47" t="str">
        <f>IF(OR($D78="",$E78="",$G78="",$E78&lt;=0,$G78=0),"",$D78/$E78/$G78)</f>
        <v/>
      </c>
      <c r="J78" s="48" t="str">
        <f>IF(OR($I78="",NOT(ISNUMBER($H78)),$H78=0),"",$I78/$H78)</f>
        <v/>
      </c>
      <c r="K78" s="49" t="str">
        <f>IF(OR($I78="",NOT(ISNUMBER($H78))),"",$I78-$H78)</f>
        <v/>
      </c>
      <c r="L78" s="39" t="str">
        <f>IF($I78="","",IF(NOT(ISNUMBER($H78)),"Standard manquant",IF($J78&gt;=1,"Standard atteint",IF($J78&gt;=SeuilAlerte,"Alerte","Sous standard"))))</f>
        <v/>
      </c>
      <c r="M78" s="40" t="str">
        <f>IF(OR($D78="",$E78="",$E78&lt;=0),"",$D78/$E78)</f>
        <v/>
      </c>
      <c r="N78" s="40"/>
    </row>
    <row r="79" spans="1:14" ht="15" customHeight="1" x14ac:dyDescent="0.2">
      <c r="A79" s="14"/>
      <c r="B79" s="23"/>
      <c r="C79" s="23"/>
      <c r="D79" s="22"/>
      <c r="E79" s="45"/>
      <c r="F79" s="22"/>
      <c r="G79" s="46"/>
      <c r="H79" s="46"/>
      <c r="I79" s="47" t="str">
        <f>IF(OR($D79="",$E79="",$G79="",$E79&lt;=0,$G79=0),"",$D79/$E79/$G79)</f>
        <v/>
      </c>
      <c r="J79" s="48" t="str">
        <f>IF(OR($I79="",NOT(ISNUMBER($H79)),$H79=0),"",$I79/$H79)</f>
        <v/>
      </c>
      <c r="K79" s="49" t="str">
        <f>IF(OR($I79="",NOT(ISNUMBER($H79))),"",$I79-$H79)</f>
        <v/>
      </c>
      <c r="L79" s="39" t="str">
        <f>IF($I79="","",IF(NOT(ISNUMBER($H79)),"Standard manquant",IF($J79&gt;=1,"Standard atteint",IF($J79&gt;=SeuilAlerte,"Alerte","Sous standard"))))</f>
        <v/>
      </c>
      <c r="M79" s="40" t="str">
        <f>IF(OR($D79="",$E79="",$E79&lt;=0),"",$D79/$E79)</f>
        <v/>
      </c>
      <c r="N79" s="40"/>
    </row>
    <row r="80" spans="1:14" ht="15" customHeight="1" x14ac:dyDescent="0.2">
      <c r="A80" s="14"/>
      <c r="B80" s="23"/>
      <c r="C80" s="23"/>
      <c r="D80" s="22"/>
      <c r="E80" s="45"/>
      <c r="F80" s="22"/>
      <c r="G80" s="46"/>
      <c r="H80" s="46"/>
      <c r="I80" s="47" t="str">
        <f>IF(OR($D80="",$E80="",$G80="",$E80&lt;=0,$G80=0),"",$D80/$E80/$G80)</f>
        <v/>
      </c>
      <c r="J80" s="48" t="str">
        <f>IF(OR($I80="",NOT(ISNUMBER($H80)),$H80=0),"",$I80/$H80)</f>
        <v/>
      </c>
      <c r="K80" s="49" t="str">
        <f>IF(OR($I80="",NOT(ISNUMBER($H80))),"",$I80-$H80)</f>
        <v/>
      </c>
      <c r="L80" s="39" t="str">
        <f>IF($I80="","",IF(NOT(ISNUMBER($H80)),"Standard manquant",IF($J80&gt;=1,"Standard atteint",IF($J80&gt;=SeuilAlerte,"Alerte","Sous standard"))))</f>
        <v/>
      </c>
      <c r="M80" s="40" t="str">
        <f>IF(OR($D80="",$E80="",$E80&lt;=0),"",$D80/$E80)</f>
        <v/>
      </c>
      <c r="N80" s="40"/>
    </row>
    <row r="81" spans="1:14" ht="15" customHeight="1" x14ac:dyDescent="0.2">
      <c r="A81" s="14"/>
      <c r="B81" s="23"/>
      <c r="C81" s="23"/>
      <c r="D81" s="22"/>
      <c r="E81" s="45"/>
      <c r="F81" s="22"/>
      <c r="G81" s="46"/>
      <c r="H81" s="46"/>
      <c r="I81" s="47" t="str">
        <f>IF(OR($D81="",$E81="",$G81="",$E81&lt;=0,$G81=0),"",$D81/$E81/$G81)</f>
        <v/>
      </c>
      <c r="J81" s="48" t="str">
        <f>IF(OR($I81="",NOT(ISNUMBER($H81)),$H81=0),"",$I81/$H81)</f>
        <v/>
      </c>
      <c r="K81" s="49" t="str">
        <f>IF(OR($I81="",NOT(ISNUMBER($H81))),"",$I81-$H81)</f>
        <v/>
      </c>
      <c r="L81" s="39" t="str">
        <f>IF($I81="","",IF(NOT(ISNUMBER($H81)),"Standard manquant",IF($J81&gt;=1,"Standard atteint",IF($J81&gt;=SeuilAlerte,"Alerte","Sous standard"))))</f>
        <v/>
      </c>
      <c r="M81" s="40" t="str">
        <f>IF(OR($D81="",$E81="",$E81&lt;=0),"",$D81/$E81)</f>
        <v/>
      </c>
      <c r="N81" s="40"/>
    </row>
    <row r="82" spans="1:14" ht="15" customHeight="1" x14ac:dyDescent="0.2">
      <c r="A82" s="14"/>
      <c r="B82" s="23"/>
      <c r="C82" s="23"/>
      <c r="D82" s="22"/>
      <c r="E82" s="45"/>
      <c r="F82" s="22"/>
      <c r="G82" s="46"/>
      <c r="H82" s="46"/>
      <c r="I82" s="47" t="str">
        <f>IF(OR($D82="",$E82="",$G82="",$E82&lt;=0,$G82=0),"",$D82/$E82/$G82)</f>
        <v/>
      </c>
      <c r="J82" s="48" t="str">
        <f>IF(OR($I82="",NOT(ISNUMBER($H82)),$H82=0),"",$I82/$H82)</f>
        <v/>
      </c>
      <c r="K82" s="49" t="str">
        <f>IF(OR($I82="",NOT(ISNUMBER($H82))),"",$I82-$H82)</f>
        <v/>
      </c>
      <c r="L82" s="39" t="str">
        <f>IF($I82="","",IF(NOT(ISNUMBER($H82)),"Standard manquant",IF($J82&gt;=1,"Standard atteint",IF($J82&gt;=SeuilAlerte,"Alerte","Sous standard"))))</f>
        <v/>
      </c>
      <c r="M82" s="40" t="str">
        <f>IF(OR($D82="",$E82="",$E82&lt;=0),"",$D82/$E82)</f>
        <v/>
      </c>
      <c r="N82" s="40"/>
    </row>
    <row r="83" spans="1:14" ht="15" customHeight="1" x14ac:dyDescent="0.2">
      <c r="A83" s="14"/>
      <c r="B83" s="23"/>
      <c r="C83" s="23"/>
      <c r="D83" s="22"/>
      <c r="E83" s="45"/>
      <c r="F83" s="22"/>
      <c r="G83" s="46"/>
      <c r="H83" s="46"/>
      <c r="I83" s="47" t="str">
        <f>IF(OR($D83="",$E83="",$G83="",$E83&lt;=0,$G83=0),"",$D83/$E83/$G83)</f>
        <v/>
      </c>
      <c r="J83" s="48" t="str">
        <f>IF(OR($I83="",NOT(ISNUMBER($H83)),$H83=0),"",$I83/$H83)</f>
        <v/>
      </c>
      <c r="K83" s="49" t="str">
        <f>IF(OR($I83="",NOT(ISNUMBER($H83))),"",$I83-$H83)</f>
        <v/>
      </c>
      <c r="L83" s="39" t="str">
        <f>IF($I83="","",IF(NOT(ISNUMBER($H83)),"Standard manquant",IF($J83&gt;=1,"Standard atteint",IF($J83&gt;=SeuilAlerte,"Alerte","Sous standard"))))</f>
        <v/>
      </c>
      <c r="M83" s="40" t="str">
        <f>IF(OR($D83="",$E83="",$E83&lt;=0),"",$D83/$E83)</f>
        <v/>
      </c>
      <c r="N83" s="40"/>
    </row>
    <row r="84" spans="1:14" ht="15" customHeight="1" x14ac:dyDescent="0.2">
      <c r="A84" s="14"/>
      <c r="B84" s="23"/>
      <c r="C84" s="23"/>
      <c r="D84" s="22"/>
      <c r="E84" s="45"/>
      <c r="F84" s="22"/>
      <c r="G84" s="46"/>
      <c r="H84" s="46"/>
      <c r="I84" s="47" t="str">
        <f>IF(OR($D84="",$E84="",$G84="",$E84&lt;=0,$G84=0),"",$D84/$E84/$G84)</f>
        <v/>
      </c>
      <c r="J84" s="48" t="str">
        <f>IF(OR($I84="",NOT(ISNUMBER($H84)),$H84=0),"",$I84/$H84)</f>
        <v/>
      </c>
      <c r="K84" s="49" t="str">
        <f>IF(OR($I84="",NOT(ISNUMBER($H84))),"",$I84-$H84)</f>
        <v/>
      </c>
      <c r="L84" s="39" t="str">
        <f>IF($I84="","",IF(NOT(ISNUMBER($H84)),"Standard manquant",IF($J84&gt;=1,"Standard atteint",IF($J84&gt;=SeuilAlerte,"Alerte","Sous standard"))))</f>
        <v/>
      </c>
      <c r="M84" s="40" t="str">
        <f>IF(OR($D84="",$E84="",$E84&lt;=0),"",$D84/$E84)</f>
        <v/>
      </c>
      <c r="N84" s="40"/>
    </row>
    <row r="85" spans="1:14" ht="15" customHeight="1" x14ac:dyDescent="0.2">
      <c r="A85" s="14"/>
      <c r="B85" s="23"/>
      <c r="C85" s="23"/>
      <c r="D85" s="22"/>
      <c r="E85" s="45"/>
      <c r="F85" s="22"/>
      <c r="G85" s="46"/>
      <c r="H85" s="46"/>
      <c r="I85" s="47" t="str">
        <f>IF(OR($D85="",$E85="",$G85="",$E85&lt;=0,$G85=0),"",$D85/$E85/$G85)</f>
        <v/>
      </c>
      <c r="J85" s="48" t="str">
        <f>IF(OR($I85="",NOT(ISNUMBER($H85)),$H85=0),"",$I85/$H85)</f>
        <v/>
      </c>
      <c r="K85" s="49" t="str">
        <f>IF(OR($I85="",NOT(ISNUMBER($H85))),"",$I85-$H85)</f>
        <v/>
      </c>
      <c r="L85" s="39" t="str">
        <f>IF($I85="","",IF(NOT(ISNUMBER($H85)),"Standard manquant",IF($J85&gt;=1,"Standard atteint",IF($J85&gt;=SeuilAlerte,"Alerte","Sous standard"))))</f>
        <v/>
      </c>
      <c r="M85" s="40" t="str">
        <f>IF(OR($D85="",$E85="",$E85&lt;=0),"",$D85/$E85)</f>
        <v/>
      </c>
      <c r="N85" s="40"/>
    </row>
    <row r="86" spans="1:14" ht="15" customHeight="1" x14ac:dyDescent="0.2">
      <c r="A86" s="14"/>
      <c r="B86" s="23"/>
      <c r="C86" s="23"/>
      <c r="D86" s="22"/>
      <c r="E86" s="45"/>
      <c r="F86" s="22"/>
      <c r="G86" s="46"/>
      <c r="H86" s="46"/>
      <c r="I86" s="47" t="str">
        <f>IF(OR($D86="",$E86="",$G86="",$E86&lt;=0,$G86=0),"",$D86/$E86/$G86)</f>
        <v/>
      </c>
      <c r="J86" s="48" t="str">
        <f>IF(OR($I86="",NOT(ISNUMBER($H86)),$H86=0),"",$I86/$H86)</f>
        <v/>
      </c>
      <c r="K86" s="49" t="str">
        <f>IF(OR($I86="",NOT(ISNUMBER($H86))),"",$I86-$H86)</f>
        <v/>
      </c>
      <c r="L86" s="39" t="str">
        <f>IF($I86="","",IF(NOT(ISNUMBER($H86)),"Standard manquant",IF($J86&gt;=1,"Standard atteint",IF($J86&gt;=SeuilAlerte,"Alerte","Sous standard"))))</f>
        <v/>
      </c>
      <c r="M86" s="40" t="str">
        <f>IF(OR($D86="",$E86="",$E86&lt;=0),"",$D86/$E86)</f>
        <v/>
      </c>
      <c r="N86" s="40"/>
    </row>
    <row r="87" spans="1:14" ht="15" customHeight="1" x14ac:dyDescent="0.2">
      <c r="A87" s="14"/>
      <c r="B87" s="23"/>
      <c r="C87" s="23"/>
      <c r="D87" s="22"/>
      <c r="E87" s="45"/>
      <c r="F87" s="22"/>
      <c r="G87" s="46"/>
      <c r="H87" s="46"/>
      <c r="I87" s="47" t="str">
        <f>IF(OR($D87="",$E87="",$G87="",$E87&lt;=0,$G87=0),"",$D87/$E87/$G87)</f>
        <v/>
      </c>
      <c r="J87" s="48" t="str">
        <f>IF(OR($I87="",NOT(ISNUMBER($H87)),$H87=0),"",$I87/$H87)</f>
        <v/>
      </c>
      <c r="K87" s="49" t="str">
        <f>IF(OR($I87="",NOT(ISNUMBER($H87))),"",$I87-$H87)</f>
        <v/>
      </c>
      <c r="L87" s="39" t="str">
        <f>IF($I87="","",IF(NOT(ISNUMBER($H87)),"Standard manquant",IF($J87&gt;=1,"Standard atteint",IF($J87&gt;=SeuilAlerte,"Alerte","Sous standard"))))</f>
        <v/>
      </c>
      <c r="M87" s="40" t="str">
        <f>IF(OR($D87="",$E87="",$E87&lt;=0),"",$D87/$E87)</f>
        <v/>
      </c>
      <c r="N87" s="40"/>
    </row>
    <row r="88" spans="1:14" ht="15" customHeight="1" x14ac:dyDescent="0.2">
      <c r="A88" s="14"/>
      <c r="B88" s="23"/>
      <c r="C88" s="23"/>
      <c r="D88" s="22"/>
      <c r="E88" s="45"/>
      <c r="F88" s="22"/>
      <c r="G88" s="46"/>
      <c r="H88" s="46"/>
      <c r="I88" s="47" t="str">
        <f>IF(OR($D88="",$E88="",$G88="",$E88&lt;=0,$G88=0),"",$D88/$E88/$G88)</f>
        <v/>
      </c>
      <c r="J88" s="48" t="str">
        <f>IF(OR($I88="",NOT(ISNUMBER($H88)),$H88=0),"",$I88/$H88)</f>
        <v/>
      </c>
      <c r="K88" s="49" t="str">
        <f>IF(OR($I88="",NOT(ISNUMBER($H88))),"",$I88-$H88)</f>
        <v/>
      </c>
      <c r="L88" s="39" t="str">
        <f>IF($I88="","",IF(NOT(ISNUMBER($H88)),"Standard manquant",IF($J88&gt;=1,"Standard atteint",IF($J88&gt;=SeuilAlerte,"Alerte","Sous standard"))))</f>
        <v/>
      </c>
      <c r="M88" s="40" t="str">
        <f>IF(OR($D88="",$E88="",$E88&lt;=0),"",$D88/$E88)</f>
        <v/>
      </c>
      <c r="N88" s="40"/>
    </row>
    <row r="89" spans="1:14" ht="15" customHeight="1" x14ac:dyDescent="0.2">
      <c r="A89" s="14"/>
      <c r="B89" s="23"/>
      <c r="C89" s="23"/>
      <c r="D89" s="22"/>
      <c r="E89" s="45"/>
      <c r="F89" s="22"/>
      <c r="G89" s="46"/>
      <c r="H89" s="46"/>
      <c r="I89" s="47" t="str">
        <f>IF(OR($D89="",$E89="",$G89="",$E89&lt;=0,$G89=0),"",$D89/$E89/$G89)</f>
        <v/>
      </c>
      <c r="J89" s="48" t="str">
        <f>IF(OR($I89="",NOT(ISNUMBER($H89)),$H89=0),"",$I89/$H89)</f>
        <v/>
      </c>
      <c r="K89" s="49" t="str">
        <f>IF(OR($I89="",NOT(ISNUMBER($H89))),"",$I89-$H89)</f>
        <v/>
      </c>
      <c r="L89" s="39" t="str">
        <f>IF($I89="","",IF(NOT(ISNUMBER($H89)),"Standard manquant",IF($J89&gt;=1,"Standard atteint",IF($J89&gt;=SeuilAlerte,"Alerte","Sous standard"))))</f>
        <v/>
      </c>
      <c r="M89" s="40" t="str">
        <f>IF(OR($D89="",$E89="",$E89&lt;=0),"",$D89/$E89)</f>
        <v/>
      </c>
      <c r="N89" s="40"/>
    </row>
    <row r="90" spans="1:14" ht="15" customHeight="1" x14ac:dyDescent="0.2">
      <c r="A90" s="14"/>
      <c r="B90" s="23"/>
      <c r="C90" s="23"/>
      <c r="D90" s="22"/>
      <c r="E90" s="45"/>
      <c r="F90" s="22"/>
      <c r="G90" s="46"/>
      <c r="H90" s="46"/>
      <c r="I90" s="47" t="str">
        <f>IF(OR($D90="",$E90="",$G90="",$E90&lt;=0,$G90=0),"",$D90/$E90/$G90)</f>
        <v/>
      </c>
      <c r="J90" s="48" t="str">
        <f>IF(OR($I90="",NOT(ISNUMBER($H90)),$H90=0),"",$I90/$H90)</f>
        <v/>
      </c>
      <c r="K90" s="49" t="str">
        <f>IF(OR($I90="",NOT(ISNUMBER($H90))),"",$I90-$H90)</f>
        <v/>
      </c>
      <c r="L90" s="39" t="str">
        <f>IF($I90="","",IF(NOT(ISNUMBER($H90)),"Standard manquant",IF($J90&gt;=1,"Standard atteint",IF($J90&gt;=SeuilAlerte,"Alerte","Sous standard"))))</f>
        <v/>
      </c>
      <c r="M90" s="40" t="str">
        <f>IF(OR($D90="",$E90="",$E90&lt;=0),"",$D90/$E90)</f>
        <v/>
      </c>
      <c r="N90" s="40"/>
    </row>
    <row r="91" spans="1:14" ht="15" customHeight="1" x14ac:dyDescent="0.2">
      <c r="A91" s="14"/>
      <c r="B91" s="23"/>
      <c r="C91" s="23"/>
      <c r="D91" s="22"/>
      <c r="E91" s="45"/>
      <c r="F91" s="22"/>
      <c r="G91" s="46"/>
      <c r="H91" s="46"/>
      <c r="I91" s="47" t="str">
        <f>IF(OR($D91="",$E91="",$G91="",$E91&lt;=0,$G91=0),"",$D91/$E91/$G91)</f>
        <v/>
      </c>
      <c r="J91" s="48" t="str">
        <f>IF(OR($I91="",NOT(ISNUMBER($H91)),$H91=0),"",$I91/$H91)</f>
        <v/>
      </c>
      <c r="K91" s="49" t="str">
        <f>IF(OR($I91="",NOT(ISNUMBER($H91))),"",$I91-$H91)</f>
        <v/>
      </c>
      <c r="L91" s="39" t="str">
        <f>IF($I91="","",IF(NOT(ISNUMBER($H91)),"Standard manquant",IF($J91&gt;=1,"Standard atteint",IF($J91&gt;=SeuilAlerte,"Alerte","Sous standard"))))</f>
        <v/>
      </c>
      <c r="M91" s="40" t="str">
        <f>IF(OR($D91="",$E91="",$E91&lt;=0),"",$D91/$E91)</f>
        <v/>
      </c>
      <c r="N91" s="40"/>
    </row>
    <row r="92" spans="1:14" ht="15" customHeight="1" x14ac:dyDescent="0.2">
      <c r="A92" s="14"/>
      <c r="B92" s="23"/>
      <c r="C92" s="23"/>
      <c r="D92" s="22"/>
      <c r="E92" s="45"/>
      <c r="F92" s="22"/>
      <c r="G92" s="46"/>
      <c r="H92" s="46"/>
      <c r="I92" s="47" t="str">
        <f>IF(OR($D92="",$E92="",$G92="",$E92&lt;=0,$G92=0),"",$D92/$E92/$G92)</f>
        <v/>
      </c>
      <c r="J92" s="48" t="str">
        <f>IF(OR($I92="",NOT(ISNUMBER($H92)),$H92=0),"",$I92/$H92)</f>
        <v/>
      </c>
      <c r="K92" s="49" t="str">
        <f>IF(OR($I92="",NOT(ISNUMBER($H92))),"",$I92-$H92)</f>
        <v/>
      </c>
      <c r="L92" s="39" t="str">
        <f>IF($I92="","",IF(NOT(ISNUMBER($H92)),"Standard manquant",IF($J92&gt;=1,"Standard atteint",IF($J92&gt;=SeuilAlerte,"Alerte","Sous standard"))))</f>
        <v/>
      </c>
      <c r="M92" s="40" t="str">
        <f>IF(OR($D92="",$E92="",$E92&lt;=0),"",$D92/$E92)</f>
        <v/>
      </c>
      <c r="N92" s="40"/>
    </row>
    <row r="93" spans="1:14" ht="15" customHeight="1" x14ac:dyDescent="0.2">
      <c r="A93" s="14"/>
      <c r="B93" s="23"/>
      <c r="C93" s="23"/>
      <c r="D93" s="22"/>
      <c r="E93" s="45"/>
      <c r="F93" s="22"/>
      <c r="G93" s="46"/>
      <c r="H93" s="46"/>
      <c r="I93" s="47" t="str">
        <f>IF(OR($D93="",$E93="",$G93="",$E93&lt;=0,$G93=0),"",$D93/$E93/$G93)</f>
        <v/>
      </c>
      <c r="J93" s="48" t="str">
        <f>IF(OR($I93="",NOT(ISNUMBER($H93)),$H93=0),"",$I93/$H93)</f>
        <v/>
      </c>
      <c r="K93" s="49" t="str">
        <f>IF(OR($I93="",NOT(ISNUMBER($H93))),"",$I93-$H93)</f>
        <v/>
      </c>
      <c r="L93" s="39" t="str">
        <f>IF($I93="","",IF(NOT(ISNUMBER($H93)),"Standard manquant",IF($J93&gt;=1,"Standard atteint",IF($J93&gt;=SeuilAlerte,"Alerte","Sous standard"))))</f>
        <v/>
      </c>
      <c r="M93" s="40" t="str">
        <f>IF(OR($D93="",$E93="",$E93&lt;=0),"",$D93/$E93)</f>
        <v/>
      </c>
      <c r="N93" s="40"/>
    </row>
    <row r="94" spans="1:14" ht="15" customHeight="1" x14ac:dyDescent="0.2">
      <c r="A94" s="14"/>
      <c r="B94" s="23"/>
      <c r="C94" s="23"/>
      <c r="D94" s="22"/>
      <c r="E94" s="45"/>
      <c r="F94" s="22"/>
      <c r="G94" s="46"/>
      <c r="H94" s="46"/>
      <c r="I94" s="47" t="str">
        <f>IF(OR($D94="",$E94="",$G94="",$E94&lt;=0,$G94=0),"",$D94/$E94/$G94)</f>
        <v/>
      </c>
      <c r="J94" s="48" t="str">
        <f>IF(OR($I94="",NOT(ISNUMBER($H94)),$H94=0),"",$I94/$H94)</f>
        <v/>
      </c>
      <c r="K94" s="49" t="str">
        <f>IF(OR($I94="",NOT(ISNUMBER($H94))),"",$I94-$H94)</f>
        <v/>
      </c>
      <c r="L94" s="39" t="str">
        <f>IF($I94="","",IF(NOT(ISNUMBER($H94)),"Standard manquant",IF($J94&gt;=1,"Standard atteint",IF($J94&gt;=SeuilAlerte,"Alerte","Sous standard"))))</f>
        <v/>
      </c>
      <c r="M94" s="40" t="str">
        <f>IF(OR($D94="",$E94="",$E94&lt;=0),"",$D94/$E94)</f>
        <v/>
      </c>
      <c r="N94" s="40"/>
    </row>
    <row r="95" spans="1:14" ht="15" customHeight="1" x14ac:dyDescent="0.2">
      <c r="A95" s="14"/>
      <c r="B95" s="23"/>
      <c r="C95" s="23"/>
      <c r="D95" s="22"/>
      <c r="E95" s="45"/>
      <c r="F95" s="22"/>
      <c r="G95" s="46"/>
      <c r="H95" s="46"/>
      <c r="I95" s="47" t="str">
        <f>IF(OR($D95="",$E95="",$G95="",$E95&lt;=0,$G95=0),"",$D95/$E95/$G95)</f>
        <v/>
      </c>
      <c r="J95" s="48" t="str">
        <f>IF(OR($I95="",NOT(ISNUMBER($H95)),$H95=0),"",$I95/$H95)</f>
        <v/>
      </c>
      <c r="K95" s="49" t="str">
        <f>IF(OR($I95="",NOT(ISNUMBER($H95))),"",$I95-$H95)</f>
        <v/>
      </c>
      <c r="L95" s="39" t="str">
        <f>IF($I95="","",IF(NOT(ISNUMBER($H95)),"Standard manquant",IF($J95&gt;=1,"Standard atteint",IF($J95&gt;=SeuilAlerte,"Alerte","Sous standard"))))</f>
        <v/>
      </c>
      <c r="M95" s="40" t="str">
        <f>IF(OR($D95="",$E95="",$E95&lt;=0),"",$D95/$E95)</f>
        <v/>
      </c>
      <c r="N95" s="40"/>
    </row>
    <row r="96" spans="1:14" ht="15" customHeight="1" x14ac:dyDescent="0.2">
      <c r="A96" s="14"/>
      <c r="B96" s="23"/>
      <c r="C96" s="23"/>
      <c r="D96" s="22"/>
      <c r="E96" s="45"/>
      <c r="F96" s="22"/>
      <c r="G96" s="46"/>
      <c r="H96" s="46"/>
      <c r="I96" s="47" t="str">
        <f>IF(OR($D96="",$E96="",$G96="",$E96&lt;=0,$G96=0),"",$D96/$E96/$G96)</f>
        <v/>
      </c>
      <c r="J96" s="48" t="str">
        <f>IF(OR($I96="",NOT(ISNUMBER($H96)),$H96=0),"",$I96/$H96)</f>
        <v/>
      </c>
      <c r="K96" s="49" t="str">
        <f>IF(OR($I96="",NOT(ISNUMBER($H96))),"",$I96-$H96)</f>
        <v/>
      </c>
      <c r="L96" s="39" t="str">
        <f>IF($I96="","",IF(NOT(ISNUMBER($H96)),"Standard manquant",IF($J96&gt;=1,"Standard atteint",IF($J96&gt;=SeuilAlerte,"Alerte","Sous standard"))))</f>
        <v/>
      </c>
      <c r="M96" s="40" t="str">
        <f>IF(OR($D96="",$E96="",$E96&lt;=0),"",$D96/$E96)</f>
        <v/>
      </c>
      <c r="N96" s="40"/>
    </row>
    <row r="97" spans="1:14" ht="15" customHeight="1" x14ac:dyDescent="0.2">
      <c r="A97" s="14"/>
      <c r="B97" s="23"/>
      <c r="C97" s="23"/>
      <c r="D97" s="22"/>
      <c r="E97" s="45"/>
      <c r="F97" s="22"/>
      <c r="G97" s="46"/>
      <c r="H97" s="46"/>
      <c r="I97" s="47" t="str">
        <f>IF(OR($D97="",$E97="",$G97="",$E97&lt;=0,$G97=0),"",$D97/$E97/$G97)</f>
        <v/>
      </c>
      <c r="J97" s="48" t="str">
        <f>IF(OR($I97="",NOT(ISNUMBER($H97)),$H97=0),"",$I97/$H97)</f>
        <v/>
      </c>
      <c r="K97" s="49" t="str">
        <f>IF(OR($I97="",NOT(ISNUMBER($H97))),"",$I97-$H97)</f>
        <v/>
      </c>
      <c r="L97" s="39" t="str">
        <f>IF($I97="","",IF(NOT(ISNUMBER($H97)),"Standard manquant",IF($J97&gt;=1,"Standard atteint",IF($J97&gt;=SeuilAlerte,"Alerte","Sous standard"))))</f>
        <v/>
      </c>
      <c r="M97" s="40" t="str">
        <f>IF(OR($D97="",$E97="",$E97&lt;=0),"",$D97/$E97)</f>
        <v/>
      </c>
      <c r="N97" s="40"/>
    </row>
    <row r="98" spans="1:14" ht="15" customHeight="1" x14ac:dyDescent="0.2">
      <c r="A98" s="14"/>
      <c r="B98" s="23"/>
      <c r="C98" s="23"/>
      <c r="D98" s="22"/>
      <c r="E98" s="45"/>
      <c r="F98" s="22"/>
      <c r="G98" s="46"/>
      <c r="H98" s="46"/>
      <c r="I98" s="47" t="str">
        <f>IF(OR($D98="",$E98="",$G98="",$E98&lt;=0,$G98=0),"",$D98/$E98/$G98)</f>
        <v/>
      </c>
      <c r="J98" s="48" t="str">
        <f>IF(OR($I98="",NOT(ISNUMBER($H98)),$H98=0),"",$I98/$H98)</f>
        <v/>
      </c>
      <c r="K98" s="49" t="str">
        <f>IF(OR($I98="",NOT(ISNUMBER($H98))),"",$I98-$H98)</f>
        <v/>
      </c>
      <c r="L98" s="39" t="str">
        <f>IF($I98="","",IF(NOT(ISNUMBER($H98)),"Standard manquant",IF($J98&gt;=1,"Standard atteint",IF($J98&gt;=SeuilAlerte,"Alerte","Sous standard"))))</f>
        <v/>
      </c>
      <c r="M98" s="40" t="str">
        <f>IF(OR($D98="",$E98="",$E98&lt;=0),"",$D98/$E98)</f>
        <v/>
      </c>
      <c r="N98" s="40"/>
    </row>
    <row r="99" spans="1:14" ht="15" customHeight="1" x14ac:dyDescent="0.2">
      <c r="A99" s="14"/>
      <c r="B99" s="23"/>
      <c r="C99" s="23"/>
      <c r="D99" s="22"/>
      <c r="E99" s="45"/>
      <c r="F99" s="22"/>
      <c r="G99" s="46"/>
      <c r="H99" s="46"/>
      <c r="I99" s="47" t="str">
        <f>IF(OR($D99="",$E99="",$G99="",$E99&lt;=0,$G99=0),"",$D99/$E99/$G99)</f>
        <v/>
      </c>
      <c r="J99" s="48" t="str">
        <f>IF(OR($I99="",NOT(ISNUMBER($H99)),$H99=0),"",$I99/$H99)</f>
        <v/>
      </c>
      <c r="K99" s="49" t="str">
        <f>IF(OR($I99="",NOT(ISNUMBER($H99))),"",$I99-$H99)</f>
        <v/>
      </c>
      <c r="L99" s="39" t="str">
        <f>IF($I99="","",IF(NOT(ISNUMBER($H99)),"Standard manquant",IF($J99&gt;=1,"Standard atteint",IF($J99&gt;=SeuilAlerte,"Alerte","Sous standard"))))</f>
        <v/>
      </c>
      <c r="M99" s="40" t="str">
        <f>IF(OR($D99="",$E99="",$E99&lt;=0),"",$D99/$E99)</f>
        <v/>
      </c>
      <c r="N99" s="40"/>
    </row>
    <row r="100" spans="1:14" ht="15" customHeight="1" x14ac:dyDescent="0.2">
      <c r="A100" s="14"/>
      <c r="B100" s="23"/>
      <c r="C100" s="23"/>
      <c r="D100" s="22"/>
      <c r="E100" s="45"/>
      <c r="F100" s="22"/>
      <c r="G100" s="46"/>
      <c r="H100" s="46"/>
      <c r="I100" s="47" t="str">
        <f>IF(OR($D100="",$E100="",$G100="",$E100&lt;=0,$G100=0),"",$D100/$E100/$G100)</f>
        <v/>
      </c>
      <c r="J100" s="48" t="str">
        <f>IF(OR($I100="",NOT(ISNUMBER($H100)),$H100=0),"",$I100/$H100)</f>
        <v/>
      </c>
      <c r="K100" s="49" t="str">
        <f>IF(OR($I100="",NOT(ISNUMBER($H100))),"",$I100-$H100)</f>
        <v/>
      </c>
      <c r="L100" s="39" t="str">
        <f>IF($I100="","",IF(NOT(ISNUMBER($H100)),"Standard manquant",IF($J100&gt;=1,"Standard atteint",IF($J100&gt;=SeuilAlerte,"Alerte","Sous standard"))))</f>
        <v/>
      </c>
      <c r="M100" s="40" t="str">
        <f>IF(OR($D100="",$E100="",$E100&lt;=0),"",$D100/$E100)</f>
        <v/>
      </c>
      <c r="N100" s="40"/>
    </row>
    <row r="101" spans="1:14" ht="15" customHeight="1" x14ac:dyDescent="0.2">
      <c r="A101" s="14"/>
      <c r="B101" s="23"/>
      <c r="C101" s="23"/>
      <c r="D101" s="22"/>
      <c r="E101" s="45"/>
      <c r="F101" s="22"/>
      <c r="G101" s="46"/>
      <c r="H101" s="46"/>
      <c r="I101" s="47" t="str">
        <f>IF(OR($D101="",$E101="",$G101="",$E101&lt;=0,$G101=0),"",$D101/$E101/$G101)</f>
        <v/>
      </c>
      <c r="J101" s="48" t="str">
        <f>IF(OR($I101="",NOT(ISNUMBER($H101)),$H101=0),"",$I101/$H101)</f>
        <v/>
      </c>
      <c r="K101" s="49" t="str">
        <f>IF(OR($I101="",NOT(ISNUMBER($H101))),"",$I101-$H101)</f>
        <v/>
      </c>
      <c r="L101" s="39" t="str">
        <f>IF($I101="","",IF(NOT(ISNUMBER($H101)),"Standard manquant",IF($J101&gt;=1,"Standard atteint",IF($J101&gt;=SeuilAlerte,"Alerte","Sous standard"))))</f>
        <v/>
      </c>
      <c r="M101" s="40" t="str">
        <f>IF(OR($D101="",$E101="",$E101&lt;=0),"",$D101/$E101)</f>
        <v/>
      </c>
      <c r="N101" s="40"/>
    </row>
    <row r="102" spans="1:14" ht="15" customHeight="1" x14ac:dyDescent="0.2">
      <c r="A102" s="14"/>
      <c r="B102" s="23"/>
      <c r="C102" s="23"/>
      <c r="D102" s="22"/>
      <c r="E102" s="45"/>
      <c r="F102" s="22"/>
      <c r="G102" s="46"/>
      <c r="H102" s="46"/>
      <c r="I102" s="47" t="str">
        <f>IF(OR($D102="",$E102="",$G102="",$E102&lt;=0,$G102=0),"",$D102/$E102/$G102)</f>
        <v/>
      </c>
      <c r="J102" s="48" t="str">
        <f>IF(OR($I102="",NOT(ISNUMBER($H102)),$H102=0),"",$I102/$H102)</f>
        <v/>
      </c>
      <c r="K102" s="49" t="str">
        <f>IF(OR($I102="",NOT(ISNUMBER($H102))),"",$I102-$H102)</f>
        <v/>
      </c>
      <c r="L102" s="39" t="str">
        <f>IF($I102="","",IF(NOT(ISNUMBER($H102)),"Standard manquant",IF($J102&gt;=1,"Standard atteint",IF($J102&gt;=SeuilAlerte,"Alerte","Sous standard"))))</f>
        <v/>
      </c>
      <c r="M102" s="40" t="str">
        <f>IF(OR($D102="",$E102="",$E102&lt;=0),"",$D102/$E102)</f>
        <v/>
      </c>
      <c r="N102" s="40"/>
    </row>
    <row r="103" spans="1:14" ht="15" customHeight="1" x14ac:dyDescent="0.2">
      <c r="A103" s="14"/>
      <c r="B103" s="23"/>
      <c r="C103" s="23"/>
      <c r="D103" s="22"/>
      <c r="E103" s="45"/>
      <c r="F103" s="22"/>
      <c r="G103" s="46"/>
      <c r="H103" s="46"/>
      <c r="I103" s="47" t="str">
        <f>IF(OR($D103="",$E103="",$G103="",$E103&lt;=0,$G103=0),"",$D103/$E103/$G103)</f>
        <v/>
      </c>
      <c r="J103" s="48" t="str">
        <f>IF(OR($I103="",NOT(ISNUMBER($H103)),$H103=0),"",$I103/$H103)</f>
        <v/>
      </c>
      <c r="K103" s="49" t="str">
        <f>IF(OR($I103="",NOT(ISNUMBER($H103))),"",$I103-$H103)</f>
        <v/>
      </c>
      <c r="L103" s="39" t="str">
        <f>IF($I103="","",IF(NOT(ISNUMBER($H103)),"Standard manquant",IF($J103&gt;=1,"Standard atteint",IF($J103&gt;=SeuilAlerte,"Alerte","Sous standard"))))</f>
        <v/>
      </c>
      <c r="M103" s="40" t="str">
        <f>IF(OR($D103="",$E103="",$E103&lt;=0),"",$D103/$E103)</f>
        <v/>
      </c>
      <c r="N103" s="40"/>
    </row>
    <row r="104" spans="1:14" ht="15" customHeight="1" x14ac:dyDescent="0.2">
      <c r="A104" s="14"/>
      <c r="B104" s="23"/>
      <c r="C104" s="23"/>
      <c r="D104" s="22"/>
      <c r="E104" s="45"/>
      <c r="F104" s="22"/>
      <c r="G104" s="46"/>
      <c r="H104" s="46"/>
      <c r="I104" s="47" t="str">
        <f>IF(OR($D104="",$E104="",$G104="",$E104&lt;=0,$G104=0),"",$D104/$E104/$G104)</f>
        <v/>
      </c>
      <c r="J104" s="48" t="str">
        <f>IF(OR($I104="",NOT(ISNUMBER($H104)),$H104=0),"",$I104/$H104)</f>
        <v/>
      </c>
      <c r="K104" s="49" t="str">
        <f>IF(OR($I104="",NOT(ISNUMBER($H104))),"",$I104-$H104)</f>
        <v/>
      </c>
      <c r="L104" s="39" t="str">
        <f>IF($I104="","",IF(NOT(ISNUMBER($H104)),"Standard manquant",IF($J104&gt;=1,"Standard atteint",IF($J104&gt;=SeuilAlerte,"Alerte","Sous standard"))))</f>
        <v/>
      </c>
      <c r="M104" s="40" t="str">
        <f>IF(OR($D104="",$E104="",$E104&lt;=0),"",$D104/$E104)</f>
        <v/>
      </c>
      <c r="N104" s="40"/>
    </row>
    <row r="105" spans="1:14" ht="15" customHeight="1" x14ac:dyDescent="0.2">
      <c r="A105" s="14"/>
      <c r="B105" s="23"/>
      <c r="C105" s="23"/>
      <c r="D105" s="22"/>
      <c r="E105" s="45"/>
      <c r="F105" s="22"/>
      <c r="G105" s="46"/>
      <c r="H105" s="46"/>
      <c r="I105" s="47" t="str">
        <f>IF(OR($D105="",$E105="",$G105="",$E105&lt;=0,$G105=0),"",$D105/$E105/$G105)</f>
        <v/>
      </c>
      <c r="J105" s="48" t="str">
        <f>IF(OR($I105="",NOT(ISNUMBER($H105)),$H105=0),"",$I105/$H105)</f>
        <v/>
      </c>
      <c r="K105" s="49" t="str">
        <f>IF(OR($I105="",NOT(ISNUMBER($H105))),"",$I105-$H105)</f>
        <v/>
      </c>
      <c r="L105" s="39" t="str">
        <f>IF($I105="","",IF(NOT(ISNUMBER($H105)),"Standard manquant",IF($J105&gt;=1,"Standard atteint",IF($J105&gt;=SeuilAlerte,"Alerte","Sous standard"))))</f>
        <v/>
      </c>
      <c r="M105" s="40" t="str">
        <f>IF(OR($D105="",$E105="",$E105&lt;=0),"",$D105/$E105)</f>
        <v/>
      </c>
      <c r="N105" s="40"/>
    </row>
    <row r="106" spans="1:14" ht="15" customHeight="1" x14ac:dyDescent="0.2">
      <c r="A106" s="14"/>
      <c r="B106" s="23"/>
      <c r="C106" s="23"/>
      <c r="D106" s="22"/>
      <c r="E106" s="45"/>
      <c r="F106" s="22"/>
      <c r="G106" s="46"/>
      <c r="H106" s="46"/>
      <c r="I106" s="47" t="str">
        <f>IF(OR($D106="",$E106="",$G106="",$E106&lt;=0,$G106=0),"",$D106/$E106/$G106)</f>
        <v/>
      </c>
      <c r="J106" s="48" t="str">
        <f>IF(OR($I106="",NOT(ISNUMBER($H106)),$H106=0),"",$I106/$H106)</f>
        <v/>
      </c>
      <c r="K106" s="49" t="str">
        <f>IF(OR($I106="",NOT(ISNUMBER($H106))),"",$I106-$H106)</f>
        <v/>
      </c>
      <c r="L106" s="39" t="str">
        <f>IF($I106="","",IF(NOT(ISNUMBER($H106)),"Standard manquant",IF($J106&gt;=1,"Standard atteint",IF($J106&gt;=SeuilAlerte,"Alerte","Sous standard"))))</f>
        <v/>
      </c>
      <c r="M106" s="40" t="str">
        <f>IF(OR($D106="",$E106="",$E106&lt;=0),"",$D106/$E106)</f>
        <v/>
      </c>
      <c r="N106" s="40"/>
    </row>
    <row r="107" spans="1:14" ht="15" customHeight="1" x14ac:dyDescent="0.2">
      <c r="A107" s="14"/>
      <c r="B107" s="23"/>
      <c r="C107" s="23"/>
      <c r="D107" s="22"/>
      <c r="E107" s="45"/>
      <c r="F107" s="22"/>
      <c r="G107" s="46"/>
      <c r="H107" s="46"/>
      <c r="I107" s="47" t="str">
        <f>IF(OR($D107="",$E107="",$G107="",$E107&lt;=0,$G107=0),"",$D107/$E107/$G107)</f>
        <v/>
      </c>
      <c r="J107" s="48" t="str">
        <f>IF(OR($I107="",NOT(ISNUMBER($H107)),$H107=0),"",$I107/$H107)</f>
        <v/>
      </c>
      <c r="K107" s="49" t="str">
        <f>IF(OR($I107="",NOT(ISNUMBER($H107))),"",$I107-$H107)</f>
        <v/>
      </c>
      <c r="L107" s="39" t="str">
        <f>IF($I107="","",IF(NOT(ISNUMBER($H107)),"Standard manquant",IF($J107&gt;=1,"Standard atteint",IF($J107&gt;=SeuilAlerte,"Alerte","Sous standard"))))</f>
        <v/>
      </c>
      <c r="M107" s="40" t="str">
        <f>IF(OR($D107="",$E107="",$E107&lt;=0),"",$D107/$E107)</f>
        <v/>
      </c>
      <c r="N107" s="40"/>
    </row>
    <row r="108" spans="1:14" ht="15" customHeight="1" x14ac:dyDescent="0.2">
      <c r="A108" s="14"/>
      <c r="B108" s="23"/>
      <c r="C108" s="23"/>
      <c r="D108" s="22"/>
      <c r="E108" s="45"/>
      <c r="F108" s="22"/>
      <c r="G108" s="46"/>
      <c r="H108" s="46"/>
      <c r="I108" s="47" t="str">
        <f>IF(OR($D108="",$E108="",$G108="",$E108&lt;=0,$G108=0),"",$D108/$E108/$G108)</f>
        <v/>
      </c>
      <c r="J108" s="48" t="str">
        <f>IF(OR($I108="",NOT(ISNUMBER($H108)),$H108=0),"",$I108/$H108)</f>
        <v/>
      </c>
      <c r="K108" s="49" t="str">
        <f>IF(OR($I108="",NOT(ISNUMBER($H108))),"",$I108-$H108)</f>
        <v/>
      </c>
      <c r="L108" s="39" t="str">
        <f>IF($I108="","",IF(NOT(ISNUMBER($H108)),"Standard manquant",IF($J108&gt;=1,"Standard atteint",IF($J108&gt;=SeuilAlerte,"Alerte","Sous standard"))))</f>
        <v/>
      </c>
      <c r="M108" s="40" t="str">
        <f>IF(OR($D108="",$E108="",$E108&lt;=0),"",$D108/$E108)</f>
        <v/>
      </c>
      <c r="N108" s="40"/>
    </row>
    <row r="109" spans="1:14" ht="15" customHeight="1" x14ac:dyDescent="0.2">
      <c r="A109" s="14"/>
      <c r="B109" s="23"/>
      <c r="C109" s="23"/>
      <c r="D109" s="22"/>
      <c r="E109" s="45"/>
      <c r="F109" s="22"/>
      <c r="G109" s="46"/>
      <c r="H109" s="46"/>
      <c r="I109" s="47" t="str">
        <f>IF(OR($D109="",$E109="",$G109="",$E109&lt;=0,$G109=0),"",$D109/$E109/$G109)</f>
        <v/>
      </c>
      <c r="J109" s="48" t="str">
        <f>IF(OR($I109="",NOT(ISNUMBER($H109)),$H109=0),"",$I109/$H109)</f>
        <v/>
      </c>
      <c r="K109" s="49" t="str">
        <f>IF(OR($I109="",NOT(ISNUMBER($H109))),"",$I109-$H109)</f>
        <v/>
      </c>
      <c r="L109" s="39" t="str">
        <f>IF($I109="","",IF(NOT(ISNUMBER($H109)),"Standard manquant",IF($J109&gt;=1,"Standard atteint",IF($J109&gt;=SeuilAlerte,"Alerte","Sous standard"))))</f>
        <v/>
      </c>
      <c r="M109" s="40" t="str">
        <f>IF(OR($D109="",$E109="",$E109&lt;=0),"",$D109/$E109)</f>
        <v/>
      </c>
      <c r="N109" s="40"/>
    </row>
    <row r="110" spans="1:14" ht="15" customHeight="1" x14ac:dyDescent="0.2">
      <c r="A110" s="14"/>
      <c r="B110" s="23"/>
      <c r="C110" s="23"/>
      <c r="D110" s="22"/>
      <c r="E110" s="45"/>
      <c r="F110" s="22"/>
      <c r="G110" s="46"/>
      <c r="H110" s="46"/>
      <c r="I110" s="47" t="str">
        <f>IF(OR($D110="",$E110="",$G110="",$E110&lt;=0,$G110=0),"",$D110/$E110/$G110)</f>
        <v/>
      </c>
      <c r="J110" s="48" t="str">
        <f>IF(OR($I110="",NOT(ISNUMBER($H110)),$H110=0),"",$I110/$H110)</f>
        <v/>
      </c>
      <c r="K110" s="49" t="str">
        <f>IF(OR($I110="",NOT(ISNUMBER($H110))),"",$I110-$H110)</f>
        <v/>
      </c>
      <c r="L110" s="39" t="str">
        <f>IF($I110="","",IF(NOT(ISNUMBER($H110)),"Standard manquant",IF($J110&gt;=1,"Standard atteint",IF($J110&gt;=SeuilAlerte,"Alerte","Sous standard"))))</f>
        <v/>
      </c>
      <c r="M110" s="40" t="str">
        <f>IF(OR($D110="",$E110="",$E110&lt;=0),"",$D110/$E110)</f>
        <v/>
      </c>
      <c r="N110" s="40"/>
    </row>
    <row r="111" spans="1:14" ht="15" customHeight="1" x14ac:dyDescent="0.2">
      <c r="A111" s="14"/>
      <c r="B111" s="23"/>
      <c r="C111" s="23"/>
      <c r="D111" s="22"/>
      <c r="E111" s="45"/>
      <c r="F111" s="22"/>
      <c r="G111" s="46"/>
      <c r="H111" s="46"/>
      <c r="I111" s="47" t="str">
        <f>IF(OR($D111="",$E111="",$G111="",$E111&lt;=0,$G111=0),"",$D111/$E111/$G111)</f>
        <v/>
      </c>
      <c r="J111" s="48" t="str">
        <f>IF(OR($I111="",NOT(ISNUMBER($H111)),$H111=0),"",$I111/$H111)</f>
        <v/>
      </c>
      <c r="K111" s="49" t="str">
        <f>IF(OR($I111="",NOT(ISNUMBER($H111))),"",$I111-$H111)</f>
        <v/>
      </c>
      <c r="L111" s="39" t="str">
        <f>IF($I111="","",IF(NOT(ISNUMBER($H111)),"Standard manquant",IF($J111&gt;=1,"Standard atteint",IF($J111&gt;=SeuilAlerte,"Alerte","Sous standard"))))</f>
        <v/>
      </c>
      <c r="M111" s="40" t="str">
        <f>IF(OR($D111="",$E111="",$E111&lt;=0),"",$D111/$E111)</f>
        <v/>
      </c>
      <c r="N111" s="40"/>
    </row>
    <row r="112" spans="1:14" ht="15" customHeight="1" x14ac:dyDescent="0.2">
      <c r="A112" s="14"/>
      <c r="B112" s="23"/>
      <c r="C112" s="23"/>
      <c r="D112" s="22"/>
      <c r="E112" s="45"/>
      <c r="F112" s="22"/>
      <c r="G112" s="46"/>
      <c r="H112" s="46"/>
      <c r="I112" s="47" t="str">
        <f>IF(OR($D112="",$E112="",$G112="",$E112&lt;=0,$G112=0),"",$D112/$E112/$G112)</f>
        <v/>
      </c>
      <c r="J112" s="48" t="str">
        <f>IF(OR($I112="",NOT(ISNUMBER($H112)),$H112=0),"",$I112/$H112)</f>
        <v/>
      </c>
      <c r="K112" s="49" t="str">
        <f>IF(OR($I112="",NOT(ISNUMBER($H112))),"",$I112-$H112)</f>
        <v/>
      </c>
      <c r="L112" s="39" t="str">
        <f>IF($I112="","",IF(NOT(ISNUMBER($H112)),"Standard manquant",IF($J112&gt;=1,"Standard atteint",IF($J112&gt;=SeuilAlerte,"Alerte","Sous standard"))))</f>
        <v/>
      </c>
      <c r="M112" s="40" t="str">
        <f>IF(OR($D112="",$E112="",$E112&lt;=0),"",$D112/$E112)</f>
        <v/>
      </c>
      <c r="N112" s="40"/>
    </row>
    <row r="113" spans="1:14" ht="15" customHeight="1" x14ac:dyDescent="0.2">
      <c r="A113" s="14"/>
      <c r="B113" s="23"/>
      <c r="C113" s="23"/>
      <c r="D113" s="22"/>
      <c r="E113" s="45"/>
      <c r="F113" s="22"/>
      <c r="G113" s="46"/>
      <c r="H113" s="46"/>
      <c r="I113" s="47" t="str">
        <f>IF(OR($D113="",$E113="",$G113="",$E113&lt;=0,$G113=0),"",$D113/$E113/$G113)</f>
        <v/>
      </c>
      <c r="J113" s="48" t="str">
        <f>IF(OR($I113="",NOT(ISNUMBER($H113)),$H113=0),"",$I113/$H113)</f>
        <v/>
      </c>
      <c r="K113" s="49" t="str">
        <f>IF(OR($I113="",NOT(ISNUMBER($H113))),"",$I113-$H113)</f>
        <v/>
      </c>
      <c r="L113" s="39" t="str">
        <f>IF($I113="","",IF(NOT(ISNUMBER($H113)),"Standard manquant",IF($J113&gt;=1,"Standard atteint",IF($J113&gt;=SeuilAlerte,"Alerte","Sous standard"))))</f>
        <v/>
      </c>
      <c r="M113" s="40" t="str">
        <f>IF(OR($D113="",$E113="",$E113&lt;=0),"",$D113/$E113)</f>
        <v/>
      </c>
      <c r="N113" s="40"/>
    </row>
    <row r="114" spans="1:14" ht="15" customHeight="1" x14ac:dyDescent="0.2">
      <c r="A114" s="14"/>
      <c r="B114" s="23"/>
      <c r="C114" s="23"/>
      <c r="D114" s="22"/>
      <c r="E114" s="45"/>
      <c r="F114" s="22"/>
      <c r="G114" s="46"/>
      <c r="H114" s="46"/>
      <c r="I114" s="47" t="str">
        <f>IF(OR($D114="",$E114="",$G114="",$E114&lt;=0,$G114=0),"",$D114/$E114/$G114)</f>
        <v/>
      </c>
      <c r="J114" s="48" t="str">
        <f>IF(OR($I114="",NOT(ISNUMBER($H114)),$H114=0),"",$I114/$H114)</f>
        <v/>
      </c>
      <c r="K114" s="49" t="str">
        <f>IF(OR($I114="",NOT(ISNUMBER($H114))),"",$I114-$H114)</f>
        <v/>
      </c>
      <c r="L114" s="39" t="str">
        <f>IF($I114="","",IF(NOT(ISNUMBER($H114)),"Standard manquant",IF($J114&gt;=1,"Standard atteint",IF($J114&gt;=SeuilAlerte,"Alerte","Sous standard"))))</f>
        <v/>
      </c>
      <c r="M114" s="40" t="str">
        <f>IF(OR($D114="",$E114="",$E114&lt;=0),"",$D114/$E114)</f>
        <v/>
      </c>
      <c r="N114" s="40"/>
    </row>
    <row r="115" spans="1:14" ht="15" customHeight="1" x14ac:dyDescent="0.2">
      <c r="A115" s="14"/>
      <c r="B115" s="23"/>
      <c r="C115" s="23"/>
      <c r="D115" s="22"/>
      <c r="E115" s="45"/>
      <c r="F115" s="22"/>
      <c r="G115" s="46"/>
      <c r="H115" s="46"/>
      <c r="I115" s="47" t="str">
        <f>IF(OR($D115="",$E115="",$G115="",$E115&lt;=0,$G115=0),"",$D115/$E115/$G115)</f>
        <v/>
      </c>
      <c r="J115" s="48" t="str">
        <f>IF(OR($I115="",NOT(ISNUMBER($H115)),$H115=0),"",$I115/$H115)</f>
        <v/>
      </c>
      <c r="K115" s="49" t="str">
        <f>IF(OR($I115="",NOT(ISNUMBER($H115))),"",$I115-$H115)</f>
        <v/>
      </c>
      <c r="L115" s="39" t="str">
        <f>IF($I115="","",IF(NOT(ISNUMBER($H115)),"Standard manquant",IF($J115&gt;=1,"Standard atteint",IF($J115&gt;=SeuilAlerte,"Alerte","Sous standard"))))</f>
        <v/>
      </c>
      <c r="M115" s="40" t="str">
        <f>IF(OR($D115="",$E115="",$E115&lt;=0),"",$D115/$E115)</f>
        <v/>
      </c>
      <c r="N115" s="40"/>
    </row>
    <row r="116" spans="1:14" ht="15" customHeight="1" x14ac:dyDescent="0.2">
      <c r="A116" s="14"/>
      <c r="B116" s="23"/>
      <c r="C116" s="23"/>
      <c r="D116" s="22"/>
      <c r="E116" s="45"/>
      <c r="F116" s="22"/>
      <c r="G116" s="46"/>
      <c r="H116" s="46"/>
      <c r="I116" s="47" t="str">
        <f>IF(OR($D116="",$E116="",$G116="",$E116&lt;=0,$G116=0),"",$D116/$E116/$G116)</f>
        <v/>
      </c>
      <c r="J116" s="48" t="str">
        <f>IF(OR($I116="",NOT(ISNUMBER($H116)),$H116=0),"",$I116/$H116)</f>
        <v/>
      </c>
      <c r="K116" s="49" t="str">
        <f>IF(OR($I116="",NOT(ISNUMBER($H116))),"",$I116-$H116)</f>
        <v/>
      </c>
      <c r="L116" s="39" t="str">
        <f>IF($I116="","",IF(NOT(ISNUMBER($H116)),"Standard manquant",IF($J116&gt;=1,"Standard atteint",IF($J116&gt;=SeuilAlerte,"Alerte","Sous standard"))))</f>
        <v/>
      </c>
      <c r="M116" s="40" t="str">
        <f>IF(OR($D116="",$E116="",$E116&lt;=0),"",$D116/$E116)</f>
        <v/>
      </c>
      <c r="N116" s="40"/>
    </row>
    <row r="117" spans="1:14" ht="15" customHeight="1" x14ac:dyDescent="0.2">
      <c r="A117" s="14"/>
      <c r="B117" s="23"/>
      <c r="C117" s="23"/>
      <c r="D117" s="22"/>
      <c r="E117" s="45"/>
      <c r="F117" s="22"/>
      <c r="G117" s="46"/>
      <c r="H117" s="46"/>
      <c r="I117" s="47" t="str">
        <f>IF(OR($D117="",$E117="",$G117="",$E117&lt;=0,$G117=0),"",$D117/$E117/$G117)</f>
        <v/>
      </c>
      <c r="J117" s="48" t="str">
        <f>IF(OR($I117="",NOT(ISNUMBER($H117)),$H117=0),"",$I117/$H117)</f>
        <v/>
      </c>
      <c r="K117" s="49" t="str">
        <f>IF(OR($I117="",NOT(ISNUMBER($H117))),"",$I117-$H117)</f>
        <v/>
      </c>
      <c r="L117" s="39" t="str">
        <f>IF($I117="","",IF(NOT(ISNUMBER($H117)),"Standard manquant",IF($J117&gt;=1,"Standard atteint",IF($J117&gt;=SeuilAlerte,"Alerte","Sous standard"))))</f>
        <v/>
      </c>
      <c r="M117" s="40" t="str">
        <f>IF(OR($D117="",$E117="",$E117&lt;=0),"",$D117/$E117)</f>
        <v/>
      </c>
      <c r="N117" s="40"/>
    </row>
    <row r="118" spans="1:14" ht="15" customHeight="1" x14ac:dyDescent="0.2">
      <c r="A118" s="14"/>
      <c r="B118" s="23"/>
      <c r="C118" s="23"/>
      <c r="D118" s="22"/>
      <c r="E118" s="45"/>
      <c r="F118" s="22"/>
      <c r="G118" s="46"/>
      <c r="H118" s="46"/>
      <c r="I118" s="47" t="str">
        <f>IF(OR($D118="",$E118="",$G118="",$E118&lt;=0,$G118=0),"",$D118/$E118/$G118)</f>
        <v/>
      </c>
      <c r="J118" s="48" t="str">
        <f>IF(OR($I118="",NOT(ISNUMBER($H118)),$H118=0),"",$I118/$H118)</f>
        <v/>
      </c>
      <c r="K118" s="49" t="str">
        <f>IF(OR($I118="",NOT(ISNUMBER($H118))),"",$I118-$H118)</f>
        <v/>
      </c>
      <c r="L118" s="39" t="str">
        <f>IF($I118="","",IF(NOT(ISNUMBER($H118)),"Standard manquant",IF($J118&gt;=1,"Standard atteint",IF($J118&gt;=SeuilAlerte,"Alerte","Sous standard"))))</f>
        <v/>
      </c>
      <c r="M118" s="40" t="str">
        <f>IF(OR($D118="",$E118="",$E118&lt;=0),"",$D118/$E118)</f>
        <v/>
      </c>
      <c r="N118" s="40"/>
    </row>
    <row r="119" spans="1:14" ht="15" customHeight="1" x14ac:dyDescent="0.2">
      <c r="A119" s="14"/>
      <c r="B119" s="23"/>
      <c r="C119" s="23"/>
      <c r="D119" s="22"/>
      <c r="E119" s="45"/>
      <c r="F119" s="22"/>
      <c r="G119" s="46"/>
      <c r="H119" s="46"/>
      <c r="I119" s="47" t="str">
        <f>IF(OR($D119="",$E119="",$G119="",$E119&lt;=0,$G119=0),"",$D119/$E119/$G119)</f>
        <v/>
      </c>
      <c r="J119" s="48" t="str">
        <f>IF(OR($I119="",NOT(ISNUMBER($H119)),$H119=0),"",$I119/$H119)</f>
        <v/>
      </c>
      <c r="K119" s="49" t="str">
        <f>IF(OR($I119="",NOT(ISNUMBER($H119))),"",$I119-$H119)</f>
        <v/>
      </c>
      <c r="L119" s="39" t="str">
        <f>IF($I119="","",IF(NOT(ISNUMBER($H119)),"Standard manquant",IF($J119&gt;=1,"Standard atteint",IF($J119&gt;=SeuilAlerte,"Alerte","Sous standard"))))</f>
        <v/>
      </c>
      <c r="M119" s="40" t="str">
        <f>IF(OR($D119="",$E119="",$E119&lt;=0),"",$D119/$E119)</f>
        <v/>
      </c>
      <c r="N119" s="40"/>
    </row>
    <row r="120" spans="1:14" ht="15" customHeight="1" x14ac:dyDescent="0.2">
      <c r="A120" s="14"/>
      <c r="B120" s="23"/>
      <c r="C120" s="23"/>
      <c r="D120" s="22"/>
      <c r="E120" s="45"/>
      <c r="F120" s="22"/>
      <c r="G120" s="46"/>
      <c r="H120" s="46"/>
      <c r="I120" s="47" t="str">
        <f>IF(OR($D120="",$E120="",$G120="",$E120&lt;=0,$G120=0),"",$D120/$E120/$G120)</f>
        <v/>
      </c>
      <c r="J120" s="48" t="str">
        <f>IF(OR($I120="",NOT(ISNUMBER($H120)),$H120=0),"",$I120/$H120)</f>
        <v/>
      </c>
      <c r="K120" s="49" t="str">
        <f>IF(OR($I120="",NOT(ISNUMBER($H120))),"",$I120-$H120)</f>
        <v/>
      </c>
      <c r="L120" s="39" t="str">
        <f>IF($I120="","",IF(NOT(ISNUMBER($H120)),"Standard manquant",IF($J120&gt;=1,"Standard atteint",IF($J120&gt;=SeuilAlerte,"Alerte","Sous standard"))))</f>
        <v/>
      </c>
      <c r="M120" s="40" t="str">
        <f>IF(OR($D120="",$E120="",$E120&lt;=0),"",$D120/$E120)</f>
        <v/>
      </c>
      <c r="N120" s="40"/>
    </row>
    <row r="121" spans="1:14" ht="15" customHeight="1" x14ac:dyDescent="0.2">
      <c r="A121" s="14"/>
      <c r="B121" s="23"/>
      <c r="C121" s="23"/>
      <c r="D121" s="22"/>
      <c r="E121" s="45"/>
      <c r="F121" s="22"/>
      <c r="G121" s="46"/>
      <c r="H121" s="46"/>
      <c r="I121" s="47" t="str">
        <f>IF(OR($D121="",$E121="",$G121="",$E121&lt;=0,$G121=0),"",$D121/$E121/$G121)</f>
        <v/>
      </c>
      <c r="J121" s="48" t="str">
        <f>IF(OR($I121="",NOT(ISNUMBER($H121)),$H121=0),"",$I121/$H121)</f>
        <v/>
      </c>
      <c r="K121" s="49" t="str">
        <f>IF(OR($I121="",NOT(ISNUMBER($H121))),"",$I121-$H121)</f>
        <v/>
      </c>
      <c r="L121" s="39" t="str">
        <f>IF($I121="","",IF(NOT(ISNUMBER($H121)),"Standard manquant",IF($J121&gt;=1,"Standard atteint",IF($J121&gt;=SeuilAlerte,"Alerte","Sous standard"))))</f>
        <v/>
      </c>
      <c r="M121" s="40" t="str">
        <f>IF(OR($D121="",$E121="",$E121&lt;=0),"",$D121/$E121)</f>
        <v/>
      </c>
      <c r="N121" s="40"/>
    </row>
    <row r="122" spans="1:14" ht="15" customHeight="1" x14ac:dyDescent="0.2">
      <c r="A122" s="14"/>
      <c r="B122" s="23"/>
      <c r="C122" s="23"/>
      <c r="D122" s="22"/>
      <c r="E122" s="45"/>
      <c r="F122" s="22"/>
      <c r="G122" s="46"/>
      <c r="H122" s="46"/>
      <c r="I122" s="47" t="str">
        <f>IF(OR($D122="",$E122="",$G122="",$E122&lt;=0,$G122=0),"",$D122/$E122/$G122)</f>
        <v/>
      </c>
      <c r="J122" s="48" t="str">
        <f>IF(OR($I122="",NOT(ISNUMBER($H122)),$H122=0),"",$I122/$H122)</f>
        <v/>
      </c>
      <c r="K122" s="49" t="str">
        <f>IF(OR($I122="",NOT(ISNUMBER($H122))),"",$I122-$H122)</f>
        <v/>
      </c>
      <c r="L122" s="39" t="str">
        <f>IF($I122="","",IF(NOT(ISNUMBER($H122)),"Standard manquant",IF($J122&gt;=1,"Standard atteint",IF($J122&gt;=SeuilAlerte,"Alerte","Sous standard"))))</f>
        <v/>
      </c>
      <c r="M122" s="40" t="str">
        <f>IF(OR($D122="",$E122="",$E122&lt;=0),"",$D122/$E122)</f>
        <v/>
      </c>
      <c r="N122" s="40"/>
    </row>
    <row r="123" spans="1:14" ht="15" customHeight="1" x14ac:dyDescent="0.2">
      <c r="A123" s="14"/>
      <c r="B123" s="23"/>
      <c r="C123" s="23"/>
      <c r="D123" s="22"/>
      <c r="E123" s="45"/>
      <c r="F123" s="22"/>
      <c r="G123" s="46"/>
      <c r="H123" s="46"/>
      <c r="I123" s="47" t="str">
        <f>IF(OR($D123="",$E123="",$G123="",$E123&lt;=0,$G123=0),"",$D123/$E123/$G123)</f>
        <v/>
      </c>
      <c r="J123" s="48" t="str">
        <f>IF(OR($I123="",NOT(ISNUMBER($H123)),$H123=0),"",$I123/$H123)</f>
        <v/>
      </c>
      <c r="K123" s="49" t="str">
        <f>IF(OR($I123="",NOT(ISNUMBER($H123))),"",$I123-$H123)</f>
        <v/>
      </c>
      <c r="L123" s="39" t="str">
        <f>IF($I123="","",IF(NOT(ISNUMBER($H123)),"Standard manquant",IF($J123&gt;=1,"Standard atteint",IF($J123&gt;=SeuilAlerte,"Alerte","Sous standard"))))</f>
        <v/>
      </c>
      <c r="M123" s="40" t="str">
        <f>IF(OR($D123="",$E123="",$E123&lt;=0),"",$D123/$E123)</f>
        <v/>
      </c>
      <c r="N123" s="40"/>
    </row>
    <row r="124" spans="1:14" ht="15" customHeight="1" x14ac:dyDescent="0.2">
      <c r="A124" s="14"/>
      <c r="B124" s="23"/>
      <c r="C124" s="23"/>
      <c r="D124" s="22"/>
      <c r="E124" s="45"/>
      <c r="F124" s="22"/>
      <c r="G124" s="46"/>
      <c r="H124" s="46"/>
      <c r="I124" s="47" t="str">
        <f>IF(OR($D124="",$E124="",$G124="",$E124&lt;=0,$G124=0),"",$D124/$E124/$G124)</f>
        <v/>
      </c>
      <c r="J124" s="48" t="str">
        <f>IF(OR($I124="",NOT(ISNUMBER($H124)),$H124=0),"",$I124/$H124)</f>
        <v/>
      </c>
      <c r="K124" s="49" t="str">
        <f>IF(OR($I124="",NOT(ISNUMBER($H124))),"",$I124-$H124)</f>
        <v/>
      </c>
      <c r="L124" s="39" t="str">
        <f>IF($I124="","",IF(NOT(ISNUMBER($H124)),"Standard manquant",IF($J124&gt;=1,"Standard atteint",IF($J124&gt;=SeuilAlerte,"Alerte","Sous standard"))))</f>
        <v/>
      </c>
      <c r="M124" s="40" t="str">
        <f>IF(OR($D124="",$E124="",$E124&lt;=0),"",$D124/$E124)</f>
        <v/>
      </c>
      <c r="N124" s="40"/>
    </row>
    <row r="125" spans="1:14" ht="15" customHeight="1" x14ac:dyDescent="0.2">
      <c r="A125" s="14"/>
      <c r="B125" s="23"/>
      <c r="C125" s="23"/>
      <c r="D125" s="22"/>
      <c r="E125" s="45"/>
      <c r="F125" s="22"/>
      <c r="G125" s="46"/>
      <c r="H125" s="46"/>
      <c r="I125" s="47" t="str">
        <f>IF(OR($D125="",$E125="",$G125="",$E125&lt;=0,$G125=0),"",$D125/$E125/$G125)</f>
        <v/>
      </c>
      <c r="J125" s="48" t="str">
        <f>IF(OR($I125="",NOT(ISNUMBER($H125)),$H125=0),"",$I125/$H125)</f>
        <v/>
      </c>
      <c r="K125" s="49" t="str">
        <f>IF(OR($I125="",NOT(ISNUMBER($H125))),"",$I125-$H125)</f>
        <v/>
      </c>
      <c r="L125" s="39" t="str">
        <f>IF($I125="","",IF(NOT(ISNUMBER($H125)),"Standard manquant",IF($J125&gt;=1,"Standard atteint",IF($J125&gt;=SeuilAlerte,"Alerte","Sous standard"))))</f>
        <v/>
      </c>
      <c r="M125" s="40" t="str">
        <f>IF(OR($D125="",$E125="",$E125&lt;=0),"",$D125/$E125)</f>
        <v/>
      </c>
      <c r="N125" s="40"/>
    </row>
    <row r="126" spans="1:14" ht="15" customHeight="1" x14ac:dyDescent="0.2">
      <c r="A126" s="14"/>
      <c r="B126" s="23"/>
      <c r="C126" s="23"/>
      <c r="D126" s="22"/>
      <c r="E126" s="45"/>
      <c r="F126" s="22"/>
      <c r="G126" s="46"/>
      <c r="H126" s="46"/>
      <c r="I126" s="47" t="str">
        <f>IF(OR($D126="",$E126="",$G126="",$E126&lt;=0,$G126=0),"",$D126/$E126/$G126)</f>
        <v/>
      </c>
      <c r="J126" s="48" t="str">
        <f>IF(OR($I126="",NOT(ISNUMBER($H126)),$H126=0),"",$I126/$H126)</f>
        <v/>
      </c>
      <c r="K126" s="49" t="str">
        <f>IF(OR($I126="",NOT(ISNUMBER($H126))),"",$I126-$H126)</f>
        <v/>
      </c>
      <c r="L126" s="39" t="str">
        <f>IF($I126="","",IF(NOT(ISNUMBER($H126)),"Standard manquant",IF($J126&gt;=1,"Standard atteint",IF($J126&gt;=SeuilAlerte,"Alerte","Sous standard"))))</f>
        <v/>
      </c>
      <c r="M126" s="40" t="str">
        <f>IF(OR($D126="",$E126="",$E126&lt;=0),"",$D126/$E126)</f>
        <v/>
      </c>
      <c r="N126" s="40"/>
    </row>
    <row r="127" spans="1:14" ht="15" customHeight="1" x14ac:dyDescent="0.2">
      <c r="A127" s="14"/>
      <c r="B127" s="23"/>
      <c r="C127" s="23"/>
      <c r="D127" s="22"/>
      <c r="E127" s="45"/>
      <c r="F127" s="22"/>
      <c r="G127" s="46"/>
      <c r="H127" s="46"/>
      <c r="I127" s="47" t="str">
        <f>IF(OR($D127="",$E127="",$G127="",$E127&lt;=0,$G127=0),"",$D127/$E127/$G127)</f>
        <v/>
      </c>
      <c r="J127" s="48" t="str">
        <f>IF(OR($I127="",NOT(ISNUMBER($H127)),$H127=0),"",$I127/$H127)</f>
        <v/>
      </c>
      <c r="K127" s="49" t="str">
        <f>IF(OR($I127="",NOT(ISNUMBER($H127))),"",$I127-$H127)</f>
        <v/>
      </c>
      <c r="L127" s="39" t="str">
        <f>IF($I127="","",IF(NOT(ISNUMBER($H127)),"Standard manquant",IF($J127&gt;=1,"Standard atteint",IF($J127&gt;=SeuilAlerte,"Alerte","Sous standard"))))</f>
        <v/>
      </c>
      <c r="M127" s="40" t="str">
        <f>IF(OR($D127="",$E127="",$E127&lt;=0),"",$D127/$E127)</f>
        <v/>
      </c>
      <c r="N127" s="40"/>
    </row>
    <row r="128" spans="1:14" ht="15" customHeight="1" x14ac:dyDescent="0.2">
      <c r="A128" s="14"/>
      <c r="B128" s="23"/>
      <c r="C128" s="23"/>
      <c r="D128" s="22"/>
      <c r="E128" s="45"/>
      <c r="F128" s="22"/>
      <c r="G128" s="46"/>
      <c r="H128" s="46"/>
      <c r="I128" s="47" t="str">
        <f>IF(OR($D128="",$E128="",$G128="",$E128&lt;=0,$G128=0),"",$D128/$E128/$G128)</f>
        <v/>
      </c>
      <c r="J128" s="48" t="str">
        <f>IF(OR($I128="",NOT(ISNUMBER($H128)),$H128=0),"",$I128/$H128)</f>
        <v/>
      </c>
      <c r="K128" s="49" t="str">
        <f>IF(OR($I128="",NOT(ISNUMBER($H128))),"",$I128-$H128)</f>
        <v/>
      </c>
      <c r="L128" s="39" t="str">
        <f>IF($I128="","",IF(NOT(ISNUMBER($H128)),"Standard manquant",IF($J128&gt;=1,"Standard atteint",IF($J128&gt;=SeuilAlerte,"Alerte","Sous standard"))))</f>
        <v/>
      </c>
      <c r="M128" s="40" t="str">
        <f>IF(OR($D128="",$E128="",$E128&lt;=0),"",$D128/$E128)</f>
        <v/>
      </c>
      <c r="N128" s="40"/>
    </row>
    <row r="129" spans="1:14" ht="15" customHeight="1" x14ac:dyDescent="0.2">
      <c r="A129" s="14"/>
      <c r="B129" s="23"/>
      <c r="C129" s="23"/>
      <c r="D129" s="22"/>
      <c r="E129" s="45"/>
      <c r="F129" s="22"/>
      <c r="G129" s="46"/>
      <c r="H129" s="46"/>
      <c r="I129" s="47" t="str">
        <f>IF(OR($D129="",$E129="",$G129="",$E129&lt;=0,$G129=0),"",$D129/$E129/$G129)</f>
        <v/>
      </c>
      <c r="J129" s="48" t="str">
        <f>IF(OR($I129="",NOT(ISNUMBER($H129)),$H129=0),"",$I129/$H129)</f>
        <v/>
      </c>
      <c r="K129" s="49" t="str">
        <f>IF(OR($I129="",NOT(ISNUMBER($H129))),"",$I129-$H129)</f>
        <v/>
      </c>
      <c r="L129" s="39" t="str">
        <f>IF($I129="","",IF(NOT(ISNUMBER($H129)),"Standard manquant",IF($J129&gt;=1,"Standard atteint",IF($J129&gt;=SeuilAlerte,"Alerte","Sous standard"))))</f>
        <v/>
      </c>
      <c r="M129" s="40" t="str">
        <f>IF(OR($D129="",$E129="",$E129&lt;=0),"",$D129/$E129)</f>
        <v/>
      </c>
      <c r="N129" s="40"/>
    </row>
    <row r="130" spans="1:14" ht="15" customHeight="1" x14ac:dyDescent="0.2">
      <c r="A130" s="14"/>
      <c r="B130" s="23"/>
      <c r="C130" s="23"/>
      <c r="D130" s="22"/>
      <c r="E130" s="45"/>
      <c r="F130" s="22"/>
      <c r="G130" s="46"/>
      <c r="H130" s="46"/>
      <c r="I130" s="47" t="str">
        <f>IF(OR($D130="",$E130="",$G130="",$E130&lt;=0,$G130=0),"",$D130/$E130/$G130)</f>
        <v/>
      </c>
      <c r="J130" s="48" t="str">
        <f>IF(OR($I130="",NOT(ISNUMBER($H130)),$H130=0),"",$I130/$H130)</f>
        <v/>
      </c>
      <c r="K130" s="49" t="str">
        <f>IF(OR($I130="",NOT(ISNUMBER($H130))),"",$I130-$H130)</f>
        <v/>
      </c>
      <c r="L130" s="39" t="str">
        <f>IF($I130="","",IF(NOT(ISNUMBER($H130)),"Standard manquant",IF($J130&gt;=1,"Standard atteint",IF($J130&gt;=SeuilAlerte,"Alerte","Sous standard"))))</f>
        <v/>
      </c>
      <c r="M130" s="40" t="str">
        <f>IF(OR($D130="",$E130="",$E130&lt;=0),"",$D130/$E130)</f>
        <v/>
      </c>
      <c r="N130" s="40"/>
    </row>
    <row r="131" spans="1:14" ht="15" customHeight="1" x14ac:dyDescent="0.2">
      <c r="A131" s="14"/>
      <c r="B131" s="23"/>
      <c r="C131" s="23"/>
      <c r="D131" s="22"/>
      <c r="E131" s="45"/>
      <c r="F131" s="22"/>
      <c r="G131" s="46"/>
      <c r="H131" s="46"/>
      <c r="I131" s="47" t="str">
        <f>IF(OR($D131="",$E131="",$G131="",$E131&lt;=0,$G131=0),"",$D131/$E131/$G131)</f>
        <v/>
      </c>
      <c r="J131" s="48" t="str">
        <f>IF(OR($I131="",NOT(ISNUMBER($H131)),$H131=0),"",$I131/$H131)</f>
        <v/>
      </c>
      <c r="K131" s="49" t="str">
        <f>IF(OR($I131="",NOT(ISNUMBER($H131))),"",$I131-$H131)</f>
        <v/>
      </c>
      <c r="L131" s="39" t="str">
        <f>IF($I131="","",IF(NOT(ISNUMBER($H131)),"Standard manquant",IF($J131&gt;=1,"Standard atteint",IF($J131&gt;=SeuilAlerte,"Alerte","Sous standard"))))</f>
        <v/>
      </c>
      <c r="M131" s="40" t="str">
        <f>IF(OR($D131="",$E131="",$E131&lt;=0),"",$D131/$E131)</f>
        <v/>
      </c>
      <c r="N131" s="40"/>
    </row>
    <row r="132" spans="1:14" ht="15" customHeight="1" x14ac:dyDescent="0.2">
      <c r="A132" s="14"/>
      <c r="B132" s="23"/>
      <c r="C132" s="23"/>
      <c r="D132" s="22"/>
      <c r="E132" s="45"/>
      <c r="F132" s="22"/>
      <c r="G132" s="46"/>
      <c r="H132" s="46"/>
      <c r="I132" s="47" t="str">
        <f>IF(OR($D132="",$E132="",$G132="",$E132&lt;=0,$G132=0),"",$D132/$E132/$G132)</f>
        <v/>
      </c>
      <c r="J132" s="48" t="str">
        <f>IF(OR($I132="",NOT(ISNUMBER($H132)),$H132=0),"",$I132/$H132)</f>
        <v/>
      </c>
      <c r="K132" s="49" t="str">
        <f>IF(OR($I132="",NOT(ISNUMBER($H132))),"",$I132-$H132)</f>
        <v/>
      </c>
      <c r="L132" s="39" t="str">
        <f>IF($I132="","",IF(NOT(ISNUMBER($H132)),"Standard manquant",IF($J132&gt;=1,"Standard atteint",IF($J132&gt;=SeuilAlerte,"Alerte","Sous standard"))))</f>
        <v/>
      </c>
      <c r="M132" s="40" t="str">
        <f>IF(OR($D132="",$E132="",$E132&lt;=0),"",$D132/$E132)</f>
        <v/>
      </c>
      <c r="N132" s="40"/>
    </row>
    <row r="133" spans="1:14" ht="15" customHeight="1" x14ac:dyDescent="0.2">
      <c r="A133" s="14"/>
      <c r="B133" s="23"/>
      <c r="C133" s="23"/>
      <c r="D133" s="22"/>
      <c r="E133" s="45"/>
      <c r="F133" s="22"/>
      <c r="G133" s="46"/>
      <c r="H133" s="46"/>
      <c r="I133" s="47" t="str">
        <f>IF(OR($D133="",$E133="",$G133="",$E133&lt;=0,$G133=0),"",$D133/$E133/$G133)</f>
        <v/>
      </c>
      <c r="J133" s="48" t="str">
        <f>IF(OR($I133="",NOT(ISNUMBER($H133)),$H133=0),"",$I133/$H133)</f>
        <v/>
      </c>
      <c r="K133" s="49" t="str">
        <f>IF(OR($I133="",NOT(ISNUMBER($H133))),"",$I133-$H133)</f>
        <v/>
      </c>
      <c r="L133" s="39" t="str">
        <f>IF($I133="","",IF(NOT(ISNUMBER($H133)),"Standard manquant",IF($J133&gt;=1,"Standard atteint",IF($J133&gt;=SeuilAlerte,"Alerte","Sous standard"))))</f>
        <v/>
      </c>
      <c r="M133" s="40" t="str">
        <f>IF(OR($D133="",$E133="",$E133&lt;=0),"",$D133/$E133)</f>
        <v/>
      </c>
      <c r="N133" s="40"/>
    </row>
    <row r="134" spans="1:14" ht="15" customHeight="1" x14ac:dyDescent="0.2">
      <c r="A134" s="14"/>
      <c r="B134" s="23"/>
      <c r="C134" s="23"/>
      <c r="D134" s="22"/>
      <c r="E134" s="45"/>
      <c r="F134" s="22"/>
      <c r="G134" s="46"/>
      <c r="H134" s="46"/>
      <c r="I134" s="47" t="str">
        <f>IF(OR($D134="",$E134="",$G134="",$E134&lt;=0,$G134=0),"",$D134/$E134/$G134)</f>
        <v/>
      </c>
      <c r="J134" s="48" t="str">
        <f>IF(OR($I134="",NOT(ISNUMBER($H134)),$H134=0),"",$I134/$H134)</f>
        <v/>
      </c>
      <c r="K134" s="49" t="str">
        <f>IF(OR($I134="",NOT(ISNUMBER($H134))),"",$I134-$H134)</f>
        <v/>
      </c>
      <c r="L134" s="39" t="str">
        <f>IF($I134="","",IF(NOT(ISNUMBER($H134)),"Standard manquant",IF($J134&gt;=1,"Standard atteint",IF($J134&gt;=SeuilAlerte,"Alerte","Sous standard"))))</f>
        <v/>
      </c>
      <c r="M134" s="40" t="str">
        <f>IF(OR($D134="",$E134="",$E134&lt;=0),"",$D134/$E134)</f>
        <v/>
      </c>
      <c r="N134" s="40"/>
    </row>
    <row r="135" spans="1:14" ht="15" customHeight="1" x14ac:dyDescent="0.2">
      <c r="A135" s="14"/>
      <c r="B135" s="23"/>
      <c r="C135" s="23"/>
      <c r="D135" s="22"/>
      <c r="E135" s="45"/>
      <c r="F135" s="22"/>
      <c r="G135" s="46"/>
      <c r="H135" s="46"/>
      <c r="I135" s="47" t="str">
        <f>IF(OR($D135="",$E135="",$G135="",$E135&lt;=0,$G135=0),"",$D135/$E135/$G135)</f>
        <v/>
      </c>
      <c r="J135" s="48" t="str">
        <f>IF(OR($I135="",NOT(ISNUMBER($H135)),$H135=0),"",$I135/$H135)</f>
        <v/>
      </c>
      <c r="K135" s="49" t="str">
        <f>IF(OR($I135="",NOT(ISNUMBER($H135))),"",$I135-$H135)</f>
        <v/>
      </c>
      <c r="L135" s="39" t="str">
        <f>IF($I135="","",IF(NOT(ISNUMBER($H135)),"Standard manquant",IF($J135&gt;=1,"Standard atteint",IF($J135&gt;=SeuilAlerte,"Alerte","Sous standard"))))</f>
        <v/>
      </c>
      <c r="M135" s="40" t="str">
        <f>IF(OR($D135="",$E135="",$E135&lt;=0),"",$D135/$E135)</f>
        <v/>
      </c>
      <c r="N135" s="40"/>
    </row>
    <row r="136" spans="1:14" ht="15" customHeight="1" x14ac:dyDescent="0.2">
      <c r="A136" s="14"/>
      <c r="B136" s="23"/>
      <c r="C136" s="23"/>
      <c r="D136" s="22"/>
      <c r="E136" s="45"/>
      <c r="F136" s="22"/>
      <c r="G136" s="46"/>
      <c r="H136" s="46"/>
      <c r="I136" s="47" t="str">
        <f>IF(OR($D136="",$E136="",$G136="",$E136&lt;=0,$G136=0),"",$D136/$E136/$G136)</f>
        <v/>
      </c>
      <c r="J136" s="48" t="str">
        <f>IF(OR($I136="",NOT(ISNUMBER($H136)),$H136=0),"",$I136/$H136)</f>
        <v/>
      </c>
      <c r="K136" s="49" t="str">
        <f>IF(OR($I136="",NOT(ISNUMBER($H136))),"",$I136-$H136)</f>
        <v/>
      </c>
      <c r="L136" s="39" t="str">
        <f>IF($I136="","",IF(NOT(ISNUMBER($H136)),"Standard manquant",IF($J136&gt;=1,"Standard atteint",IF($J136&gt;=SeuilAlerte,"Alerte","Sous standard"))))</f>
        <v/>
      </c>
      <c r="M136" s="40" t="str">
        <f>IF(OR($D136="",$E136="",$E136&lt;=0),"",$D136/$E136)</f>
        <v/>
      </c>
      <c r="N136" s="40"/>
    </row>
    <row r="137" spans="1:14" ht="15" customHeight="1" x14ac:dyDescent="0.2">
      <c r="A137" s="14"/>
      <c r="B137" s="23"/>
      <c r="C137" s="23"/>
      <c r="D137" s="22"/>
      <c r="E137" s="45"/>
      <c r="F137" s="22"/>
      <c r="G137" s="46"/>
      <c r="H137" s="46"/>
      <c r="I137" s="47" t="str">
        <f>IF(OR($D137="",$E137="",$G137="",$E137&lt;=0,$G137=0),"",$D137/$E137/$G137)</f>
        <v/>
      </c>
      <c r="J137" s="48" t="str">
        <f>IF(OR($I137="",NOT(ISNUMBER($H137)),$H137=0),"",$I137/$H137)</f>
        <v/>
      </c>
      <c r="K137" s="49" t="str">
        <f>IF(OR($I137="",NOT(ISNUMBER($H137))),"",$I137-$H137)</f>
        <v/>
      </c>
      <c r="L137" s="39" t="str">
        <f>IF($I137="","",IF(NOT(ISNUMBER($H137)),"Standard manquant",IF($J137&gt;=1,"Standard atteint",IF($J137&gt;=SeuilAlerte,"Alerte","Sous standard"))))</f>
        <v/>
      </c>
      <c r="M137" s="40" t="str">
        <f>IF(OR($D137="",$E137="",$E137&lt;=0),"",$D137/$E137)</f>
        <v/>
      </c>
      <c r="N137" s="40"/>
    </row>
    <row r="138" spans="1:14" ht="15" customHeight="1" x14ac:dyDescent="0.2">
      <c r="A138" s="14"/>
      <c r="B138" s="23"/>
      <c r="C138" s="23"/>
      <c r="D138" s="22"/>
      <c r="E138" s="45"/>
      <c r="F138" s="22"/>
      <c r="G138" s="46"/>
      <c r="H138" s="46"/>
      <c r="I138" s="47" t="str">
        <f>IF(OR($D138="",$E138="",$G138="",$E138&lt;=0,$G138=0),"",$D138/$E138/$G138)</f>
        <v/>
      </c>
      <c r="J138" s="48" t="str">
        <f>IF(OR($I138="",NOT(ISNUMBER($H138)),$H138=0),"",$I138/$H138)</f>
        <v/>
      </c>
      <c r="K138" s="49" t="str">
        <f>IF(OR($I138="",NOT(ISNUMBER($H138))),"",$I138-$H138)</f>
        <v/>
      </c>
      <c r="L138" s="39" t="str">
        <f>IF($I138="","",IF(NOT(ISNUMBER($H138)),"Standard manquant",IF($J138&gt;=1,"Standard atteint",IF($J138&gt;=SeuilAlerte,"Alerte","Sous standard"))))</f>
        <v/>
      </c>
      <c r="M138" s="40" t="str">
        <f>IF(OR($D138="",$E138="",$E138&lt;=0),"",$D138/$E138)</f>
        <v/>
      </c>
      <c r="N138" s="40"/>
    </row>
    <row r="139" spans="1:14" ht="15" customHeight="1" x14ac:dyDescent="0.2">
      <c r="A139" s="14"/>
      <c r="B139" s="23"/>
      <c r="C139" s="23"/>
      <c r="D139" s="22"/>
      <c r="E139" s="45"/>
      <c r="F139" s="22"/>
      <c r="G139" s="46"/>
      <c r="H139" s="46"/>
      <c r="I139" s="47" t="str">
        <f>IF(OR($D139="",$E139="",$G139="",$E139&lt;=0,$G139=0),"",$D139/$E139/$G139)</f>
        <v/>
      </c>
      <c r="J139" s="48" t="str">
        <f>IF(OR($I139="",NOT(ISNUMBER($H139)),$H139=0),"",$I139/$H139)</f>
        <v/>
      </c>
      <c r="K139" s="49" t="str">
        <f>IF(OR($I139="",NOT(ISNUMBER($H139))),"",$I139-$H139)</f>
        <v/>
      </c>
      <c r="L139" s="39" t="str">
        <f>IF($I139="","",IF(NOT(ISNUMBER($H139)),"Standard manquant",IF($J139&gt;=1,"Standard atteint",IF($J139&gt;=SeuilAlerte,"Alerte","Sous standard"))))</f>
        <v/>
      </c>
      <c r="M139" s="40" t="str">
        <f>IF(OR($D139="",$E139="",$E139&lt;=0),"",$D139/$E139)</f>
        <v/>
      </c>
      <c r="N139" s="40"/>
    </row>
    <row r="140" spans="1:14" ht="15" customHeight="1" x14ac:dyDescent="0.2">
      <c r="A140" s="14"/>
      <c r="B140" s="23"/>
      <c r="C140" s="23"/>
      <c r="D140" s="22"/>
      <c r="E140" s="45"/>
      <c r="F140" s="22"/>
      <c r="G140" s="46"/>
      <c r="H140" s="46"/>
      <c r="I140" s="47" t="str">
        <f>IF(OR($D140="",$E140="",$G140="",$E140&lt;=0,$G140=0),"",$D140/$E140/$G140)</f>
        <v/>
      </c>
      <c r="J140" s="48" t="str">
        <f>IF(OR($I140="",NOT(ISNUMBER($H140)),$H140=0),"",$I140/$H140)</f>
        <v/>
      </c>
      <c r="K140" s="49" t="str">
        <f>IF(OR($I140="",NOT(ISNUMBER($H140))),"",$I140-$H140)</f>
        <v/>
      </c>
      <c r="L140" s="39" t="str">
        <f>IF($I140="","",IF(NOT(ISNUMBER($H140)),"Standard manquant",IF($J140&gt;=1,"Standard atteint",IF($J140&gt;=SeuilAlerte,"Alerte","Sous standard"))))</f>
        <v/>
      </c>
      <c r="M140" s="40" t="str">
        <f>IF(OR($D140="",$E140="",$E140&lt;=0),"",$D140/$E140)</f>
        <v/>
      </c>
      <c r="N140" s="40"/>
    </row>
    <row r="141" spans="1:14" ht="15" customHeight="1" x14ac:dyDescent="0.2">
      <c r="A141" s="14"/>
      <c r="B141" s="23"/>
      <c r="C141" s="23"/>
      <c r="D141" s="22"/>
      <c r="E141" s="45"/>
      <c r="F141" s="22"/>
      <c r="G141" s="46"/>
      <c r="H141" s="46"/>
      <c r="I141" s="47" t="str">
        <f>IF(OR($D141="",$E141="",$G141="",$E141&lt;=0,$G141=0),"",$D141/$E141/$G141)</f>
        <v/>
      </c>
      <c r="J141" s="48" t="str">
        <f>IF(OR($I141="",NOT(ISNUMBER($H141)),$H141=0),"",$I141/$H141)</f>
        <v/>
      </c>
      <c r="K141" s="49" t="str">
        <f>IF(OR($I141="",NOT(ISNUMBER($H141))),"",$I141-$H141)</f>
        <v/>
      </c>
      <c r="L141" s="39" t="str">
        <f>IF($I141="","",IF(NOT(ISNUMBER($H141)),"Standard manquant",IF($J141&gt;=1,"Standard atteint",IF($J141&gt;=SeuilAlerte,"Alerte","Sous standard"))))</f>
        <v/>
      </c>
      <c r="M141" s="40" t="str">
        <f>IF(OR($D141="",$E141="",$E141&lt;=0),"",$D141/$E141)</f>
        <v/>
      </c>
      <c r="N141" s="40"/>
    </row>
    <row r="142" spans="1:14" ht="15" customHeight="1" x14ac:dyDescent="0.2">
      <c r="A142" s="14"/>
      <c r="B142" s="23"/>
      <c r="C142" s="23"/>
      <c r="D142" s="22"/>
      <c r="E142" s="45"/>
      <c r="F142" s="22"/>
      <c r="G142" s="46"/>
      <c r="H142" s="46"/>
      <c r="I142" s="47" t="str">
        <f>IF(OR($D142="",$E142="",$G142="",$E142&lt;=0,$G142=0),"",$D142/$E142/$G142)</f>
        <v/>
      </c>
      <c r="J142" s="48" t="str">
        <f>IF(OR($I142="",NOT(ISNUMBER($H142)),$H142=0),"",$I142/$H142)</f>
        <v/>
      </c>
      <c r="K142" s="49" t="str">
        <f>IF(OR($I142="",NOT(ISNUMBER($H142))),"",$I142-$H142)</f>
        <v/>
      </c>
      <c r="L142" s="39" t="str">
        <f>IF($I142="","",IF(NOT(ISNUMBER($H142)),"Standard manquant",IF($J142&gt;=1,"Standard atteint",IF($J142&gt;=SeuilAlerte,"Alerte","Sous standard"))))</f>
        <v/>
      </c>
      <c r="M142" s="40" t="str">
        <f>IF(OR($D142="",$E142="",$E142&lt;=0),"",$D142/$E142)</f>
        <v/>
      </c>
      <c r="N142" s="40"/>
    </row>
    <row r="143" spans="1:14" ht="15" customHeight="1" x14ac:dyDescent="0.2">
      <c r="A143" s="14"/>
      <c r="B143" s="23"/>
      <c r="C143" s="23"/>
      <c r="D143" s="22"/>
      <c r="E143" s="45"/>
      <c r="F143" s="22"/>
      <c r="G143" s="46"/>
      <c r="H143" s="46"/>
      <c r="I143" s="47" t="str">
        <f>IF(OR($D143="",$E143="",$G143="",$E143&lt;=0,$G143=0),"",$D143/$E143/$G143)</f>
        <v/>
      </c>
      <c r="J143" s="48" t="str">
        <f>IF(OR($I143="",NOT(ISNUMBER($H143)),$H143=0),"",$I143/$H143)</f>
        <v/>
      </c>
      <c r="K143" s="49" t="str">
        <f>IF(OR($I143="",NOT(ISNUMBER($H143))),"",$I143-$H143)</f>
        <v/>
      </c>
      <c r="L143" s="39" t="str">
        <f>IF($I143="","",IF(NOT(ISNUMBER($H143)),"Standard manquant",IF($J143&gt;=1,"Standard atteint",IF($J143&gt;=SeuilAlerte,"Alerte","Sous standard"))))</f>
        <v/>
      </c>
      <c r="M143" s="40" t="str">
        <f>IF(OR($D143="",$E143="",$E143&lt;=0),"",$D143/$E143)</f>
        <v/>
      </c>
      <c r="N143" s="40"/>
    </row>
    <row r="144" spans="1:14" ht="15" customHeight="1" x14ac:dyDescent="0.2">
      <c r="A144" s="14"/>
      <c r="B144" s="23"/>
      <c r="C144" s="23"/>
      <c r="D144" s="22"/>
      <c r="E144" s="45"/>
      <c r="F144" s="22"/>
      <c r="G144" s="46"/>
      <c r="H144" s="46"/>
      <c r="I144" s="47" t="str">
        <f>IF(OR($D144="",$E144="",$G144="",$E144&lt;=0,$G144=0),"",$D144/$E144/$G144)</f>
        <v/>
      </c>
      <c r="J144" s="48" t="str">
        <f>IF(OR($I144="",NOT(ISNUMBER($H144)),$H144=0),"",$I144/$H144)</f>
        <v/>
      </c>
      <c r="K144" s="49" t="str">
        <f>IF(OR($I144="",NOT(ISNUMBER($H144))),"",$I144-$H144)</f>
        <v/>
      </c>
      <c r="L144" s="39" t="str">
        <f>IF($I144="","",IF(NOT(ISNUMBER($H144)),"Standard manquant",IF($J144&gt;=1,"Standard atteint",IF($J144&gt;=SeuilAlerte,"Alerte","Sous standard"))))</f>
        <v/>
      </c>
      <c r="M144" s="40" t="str">
        <f>IF(OR($D144="",$E144="",$E144&lt;=0),"",$D144/$E144)</f>
        <v/>
      </c>
      <c r="N144" s="40"/>
    </row>
    <row r="145" spans="1:14" ht="15" customHeight="1" x14ac:dyDescent="0.2">
      <c r="A145" s="14"/>
      <c r="B145" s="23"/>
      <c r="C145" s="23"/>
      <c r="D145" s="22"/>
      <c r="E145" s="45"/>
      <c r="F145" s="22"/>
      <c r="G145" s="46"/>
      <c r="H145" s="46"/>
      <c r="I145" s="47" t="str">
        <f>IF(OR($D145="",$E145="",$G145="",$E145&lt;=0,$G145=0),"",$D145/$E145/$G145)</f>
        <v/>
      </c>
      <c r="J145" s="48" t="str">
        <f>IF(OR($I145="",NOT(ISNUMBER($H145)),$H145=0),"",$I145/$H145)</f>
        <v/>
      </c>
      <c r="K145" s="49" t="str">
        <f>IF(OR($I145="",NOT(ISNUMBER($H145))),"",$I145-$H145)</f>
        <v/>
      </c>
      <c r="L145" s="39" t="str">
        <f>IF($I145="","",IF(NOT(ISNUMBER($H145)),"Standard manquant",IF($J145&gt;=1,"Standard atteint",IF($J145&gt;=SeuilAlerte,"Alerte","Sous standard"))))</f>
        <v/>
      </c>
      <c r="M145" s="40" t="str">
        <f>IF(OR($D145="",$E145="",$E145&lt;=0),"",$D145/$E145)</f>
        <v/>
      </c>
      <c r="N145" s="40"/>
    </row>
    <row r="146" spans="1:14" ht="15" customHeight="1" x14ac:dyDescent="0.2">
      <c r="A146" s="14"/>
      <c r="B146" s="23"/>
      <c r="C146" s="23"/>
      <c r="D146" s="22"/>
      <c r="E146" s="45"/>
      <c r="F146" s="22"/>
      <c r="G146" s="46"/>
      <c r="H146" s="46"/>
      <c r="I146" s="47" t="str">
        <f>IF(OR($D146="",$E146="",$G146="",$E146&lt;=0,$G146=0),"",$D146/$E146/$G146)</f>
        <v/>
      </c>
      <c r="J146" s="48" t="str">
        <f>IF(OR($I146="",NOT(ISNUMBER($H146)),$H146=0),"",$I146/$H146)</f>
        <v/>
      </c>
      <c r="K146" s="49" t="str">
        <f>IF(OR($I146="",NOT(ISNUMBER($H146))),"",$I146-$H146)</f>
        <v/>
      </c>
      <c r="L146" s="39" t="str">
        <f>IF($I146="","",IF(NOT(ISNUMBER($H146)),"Standard manquant",IF($J146&gt;=1,"Standard atteint",IF($J146&gt;=SeuilAlerte,"Alerte","Sous standard"))))</f>
        <v/>
      </c>
      <c r="M146" s="40" t="str">
        <f>IF(OR($D146="",$E146="",$E146&lt;=0),"",$D146/$E146)</f>
        <v/>
      </c>
      <c r="N146" s="40"/>
    </row>
    <row r="147" spans="1:14" ht="15" customHeight="1" x14ac:dyDescent="0.2">
      <c r="A147" s="14"/>
      <c r="B147" s="23"/>
      <c r="C147" s="23"/>
      <c r="D147" s="22"/>
      <c r="E147" s="45"/>
      <c r="F147" s="22"/>
      <c r="G147" s="46"/>
      <c r="H147" s="46"/>
      <c r="I147" s="47" t="str">
        <f>IF(OR($D147="",$E147="",$G147="",$E147&lt;=0,$G147=0),"",$D147/$E147/$G147)</f>
        <v/>
      </c>
      <c r="J147" s="48" t="str">
        <f>IF(OR($I147="",NOT(ISNUMBER($H147)),$H147=0),"",$I147/$H147)</f>
        <v/>
      </c>
      <c r="K147" s="49" t="str">
        <f>IF(OR($I147="",NOT(ISNUMBER($H147))),"",$I147-$H147)</f>
        <v/>
      </c>
      <c r="L147" s="39" t="str">
        <f>IF($I147="","",IF(NOT(ISNUMBER($H147)),"Standard manquant",IF($J147&gt;=1,"Standard atteint",IF($J147&gt;=SeuilAlerte,"Alerte","Sous standard"))))</f>
        <v/>
      </c>
      <c r="M147" s="40" t="str">
        <f>IF(OR($D147="",$E147="",$E147&lt;=0),"",$D147/$E147)</f>
        <v/>
      </c>
      <c r="N147" s="40"/>
    </row>
    <row r="148" spans="1:14" ht="15" customHeight="1" x14ac:dyDescent="0.2">
      <c r="A148" s="14"/>
      <c r="B148" s="23"/>
      <c r="C148" s="23"/>
      <c r="D148" s="22"/>
      <c r="E148" s="45"/>
      <c r="F148" s="22"/>
      <c r="G148" s="46"/>
      <c r="H148" s="46"/>
      <c r="I148" s="47" t="str">
        <f>IF(OR($D148="",$E148="",$G148="",$E148&lt;=0,$G148=0),"",$D148/$E148/$G148)</f>
        <v/>
      </c>
      <c r="J148" s="48" t="str">
        <f>IF(OR($I148="",NOT(ISNUMBER($H148)),$H148=0),"",$I148/$H148)</f>
        <v/>
      </c>
      <c r="K148" s="49" t="str">
        <f>IF(OR($I148="",NOT(ISNUMBER($H148))),"",$I148-$H148)</f>
        <v/>
      </c>
      <c r="L148" s="39" t="str">
        <f>IF($I148="","",IF(NOT(ISNUMBER($H148)),"Standard manquant",IF($J148&gt;=1,"Standard atteint",IF($J148&gt;=SeuilAlerte,"Alerte","Sous standard"))))</f>
        <v/>
      </c>
      <c r="M148" s="40" t="str">
        <f>IF(OR($D148="",$E148="",$E148&lt;=0),"",$D148/$E148)</f>
        <v/>
      </c>
      <c r="N148" s="40"/>
    </row>
    <row r="149" spans="1:14" ht="15" customHeight="1" x14ac:dyDescent="0.2">
      <c r="A149" s="14"/>
      <c r="B149" s="23"/>
      <c r="C149" s="23"/>
      <c r="D149" s="22"/>
      <c r="E149" s="45"/>
      <c r="F149" s="22"/>
      <c r="G149" s="46"/>
      <c r="H149" s="46"/>
      <c r="I149" s="47" t="str">
        <f>IF(OR($D149="",$E149="",$G149="",$E149&lt;=0,$G149=0),"",$D149/$E149/$G149)</f>
        <v/>
      </c>
      <c r="J149" s="48" t="str">
        <f>IF(OR($I149="",NOT(ISNUMBER($H149)),$H149=0),"",$I149/$H149)</f>
        <v/>
      </c>
      <c r="K149" s="49" t="str">
        <f>IF(OR($I149="",NOT(ISNUMBER($H149))),"",$I149-$H149)</f>
        <v/>
      </c>
      <c r="L149" s="39" t="str">
        <f>IF($I149="","",IF(NOT(ISNUMBER($H149)),"Standard manquant",IF($J149&gt;=1,"Standard atteint",IF($J149&gt;=SeuilAlerte,"Alerte","Sous standard"))))</f>
        <v/>
      </c>
      <c r="M149" s="40" t="str">
        <f>IF(OR($D149="",$E149="",$E149&lt;=0),"",$D149/$E149)</f>
        <v/>
      </c>
      <c r="N149" s="40"/>
    </row>
    <row r="150" spans="1:14" ht="15" customHeight="1" x14ac:dyDescent="0.2">
      <c r="A150" s="14"/>
      <c r="B150" s="23"/>
      <c r="C150" s="23"/>
      <c r="D150" s="22"/>
      <c r="E150" s="45"/>
      <c r="F150" s="22"/>
      <c r="G150" s="46"/>
      <c r="H150" s="46"/>
      <c r="I150" s="47" t="str">
        <f>IF(OR($D150="",$E150="",$G150="",$E150&lt;=0,$G150=0),"",$D150/$E150/$G150)</f>
        <v/>
      </c>
      <c r="J150" s="48" t="str">
        <f>IF(OR($I150="",NOT(ISNUMBER($H150)),$H150=0),"",$I150/$H150)</f>
        <v/>
      </c>
      <c r="K150" s="49" t="str">
        <f>IF(OR($I150="",NOT(ISNUMBER($H150))),"",$I150-$H150)</f>
        <v/>
      </c>
      <c r="L150" s="39" t="str">
        <f>IF($I150="","",IF(NOT(ISNUMBER($H150)),"Standard manquant",IF($J150&gt;=1,"Standard atteint",IF($J150&gt;=SeuilAlerte,"Alerte","Sous standard"))))</f>
        <v/>
      </c>
      <c r="M150" s="40" t="str">
        <f>IF(OR($D150="",$E150="",$E150&lt;=0),"",$D150/$E150)</f>
        <v/>
      </c>
      <c r="N150" s="40"/>
    </row>
    <row r="151" spans="1:14" ht="15" customHeight="1" x14ac:dyDescent="0.2">
      <c r="A151" s="14"/>
      <c r="B151" s="23"/>
      <c r="C151" s="23"/>
      <c r="D151" s="22"/>
      <c r="E151" s="45"/>
      <c r="F151" s="22"/>
      <c r="G151" s="46"/>
      <c r="H151" s="46"/>
      <c r="I151" s="47" t="str">
        <f>IF(OR($D151="",$E151="",$G151="",$E151&lt;=0,$G151=0),"",$D151/$E151/$G151)</f>
        <v/>
      </c>
      <c r="J151" s="48" t="str">
        <f>IF(OR($I151="",NOT(ISNUMBER($H151)),$H151=0),"",$I151/$H151)</f>
        <v/>
      </c>
      <c r="K151" s="49" t="str">
        <f>IF(OR($I151="",NOT(ISNUMBER($H151))),"",$I151-$H151)</f>
        <v/>
      </c>
      <c r="L151" s="39" t="str">
        <f>IF($I151="","",IF(NOT(ISNUMBER($H151)),"Standard manquant",IF($J151&gt;=1,"Standard atteint",IF($J151&gt;=SeuilAlerte,"Alerte","Sous standard"))))</f>
        <v/>
      </c>
      <c r="M151" s="40" t="str">
        <f>IF(OR($D151="",$E151="",$E151&lt;=0),"",$D151/$E151)</f>
        <v/>
      </c>
      <c r="N151" s="40"/>
    </row>
    <row r="152" spans="1:14" ht="15" customHeight="1" x14ac:dyDescent="0.2">
      <c r="A152" s="14"/>
      <c r="B152" s="23"/>
      <c r="C152" s="23"/>
      <c r="D152" s="22"/>
      <c r="E152" s="45"/>
      <c r="F152" s="22"/>
      <c r="G152" s="46"/>
      <c r="H152" s="46"/>
      <c r="I152" s="47" t="str">
        <f>IF(OR($D152="",$E152="",$G152="",$E152&lt;=0,$G152=0),"",$D152/$E152/$G152)</f>
        <v/>
      </c>
      <c r="J152" s="48" t="str">
        <f>IF(OR($I152="",NOT(ISNUMBER($H152)),$H152=0),"",$I152/$H152)</f>
        <v/>
      </c>
      <c r="K152" s="49" t="str">
        <f>IF(OR($I152="",NOT(ISNUMBER($H152))),"",$I152-$H152)</f>
        <v/>
      </c>
      <c r="L152" s="39" t="str">
        <f>IF($I152="","",IF(NOT(ISNUMBER($H152)),"Standard manquant",IF($J152&gt;=1,"Standard atteint",IF($J152&gt;=SeuilAlerte,"Alerte","Sous standard"))))</f>
        <v/>
      </c>
      <c r="M152" s="40" t="str">
        <f>IF(OR($D152="",$E152="",$E152&lt;=0),"",$D152/$E152)</f>
        <v/>
      </c>
      <c r="N152" s="40"/>
    </row>
    <row r="153" spans="1:14" ht="15" customHeight="1" x14ac:dyDescent="0.2">
      <c r="A153" s="14"/>
      <c r="B153" s="23"/>
      <c r="C153" s="23"/>
      <c r="D153" s="22"/>
      <c r="E153" s="45"/>
      <c r="F153" s="22"/>
      <c r="G153" s="46"/>
      <c r="H153" s="46"/>
      <c r="I153" s="47" t="str">
        <f>IF(OR($D153="",$E153="",$G153="",$E153&lt;=0,$G153=0),"",$D153/$E153/$G153)</f>
        <v/>
      </c>
      <c r="J153" s="48" t="str">
        <f>IF(OR($I153="",NOT(ISNUMBER($H153)),$H153=0),"",$I153/$H153)</f>
        <v/>
      </c>
      <c r="K153" s="49" t="str">
        <f>IF(OR($I153="",NOT(ISNUMBER($H153))),"",$I153-$H153)</f>
        <v/>
      </c>
      <c r="L153" s="39" t="str">
        <f>IF($I153="","",IF(NOT(ISNUMBER($H153)),"Standard manquant",IF($J153&gt;=1,"Standard atteint",IF($J153&gt;=SeuilAlerte,"Alerte","Sous standard"))))</f>
        <v/>
      </c>
      <c r="M153" s="40" t="str">
        <f>IF(OR($D153="",$E153="",$E153&lt;=0),"",$D153/$E153)</f>
        <v/>
      </c>
      <c r="N153" s="40"/>
    </row>
    <row r="154" spans="1:14" ht="15" customHeight="1" x14ac:dyDescent="0.2">
      <c r="A154" s="14"/>
      <c r="B154" s="23"/>
      <c r="C154" s="23"/>
      <c r="D154" s="22"/>
      <c r="E154" s="45"/>
      <c r="F154" s="22"/>
      <c r="G154" s="46"/>
      <c r="H154" s="46"/>
      <c r="I154" s="47" t="str">
        <f>IF(OR($D154="",$E154="",$G154="",$E154&lt;=0,$G154=0),"",$D154/$E154/$G154)</f>
        <v/>
      </c>
      <c r="J154" s="48" t="str">
        <f>IF(OR($I154="",NOT(ISNUMBER($H154)),$H154=0),"",$I154/$H154)</f>
        <v/>
      </c>
      <c r="K154" s="49" t="str">
        <f>IF(OR($I154="",NOT(ISNUMBER($H154))),"",$I154-$H154)</f>
        <v/>
      </c>
      <c r="L154" s="39" t="str">
        <f>IF($I154="","",IF(NOT(ISNUMBER($H154)),"Standard manquant",IF($J154&gt;=1,"Standard atteint",IF($J154&gt;=SeuilAlerte,"Alerte","Sous standard"))))</f>
        <v/>
      </c>
      <c r="M154" s="40" t="str">
        <f>IF(OR($D154="",$E154="",$E154&lt;=0),"",$D154/$E154)</f>
        <v/>
      </c>
      <c r="N154" s="40"/>
    </row>
    <row r="155" spans="1:14" ht="15" customHeight="1" x14ac:dyDescent="0.2">
      <c r="A155" s="14"/>
      <c r="B155" s="23"/>
      <c r="C155" s="23"/>
      <c r="D155" s="22"/>
      <c r="E155" s="45"/>
      <c r="F155" s="22"/>
      <c r="G155" s="46"/>
      <c r="H155" s="46"/>
      <c r="I155" s="47" t="str">
        <f>IF(OR($D155="",$E155="",$G155="",$E155&lt;=0,$G155=0),"",$D155/$E155/$G155)</f>
        <v/>
      </c>
      <c r="J155" s="48" t="str">
        <f>IF(OR($I155="",NOT(ISNUMBER($H155)),$H155=0),"",$I155/$H155)</f>
        <v/>
      </c>
      <c r="K155" s="49" t="str">
        <f>IF(OR($I155="",NOT(ISNUMBER($H155))),"",$I155-$H155)</f>
        <v/>
      </c>
      <c r="L155" s="39" t="str">
        <f>IF($I155="","",IF(NOT(ISNUMBER($H155)),"Standard manquant",IF($J155&gt;=1,"Standard atteint",IF($J155&gt;=SeuilAlerte,"Alerte","Sous standard"))))</f>
        <v/>
      </c>
      <c r="M155" s="40" t="str">
        <f>IF(OR($D155="",$E155="",$E155&lt;=0),"",$D155/$E155)</f>
        <v/>
      </c>
      <c r="N155" s="40"/>
    </row>
    <row r="156" spans="1:14" ht="15" customHeight="1" x14ac:dyDescent="0.2">
      <c r="A156" s="14"/>
      <c r="B156" s="23"/>
      <c r="C156" s="23"/>
      <c r="D156" s="22"/>
      <c r="E156" s="45"/>
      <c r="F156" s="22"/>
      <c r="G156" s="46"/>
      <c r="H156" s="46"/>
      <c r="I156" s="47" t="str">
        <f>IF(OR($D156="",$E156="",$G156="",$E156&lt;=0,$G156=0),"",$D156/$E156/$G156)</f>
        <v/>
      </c>
      <c r="J156" s="48" t="str">
        <f>IF(OR($I156="",NOT(ISNUMBER($H156)),$H156=0),"",$I156/$H156)</f>
        <v/>
      </c>
      <c r="K156" s="49" t="str">
        <f>IF(OR($I156="",NOT(ISNUMBER($H156))),"",$I156-$H156)</f>
        <v/>
      </c>
      <c r="L156" s="39" t="str">
        <f>IF($I156="","",IF(NOT(ISNUMBER($H156)),"Standard manquant",IF($J156&gt;=1,"Standard atteint",IF($J156&gt;=SeuilAlerte,"Alerte","Sous standard"))))</f>
        <v/>
      </c>
      <c r="M156" s="40" t="str">
        <f>IF(OR($D156="",$E156="",$E156&lt;=0),"",$D156/$E156)</f>
        <v/>
      </c>
      <c r="N156" s="40"/>
    </row>
    <row r="157" spans="1:14" ht="15" customHeight="1" x14ac:dyDescent="0.2">
      <c r="A157" s="14"/>
      <c r="B157" s="23"/>
      <c r="C157" s="23"/>
      <c r="D157" s="22"/>
      <c r="E157" s="45"/>
      <c r="F157" s="22"/>
      <c r="G157" s="46"/>
      <c r="H157" s="46"/>
      <c r="I157" s="47" t="str">
        <f>IF(OR($D157="",$E157="",$G157="",$E157&lt;=0,$G157=0),"",$D157/$E157/$G157)</f>
        <v/>
      </c>
      <c r="J157" s="48" t="str">
        <f>IF(OR($I157="",NOT(ISNUMBER($H157)),$H157=0),"",$I157/$H157)</f>
        <v/>
      </c>
      <c r="K157" s="49" t="str">
        <f>IF(OR($I157="",NOT(ISNUMBER($H157))),"",$I157-$H157)</f>
        <v/>
      </c>
      <c r="L157" s="39" t="str">
        <f>IF($I157="","",IF(NOT(ISNUMBER($H157)),"Standard manquant",IF($J157&gt;=1,"Standard atteint",IF($J157&gt;=SeuilAlerte,"Alerte","Sous standard"))))</f>
        <v/>
      </c>
      <c r="M157" s="40" t="str">
        <f>IF(OR($D157="",$E157="",$E157&lt;=0),"",$D157/$E157)</f>
        <v/>
      </c>
      <c r="N157" s="40"/>
    </row>
    <row r="158" spans="1:14" ht="15" customHeight="1" x14ac:dyDescent="0.2">
      <c r="A158" s="14"/>
      <c r="B158" s="23"/>
      <c r="C158" s="23"/>
      <c r="D158" s="22"/>
      <c r="E158" s="45"/>
      <c r="F158" s="22"/>
      <c r="G158" s="46"/>
      <c r="H158" s="46"/>
      <c r="I158" s="47" t="str">
        <f>IF(OR($D158="",$E158="",$G158="",$E158&lt;=0,$G158=0),"",$D158/$E158/$G158)</f>
        <v/>
      </c>
      <c r="J158" s="48" t="str">
        <f>IF(OR($I158="",NOT(ISNUMBER($H158)),$H158=0),"",$I158/$H158)</f>
        <v/>
      </c>
      <c r="K158" s="49" t="str">
        <f>IF(OR($I158="",NOT(ISNUMBER($H158))),"",$I158-$H158)</f>
        <v/>
      </c>
      <c r="L158" s="39" t="str">
        <f>IF($I158="","",IF(NOT(ISNUMBER($H158)),"Standard manquant",IF($J158&gt;=1,"Standard atteint",IF($J158&gt;=SeuilAlerte,"Alerte","Sous standard"))))</f>
        <v/>
      </c>
      <c r="M158" s="40" t="str">
        <f>IF(OR($D158="",$E158="",$E158&lt;=0),"",$D158/$E158)</f>
        <v/>
      </c>
      <c r="N158" s="40"/>
    </row>
    <row r="159" spans="1:14" ht="15" customHeight="1" x14ac:dyDescent="0.2">
      <c r="A159" s="14"/>
      <c r="B159" s="23"/>
      <c r="C159" s="23"/>
      <c r="D159" s="22"/>
      <c r="E159" s="45"/>
      <c r="F159" s="22"/>
      <c r="G159" s="46"/>
      <c r="H159" s="46"/>
      <c r="I159" s="47" t="str">
        <f>IF(OR($D159="",$E159="",$G159="",$E159&lt;=0,$G159=0),"",$D159/$E159/$G159)</f>
        <v/>
      </c>
      <c r="J159" s="48" t="str">
        <f>IF(OR($I159="",NOT(ISNUMBER($H159)),$H159=0),"",$I159/$H159)</f>
        <v/>
      </c>
      <c r="K159" s="49" t="str">
        <f>IF(OR($I159="",NOT(ISNUMBER($H159))),"",$I159-$H159)</f>
        <v/>
      </c>
      <c r="L159" s="39" t="str">
        <f>IF($I159="","",IF(NOT(ISNUMBER($H159)),"Standard manquant",IF($J159&gt;=1,"Standard atteint",IF($J159&gt;=SeuilAlerte,"Alerte","Sous standard"))))</f>
        <v/>
      </c>
      <c r="M159" s="40" t="str">
        <f>IF(OR($D159="",$E159="",$E159&lt;=0),"",$D159/$E159)</f>
        <v/>
      </c>
      <c r="N159" s="40"/>
    </row>
    <row r="160" spans="1:14" ht="15" customHeight="1" x14ac:dyDescent="0.2">
      <c r="A160" s="14"/>
      <c r="B160" s="23"/>
      <c r="C160" s="23"/>
      <c r="D160" s="22"/>
      <c r="E160" s="45"/>
      <c r="F160" s="22"/>
      <c r="G160" s="46"/>
      <c r="H160" s="46"/>
      <c r="I160" s="47" t="str">
        <f>IF(OR($D160="",$E160="",$G160="",$E160&lt;=0,$G160=0),"",$D160/$E160/$G160)</f>
        <v/>
      </c>
      <c r="J160" s="48" t="str">
        <f>IF(OR($I160="",NOT(ISNUMBER($H160)),$H160=0),"",$I160/$H160)</f>
        <v/>
      </c>
      <c r="K160" s="49" t="str">
        <f>IF(OR($I160="",NOT(ISNUMBER($H160))),"",$I160-$H160)</f>
        <v/>
      </c>
      <c r="L160" s="39" t="str">
        <f>IF($I160="","",IF(NOT(ISNUMBER($H160)),"Standard manquant",IF($J160&gt;=1,"Standard atteint",IF($J160&gt;=SeuilAlerte,"Alerte","Sous standard"))))</f>
        <v/>
      </c>
      <c r="M160" s="40" t="str">
        <f>IF(OR($D160="",$E160="",$E160&lt;=0),"",$D160/$E160)</f>
        <v/>
      </c>
      <c r="N160" s="40"/>
    </row>
    <row r="161" spans="1:14" ht="15" customHeight="1" x14ac:dyDescent="0.2">
      <c r="A161" s="14"/>
      <c r="B161" s="23"/>
      <c r="C161" s="23"/>
      <c r="D161" s="22"/>
      <c r="E161" s="45"/>
      <c r="F161" s="22"/>
      <c r="G161" s="46"/>
      <c r="H161" s="46"/>
      <c r="I161" s="47" t="str">
        <f>IF(OR($D161="",$E161="",$G161="",$E161&lt;=0,$G161=0),"",$D161/$E161/$G161)</f>
        <v/>
      </c>
      <c r="J161" s="48" t="str">
        <f>IF(OR($I161="",NOT(ISNUMBER($H161)),$H161=0),"",$I161/$H161)</f>
        <v/>
      </c>
      <c r="K161" s="49" t="str">
        <f>IF(OR($I161="",NOT(ISNUMBER($H161))),"",$I161-$H161)</f>
        <v/>
      </c>
      <c r="L161" s="39" t="str">
        <f>IF($I161="","",IF(NOT(ISNUMBER($H161)),"Standard manquant",IF($J161&gt;=1,"Standard atteint",IF($J161&gt;=SeuilAlerte,"Alerte","Sous standard"))))</f>
        <v/>
      </c>
      <c r="M161" s="40" t="str">
        <f>IF(OR($D161="",$E161="",$E161&lt;=0),"",$D161/$E161)</f>
        <v/>
      </c>
      <c r="N161" s="40"/>
    </row>
    <row r="162" spans="1:14" ht="15" customHeight="1" x14ac:dyDescent="0.2">
      <c r="A162" s="14"/>
      <c r="B162" s="23"/>
      <c r="C162" s="23"/>
      <c r="D162" s="22"/>
      <c r="E162" s="45"/>
      <c r="F162" s="22"/>
      <c r="G162" s="46"/>
      <c r="H162" s="46"/>
      <c r="I162" s="47" t="str">
        <f>IF(OR($D162="",$E162="",$G162="",$E162&lt;=0,$G162=0),"",$D162/$E162/$G162)</f>
        <v/>
      </c>
      <c r="J162" s="48" t="str">
        <f>IF(OR($I162="",NOT(ISNUMBER($H162)),$H162=0),"",$I162/$H162)</f>
        <v/>
      </c>
      <c r="K162" s="49" t="str">
        <f>IF(OR($I162="",NOT(ISNUMBER($H162))),"",$I162-$H162)</f>
        <v/>
      </c>
      <c r="L162" s="39" t="str">
        <f>IF($I162="","",IF(NOT(ISNUMBER($H162)),"Standard manquant",IF($J162&gt;=1,"Standard atteint",IF($J162&gt;=SeuilAlerte,"Alerte","Sous standard"))))</f>
        <v/>
      </c>
      <c r="M162" s="40" t="str">
        <f>IF(OR($D162="",$E162="",$E162&lt;=0),"",$D162/$E162)</f>
        <v/>
      </c>
      <c r="N162" s="40"/>
    </row>
    <row r="163" spans="1:14" ht="15" customHeight="1" x14ac:dyDescent="0.2">
      <c r="A163" s="14"/>
      <c r="B163" s="23"/>
      <c r="C163" s="23"/>
      <c r="D163" s="22"/>
      <c r="E163" s="45"/>
      <c r="F163" s="22"/>
      <c r="G163" s="46"/>
      <c r="H163" s="46"/>
      <c r="I163" s="47" t="str">
        <f>IF(OR($D163="",$E163="",$G163="",$E163&lt;=0,$G163=0),"",$D163/$E163/$G163)</f>
        <v/>
      </c>
      <c r="J163" s="48" t="str">
        <f>IF(OR($I163="",NOT(ISNUMBER($H163)),$H163=0),"",$I163/$H163)</f>
        <v/>
      </c>
      <c r="K163" s="49" t="str">
        <f>IF(OR($I163="",NOT(ISNUMBER($H163))),"",$I163-$H163)</f>
        <v/>
      </c>
      <c r="L163" s="39" t="str">
        <f>IF($I163="","",IF(NOT(ISNUMBER($H163)),"Standard manquant",IF($J163&gt;=1,"Standard atteint",IF($J163&gt;=SeuilAlerte,"Alerte","Sous standard"))))</f>
        <v/>
      </c>
      <c r="M163" s="40" t="str">
        <f>IF(OR($D163="",$E163="",$E163&lt;=0),"",$D163/$E163)</f>
        <v/>
      </c>
      <c r="N163" s="40"/>
    </row>
    <row r="164" spans="1:14" ht="15" customHeight="1" x14ac:dyDescent="0.2">
      <c r="A164" s="14"/>
      <c r="B164" s="23"/>
      <c r="C164" s="23"/>
      <c r="D164" s="22"/>
      <c r="E164" s="45"/>
      <c r="F164" s="22"/>
      <c r="G164" s="46"/>
      <c r="H164" s="46"/>
      <c r="I164" s="47" t="str">
        <f>IF(OR($D164="",$E164="",$G164="",$E164&lt;=0,$G164=0),"",$D164/$E164/$G164)</f>
        <v/>
      </c>
      <c r="J164" s="48" t="str">
        <f>IF(OR($I164="",NOT(ISNUMBER($H164)),$H164=0),"",$I164/$H164)</f>
        <v/>
      </c>
      <c r="K164" s="49" t="str">
        <f>IF(OR($I164="",NOT(ISNUMBER($H164))),"",$I164-$H164)</f>
        <v/>
      </c>
      <c r="L164" s="39" t="str">
        <f>IF($I164="","",IF(NOT(ISNUMBER($H164)),"Standard manquant",IF($J164&gt;=1,"Standard atteint",IF($J164&gt;=SeuilAlerte,"Alerte","Sous standard"))))</f>
        <v/>
      </c>
      <c r="M164" s="40" t="str">
        <f>IF(OR($D164="",$E164="",$E164&lt;=0),"",$D164/$E164)</f>
        <v/>
      </c>
      <c r="N164" s="40"/>
    </row>
    <row r="165" spans="1:14" ht="15" customHeight="1" x14ac:dyDescent="0.2">
      <c r="A165" s="14"/>
      <c r="B165" s="23"/>
      <c r="C165" s="23"/>
      <c r="D165" s="22"/>
      <c r="E165" s="45"/>
      <c r="F165" s="22"/>
      <c r="G165" s="46"/>
      <c r="H165" s="46"/>
      <c r="I165" s="47" t="str">
        <f>IF(OR($D165="",$E165="",$G165="",$E165&lt;=0,$G165=0),"",$D165/$E165/$G165)</f>
        <v/>
      </c>
      <c r="J165" s="48" t="str">
        <f>IF(OR($I165="",NOT(ISNUMBER($H165)),$H165=0),"",$I165/$H165)</f>
        <v/>
      </c>
      <c r="K165" s="49" t="str">
        <f>IF(OR($I165="",NOT(ISNUMBER($H165))),"",$I165-$H165)</f>
        <v/>
      </c>
      <c r="L165" s="39" t="str">
        <f>IF($I165="","",IF(NOT(ISNUMBER($H165)),"Standard manquant",IF($J165&gt;=1,"Standard atteint",IF($J165&gt;=SeuilAlerte,"Alerte","Sous standard"))))</f>
        <v/>
      </c>
      <c r="M165" s="40" t="str">
        <f>IF(OR($D165="",$E165="",$E165&lt;=0),"",$D165/$E165)</f>
        <v/>
      </c>
      <c r="N165" s="40"/>
    </row>
    <row r="166" spans="1:14" ht="15" customHeight="1" x14ac:dyDescent="0.2">
      <c r="A166" s="14"/>
      <c r="B166" s="23"/>
      <c r="C166" s="23"/>
      <c r="D166" s="22"/>
      <c r="E166" s="45"/>
      <c r="F166" s="22"/>
      <c r="G166" s="46"/>
      <c r="H166" s="46"/>
      <c r="I166" s="47" t="str">
        <f>IF(OR($D166="",$E166="",$G166="",$E166&lt;=0,$G166=0),"",$D166/$E166/$G166)</f>
        <v/>
      </c>
      <c r="J166" s="48" t="str">
        <f>IF(OR($I166="",NOT(ISNUMBER($H166)),$H166=0),"",$I166/$H166)</f>
        <v/>
      </c>
      <c r="K166" s="49" t="str">
        <f>IF(OR($I166="",NOT(ISNUMBER($H166))),"",$I166-$H166)</f>
        <v/>
      </c>
      <c r="L166" s="39" t="str">
        <f>IF($I166="","",IF(NOT(ISNUMBER($H166)),"Standard manquant",IF($J166&gt;=1,"Standard atteint",IF($J166&gt;=SeuilAlerte,"Alerte","Sous standard"))))</f>
        <v/>
      </c>
      <c r="M166" s="40" t="str">
        <f>IF(OR($D166="",$E166="",$E166&lt;=0),"",$D166/$E166)</f>
        <v/>
      </c>
      <c r="N166" s="40"/>
    </row>
    <row r="167" spans="1:14" ht="15" customHeight="1" x14ac:dyDescent="0.2">
      <c r="A167" s="14"/>
      <c r="B167" s="23"/>
      <c r="C167" s="23"/>
      <c r="D167" s="22"/>
      <c r="E167" s="45"/>
      <c r="F167" s="22"/>
      <c r="G167" s="46"/>
      <c r="H167" s="46"/>
      <c r="I167" s="47" t="str">
        <f>IF(OR($D167="",$E167="",$G167="",$E167&lt;=0,$G167=0),"",$D167/$E167/$G167)</f>
        <v/>
      </c>
      <c r="J167" s="48" t="str">
        <f>IF(OR($I167="",NOT(ISNUMBER($H167)),$H167=0),"",$I167/$H167)</f>
        <v/>
      </c>
      <c r="K167" s="49" t="str">
        <f>IF(OR($I167="",NOT(ISNUMBER($H167))),"",$I167-$H167)</f>
        <v/>
      </c>
      <c r="L167" s="39" t="str">
        <f>IF($I167="","",IF(NOT(ISNUMBER($H167)),"Standard manquant",IF($J167&gt;=1,"Standard atteint",IF($J167&gt;=SeuilAlerte,"Alerte","Sous standard"))))</f>
        <v/>
      </c>
      <c r="M167" s="40" t="str">
        <f>IF(OR($D167="",$E167="",$E167&lt;=0),"",$D167/$E167)</f>
        <v/>
      </c>
      <c r="N167" s="40"/>
    </row>
    <row r="168" spans="1:14" ht="15" customHeight="1" x14ac:dyDescent="0.2">
      <c r="A168" s="14"/>
      <c r="B168" s="23"/>
      <c r="C168" s="23"/>
      <c r="D168" s="22"/>
      <c r="E168" s="45"/>
      <c r="F168" s="22"/>
      <c r="G168" s="46"/>
      <c r="H168" s="46"/>
      <c r="I168" s="47" t="str">
        <f>IF(OR($D168="",$E168="",$G168="",$E168&lt;=0,$G168=0),"",$D168/$E168/$G168)</f>
        <v/>
      </c>
      <c r="J168" s="48" t="str">
        <f>IF(OR($I168="",NOT(ISNUMBER($H168)),$H168=0),"",$I168/$H168)</f>
        <v/>
      </c>
      <c r="K168" s="49" t="str">
        <f>IF(OR($I168="",NOT(ISNUMBER($H168))),"",$I168-$H168)</f>
        <v/>
      </c>
      <c r="L168" s="39" t="str">
        <f>IF($I168="","",IF(NOT(ISNUMBER($H168)),"Standard manquant",IF($J168&gt;=1,"Standard atteint",IF($J168&gt;=SeuilAlerte,"Alerte","Sous standard"))))</f>
        <v/>
      </c>
      <c r="M168" s="40" t="str">
        <f>IF(OR($D168="",$E168="",$E168&lt;=0),"",$D168/$E168)</f>
        <v/>
      </c>
      <c r="N168" s="40"/>
    </row>
    <row r="169" spans="1:14" ht="15" customHeight="1" x14ac:dyDescent="0.2">
      <c r="A169" s="14"/>
      <c r="B169" s="23"/>
      <c r="C169" s="23"/>
      <c r="D169" s="22"/>
      <c r="E169" s="45"/>
      <c r="F169" s="22"/>
      <c r="G169" s="46"/>
      <c r="H169" s="46"/>
      <c r="I169" s="47" t="str">
        <f>IF(OR($D169="",$E169="",$G169="",$E169&lt;=0,$G169=0),"",$D169/$E169/$G169)</f>
        <v/>
      </c>
      <c r="J169" s="48" t="str">
        <f>IF(OR($I169="",NOT(ISNUMBER($H169)),$H169=0),"",$I169/$H169)</f>
        <v/>
      </c>
      <c r="K169" s="49" t="str">
        <f>IF(OR($I169="",NOT(ISNUMBER($H169))),"",$I169-$H169)</f>
        <v/>
      </c>
      <c r="L169" s="39" t="str">
        <f>IF($I169="","",IF(NOT(ISNUMBER($H169)),"Standard manquant",IF($J169&gt;=1,"Standard atteint",IF($J169&gt;=SeuilAlerte,"Alerte","Sous standard"))))</f>
        <v/>
      </c>
      <c r="M169" s="40" t="str">
        <f>IF(OR($D169="",$E169="",$E169&lt;=0),"",$D169/$E169)</f>
        <v/>
      </c>
      <c r="N169" s="40"/>
    </row>
    <row r="170" spans="1:14" ht="15" customHeight="1" x14ac:dyDescent="0.2">
      <c r="A170" s="14"/>
      <c r="B170" s="23"/>
      <c r="C170" s="23"/>
      <c r="D170" s="22"/>
      <c r="E170" s="45"/>
      <c r="F170" s="22"/>
      <c r="G170" s="46"/>
      <c r="H170" s="46"/>
      <c r="I170" s="47" t="str">
        <f>IF(OR($D170="",$E170="",$G170="",$E170&lt;=0,$G170=0),"",$D170/$E170/$G170)</f>
        <v/>
      </c>
      <c r="J170" s="48" t="str">
        <f>IF(OR($I170="",NOT(ISNUMBER($H170)),$H170=0),"",$I170/$H170)</f>
        <v/>
      </c>
      <c r="K170" s="49" t="str">
        <f>IF(OR($I170="",NOT(ISNUMBER($H170))),"",$I170-$H170)</f>
        <v/>
      </c>
      <c r="L170" s="39" t="str">
        <f>IF($I170="","",IF(NOT(ISNUMBER($H170)),"Standard manquant",IF($J170&gt;=1,"Standard atteint",IF($J170&gt;=SeuilAlerte,"Alerte","Sous standard"))))</f>
        <v/>
      </c>
      <c r="M170" s="40" t="str">
        <f>IF(OR($D170="",$E170="",$E170&lt;=0),"",$D170/$E170)</f>
        <v/>
      </c>
      <c r="N170" s="40"/>
    </row>
    <row r="171" spans="1:14" ht="15" customHeight="1" x14ac:dyDescent="0.2">
      <c r="A171" s="14"/>
      <c r="B171" s="23"/>
      <c r="C171" s="23"/>
      <c r="D171" s="22"/>
      <c r="E171" s="45"/>
      <c r="F171" s="22"/>
      <c r="G171" s="46"/>
      <c r="H171" s="46"/>
      <c r="I171" s="47" t="str">
        <f>IF(OR($D171="",$E171="",$G171="",$E171&lt;=0,$G171=0),"",$D171/$E171/$G171)</f>
        <v/>
      </c>
      <c r="J171" s="48" t="str">
        <f>IF(OR($I171="",NOT(ISNUMBER($H171)),$H171=0),"",$I171/$H171)</f>
        <v/>
      </c>
      <c r="K171" s="49" t="str">
        <f>IF(OR($I171="",NOT(ISNUMBER($H171))),"",$I171-$H171)</f>
        <v/>
      </c>
      <c r="L171" s="39" t="str">
        <f>IF($I171="","",IF(NOT(ISNUMBER($H171)),"Standard manquant",IF($J171&gt;=1,"Standard atteint",IF($J171&gt;=SeuilAlerte,"Alerte","Sous standard"))))</f>
        <v/>
      </c>
      <c r="M171" s="40" t="str">
        <f>IF(OR($D171="",$E171="",$E171&lt;=0),"",$D171/$E171)</f>
        <v/>
      </c>
      <c r="N171" s="40"/>
    </row>
    <row r="172" spans="1:14" ht="15" customHeight="1" x14ac:dyDescent="0.2">
      <c r="A172" s="14"/>
      <c r="B172" s="23"/>
      <c r="C172" s="23"/>
      <c r="D172" s="22"/>
      <c r="E172" s="45"/>
      <c r="F172" s="22"/>
      <c r="G172" s="46"/>
      <c r="H172" s="46"/>
      <c r="I172" s="47" t="str">
        <f>IF(OR($D172="",$E172="",$G172="",$E172&lt;=0,$G172=0),"",$D172/$E172/$G172)</f>
        <v/>
      </c>
      <c r="J172" s="48" t="str">
        <f>IF(OR($I172="",NOT(ISNUMBER($H172)),$H172=0),"",$I172/$H172)</f>
        <v/>
      </c>
      <c r="K172" s="49" t="str">
        <f>IF(OR($I172="",NOT(ISNUMBER($H172))),"",$I172-$H172)</f>
        <v/>
      </c>
      <c r="L172" s="39" t="str">
        <f>IF($I172="","",IF(NOT(ISNUMBER($H172)),"Standard manquant",IF($J172&gt;=1,"Standard atteint",IF($J172&gt;=SeuilAlerte,"Alerte","Sous standard"))))</f>
        <v/>
      </c>
      <c r="M172" s="40" t="str">
        <f>IF(OR($D172="",$E172="",$E172&lt;=0),"",$D172/$E172)</f>
        <v/>
      </c>
      <c r="N172" s="40"/>
    </row>
    <row r="173" spans="1:14" ht="15" customHeight="1" x14ac:dyDescent="0.2">
      <c r="A173" s="14"/>
      <c r="B173" s="23"/>
      <c r="C173" s="23"/>
      <c r="D173" s="22"/>
      <c r="E173" s="45"/>
      <c r="F173" s="22"/>
      <c r="G173" s="46"/>
      <c r="H173" s="46"/>
      <c r="I173" s="47" t="str">
        <f>IF(OR($D173="",$E173="",$G173="",$E173&lt;=0,$G173=0),"",$D173/$E173/$G173)</f>
        <v/>
      </c>
      <c r="J173" s="48" t="str">
        <f>IF(OR($I173="",NOT(ISNUMBER($H173)),$H173=0),"",$I173/$H173)</f>
        <v/>
      </c>
      <c r="K173" s="49" t="str">
        <f>IF(OR($I173="",NOT(ISNUMBER($H173))),"",$I173-$H173)</f>
        <v/>
      </c>
      <c r="L173" s="39" t="str">
        <f>IF($I173="","",IF(NOT(ISNUMBER($H173)),"Standard manquant",IF($J173&gt;=1,"Standard atteint",IF($J173&gt;=SeuilAlerte,"Alerte","Sous standard"))))</f>
        <v/>
      </c>
      <c r="M173" s="40" t="str">
        <f>IF(OR($D173="",$E173="",$E173&lt;=0),"",$D173/$E173)</f>
        <v/>
      </c>
      <c r="N173" s="40"/>
    </row>
    <row r="174" spans="1:14" ht="15" customHeight="1" x14ac:dyDescent="0.2">
      <c r="A174" s="14"/>
      <c r="B174" s="23"/>
      <c r="C174" s="23"/>
      <c r="D174" s="22"/>
      <c r="E174" s="45"/>
      <c r="F174" s="22"/>
      <c r="G174" s="46"/>
      <c r="H174" s="46"/>
      <c r="I174" s="47" t="str">
        <f>IF(OR($D174="",$E174="",$G174="",$E174&lt;=0,$G174=0),"",$D174/$E174/$G174)</f>
        <v/>
      </c>
      <c r="J174" s="48" t="str">
        <f>IF(OR($I174="",NOT(ISNUMBER($H174)),$H174=0),"",$I174/$H174)</f>
        <v/>
      </c>
      <c r="K174" s="49" t="str">
        <f>IF(OR($I174="",NOT(ISNUMBER($H174))),"",$I174-$H174)</f>
        <v/>
      </c>
      <c r="L174" s="39" t="str">
        <f>IF($I174="","",IF(NOT(ISNUMBER($H174)),"Standard manquant",IF($J174&gt;=1,"Standard atteint",IF($J174&gt;=SeuilAlerte,"Alerte","Sous standard"))))</f>
        <v/>
      </c>
      <c r="M174" s="40" t="str">
        <f>IF(OR($D174="",$E174="",$E174&lt;=0),"",$D174/$E174)</f>
        <v/>
      </c>
      <c r="N174" s="40"/>
    </row>
    <row r="175" spans="1:14" ht="15" customHeight="1" x14ac:dyDescent="0.2">
      <c r="A175" s="14"/>
      <c r="B175" s="23"/>
      <c r="C175" s="23"/>
      <c r="D175" s="22"/>
      <c r="E175" s="45"/>
      <c r="F175" s="22"/>
      <c r="G175" s="46"/>
      <c r="H175" s="46"/>
      <c r="I175" s="47" t="str">
        <f>IF(OR($D175="",$E175="",$G175="",$E175&lt;=0,$G175=0),"",$D175/$E175/$G175)</f>
        <v/>
      </c>
      <c r="J175" s="48" t="str">
        <f>IF(OR($I175="",NOT(ISNUMBER($H175)),$H175=0),"",$I175/$H175)</f>
        <v/>
      </c>
      <c r="K175" s="49" t="str">
        <f>IF(OR($I175="",NOT(ISNUMBER($H175))),"",$I175-$H175)</f>
        <v/>
      </c>
      <c r="L175" s="39" t="str">
        <f>IF($I175="","",IF(NOT(ISNUMBER($H175)),"Standard manquant",IF($J175&gt;=1,"Standard atteint",IF($J175&gt;=SeuilAlerte,"Alerte","Sous standard"))))</f>
        <v/>
      </c>
      <c r="M175" s="40" t="str">
        <f>IF(OR($D175="",$E175="",$E175&lt;=0),"",$D175/$E175)</f>
        <v/>
      </c>
      <c r="N175" s="40"/>
    </row>
    <row r="176" spans="1:14" ht="15" customHeight="1" x14ac:dyDescent="0.2">
      <c r="A176" s="14"/>
      <c r="B176" s="23"/>
      <c r="C176" s="23"/>
      <c r="D176" s="22"/>
      <c r="E176" s="45"/>
      <c r="F176" s="22"/>
      <c r="G176" s="46"/>
      <c r="H176" s="46"/>
      <c r="I176" s="47" t="str">
        <f>IF(OR($D176="",$E176="",$G176="",$E176&lt;=0,$G176=0),"",$D176/$E176/$G176)</f>
        <v/>
      </c>
      <c r="J176" s="48" t="str">
        <f>IF(OR($I176="",NOT(ISNUMBER($H176)),$H176=0),"",$I176/$H176)</f>
        <v/>
      </c>
      <c r="K176" s="49" t="str">
        <f>IF(OR($I176="",NOT(ISNUMBER($H176))),"",$I176-$H176)</f>
        <v/>
      </c>
      <c r="L176" s="39" t="str">
        <f>IF($I176="","",IF(NOT(ISNUMBER($H176)),"Standard manquant",IF($J176&gt;=1,"Standard atteint",IF($J176&gt;=SeuilAlerte,"Alerte","Sous standard"))))</f>
        <v/>
      </c>
      <c r="M176" s="40" t="str">
        <f>IF(OR($D176="",$E176="",$E176&lt;=0),"",$D176/$E176)</f>
        <v/>
      </c>
      <c r="N176" s="40"/>
    </row>
    <row r="177" spans="1:14" ht="15" customHeight="1" x14ac:dyDescent="0.2">
      <c r="A177" s="14"/>
      <c r="B177" s="23"/>
      <c r="C177" s="23"/>
      <c r="D177" s="22"/>
      <c r="E177" s="45"/>
      <c r="F177" s="22"/>
      <c r="G177" s="46"/>
      <c r="H177" s="46"/>
      <c r="I177" s="47" t="str">
        <f>IF(OR($D177="",$E177="",$G177="",$E177&lt;=0,$G177=0),"",$D177/$E177/$G177)</f>
        <v/>
      </c>
      <c r="J177" s="48" t="str">
        <f>IF(OR($I177="",NOT(ISNUMBER($H177)),$H177=0),"",$I177/$H177)</f>
        <v/>
      </c>
      <c r="K177" s="49" t="str">
        <f>IF(OR($I177="",NOT(ISNUMBER($H177))),"",$I177-$H177)</f>
        <v/>
      </c>
      <c r="L177" s="39" t="str">
        <f>IF($I177="","",IF(NOT(ISNUMBER($H177)),"Standard manquant",IF($J177&gt;=1,"Standard atteint",IF($J177&gt;=SeuilAlerte,"Alerte","Sous standard"))))</f>
        <v/>
      </c>
      <c r="M177" s="40" t="str">
        <f>IF(OR($D177="",$E177="",$E177&lt;=0),"",$D177/$E177)</f>
        <v/>
      </c>
      <c r="N177" s="40"/>
    </row>
    <row r="178" spans="1:14" ht="15" customHeight="1" x14ac:dyDescent="0.2">
      <c r="A178" s="14"/>
      <c r="B178" s="23"/>
      <c r="C178" s="23"/>
      <c r="D178" s="22"/>
      <c r="E178" s="45"/>
      <c r="F178" s="22"/>
      <c r="G178" s="46"/>
      <c r="H178" s="46"/>
      <c r="I178" s="47" t="str">
        <f>IF(OR($D178="",$E178="",$G178="",$E178&lt;=0,$G178=0),"",$D178/$E178/$G178)</f>
        <v/>
      </c>
      <c r="J178" s="48" t="str">
        <f>IF(OR($I178="",NOT(ISNUMBER($H178)),$H178=0),"",$I178/$H178)</f>
        <v/>
      </c>
      <c r="K178" s="49" t="str">
        <f>IF(OR($I178="",NOT(ISNUMBER($H178))),"",$I178-$H178)</f>
        <v/>
      </c>
      <c r="L178" s="39" t="str">
        <f>IF($I178="","",IF(NOT(ISNUMBER($H178)),"Standard manquant",IF($J178&gt;=1,"Standard atteint",IF($J178&gt;=SeuilAlerte,"Alerte","Sous standard"))))</f>
        <v/>
      </c>
      <c r="M178" s="40" t="str">
        <f>IF(OR($D178="",$E178="",$E178&lt;=0),"",$D178/$E178)</f>
        <v/>
      </c>
      <c r="N178" s="40"/>
    </row>
    <row r="179" spans="1:14" ht="15" customHeight="1" x14ac:dyDescent="0.2">
      <c r="A179" s="14"/>
      <c r="B179" s="23"/>
      <c r="C179" s="23"/>
      <c r="D179" s="22"/>
      <c r="E179" s="45"/>
      <c r="F179" s="22"/>
      <c r="G179" s="46"/>
      <c r="H179" s="46"/>
      <c r="I179" s="47" t="str">
        <f>IF(OR($D179="",$E179="",$G179="",$E179&lt;=0,$G179=0),"",$D179/$E179/$G179)</f>
        <v/>
      </c>
      <c r="J179" s="48" t="str">
        <f>IF(OR($I179="",NOT(ISNUMBER($H179)),$H179=0),"",$I179/$H179)</f>
        <v/>
      </c>
      <c r="K179" s="49" t="str">
        <f>IF(OR($I179="",NOT(ISNUMBER($H179))),"",$I179-$H179)</f>
        <v/>
      </c>
      <c r="L179" s="39" t="str">
        <f>IF($I179="","",IF(NOT(ISNUMBER($H179)),"Standard manquant",IF($J179&gt;=1,"Standard atteint",IF($J179&gt;=SeuilAlerte,"Alerte","Sous standard"))))</f>
        <v/>
      </c>
      <c r="M179" s="40" t="str">
        <f>IF(OR($D179="",$E179="",$E179&lt;=0),"",$D179/$E179)</f>
        <v/>
      </c>
      <c r="N179" s="40"/>
    </row>
    <row r="180" spans="1:14" ht="15" customHeight="1" x14ac:dyDescent="0.2">
      <c r="A180" s="14"/>
      <c r="B180" s="23"/>
      <c r="C180" s="23"/>
      <c r="D180" s="22"/>
      <c r="E180" s="45"/>
      <c r="F180" s="22"/>
      <c r="G180" s="46"/>
      <c r="H180" s="46"/>
      <c r="I180" s="47" t="str">
        <f>IF(OR($D180="",$E180="",$G180="",$E180&lt;=0,$G180=0),"",$D180/$E180/$G180)</f>
        <v/>
      </c>
      <c r="J180" s="48" t="str">
        <f>IF(OR($I180="",NOT(ISNUMBER($H180)),$H180=0),"",$I180/$H180)</f>
        <v/>
      </c>
      <c r="K180" s="49" t="str">
        <f>IF(OR($I180="",NOT(ISNUMBER($H180))),"",$I180-$H180)</f>
        <v/>
      </c>
      <c r="L180" s="39" t="str">
        <f>IF($I180="","",IF(NOT(ISNUMBER($H180)),"Standard manquant",IF($J180&gt;=1,"Standard atteint",IF($J180&gt;=SeuilAlerte,"Alerte","Sous standard"))))</f>
        <v/>
      </c>
      <c r="M180" s="40" t="str">
        <f>IF(OR($D180="",$E180="",$E180&lt;=0),"",$D180/$E180)</f>
        <v/>
      </c>
      <c r="N180" s="40"/>
    </row>
    <row r="181" spans="1:14" ht="15" customHeight="1" x14ac:dyDescent="0.2">
      <c r="A181" s="14"/>
      <c r="B181" s="23"/>
      <c r="C181" s="23"/>
      <c r="D181" s="22"/>
      <c r="E181" s="45"/>
      <c r="F181" s="22"/>
      <c r="G181" s="46"/>
      <c r="H181" s="46"/>
      <c r="I181" s="47" t="str">
        <f>IF(OR($D181="",$E181="",$G181="",$E181&lt;=0,$G181=0),"",$D181/$E181/$G181)</f>
        <v/>
      </c>
      <c r="J181" s="48" t="str">
        <f>IF(OR($I181="",NOT(ISNUMBER($H181)),$H181=0),"",$I181/$H181)</f>
        <v/>
      </c>
      <c r="K181" s="49" t="str">
        <f>IF(OR($I181="",NOT(ISNUMBER($H181))),"",$I181-$H181)</f>
        <v/>
      </c>
      <c r="L181" s="39" t="str">
        <f>IF($I181="","",IF(NOT(ISNUMBER($H181)),"Standard manquant",IF($J181&gt;=1,"Standard atteint",IF($J181&gt;=SeuilAlerte,"Alerte","Sous standard"))))</f>
        <v/>
      </c>
      <c r="M181" s="40" t="str">
        <f>IF(OR($D181="",$E181="",$E181&lt;=0),"",$D181/$E181)</f>
        <v/>
      </c>
      <c r="N181" s="40"/>
    </row>
    <row r="182" spans="1:14" ht="15" customHeight="1" x14ac:dyDescent="0.2">
      <c r="A182" s="14"/>
      <c r="B182" s="23"/>
      <c r="C182" s="23"/>
      <c r="D182" s="22"/>
      <c r="E182" s="45"/>
      <c r="F182" s="22"/>
      <c r="G182" s="46"/>
      <c r="H182" s="46"/>
      <c r="I182" s="47" t="str">
        <f>IF(OR($D182="",$E182="",$G182="",$E182&lt;=0,$G182=0),"",$D182/$E182/$G182)</f>
        <v/>
      </c>
      <c r="J182" s="48" t="str">
        <f>IF(OR($I182="",NOT(ISNUMBER($H182)),$H182=0),"",$I182/$H182)</f>
        <v/>
      </c>
      <c r="K182" s="49" t="str">
        <f>IF(OR($I182="",NOT(ISNUMBER($H182))),"",$I182-$H182)</f>
        <v/>
      </c>
      <c r="L182" s="39" t="str">
        <f>IF($I182="","",IF(NOT(ISNUMBER($H182)),"Standard manquant",IF($J182&gt;=1,"Standard atteint",IF($J182&gt;=SeuilAlerte,"Alerte","Sous standard"))))</f>
        <v/>
      </c>
      <c r="M182" s="40" t="str">
        <f>IF(OR($D182="",$E182="",$E182&lt;=0),"",$D182/$E182)</f>
        <v/>
      </c>
      <c r="N182" s="40"/>
    </row>
    <row r="183" spans="1:14" ht="15" customHeight="1" x14ac:dyDescent="0.2">
      <c r="A183" s="14"/>
      <c r="B183" s="23"/>
      <c r="C183" s="23"/>
      <c r="D183" s="22"/>
      <c r="E183" s="45"/>
      <c r="F183" s="22"/>
      <c r="G183" s="46"/>
      <c r="H183" s="46"/>
      <c r="I183" s="47" t="str">
        <f>IF(OR($D183="",$E183="",$G183="",$E183&lt;=0,$G183=0),"",$D183/$E183/$G183)</f>
        <v/>
      </c>
      <c r="J183" s="48" t="str">
        <f>IF(OR($I183="",NOT(ISNUMBER($H183)),$H183=0),"",$I183/$H183)</f>
        <v/>
      </c>
      <c r="K183" s="49" t="str">
        <f>IF(OR($I183="",NOT(ISNUMBER($H183))),"",$I183-$H183)</f>
        <v/>
      </c>
      <c r="L183" s="39" t="str">
        <f>IF($I183="","",IF(NOT(ISNUMBER($H183)),"Standard manquant",IF($J183&gt;=1,"Standard atteint",IF($J183&gt;=SeuilAlerte,"Alerte","Sous standard"))))</f>
        <v/>
      </c>
      <c r="M183" s="40" t="str">
        <f>IF(OR($D183="",$E183="",$E183&lt;=0),"",$D183/$E183)</f>
        <v/>
      </c>
      <c r="N183" s="40"/>
    </row>
    <row r="184" spans="1:14" ht="15" customHeight="1" x14ac:dyDescent="0.2">
      <c r="A184" s="14"/>
      <c r="B184" s="23"/>
      <c r="C184" s="23"/>
      <c r="D184" s="22"/>
      <c r="E184" s="45"/>
      <c r="F184" s="22"/>
      <c r="G184" s="46"/>
      <c r="H184" s="46"/>
      <c r="I184" s="47" t="str">
        <f>IF(OR($D184="",$E184="",$G184="",$E184&lt;=0,$G184=0),"",$D184/$E184/$G184)</f>
        <v/>
      </c>
      <c r="J184" s="48" t="str">
        <f>IF(OR($I184="",NOT(ISNUMBER($H184)),$H184=0),"",$I184/$H184)</f>
        <v/>
      </c>
      <c r="K184" s="49" t="str">
        <f>IF(OR($I184="",NOT(ISNUMBER($H184))),"",$I184-$H184)</f>
        <v/>
      </c>
      <c r="L184" s="39" t="str">
        <f>IF($I184="","",IF(NOT(ISNUMBER($H184)),"Standard manquant",IF($J184&gt;=1,"Standard atteint",IF($J184&gt;=SeuilAlerte,"Alerte","Sous standard"))))</f>
        <v/>
      </c>
      <c r="M184" s="40" t="str">
        <f>IF(OR($D184="",$E184="",$E184&lt;=0),"",$D184/$E184)</f>
        <v/>
      </c>
      <c r="N184" s="40"/>
    </row>
    <row r="185" spans="1:14" ht="15" customHeight="1" x14ac:dyDescent="0.2">
      <c r="A185" s="14"/>
      <c r="B185" s="23"/>
      <c r="C185" s="23"/>
      <c r="D185" s="22"/>
      <c r="E185" s="45"/>
      <c r="F185" s="22"/>
      <c r="G185" s="46"/>
      <c r="H185" s="46"/>
      <c r="I185" s="47" t="str">
        <f>IF(OR($D185="",$E185="",$G185="",$E185&lt;=0,$G185=0),"",$D185/$E185/$G185)</f>
        <v/>
      </c>
      <c r="J185" s="48" t="str">
        <f>IF(OR($I185="",NOT(ISNUMBER($H185)),$H185=0),"",$I185/$H185)</f>
        <v/>
      </c>
      <c r="K185" s="49" t="str">
        <f>IF(OR($I185="",NOT(ISNUMBER($H185))),"",$I185-$H185)</f>
        <v/>
      </c>
      <c r="L185" s="39" t="str">
        <f>IF($I185="","",IF(NOT(ISNUMBER($H185)),"Standard manquant",IF($J185&gt;=1,"Standard atteint",IF($J185&gt;=SeuilAlerte,"Alerte","Sous standard"))))</f>
        <v/>
      </c>
      <c r="M185" s="40" t="str">
        <f>IF(OR($D185="",$E185="",$E185&lt;=0),"",$D185/$E185)</f>
        <v/>
      </c>
      <c r="N185" s="40"/>
    </row>
    <row r="186" spans="1:14" ht="15" customHeight="1" x14ac:dyDescent="0.2">
      <c r="A186" s="14"/>
      <c r="B186" s="23"/>
      <c r="C186" s="23"/>
      <c r="D186" s="22"/>
      <c r="E186" s="45"/>
      <c r="F186" s="22"/>
      <c r="G186" s="46"/>
      <c r="H186" s="46"/>
      <c r="I186" s="47" t="str">
        <f>IF(OR($D186="",$E186="",$G186="",$E186&lt;=0,$G186=0),"",$D186/$E186/$G186)</f>
        <v/>
      </c>
      <c r="J186" s="48" t="str">
        <f>IF(OR($I186="",NOT(ISNUMBER($H186)),$H186=0),"",$I186/$H186)</f>
        <v/>
      </c>
      <c r="K186" s="49" t="str">
        <f>IF(OR($I186="",NOT(ISNUMBER($H186))),"",$I186-$H186)</f>
        <v/>
      </c>
      <c r="L186" s="39" t="str">
        <f>IF($I186="","",IF(NOT(ISNUMBER($H186)),"Standard manquant",IF($J186&gt;=1,"Standard atteint",IF($J186&gt;=SeuilAlerte,"Alerte","Sous standard"))))</f>
        <v/>
      </c>
      <c r="M186" s="40" t="str">
        <f>IF(OR($D186="",$E186="",$E186&lt;=0),"",$D186/$E186)</f>
        <v/>
      </c>
      <c r="N186" s="40"/>
    </row>
    <row r="187" spans="1:14" ht="15" customHeight="1" x14ac:dyDescent="0.2">
      <c r="A187" s="14"/>
      <c r="B187" s="23"/>
      <c r="C187" s="23"/>
      <c r="D187" s="22"/>
      <c r="E187" s="45"/>
      <c r="F187" s="22"/>
      <c r="G187" s="46"/>
      <c r="H187" s="46"/>
      <c r="I187" s="47" t="str">
        <f>IF(OR($D187="",$E187="",$G187="",$E187&lt;=0,$G187=0),"",$D187/$E187/$G187)</f>
        <v/>
      </c>
      <c r="J187" s="48" t="str">
        <f>IF(OR($I187="",NOT(ISNUMBER($H187)),$H187=0),"",$I187/$H187)</f>
        <v/>
      </c>
      <c r="K187" s="49" t="str">
        <f>IF(OR($I187="",NOT(ISNUMBER($H187))),"",$I187-$H187)</f>
        <v/>
      </c>
      <c r="L187" s="39" t="str">
        <f>IF($I187="","",IF(NOT(ISNUMBER($H187)),"Standard manquant",IF($J187&gt;=1,"Standard atteint",IF($J187&gt;=SeuilAlerte,"Alerte","Sous standard"))))</f>
        <v/>
      </c>
      <c r="M187" s="40" t="str">
        <f>IF(OR($D187="",$E187="",$E187&lt;=0),"",$D187/$E187)</f>
        <v/>
      </c>
      <c r="N187" s="40"/>
    </row>
    <row r="188" spans="1:14" ht="15" customHeight="1" x14ac:dyDescent="0.2">
      <c r="A188" s="14"/>
      <c r="B188" s="23"/>
      <c r="C188" s="23"/>
      <c r="D188" s="22"/>
      <c r="E188" s="45"/>
      <c r="F188" s="22"/>
      <c r="G188" s="46"/>
      <c r="H188" s="46"/>
      <c r="I188" s="47" t="str">
        <f>IF(OR($D188="",$E188="",$G188="",$E188&lt;=0,$G188=0),"",$D188/$E188/$G188)</f>
        <v/>
      </c>
      <c r="J188" s="48" t="str">
        <f>IF(OR($I188="",NOT(ISNUMBER($H188)),$H188=0),"",$I188/$H188)</f>
        <v/>
      </c>
      <c r="K188" s="49" t="str">
        <f>IF(OR($I188="",NOT(ISNUMBER($H188))),"",$I188-$H188)</f>
        <v/>
      </c>
      <c r="L188" s="39" t="str">
        <f>IF($I188="","",IF(NOT(ISNUMBER($H188)),"Standard manquant",IF($J188&gt;=1,"Standard atteint",IF($J188&gt;=SeuilAlerte,"Alerte","Sous standard"))))</f>
        <v/>
      </c>
      <c r="M188" s="40" t="str">
        <f>IF(OR($D188="",$E188="",$E188&lt;=0),"",$D188/$E188)</f>
        <v/>
      </c>
      <c r="N188" s="40"/>
    </row>
    <row r="189" spans="1:14" ht="15" customHeight="1" x14ac:dyDescent="0.2">
      <c r="A189" s="14"/>
      <c r="B189" s="23"/>
      <c r="C189" s="23"/>
      <c r="D189" s="22"/>
      <c r="E189" s="45"/>
      <c r="F189" s="22"/>
      <c r="G189" s="46"/>
      <c r="H189" s="46"/>
      <c r="I189" s="47" t="str">
        <f>IF(OR($D189="",$E189="",$G189="",$E189&lt;=0,$G189=0),"",$D189/$E189/$G189)</f>
        <v/>
      </c>
      <c r="J189" s="48" t="str">
        <f>IF(OR($I189="",NOT(ISNUMBER($H189)),$H189=0),"",$I189/$H189)</f>
        <v/>
      </c>
      <c r="K189" s="49" t="str">
        <f>IF(OR($I189="",NOT(ISNUMBER($H189))),"",$I189-$H189)</f>
        <v/>
      </c>
      <c r="L189" s="39" t="str">
        <f>IF($I189="","",IF(NOT(ISNUMBER($H189)),"Standard manquant",IF($J189&gt;=1,"Standard atteint",IF($J189&gt;=SeuilAlerte,"Alerte","Sous standard"))))</f>
        <v/>
      </c>
      <c r="M189" s="40" t="str">
        <f>IF(OR($D189="",$E189="",$E189&lt;=0),"",$D189/$E189)</f>
        <v/>
      </c>
      <c r="N189" s="40"/>
    </row>
    <row r="190" spans="1:14" ht="15" customHeight="1" x14ac:dyDescent="0.2">
      <c r="A190" s="14"/>
      <c r="B190" s="23"/>
      <c r="C190" s="23"/>
      <c r="D190" s="22"/>
      <c r="E190" s="45"/>
      <c r="F190" s="22"/>
      <c r="G190" s="46"/>
      <c r="H190" s="46"/>
      <c r="I190" s="47" t="str">
        <f>IF(OR($D190="",$E190="",$G190="",$E190&lt;=0,$G190=0),"",$D190/$E190/$G190)</f>
        <v/>
      </c>
      <c r="J190" s="48" t="str">
        <f>IF(OR($I190="",NOT(ISNUMBER($H190)),$H190=0),"",$I190/$H190)</f>
        <v/>
      </c>
      <c r="K190" s="49" t="str">
        <f>IF(OR($I190="",NOT(ISNUMBER($H190))),"",$I190-$H190)</f>
        <v/>
      </c>
      <c r="L190" s="39" t="str">
        <f>IF($I190="","",IF(NOT(ISNUMBER($H190)),"Standard manquant",IF($J190&gt;=1,"Standard atteint",IF($J190&gt;=SeuilAlerte,"Alerte","Sous standard"))))</f>
        <v/>
      </c>
      <c r="M190" s="40" t="str">
        <f>IF(OR($D190="",$E190="",$E190&lt;=0),"",$D190/$E190)</f>
        <v/>
      </c>
      <c r="N190" s="40"/>
    </row>
    <row r="191" spans="1:14" ht="15" customHeight="1" x14ac:dyDescent="0.2">
      <c r="A191" s="14"/>
      <c r="B191" s="23"/>
      <c r="C191" s="23"/>
      <c r="D191" s="22"/>
      <c r="E191" s="45"/>
      <c r="F191" s="22"/>
      <c r="G191" s="46"/>
      <c r="H191" s="46"/>
      <c r="I191" s="47" t="str">
        <f>IF(OR($D191="",$E191="",$G191="",$E191&lt;=0,$G191=0),"",$D191/$E191/$G191)</f>
        <v/>
      </c>
      <c r="J191" s="48" t="str">
        <f>IF(OR($I191="",NOT(ISNUMBER($H191)),$H191=0),"",$I191/$H191)</f>
        <v/>
      </c>
      <c r="K191" s="49" t="str">
        <f>IF(OR($I191="",NOT(ISNUMBER($H191))),"",$I191-$H191)</f>
        <v/>
      </c>
      <c r="L191" s="39" t="str">
        <f>IF($I191="","",IF(NOT(ISNUMBER($H191)),"Standard manquant",IF($J191&gt;=1,"Standard atteint",IF($J191&gt;=SeuilAlerte,"Alerte","Sous standard"))))</f>
        <v/>
      </c>
      <c r="M191" s="40" t="str">
        <f>IF(OR($D191="",$E191="",$E191&lt;=0),"",$D191/$E191)</f>
        <v/>
      </c>
      <c r="N191" s="40"/>
    </row>
    <row r="192" spans="1:14" ht="15" customHeight="1" x14ac:dyDescent="0.2">
      <c r="A192" s="14"/>
      <c r="B192" s="23"/>
      <c r="C192" s="23"/>
      <c r="D192" s="22"/>
      <c r="E192" s="45"/>
      <c r="F192" s="22"/>
      <c r="G192" s="46"/>
      <c r="H192" s="46"/>
      <c r="I192" s="47" t="str">
        <f>IF(OR($D192="",$E192="",$G192="",$E192&lt;=0,$G192=0),"",$D192/$E192/$G192)</f>
        <v/>
      </c>
      <c r="J192" s="48" t="str">
        <f>IF(OR($I192="",NOT(ISNUMBER($H192)),$H192=0),"",$I192/$H192)</f>
        <v/>
      </c>
      <c r="K192" s="49" t="str">
        <f>IF(OR($I192="",NOT(ISNUMBER($H192))),"",$I192-$H192)</f>
        <v/>
      </c>
      <c r="L192" s="39" t="str">
        <f>IF($I192="","",IF(NOT(ISNUMBER($H192)),"Standard manquant",IF($J192&gt;=1,"Standard atteint",IF($J192&gt;=SeuilAlerte,"Alerte","Sous standard"))))</f>
        <v/>
      </c>
      <c r="M192" s="40" t="str">
        <f>IF(OR($D192="",$E192="",$E192&lt;=0),"",$D192/$E192)</f>
        <v/>
      </c>
      <c r="N192" s="40"/>
    </row>
    <row r="193" spans="1:14" ht="15" customHeight="1" x14ac:dyDescent="0.2">
      <c r="A193" s="14"/>
      <c r="B193" s="23"/>
      <c r="C193" s="23"/>
      <c r="D193" s="22"/>
      <c r="E193" s="45"/>
      <c r="F193" s="22"/>
      <c r="G193" s="46"/>
      <c r="H193" s="46"/>
      <c r="I193" s="47" t="str">
        <f>IF(OR($D193="",$E193="",$G193="",$E193&lt;=0,$G193=0),"",$D193/$E193/$G193)</f>
        <v/>
      </c>
      <c r="J193" s="48" t="str">
        <f>IF(OR($I193="",NOT(ISNUMBER($H193)),$H193=0),"",$I193/$H193)</f>
        <v/>
      </c>
      <c r="K193" s="49" t="str">
        <f>IF(OR($I193="",NOT(ISNUMBER($H193))),"",$I193-$H193)</f>
        <v/>
      </c>
      <c r="L193" s="39" t="str">
        <f>IF($I193="","",IF(NOT(ISNUMBER($H193)),"Standard manquant",IF($J193&gt;=1,"Standard atteint",IF($J193&gt;=SeuilAlerte,"Alerte","Sous standard"))))</f>
        <v/>
      </c>
      <c r="M193" s="40" t="str">
        <f>IF(OR($D193="",$E193="",$E193&lt;=0),"",$D193/$E193)</f>
        <v/>
      </c>
      <c r="N193" s="40"/>
    </row>
    <row r="194" spans="1:14" ht="15" customHeight="1" x14ac:dyDescent="0.2">
      <c r="A194" s="14"/>
      <c r="B194" s="23"/>
      <c r="C194" s="23"/>
      <c r="D194" s="22"/>
      <c r="E194" s="45"/>
      <c r="F194" s="22"/>
      <c r="G194" s="46"/>
      <c r="H194" s="46"/>
      <c r="I194" s="47" t="str">
        <f>IF(OR($D194="",$E194="",$G194="",$E194&lt;=0,$G194=0),"",$D194/$E194/$G194)</f>
        <v/>
      </c>
      <c r="J194" s="48" t="str">
        <f>IF(OR($I194="",NOT(ISNUMBER($H194)),$H194=0),"",$I194/$H194)</f>
        <v/>
      </c>
      <c r="K194" s="49" t="str">
        <f>IF(OR($I194="",NOT(ISNUMBER($H194))),"",$I194-$H194)</f>
        <v/>
      </c>
      <c r="L194" s="39" t="str">
        <f>IF($I194="","",IF(NOT(ISNUMBER($H194)),"Standard manquant",IF($J194&gt;=1,"Standard atteint",IF($J194&gt;=SeuilAlerte,"Alerte","Sous standard"))))</f>
        <v/>
      </c>
      <c r="M194" s="40" t="str">
        <f>IF(OR($D194="",$E194="",$E194&lt;=0),"",$D194/$E194)</f>
        <v/>
      </c>
      <c r="N194" s="40"/>
    </row>
    <row r="195" spans="1:14" ht="15" customHeight="1" x14ac:dyDescent="0.2">
      <c r="A195" s="14"/>
      <c r="B195" s="23"/>
      <c r="C195" s="23"/>
      <c r="D195" s="22"/>
      <c r="E195" s="45"/>
      <c r="F195" s="22"/>
      <c r="G195" s="46"/>
      <c r="H195" s="46"/>
      <c r="I195" s="47" t="str">
        <f>IF(OR($D195="",$E195="",$G195="",$E195&lt;=0,$G195=0),"",$D195/$E195/$G195)</f>
        <v/>
      </c>
      <c r="J195" s="48" t="str">
        <f>IF(OR($I195="",NOT(ISNUMBER($H195)),$H195=0),"",$I195/$H195)</f>
        <v/>
      </c>
      <c r="K195" s="49" t="str">
        <f>IF(OR($I195="",NOT(ISNUMBER($H195))),"",$I195-$H195)</f>
        <v/>
      </c>
      <c r="L195" s="39" t="str">
        <f>IF($I195="","",IF(NOT(ISNUMBER($H195)),"Standard manquant",IF($J195&gt;=1,"Standard atteint",IF($J195&gt;=SeuilAlerte,"Alerte","Sous standard"))))</f>
        <v/>
      </c>
      <c r="M195" s="40" t="str">
        <f>IF(OR($D195="",$E195="",$E195&lt;=0),"",$D195/$E195)</f>
        <v/>
      </c>
      <c r="N195" s="40"/>
    </row>
    <row r="196" spans="1:14" ht="15" customHeight="1" x14ac:dyDescent="0.2">
      <c r="A196" s="14"/>
      <c r="B196" s="23"/>
      <c r="C196" s="23"/>
      <c r="D196" s="22"/>
      <c r="E196" s="45"/>
      <c r="F196" s="22"/>
      <c r="G196" s="46"/>
      <c r="H196" s="46"/>
      <c r="I196" s="47" t="str">
        <f>IF(OR($D196="",$E196="",$G196="",$E196&lt;=0,$G196=0),"",$D196/$E196/$G196)</f>
        <v/>
      </c>
      <c r="J196" s="48" t="str">
        <f>IF(OR($I196="",NOT(ISNUMBER($H196)),$H196=0),"",$I196/$H196)</f>
        <v/>
      </c>
      <c r="K196" s="49" t="str">
        <f>IF(OR($I196="",NOT(ISNUMBER($H196))),"",$I196-$H196)</f>
        <v/>
      </c>
      <c r="L196" s="39" t="str">
        <f>IF($I196="","",IF(NOT(ISNUMBER($H196)),"Standard manquant",IF($J196&gt;=1,"Standard atteint",IF($J196&gt;=SeuilAlerte,"Alerte","Sous standard"))))</f>
        <v/>
      </c>
      <c r="M196" s="40" t="str">
        <f>IF(OR($D196="",$E196="",$E196&lt;=0),"",$D196/$E196)</f>
        <v/>
      </c>
      <c r="N196" s="40"/>
    </row>
    <row r="197" spans="1:14" ht="15" customHeight="1" x14ac:dyDescent="0.2">
      <c r="A197" s="14"/>
      <c r="B197" s="23"/>
      <c r="C197" s="23"/>
      <c r="D197" s="22"/>
      <c r="E197" s="45"/>
      <c r="F197" s="22"/>
      <c r="G197" s="46"/>
      <c r="H197" s="46"/>
      <c r="I197" s="47" t="str">
        <f>IF(OR($D197="",$E197="",$G197="",$E197&lt;=0,$G197=0),"",$D197/$E197/$G197)</f>
        <v/>
      </c>
      <c r="J197" s="48" t="str">
        <f>IF(OR($I197="",NOT(ISNUMBER($H197)),$H197=0),"",$I197/$H197)</f>
        <v/>
      </c>
      <c r="K197" s="49" t="str">
        <f>IF(OR($I197="",NOT(ISNUMBER($H197))),"",$I197-$H197)</f>
        <v/>
      </c>
      <c r="L197" s="39" t="str">
        <f>IF($I197="","",IF(NOT(ISNUMBER($H197)),"Standard manquant",IF($J197&gt;=1,"Standard atteint",IF($J197&gt;=SeuilAlerte,"Alerte","Sous standard"))))</f>
        <v/>
      </c>
      <c r="M197" s="40" t="str">
        <f>IF(OR($D197="",$E197="",$E197&lt;=0),"",$D197/$E197)</f>
        <v/>
      </c>
      <c r="N197" s="40"/>
    </row>
    <row r="198" spans="1:14" ht="15" customHeight="1" x14ac:dyDescent="0.2">
      <c r="A198" s="14"/>
      <c r="B198" s="23"/>
      <c r="C198" s="23"/>
      <c r="D198" s="22"/>
      <c r="E198" s="45"/>
      <c r="F198" s="22"/>
      <c r="G198" s="46"/>
      <c r="H198" s="46"/>
      <c r="I198" s="47" t="str">
        <f>IF(OR($D198="",$E198="",$G198="",$E198&lt;=0,$G198=0),"",$D198/$E198/$G198)</f>
        <v/>
      </c>
      <c r="J198" s="48" t="str">
        <f>IF(OR($I198="",NOT(ISNUMBER($H198)),$H198=0),"",$I198/$H198)</f>
        <v/>
      </c>
      <c r="K198" s="49" t="str">
        <f>IF(OR($I198="",NOT(ISNUMBER($H198))),"",$I198-$H198)</f>
        <v/>
      </c>
      <c r="L198" s="39" t="str">
        <f>IF($I198="","",IF(NOT(ISNUMBER($H198)),"Standard manquant",IF($J198&gt;=1,"Standard atteint",IF($J198&gt;=SeuilAlerte,"Alerte","Sous standard"))))</f>
        <v/>
      </c>
      <c r="M198" s="40" t="str">
        <f>IF(OR($D198="",$E198="",$E198&lt;=0),"",$D198/$E198)</f>
        <v/>
      </c>
      <c r="N198" s="40"/>
    </row>
    <row r="199" spans="1:14" ht="15" customHeight="1" x14ac:dyDescent="0.2">
      <c r="A199" s="14"/>
      <c r="B199" s="23"/>
      <c r="C199" s="23"/>
      <c r="D199" s="22"/>
      <c r="E199" s="45"/>
      <c r="F199" s="22"/>
      <c r="G199" s="46"/>
      <c r="H199" s="46"/>
      <c r="I199" s="47" t="str">
        <f>IF(OR($D199="",$E199="",$G199="",$E199&lt;=0,$G199=0),"",$D199/$E199/$G199)</f>
        <v/>
      </c>
      <c r="J199" s="48" t="str">
        <f>IF(OR($I199="",NOT(ISNUMBER($H199)),$H199=0),"",$I199/$H199)</f>
        <v/>
      </c>
      <c r="K199" s="49" t="str">
        <f>IF(OR($I199="",NOT(ISNUMBER($H199))),"",$I199-$H199)</f>
        <v/>
      </c>
      <c r="L199" s="39" t="str">
        <f>IF($I199="","",IF(NOT(ISNUMBER($H199)),"Standard manquant",IF($J199&gt;=1,"Standard atteint",IF($J199&gt;=SeuilAlerte,"Alerte","Sous standard"))))</f>
        <v/>
      </c>
      <c r="M199" s="40" t="str">
        <f>IF(OR($D199="",$E199="",$E199&lt;=0),"",$D199/$E199)</f>
        <v/>
      </c>
      <c r="N199" s="40"/>
    </row>
    <row r="200" spans="1:14" ht="15" customHeight="1" x14ac:dyDescent="0.2">
      <c r="A200" s="14"/>
      <c r="B200" s="23"/>
      <c r="C200" s="23"/>
      <c r="D200" s="22"/>
      <c r="E200" s="45"/>
      <c r="F200" s="22"/>
      <c r="G200" s="46"/>
      <c r="H200" s="46"/>
      <c r="I200" s="47" t="str">
        <f>IF(OR($D200="",$E200="",$G200="",$E200&lt;=0,$G200=0),"",$D200/$E200/$G200)</f>
        <v/>
      </c>
      <c r="J200" s="48" t="str">
        <f>IF(OR($I200="",NOT(ISNUMBER($H200)),$H200=0),"",$I200/$H200)</f>
        <v/>
      </c>
      <c r="K200" s="49" t="str">
        <f>IF(OR($I200="",NOT(ISNUMBER($H200))),"",$I200-$H200)</f>
        <v/>
      </c>
      <c r="L200" s="39" t="str">
        <f>IF($I200="","",IF(NOT(ISNUMBER($H200)),"Standard manquant",IF($J200&gt;=1,"Standard atteint",IF($J200&gt;=SeuilAlerte,"Alerte","Sous standard"))))</f>
        <v/>
      </c>
      <c r="M200" s="40" t="str">
        <f>IF(OR($D200="",$E200="",$E200&lt;=0),"",$D200/$E200)</f>
        <v/>
      </c>
      <c r="N200" s="40"/>
    </row>
    <row r="201" spans="1:14" ht="15" customHeight="1" x14ac:dyDescent="0.2">
      <c r="A201" s="14"/>
      <c r="B201" s="23"/>
      <c r="C201" s="23"/>
      <c r="D201" s="22"/>
      <c r="E201" s="45"/>
      <c r="F201" s="22"/>
      <c r="G201" s="46"/>
      <c r="H201" s="46"/>
      <c r="I201" s="47" t="str">
        <f>IF(OR($D201="",$E201="",$G201="",$E201&lt;=0,$G201=0),"",$D201/$E201/$G201)</f>
        <v/>
      </c>
      <c r="J201" s="48" t="str">
        <f>IF(OR($I201="",NOT(ISNUMBER($H201)),$H201=0),"",$I201/$H201)</f>
        <v/>
      </c>
      <c r="K201" s="49" t="str">
        <f>IF(OR($I201="",NOT(ISNUMBER($H201))),"",$I201-$H201)</f>
        <v/>
      </c>
      <c r="L201" s="39" t="str">
        <f>IF($I201="","",IF(NOT(ISNUMBER($H201)),"Standard manquant",IF($J201&gt;=1,"Standard atteint",IF($J201&gt;=SeuilAlerte,"Alerte","Sous standard"))))</f>
        <v/>
      </c>
      <c r="M201" s="40" t="str">
        <f>IF(OR($D201="",$E201="",$E201&lt;=0),"",$D201/$E201)</f>
        <v/>
      </c>
      <c r="N201" s="40"/>
    </row>
    <row r="202" spans="1:14" ht="15" customHeight="1" x14ac:dyDescent="0.2">
      <c r="A202" s="14"/>
      <c r="B202" s="23"/>
      <c r="C202" s="23"/>
      <c r="D202" s="22"/>
      <c r="E202" s="45"/>
      <c r="F202" s="22"/>
      <c r="G202" s="46"/>
      <c r="H202" s="46"/>
      <c r="I202" s="47" t="str">
        <f>IF(OR($D202="",$E202="",$G202="",$E202&lt;=0,$G202=0),"",$D202/$E202/$G202)</f>
        <v/>
      </c>
      <c r="J202" s="48" t="str">
        <f>IF(OR($I202="",NOT(ISNUMBER($H202)),$H202=0),"",$I202/$H202)</f>
        <v/>
      </c>
      <c r="K202" s="49" t="str">
        <f>IF(OR($I202="",NOT(ISNUMBER($H202))),"",$I202-$H202)</f>
        <v/>
      </c>
      <c r="L202" s="39" t="str">
        <f>IF($I202="","",IF(NOT(ISNUMBER($H202)),"Standard manquant",IF($J202&gt;=1,"Standard atteint",IF($J202&gt;=SeuilAlerte,"Alerte","Sous standard"))))</f>
        <v/>
      </c>
      <c r="M202" s="40" t="str">
        <f>IF(OR($D202="",$E202="",$E202&lt;=0),"",$D202/$E202)</f>
        <v/>
      </c>
      <c r="N202" s="40"/>
    </row>
    <row r="203" spans="1:14" ht="15" customHeight="1" x14ac:dyDescent="0.2">
      <c r="A203" s="14"/>
      <c r="B203" s="23"/>
      <c r="C203" s="23"/>
      <c r="D203" s="22"/>
      <c r="E203" s="45"/>
      <c r="F203" s="22"/>
      <c r="G203" s="46"/>
      <c r="H203" s="46"/>
      <c r="I203" s="47" t="str">
        <f>IF(OR($D203="",$E203="",$G203="",$E203&lt;=0,$G203=0),"",$D203/$E203/$G203)</f>
        <v/>
      </c>
      <c r="J203" s="48" t="str">
        <f>IF(OR($I203="",NOT(ISNUMBER($H203)),$H203=0),"",$I203/$H203)</f>
        <v/>
      </c>
      <c r="K203" s="49" t="str">
        <f>IF(OR($I203="",NOT(ISNUMBER($H203))),"",$I203-$H203)</f>
        <v/>
      </c>
      <c r="L203" s="39" t="str">
        <f>IF($I203="","",IF(NOT(ISNUMBER($H203)),"Standard manquant",IF($J203&gt;=1,"Standard atteint",IF($J203&gt;=SeuilAlerte,"Alerte","Sous standard"))))</f>
        <v/>
      </c>
      <c r="M203" s="40" t="str">
        <f>IF(OR($D203="",$E203="",$E203&lt;=0),"",$D203/$E203)</f>
        <v/>
      </c>
      <c r="N203" s="40"/>
    </row>
    <row r="204" spans="1:14" ht="15" customHeight="1" x14ac:dyDescent="0.2">
      <c r="A204" s="14"/>
      <c r="B204" s="23"/>
      <c r="C204" s="23"/>
      <c r="D204" s="22"/>
      <c r="E204" s="45"/>
      <c r="F204" s="22"/>
      <c r="G204" s="46"/>
      <c r="H204" s="46"/>
      <c r="I204" s="47" t="str">
        <f>IF(OR($D204="",$E204="",$G204="",$E204&lt;=0,$G204=0),"",$D204/$E204/$G204)</f>
        <v/>
      </c>
      <c r="J204" s="48" t="str">
        <f>IF(OR($I204="",NOT(ISNUMBER($H204)),$H204=0),"",$I204/$H204)</f>
        <v/>
      </c>
      <c r="K204" s="49" t="str">
        <f>IF(OR($I204="",NOT(ISNUMBER($H204))),"",$I204-$H204)</f>
        <v/>
      </c>
      <c r="L204" s="39" t="str">
        <f>IF($I204="","",IF(NOT(ISNUMBER($H204)),"Standard manquant",IF($J204&gt;=1,"Standard atteint",IF($J204&gt;=SeuilAlerte,"Alerte","Sous standard"))))</f>
        <v/>
      </c>
      <c r="M204" s="40" t="str">
        <f>IF(OR($D204="",$E204="",$E204&lt;=0),"",$D204/$E204)</f>
        <v/>
      </c>
      <c r="N204" s="40"/>
    </row>
    <row r="205" spans="1:14" ht="15" customHeight="1" x14ac:dyDescent="0.2">
      <c r="A205" s="14"/>
      <c r="B205" s="23"/>
      <c r="C205" s="23"/>
      <c r="D205" s="22"/>
      <c r="E205" s="45"/>
      <c r="F205" s="22"/>
      <c r="G205" s="46"/>
      <c r="H205" s="46"/>
      <c r="I205" s="47" t="str">
        <f>IF(OR($D205="",$E205="",$G205="",$E205&lt;=0,$G205=0),"",$D205/$E205/$G205)</f>
        <v/>
      </c>
      <c r="J205" s="48" t="str">
        <f>IF(OR($I205="",NOT(ISNUMBER($H205)),$H205=0),"",$I205/$H205)</f>
        <v/>
      </c>
      <c r="K205" s="49" t="str">
        <f>IF(OR($I205="",NOT(ISNUMBER($H205))),"",$I205-$H205)</f>
        <v/>
      </c>
      <c r="L205" s="39" t="str">
        <f>IF($I205="","",IF(NOT(ISNUMBER($H205)),"Standard manquant",IF($J205&gt;=1,"Standard atteint",IF($J205&gt;=SeuilAlerte,"Alerte","Sous standard"))))</f>
        <v/>
      </c>
      <c r="M205" s="40" t="str">
        <f>IF(OR($D205="",$E205="",$E205&lt;=0),"",$D205/$E205)</f>
        <v/>
      </c>
      <c r="N205" s="40"/>
    </row>
    <row r="206" spans="1:14" ht="15" customHeight="1" x14ac:dyDescent="0.2">
      <c r="A206" s="14"/>
      <c r="B206" s="23"/>
      <c r="C206" s="23"/>
      <c r="D206" s="22"/>
      <c r="E206" s="45"/>
      <c r="F206" s="22"/>
      <c r="G206" s="46"/>
      <c r="H206" s="46"/>
      <c r="I206" s="47" t="str">
        <f>IF(OR($D206="",$E206="",$G206="",$E206&lt;=0,$G206=0),"",$D206/$E206/$G206)</f>
        <v/>
      </c>
      <c r="J206" s="48" t="str">
        <f>IF(OR($I206="",NOT(ISNUMBER($H206)),$H206=0),"",$I206/$H206)</f>
        <v/>
      </c>
      <c r="K206" s="49" t="str">
        <f>IF(OR($I206="",NOT(ISNUMBER($H206))),"",$I206-$H206)</f>
        <v/>
      </c>
      <c r="L206" s="39" t="str">
        <f>IF($I206="","",IF(NOT(ISNUMBER($H206)),"Standard manquant",IF($J206&gt;=1,"Standard atteint",IF($J206&gt;=SeuilAlerte,"Alerte","Sous standard"))))</f>
        <v/>
      </c>
      <c r="M206" s="40" t="str">
        <f>IF(OR($D206="",$E206="",$E206&lt;=0),"",$D206/$E206)</f>
        <v/>
      </c>
      <c r="N206" s="40"/>
    </row>
    <row r="207" spans="1:14" ht="15" customHeight="1" x14ac:dyDescent="0.2">
      <c r="A207" s="14"/>
      <c r="B207" s="23"/>
      <c r="C207" s="23"/>
      <c r="D207" s="22"/>
      <c r="E207" s="45"/>
      <c r="F207" s="22"/>
      <c r="G207" s="46"/>
      <c r="H207" s="46"/>
      <c r="I207" s="47" t="str">
        <f>IF(OR($D207="",$E207="",$G207="",$E207&lt;=0,$G207=0),"",$D207/$E207/$G207)</f>
        <v/>
      </c>
      <c r="J207" s="48" t="str">
        <f>IF(OR($I207="",NOT(ISNUMBER($H207)),$H207=0),"",$I207/$H207)</f>
        <v/>
      </c>
      <c r="K207" s="49" t="str">
        <f>IF(OR($I207="",NOT(ISNUMBER($H207))),"",$I207-$H207)</f>
        <v/>
      </c>
      <c r="L207" s="39" t="str">
        <f>IF($I207="","",IF(NOT(ISNUMBER($H207)),"Standard manquant",IF($J207&gt;=1,"Standard atteint",IF($J207&gt;=SeuilAlerte,"Alerte","Sous standard"))))</f>
        <v/>
      </c>
      <c r="M207" s="40" t="str">
        <f>IF(OR($D207="",$E207="",$E207&lt;=0),"",$D207/$E207)</f>
        <v/>
      </c>
      <c r="N207" s="40"/>
    </row>
    <row r="208" spans="1:14" ht="15" customHeight="1" x14ac:dyDescent="0.2">
      <c r="A208" s="14"/>
      <c r="B208" s="23"/>
      <c r="C208" s="23"/>
      <c r="D208" s="22"/>
      <c r="E208" s="45"/>
      <c r="F208" s="22"/>
      <c r="G208" s="46"/>
      <c r="H208" s="46"/>
      <c r="I208" s="47" t="str">
        <f>IF(OR($D208="",$E208="",$G208="",$E208&lt;=0,$G208=0),"",$D208/$E208/$G208)</f>
        <v/>
      </c>
      <c r="J208" s="48" t="str">
        <f>IF(OR($I208="",NOT(ISNUMBER($H208)),$H208=0),"",$I208/$H208)</f>
        <v/>
      </c>
      <c r="K208" s="49" t="str">
        <f>IF(OR($I208="",NOT(ISNUMBER($H208))),"",$I208-$H208)</f>
        <v/>
      </c>
      <c r="L208" s="39" t="str">
        <f>IF($I208="","",IF(NOT(ISNUMBER($H208)),"Standard manquant",IF($J208&gt;=1,"Standard atteint",IF($J208&gt;=SeuilAlerte,"Alerte","Sous standard"))))</f>
        <v/>
      </c>
      <c r="M208" s="40" t="str">
        <f>IF(OR($D208="",$E208="",$E208&lt;=0),"",$D208/$E208)</f>
        <v/>
      </c>
      <c r="N208" s="40"/>
    </row>
    <row r="209" spans="1:14" ht="15" customHeight="1" x14ac:dyDescent="0.2">
      <c r="A209" s="14"/>
      <c r="B209" s="23"/>
      <c r="C209" s="23"/>
      <c r="D209" s="22"/>
      <c r="E209" s="45"/>
      <c r="F209" s="22"/>
      <c r="G209" s="46"/>
      <c r="H209" s="46"/>
      <c r="I209" s="47" t="str">
        <f>IF(OR($D209="",$E209="",$G209="",$E209&lt;=0,$G209=0),"",$D209/$E209/$G209)</f>
        <v/>
      </c>
      <c r="J209" s="48" t="str">
        <f>IF(OR($I209="",NOT(ISNUMBER($H209)),$H209=0),"",$I209/$H209)</f>
        <v/>
      </c>
      <c r="K209" s="49" t="str">
        <f>IF(OR($I209="",NOT(ISNUMBER($H209))),"",$I209-$H209)</f>
        <v/>
      </c>
      <c r="L209" s="39" t="str">
        <f>IF($I209="","",IF(NOT(ISNUMBER($H209)),"Standard manquant",IF($J209&gt;=1,"Standard atteint",IF($J209&gt;=SeuilAlerte,"Alerte","Sous standard"))))</f>
        <v/>
      </c>
      <c r="M209" s="40" t="str">
        <f>IF(OR($D209="",$E209="",$E209&lt;=0),"",$D209/$E209)</f>
        <v/>
      </c>
      <c r="N209" s="40"/>
    </row>
    <row r="210" spans="1:14" ht="15" customHeight="1" x14ac:dyDescent="0.2">
      <c r="A210" s="14"/>
      <c r="B210" s="23"/>
      <c r="C210" s="23"/>
      <c r="D210" s="22"/>
      <c r="E210" s="45"/>
      <c r="F210" s="22"/>
      <c r="G210" s="46"/>
      <c r="H210" s="46"/>
      <c r="I210" s="47" t="str">
        <f>IF(OR($D210="",$E210="",$G210="",$E210&lt;=0,$G210=0),"",$D210/$E210/$G210)</f>
        <v/>
      </c>
      <c r="J210" s="48" t="str">
        <f>IF(OR($I210="",NOT(ISNUMBER($H210)),$H210=0),"",$I210/$H210)</f>
        <v/>
      </c>
      <c r="K210" s="49" t="str">
        <f>IF(OR($I210="",NOT(ISNUMBER($H210))),"",$I210-$H210)</f>
        <v/>
      </c>
      <c r="L210" s="39" t="str">
        <f>IF($I210="","",IF(NOT(ISNUMBER($H210)),"Standard manquant",IF($J210&gt;=1,"Standard atteint",IF($J210&gt;=SeuilAlerte,"Alerte","Sous standard"))))</f>
        <v/>
      </c>
      <c r="M210" s="40" t="str">
        <f>IF(OR($D210="",$E210="",$E210&lt;=0),"",$D210/$E210)</f>
        <v/>
      </c>
      <c r="N210" s="40"/>
    </row>
    <row r="211" spans="1:14" ht="15" customHeight="1" x14ac:dyDescent="0.2">
      <c r="A211" s="14"/>
      <c r="B211" s="23"/>
      <c r="C211" s="23"/>
      <c r="D211" s="22"/>
      <c r="E211" s="45"/>
      <c r="F211" s="22"/>
      <c r="G211" s="46"/>
      <c r="H211" s="46"/>
      <c r="I211" s="47" t="str">
        <f>IF(OR($D211="",$E211="",$G211="",$E211&lt;=0,$G211=0),"",$D211/$E211/$G211)</f>
        <v/>
      </c>
      <c r="J211" s="48" t="str">
        <f>IF(OR($I211="",NOT(ISNUMBER($H211)),$H211=0),"",$I211/$H211)</f>
        <v/>
      </c>
      <c r="K211" s="49" t="str">
        <f>IF(OR($I211="",NOT(ISNUMBER($H211))),"",$I211-$H211)</f>
        <v/>
      </c>
      <c r="L211" s="39" t="str">
        <f>IF($I211="","",IF(NOT(ISNUMBER($H211)),"Standard manquant",IF($J211&gt;=1,"Standard atteint",IF($J211&gt;=SeuilAlerte,"Alerte","Sous standard"))))</f>
        <v/>
      </c>
      <c r="M211" s="40" t="str">
        <f>IF(OR($D211="",$E211="",$E211&lt;=0),"",$D211/$E211)</f>
        <v/>
      </c>
      <c r="N211" s="40"/>
    </row>
    <row r="212" spans="1:14" ht="15" customHeight="1" x14ac:dyDescent="0.2">
      <c r="A212" s="14"/>
      <c r="B212" s="23"/>
      <c r="C212" s="23"/>
      <c r="D212" s="22"/>
      <c r="E212" s="45"/>
      <c r="F212" s="22"/>
      <c r="G212" s="46"/>
      <c r="H212" s="46"/>
      <c r="I212" s="47" t="str">
        <f>IF(OR($D212="",$E212="",$G212="",$E212&lt;=0,$G212=0),"",$D212/$E212/$G212)</f>
        <v/>
      </c>
      <c r="J212" s="48" t="str">
        <f>IF(OR($I212="",NOT(ISNUMBER($H212)),$H212=0),"",$I212/$H212)</f>
        <v/>
      </c>
      <c r="K212" s="49" t="str">
        <f>IF(OR($I212="",NOT(ISNUMBER($H212))),"",$I212-$H212)</f>
        <v/>
      </c>
      <c r="L212" s="39" t="str">
        <f>IF($I212="","",IF(NOT(ISNUMBER($H212)),"Standard manquant",IF($J212&gt;=1,"Standard atteint",IF($J212&gt;=SeuilAlerte,"Alerte","Sous standard"))))</f>
        <v/>
      </c>
      <c r="M212" s="40" t="str">
        <f>IF(OR($D212="",$E212="",$E212&lt;=0),"",$D212/$E212)</f>
        <v/>
      </c>
      <c r="N212" s="40"/>
    </row>
    <row r="213" spans="1:14" ht="15" customHeight="1" x14ac:dyDescent="0.2">
      <c r="A213" s="14"/>
      <c r="B213" s="23"/>
      <c r="C213" s="23"/>
      <c r="D213" s="22"/>
      <c r="E213" s="45"/>
      <c r="F213" s="22"/>
      <c r="G213" s="46"/>
      <c r="H213" s="46"/>
      <c r="I213" s="47" t="str">
        <f>IF(OR($D213="",$E213="",$G213="",$E213&lt;=0,$G213=0),"",$D213/$E213/$G213)</f>
        <v/>
      </c>
      <c r="J213" s="48" t="str">
        <f>IF(OR($I213="",NOT(ISNUMBER($H213)),$H213=0),"",$I213/$H213)</f>
        <v/>
      </c>
      <c r="K213" s="49" t="str">
        <f>IF(OR($I213="",NOT(ISNUMBER($H213))),"",$I213-$H213)</f>
        <v/>
      </c>
      <c r="L213" s="39" t="str">
        <f>IF($I213="","",IF(NOT(ISNUMBER($H213)),"Standard manquant",IF($J213&gt;=1,"Standard atteint",IF($J213&gt;=SeuilAlerte,"Alerte","Sous standard"))))</f>
        <v/>
      </c>
      <c r="M213" s="40" t="str">
        <f>IF(OR($D213="",$E213="",$E213&lt;=0),"",$D213/$E213)</f>
        <v/>
      </c>
      <c r="N213" s="40"/>
    </row>
    <row r="214" spans="1:14" ht="15" customHeight="1" x14ac:dyDescent="0.2">
      <c r="A214" s="14"/>
      <c r="B214" s="23"/>
      <c r="C214" s="23"/>
      <c r="D214" s="22"/>
      <c r="E214" s="45"/>
      <c r="F214" s="22"/>
      <c r="G214" s="46"/>
      <c r="H214" s="46"/>
      <c r="I214" s="47" t="str">
        <f>IF(OR($D214="",$E214="",$G214="",$E214&lt;=0,$G214=0),"",$D214/$E214/$G214)</f>
        <v/>
      </c>
      <c r="J214" s="48" t="str">
        <f>IF(OR($I214="",NOT(ISNUMBER($H214)),$H214=0),"",$I214/$H214)</f>
        <v/>
      </c>
      <c r="K214" s="49" t="str">
        <f>IF(OR($I214="",NOT(ISNUMBER($H214))),"",$I214-$H214)</f>
        <v/>
      </c>
      <c r="L214" s="39" t="str">
        <f>IF($I214="","",IF(NOT(ISNUMBER($H214)),"Standard manquant",IF($J214&gt;=1,"Standard atteint",IF($J214&gt;=SeuilAlerte,"Alerte","Sous standard"))))</f>
        <v/>
      </c>
      <c r="M214" s="40" t="str">
        <f>IF(OR($D214="",$E214="",$E214&lt;=0),"",$D214/$E214)</f>
        <v/>
      </c>
      <c r="N214" s="40"/>
    </row>
    <row r="215" spans="1:14" ht="15" customHeight="1" x14ac:dyDescent="0.2">
      <c r="A215" s="14"/>
      <c r="B215" s="23"/>
      <c r="C215" s="23"/>
      <c r="D215" s="22"/>
      <c r="E215" s="45"/>
      <c r="F215" s="22"/>
      <c r="G215" s="46"/>
      <c r="H215" s="46"/>
      <c r="I215" s="47" t="str">
        <f>IF(OR($D215="",$E215="",$G215="",$E215&lt;=0,$G215=0),"",$D215/$E215/$G215)</f>
        <v/>
      </c>
      <c r="J215" s="48" t="str">
        <f>IF(OR($I215="",NOT(ISNUMBER($H215)),$H215=0),"",$I215/$H215)</f>
        <v/>
      </c>
      <c r="K215" s="49" t="str">
        <f>IF(OR($I215="",NOT(ISNUMBER($H215))),"",$I215-$H215)</f>
        <v/>
      </c>
      <c r="L215" s="39" t="str">
        <f>IF($I215="","",IF(NOT(ISNUMBER($H215)),"Standard manquant",IF($J215&gt;=1,"Standard atteint",IF($J215&gt;=SeuilAlerte,"Alerte","Sous standard"))))</f>
        <v/>
      </c>
      <c r="M215" s="40" t="str">
        <f>IF(OR($D215="",$E215="",$E215&lt;=0),"",$D215/$E215)</f>
        <v/>
      </c>
      <c r="N215" s="40"/>
    </row>
    <row r="216" spans="1:14" ht="15" customHeight="1" x14ac:dyDescent="0.2">
      <c r="A216" s="14"/>
      <c r="B216" s="23"/>
      <c r="C216" s="23"/>
      <c r="D216" s="22"/>
      <c r="E216" s="45"/>
      <c r="F216" s="22"/>
      <c r="G216" s="46"/>
      <c r="H216" s="46"/>
      <c r="I216" s="47" t="str">
        <f>IF(OR($D216="",$E216="",$G216="",$E216&lt;=0,$G216=0),"",$D216/$E216/$G216)</f>
        <v/>
      </c>
      <c r="J216" s="48" t="str">
        <f>IF(OR($I216="",NOT(ISNUMBER($H216)),$H216=0),"",$I216/$H216)</f>
        <v/>
      </c>
      <c r="K216" s="49" t="str">
        <f>IF(OR($I216="",NOT(ISNUMBER($H216))),"",$I216-$H216)</f>
        <v/>
      </c>
      <c r="L216" s="39" t="str">
        <f>IF($I216="","",IF(NOT(ISNUMBER($H216)),"Standard manquant",IF($J216&gt;=1,"Standard atteint",IF($J216&gt;=SeuilAlerte,"Alerte","Sous standard"))))</f>
        <v/>
      </c>
      <c r="M216" s="40" t="str">
        <f>IF(OR($D216="",$E216="",$E216&lt;=0),"",$D216/$E216)</f>
        <v/>
      </c>
      <c r="N216" s="40"/>
    </row>
    <row r="217" spans="1:14" ht="15" customHeight="1" x14ac:dyDescent="0.2">
      <c r="A217" s="14"/>
      <c r="B217" s="23"/>
      <c r="C217" s="23"/>
      <c r="D217" s="22"/>
      <c r="E217" s="45"/>
      <c r="F217" s="22"/>
      <c r="G217" s="46"/>
      <c r="H217" s="46"/>
      <c r="I217" s="47" t="str">
        <f>IF(OR($D217="",$E217="",$G217="",$E217&lt;=0,$G217=0),"",$D217/$E217/$G217)</f>
        <v/>
      </c>
      <c r="J217" s="48" t="str">
        <f>IF(OR($I217="",NOT(ISNUMBER($H217)),$H217=0),"",$I217/$H217)</f>
        <v/>
      </c>
      <c r="K217" s="49" t="str">
        <f>IF(OR($I217="",NOT(ISNUMBER($H217))),"",$I217-$H217)</f>
        <v/>
      </c>
      <c r="L217" s="39" t="str">
        <f>IF($I217="","",IF(NOT(ISNUMBER($H217)),"Standard manquant",IF($J217&gt;=1,"Standard atteint",IF($J217&gt;=SeuilAlerte,"Alerte","Sous standard"))))</f>
        <v/>
      </c>
      <c r="M217" s="40" t="str">
        <f>IF(OR($D217="",$E217="",$E217&lt;=0),"",$D217/$E217)</f>
        <v/>
      </c>
      <c r="N217" s="40"/>
    </row>
    <row r="218" spans="1:14" ht="15" customHeight="1" x14ac:dyDescent="0.2">
      <c r="A218" s="14"/>
      <c r="B218" s="23"/>
      <c r="C218" s="23"/>
      <c r="D218" s="22"/>
      <c r="E218" s="45"/>
      <c r="F218" s="22"/>
      <c r="G218" s="46"/>
      <c r="H218" s="46"/>
      <c r="I218" s="47" t="str">
        <f>IF(OR($D218="",$E218="",$G218="",$E218&lt;=0,$G218=0),"",$D218/$E218/$G218)</f>
        <v/>
      </c>
      <c r="J218" s="48" t="str">
        <f>IF(OR($I218="",NOT(ISNUMBER($H218)),$H218=0),"",$I218/$H218)</f>
        <v/>
      </c>
      <c r="K218" s="49" t="str">
        <f>IF(OR($I218="",NOT(ISNUMBER($H218))),"",$I218-$H218)</f>
        <v/>
      </c>
      <c r="L218" s="39" t="str">
        <f>IF($I218="","",IF(NOT(ISNUMBER($H218)),"Standard manquant",IF($J218&gt;=1,"Standard atteint",IF($J218&gt;=SeuilAlerte,"Alerte","Sous standard"))))</f>
        <v/>
      </c>
      <c r="M218" s="40" t="str">
        <f>IF(OR($D218="",$E218="",$E218&lt;=0),"",$D218/$E218)</f>
        <v/>
      </c>
      <c r="N218" s="40"/>
    </row>
    <row r="219" spans="1:14" ht="15" customHeight="1" x14ac:dyDescent="0.2">
      <c r="A219" s="14"/>
      <c r="B219" s="23"/>
      <c r="C219" s="23"/>
      <c r="D219" s="22"/>
      <c r="E219" s="45"/>
      <c r="F219" s="22"/>
      <c r="G219" s="46"/>
      <c r="H219" s="46"/>
      <c r="I219" s="47" t="str">
        <f>IF(OR($D219="",$E219="",$G219="",$E219&lt;=0,$G219=0),"",$D219/$E219/$G219)</f>
        <v/>
      </c>
      <c r="J219" s="48" t="str">
        <f>IF(OR($I219="",NOT(ISNUMBER($H219)),$H219=0),"",$I219/$H219)</f>
        <v/>
      </c>
      <c r="K219" s="49" t="str">
        <f>IF(OR($I219="",NOT(ISNUMBER($H219))),"",$I219-$H219)</f>
        <v/>
      </c>
      <c r="L219" s="39" t="str">
        <f>IF($I219="","",IF(NOT(ISNUMBER($H219)),"Standard manquant",IF($J219&gt;=1,"Standard atteint",IF($J219&gt;=SeuilAlerte,"Alerte","Sous standard"))))</f>
        <v/>
      </c>
      <c r="M219" s="40" t="str">
        <f>IF(OR($D219="",$E219="",$E219&lt;=0),"",$D219/$E219)</f>
        <v/>
      </c>
      <c r="N219" s="40"/>
    </row>
    <row r="220" spans="1:14" ht="15" customHeight="1" x14ac:dyDescent="0.2">
      <c r="A220" s="14"/>
      <c r="B220" s="23"/>
      <c r="C220" s="23"/>
      <c r="D220" s="22"/>
      <c r="E220" s="45"/>
      <c r="F220" s="22"/>
      <c r="G220" s="46"/>
      <c r="H220" s="46"/>
      <c r="I220" s="47" t="str">
        <f>IF(OR($D220="",$E220="",$G220="",$E220&lt;=0,$G220=0),"",$D220/$E220/$G220)</f>
        <v/>
      </c>
      <c r="J220" s="48" t="str">
        <f>IF(OR($I220="",NOT(ISNUMBER($H220)),$H220=0),"",$I220/$H220)</f>
        <v/>
      </c>
      <c r="K220" s="49" t="str">
        <f>IF(OR($I220="",NOT(ISNUMBER($H220))),"",$I220-$H220)</f>
        <v/>
      </c>
      <c r="L220" s="39" t="str">
        <f>IF($I220="","",IF(NOT(ISNUMBER($H220)),"Standard manquant",IF($J220&gt;=1,"Standard atteint",IF($J220&gt;=SeuilAlerte,"Alerte","Sous standard"))))</f>
        <v/>
      </c>
      <c r="M220" s="40" t="str">
        <f>IF(OR($D220="",$E220="",$E220&lt;=0),"",$D220/$E220)</f>
        <v/>
      </c>
      <c r="N220" s="40"/>
    </row>
    <row r="221" spans="1:14" ht="15" customHeight="1" x14ac:dyDescent="0.2">
      <c r="A221" s="14"/>
      <c r="B221" s="23"/>
      <c r="C221" s="23"/>
      <c r="D221" s="22"/>
      <c r="E221" s="45"/>
      <c r="F221" s="22"/>
      <c r="G221" s="46"/>
      <c r="H221" s="46"/>
      <c r="I221" s="47" t="str">
        <f>IF(OR($D221="",$E221="",$G221="",$E221&lt;=0,$G221=0),"",$D221/$E221/$G221)</f>
        <v/>
      </c>
      <c r="J221" s="48" t="str">
        <f>IF(OR($I221="",NOT(ISNUMBER($H221)),$H221=0),"",$I221/$H221)</f>
        <v/>
      </c>
      <c r="K221" s="49" t="str">
        <f>IF(OR($I221="",NOT(ISNUMBER($H221))),"",$I221-$H221)</f>
        <v/>
      </c>
      <c r="L221" s="39" t="str">
        <f>IF($I221="","",IF(NOT(ISNUMBER($H221)),"Standard manquant",IF($J221&gt;=1,"Standard atteint",IF($J221&gt;=SeuilAlerte,"Alerte","Sous standard"))))</f>
        <v/>
      </c>
      <c r="M221" s="40" t="str">
        <f>IF(OR($D221="",$E221="",$E221&lt;=0),"",$D221/$E221)</f>
        <v/>
      </c>
      <c r="N221" s="40"/>
    </row>
    <row r="222" spans="1:14" ht="15" customHeight="1" x14ac:dyDescent="0.2">
      <c r="A222" s="14"/>
      <c r="B222" s="23"/>
      <c r="C222" s="23"/>
      <c r="D222" s="22"/>
      <c r="E222" s="45"/>
      <c r="F222" s="22"/>
      <c r="G222" s="46"/>
      <c r="H222" s="46"/>
      <c r="I222" s="47" t="str">
        <f>IF(OR($D222="",$E222="",$G222="",$E222&lt;=0,$G222=0),"",$D222/$E222/$G222)</f>
        <v/>
      </c>
      <c r="J222" s="48" t="str">
        <f>IF(OR($I222="",NOT(ISNUMBER($H222)),$H222=0),"",$I222/$H222)</f>
        <v/>
      </c>
      <c r="K222" s="49" t="str">
        <f>IF(OR($I222="",NOT(ISNUMBER($H222))),"",$I222-$H222)</f>
        <v/>
      </c>
      <c r="L222" s="39" t="str">
        <f>IF($I222="","",IF(NOT(ISNUMBER($H222)),"Standard manquant",IF($J222&gt;=1,"Standard atteint",IF($J222&gt;=SeuilAlerte,"Alerte","Sous standard"))))</f>
        <v/>
      </c>
      <c r="M222" s="40" t="str">
        <f>IF(OR($D222="",$E222="",$E222&lt;=0),"",$D222/$E222)</f>
        <v/>
      </c>
      <c r="N222" s="40"/>
    </row>
    <row r="223" spans="1:14" ht="15" customHeight="1" x14ac:dyDescent="0.2">
      <c r="A223" s="14"/>
      <c r="B223" s="23"/>
      <c r="C223" s="23"/>
      <c r="D223" s="22"/>
      <c r="E223" s="45"/>
      <c r="F223" s="22"/>
      <c r="G223" s="46"/>
      <c r="H223" s="46"/>
      <c r="I223" s="47" t="str">
        <f>IF(OR($D223="",$E223="",$G223="",$E223&lt;=0,$G223=0),"",$D223/$E223/$G223)</f>
        <v/>
      </c>
      <c r="J223" s="48" t="str">
        <f>IF(OR($I223="",NOT(ISNUMBER($H223)),$H223=0),"",$I223/$H223)</f>
        <v/>
      </c>
      <c r="K223" s="49" t="str">
        <f>IF(OR($I223="",NOT(ISNUMBER($H223))),"",$I223-$H223)</f>
        <v/>
      </c>
      <c r="L223" s="39" t="str">
        <f>IF($I223="","",IF(NOT(ISNUMBER($H223)),"Standard manquant",IF($J223&gt;=1,"Standard atteint",IF($J223&gt;=SeuilAlerte,"Alerte","Sous standard"))))</f>
        <v/>
      </c>
      <c r="M223" s="40" t="str">
        <f>IF(OR($D223="",$E223="",$E223&lt;=0),"",$D223/$E223)</f>
        <v/>
      </c>
      <c r="N223" s="40"/>
    </row>
    <row r="224" spans="1:14" ht="15" customHeight="1" x14ac:dyDescent="0.2">
      <c r="A224" s="14"/>
      <c r="B224" s="23"/>
      <c r="C224" s="23"/>
      <c r="D224" s="22"/>
      <c r="E224" s="45"/>
      <c r="F224" s="22"/>
      <c r="G224" s="46"/>
      <c r="H224" s="46"/>
      <c r="I224" s="47" t="str">
        <f>IF(OR($D224="",$E224="",$G224="",$E224&lt;=0,$G224=0),"",$D224/$E224/$G224)</f>
        <v/>
      </c>
      <c r="J224" s="48" t="str">
        <f>IF(OR($I224="",NOT(ISNUMBER($H224)),$H224=0),"",$I224/$H224)</f>
        <v/>
      </c>
      <c r="K224" s="49" t="str">
        <f>IF(OR($I224="",NOT(ISNUMBER($H224))),"",$I224-$H224)</f>
        <v/>
      </c>
      <c r="L224" s="39" t="str">
        <f>IF($I224="","",IF(NOT(ISNUMBER($H224)),"Standard manquant",IF($J224&gt;=1,"Standard atteint",IF($J224&gt;=SeuilAlerte,"Alerte","Sous standard"))))</f>
        <v/>
      </c>
      <c r="M224" s="40" t="str">
        <f>IF(OR($D224="",$E224="",$E224&lt;=0),"",$D224/$E224)</f>
        <v/>
      </c>
      <c r="N224" s="40"/>
    </row>
    <row r="225" spans="1:14" ht="15" customHeight="1" x14ac:dyDescent="0.2">
      <c r="A225" s="14"/>
      <c r="B225" s="23"/>
      <c r="C225" s="23"/>
      <c r="D225" s="22"/>
      <c r="E225" s="45"/>
      <c r="F225" s="22"/>
      <c r="G225" s="46"/>
      <c r="H225" s="46"/>
      <c r="I225" s="47" t="str">
        <f>IF(OR($D225="",$E225="",$G225="",$E225&lt;=0,$G225=0),"",$D225/$E225/$G225)</f>
        <v/>
      </c>
      <c r="J225" s="48" t="str">
        <f>IF(OR($I225="",NOT(ISNUMBER($H225)),$H225=0),"",$I225/$H225)</f>
        <v/>
      </c>
      <c r="K225" s="49" t="str">
        <f>IF(OR($I225="",NOT(ISNUMBER($H225))),"",$I225-$H225)</f>
        <v/>
      </c>
      <c r="L225" s="39" t="str">
        <f>IF($I225="","",IF(NOT(ISNUMBER($H225)),"Standard manquant",IF($J225&gt;=1,"Standard atteint",IF($J225&gt;=SeuilAlerte,"Alerte","Sous standard"))))</f>
        <v/>
      </c>
      <c r="M225" s="40" t="str">
        <f>IF(OR($D225="",$E225="",$E225&lt;=0),"",$D225/$E225)</f>
        <v/>
      </c>
      <c r="N225" s="40"/>
    </row>
    <row r="226" spans="1:14" ht="15" customHeight="1" x14ac:dyDescent="0.2">
      <c r="A226" s="14"/>
      <c r="B226" s="23"/>
      <c r="C226" s="23"/>
      <c r="D226" s="22"/>
      <c r="E226" s="45"/>
      <c r="F226" s="22"/>
      <c r="G226" s="46"/>
      <c r="H226" s="46"/>
      <c r="I226" s="47" t="str">
        <f>IF(OR($D226="",$E226="",$G226="",$E226&lt;=0,$G226=0),"",$D226/$E226/$G226)</f>
        <v/>
      </c>
      <c r="J226" s="48" t="str">
        <f>IF(OR($I226="",NOT(ISNUMBER($H226)),$H226=0),"",$I226/$H226)</f>
        <v/>
      </c>
      <c r="K226" s="49" t="str">
        <f>IF(OR($I226="",NOT(ISNUMBER($H226))),"",$I226-$H226)</f>
        <v/>
      </c>
      <c r="L226" s="39" t="str">
        <f>IF($I226="","",IF(NOT(ISNUMBER($H226)),"Standard manquant",IF($J226&gt;=1,"Standard atteint",IF($J226&gt;=SeuilAlerte,"Alerte","Sous standard"))))</f>
        <v/>
      </c>
      <c r="M226" s="40" t="str">
        <f>IF(OR($D226="",$E226="",$E226&lt;=0),"",$D226/$E226)</f>
        <v/>
      </c>
      <c r="N226" s="40"/>
    </row>
    <row r="227" spans="1:14" ht="15" customHeight="1" x14ac:dyDescent="0.2">
      <c r="A227" s="14"/>
      <c r="B227" s="23"/>
      <c r="C227" s="23"/>
      <c r="D227" s="22"/>
      <c r="E227" s="45"/>
      <c r="F227" s="22"/>
      <c r="G227" s="46"/>
      <c r="H227" s="46"/>
      <c r="I227" s="47" t="str">
        <f>IF(OR($D227="",$E227="",$G227="",$E227&lt;=0,$G227=0),"",$D227/$E227/$G227)</f>
        <v/>
      </c>
      <c r="J227" s="48" t="str">
        <f>IF(OR($I227="",NOT(ISNUMBER($H227)),$H227=0),"",$I227/$H227)</f>
        <v/>
      </c>
      <c r="K227" s="49" t="str">
        <f>IF(OR($I227="",NOT(ISNUMBER($H227))),"",$I227-$H227)</f>
        <v/>
      </c>
      <c r="L227" s="39" t="str">
        <f>IF($I227="","",IF(NOT(ISNUMBER($H227)),"Standard manquant",IF($J227&gt;=1,"Standard atteint",IF($J227&gt;=SeuilAlerte,"Alerte","Sous standard"))))</f>
        <v/>
      </c>
      <c r="M227" s="40" t="str">
        <f>IF(OR($D227="",$E227="",$E227&lt;=0),"",$D227/$E227)</f>
        <v/>
      </c>
      <c r="N227" s="40"/>
    </row>
    <row r="228" spans="1:14" ht="15" customHeight="1" x14ac:dyDescent="0.2">
      <c r="A228" s="14"/>
      <c r="B228" s="23"/>
      <c r="C228" s="23"/>
      <c r="D228" s="22"/>
      <c r="E228" s="45"/>
      <c r="F228" s="22"/>
      <c r="G228" s="46"/>
      <c r="H228" s="46"/>
      <c r="I228" s="47" t="str">
        <f>IF(OR($D228="",$E228="",$G228="",$E228&lt;=0,$G228=0),"",$D228/$E228/$G228)</f>
        <v/>
      </c>
      <c r="J228" s="48" t="str">
        <f>IF(OR($I228="",NOT(ISNUMBER($H228)),$H228=0),"",$I228/$H228)</f>
        <v/>
      </c>
      <c r="K228" s="49" t="str">
        <f>IF(OR($I228="",NOT(ISNUMBER($H228))),"",$I228-$H228)</f>
        <v/>
      </c>
      <c r="L228" s="39" t="str">
        <f>IF($I228="","",IF(NOT(ISNUMBER($H228)),"Standard manquant",IF($J228&gt;=1,"Standard atteint",IF($J228&gt;=SeuilAlerte,"Alerte","Sous standard"))))</f>
        <v/>
      </c>
      <c r="M228" s="40" t="str">
        <f>IF(OR($D228="",$E228="",$E228&lt;=0),"",$D228/$E228)</f>
        <v/>
      </c>
      <c r="N228" s="40"/>
    </row>
    <row r="229" spans="1:14" ht="15" customHeight="1" x14ac:dyDescent="0.2">
      <c r="A229" s="14"/>
      <c r="B229" s="23"/>
      <c r="C229" s="23"/>
      <c r="D229" s="22"/>
      <c r="E229" s="45"/>
      <c r="F229" s="22"/>
      <c r="G229" s="46"/>
      <c r="H229" s="46"/>
      <c r="I229" s="47" t="str">
        <f>IF(OR($D229="",$E229="",$G229="",$E229&lt;=0,$G229=0),"",$D229/$E229/$G229)</f>
        <v/>
      </c>
      <c r="J229" s="48" t="str">
        <f>IF(OR($I229="",NOT(ISNUMBER($H229)),$H229=0),"",$I229/$H229)</f>
        <v/>
      </c>
      <c r="K229" s="49" t="str">
        <f>IF(OR($I229="",NOT(ISNUMBER($H229))),"",$I229-$H229)</f>
        <v/>
      </c>
      <c r="L229" s="39" t="str">
        <f>IF($I229="","",IF(NOT(ISNUMBER($H229)),"Standard manquant",IF($J229&gt;=1,"Standard atteint",IF($J229&gt;=SeuilAlerte,"Alerte","Sous standard"))))</f>
        <v/>
      </c>
      <c r="M229" s="40" t="str">
        <f>IF(OR($D229="",$E229="",$E229&lt;=0),"",$D229/$E229)</f>
        <v/>
      </c>
      <c r="N229" s="40"/>
    </row>
    <row r="230" spans="1:14" ht="15" customHeight="1" x14ac:dyDescent="0.2">
      <c r="A230" s="14"/>
      <c r="B230" s="23"/>
      <c r="C230" s="23"/>
      <c r="D230" s="22"/>
      <c r="E230" s="45"/>
      <c r="F230" s="22"/>
      <c r="G230" s="46"/>
      <c r="H230" s="46"/>
      <c r="I230" s="47" t="str">
        <f>IF(OR($D230="",$E230="",$G230="",$E230&lt;=0,$G230=0),"",$D230/$E230/$G230)</f>
        <v/>
      </c>
      <c r="J230" s="48" t="str">
        <f>IF(OR($I230="",NOT(ISNUMBER($H230)),$H230=0),"",$I230/$H230)</f>
        <v/>
      </c>
      <c r="K230" s="49" t="str">
        <f>IF(OR($I230="",NOT(ISNUMBER($H230))),"",$I230-$H230)</f>
        <v/>
      </c>
      <c r="L230" s="39" t="str">
        <f>IF($I230="","",IF(NOT(ISNUMBER($H230)),"Standard manquant",IF($J230&gt;=1,"Standard atteint",IF($J230&gt;=SeuilAlerte,"Alerte","Sous standard"))))</f>
        <v/>
      </c>
      <c r="M230" s="40" t="str">
        <f>IF(OR($D230="",$E230="",$E230&lt;=0),"",$D230/$E230)</f>
        <v/>
      </c>
      <c r="N230" s="40"/>
    </row>
    <row r="231" spans="1:14" ht="15" customHeight="1" x14ac:dyDescent="0.2">
      <c r="A231" s="14"/>
      <c r="B231" s="23"/>
      <c r="C231" s="23"/>
      <c r="D231" s="22"/>
      <c r="E231" s="45"/>
      <c r="F231" s="22"/>
      <c r="G231" s="46"/>
      <c r="H231" s="46"/>
      <c r="I231" s="47" t="str">
        <f>IF(OR($D231="",$E231="",$G231="",$E231&lt;=0,$G231=0),"",$D231/$E231/$G231)</f>
        <v/>
      </c>
      <c r="J231" s="48" t="str">
        <f>IF(OR($I231="",NOT(ISNUMBER($H231)),$H231=0),"",$I231/$H231)</f>
        <v/>
      </c>
      <c r="K231" s="49" t="str">
        <f>IF(OR($I231="",NOT(ISNUMBER($H231))),"",$I231-$H231)</f>
        <v/>
      </c>
      <c r="L231" s="39" t="str">
        <f>IF($I231="","",IF(NOT(ISNUMBER($H231)),"Standard manquant",IF($J231&gt;=1,"Standard atteint",IF($J231&gt;=SeuilAlerte,"Alerte","Sous standard"))))</f>
        <v/>
      </c>
      <c r="M231" s="40" t="str">
        <f>IF(OR($D231="",$E231="",$E231&lt;=0),"",$D231/$E231)</f>
        <v/>
      </c>
      <c r="N231" s="40"/>
    </row>
    <row r="232" spans="1:14" ht="15" customHeight="1" x14ac:dyDescent="0.2">
      <c r="A232" s="14"/>
      <c r="B232" s="23"/>
      <c r="C232" s="23"/>
      <c r="D232" s="22"/>
      <c r="E232" s="45"/>
      <c r="F232" s="22"/>
      <c r="G232" s="46"/>
      <c r="H232" s="46"/>
      <c r="I232" s="47" t="str">
        <f>IF(OR($D232="",$E232="",$G232="",$E232&lt;=0,$G232=0),"",$D232/$E232/$G232)</f>
        <v/>
      </c>
      <c r="J232" s="48" t="str">
        <f>IF(OR($I232="",NOT(ISNUMBER($H232)),$H232=0),"",$I232/$H232)</f>
        <v/>
      </c>
      <c r="K232" s="49" t="str">
        <f>IF(OR($I232="",NOT(ISNUMBER($H232))),"",$I232-$H232)</f>
        <v/>
      </c>
      <c r="L232" s="39" t="str">
        <f>IF($I232="","",IF(NOT(ISNUMBER($H232)),"Standard manquant",IF($J232&gt;=1,"Standard atteint",IF($J232&gt;=SeuilAlerte,"Alerte","Sous standard"))))</f>
        <v/>
      </c>
      <c r="M232" s="40" t="str">
        <f>IF(OR($D232="",$E232="",$E232&lt;=0),"",$D232/$E232)</f>
        <v/>
      </c>
      <c r="N232" s="40"/>
    </row>
    <row r="233" spans="1:14" ht="15" customHeight="1" x14ac:dyDescent="0.2">
      <c r="A233" s="14"/>
      <c r="B233" s="23"/>
      <c r="C233" s="23"/>
      <c r="D233" s="22"/>
      <c r="E233" s="45"/>
      <c r="F233" s="22"/>
      <c r="G233" s="46"/>
      <c r="H233" s="46"/>
      <c r="I233" s="47" t="str">
        <f>IF(OR($D233="",$E233="",$G233="",$E233&lt;=0,$G233=0),"",$D233/$E233/$G233)</f>
        <v/>
      </c>
      <c r="J233" s="48" t="str">
        <f>IF(OR($I233="",NOT(ISNUMBER($H233)),$H233=0),"",$I233/$H233)</f>
        <v/>
      </c>
      <c r="K233" s="49" t="str">
        <f>IF(OR($I233="",NOT(ISNUMBER($H233))),"",$I233-$H233)</f>
        <v/>
      </c>
      <c r="L233" s="39" t="str">
        <f>IF($I233="","",IF(NOT(ISNUMBER($H233)),"Standard manquant",IF($J233&gt;=1,"Standard atteint",IF($J233&gt;=SeuilAlerte,"Alerte","Sous standard"))))</f>
        <v/>
      </c>
      <c r="M233" s="40" t="str">
        <f>IF(OR($D233="",$E233="",$E233&lt;=0),"",$D233/$E233)</f>
        <v/>
      </c>
      <c r="N233" s="40"/>
    </row>
    <row r="234" spans="1:14" ht="15" customHeight="1" x14ac:dyDescent="0.2">
      <c r="A234" s="14"/>
      <c r="B234" s="23"/>
      <c r="C234" s="23"/>
      <c r="D234" s="22"/>
      <c r="E234" s="45"/>
      <c r="F234" s="22"/>
      <c r="G234" s="46"/>
      <c r="H234" s="46"/>
      <c r="I234" s="47" t="str">
        <f>IF(OR($D234="",$E234="",$G234="",$E234&lt;=0,$G234=0),"",$D234/$E234/$G234)</f>
        <v/>
      </c>
      <c r="J234" s="48" t="str">
        <f>IF(OR($I234="",NOT(ISNUMBER($H234)),$H234=0),"",$I234/$H234)</f>
        <v/>
      </c>
      <c r="K234" s="49" t="str">
        <f>IF(OR($I234="",NOT(ISNUMBER($H234))),"",$I234-$H234)</f>
        <v/>
      </c>
      <c r="L234" s="39" t="str">
        <f>IF($I234="","",IF(NOT(ISNUMBER($H234)),"Standard manquant",IF($J234&gt;=1,"Standard atteint",IF($J234&gt;=SeuilAlerte,"Alerte","Sous standard"))))</f>
        <v/>
      </c>
      <c r="M234" s="40" t="str">
        <f>IF(OR($D234="",$E234="",$E234&lt;=0),"",$D234/$E234)</f>
        <v/>
      </c>
      <c r="N234" s="40"/>
    </row>
    <row r="235" spans="1:14" ht="15" customHeight="1" x14ac:dyDescent="0.2">
      <c r="A235" s="14"/>
      <c r="B235" s="23"/>
      <c r="C235" s="23"/>
      <c r="D235" s="22"/>
      <c r="E235" s="45"/>
      <c r="F235" s="22"/>
      <c r="G235" s="46"/>
      <c r="H235" s="46"/>
      <c r="I235" s="47" t="str">
        <f>IF(OR($D235="",$E235="",$G235="",$E235&lt;=0,$G235=0),"",$D235/$E235/$G235)</f>
        <v/>
      </c>
      <c r="J235" s="48" t="str">
        <f>IF(OR($I235="",NOT(ISNUMBER($H235)),$H235=0),"",$I235/$H235)</f>
        <v/>
      </c>
      <c r="K235" s="49" t="str">
        <f>IF(OR($I235="",NOT(ISNUMBER($H235))),"",$I235-$H235)</f>
        <v/>
      </c>
      <c r="L235" s="39" t="str">
        <f>IF($I235="","",IF(NOT(ISNUMBER($H235)),"Standard manquant",IF($J235&gt;=1,"Standard atteint",IF($J235&gt;=SeuilAlerte,"Alerte","Sous standard"))))</f>
        <v/>
      </c>
      <c r="M235" s="40" t="str">
        <f>IF(OR($D235="",$E235="",$E235&lt;=0),"",$D235/$E235)</f>
        <v/>
      </c>
      <c r="N235" s="40"/>
    </row>
    <row r="236" spans="1:14" ht="15" customHeight="1" x14ac:dyDescent="0.2">
      <c r="A236" s="14"/>
      <c r="B236" s="23"/>
      <c r="C236" s="23"/>
      <c r="D236" s="22"/>
      <c r="E236" s="45"/>
      <c r="F236" s="22"/>
      <c r="G236" s="46"/>
      <c r="H236" s="46"/>
      <c r="I236" s="47" t="str">
        <f>IF(OR($D236="",$E236="",$G236="",$E236&lt;=0,$G236=0),"",$D236/$E236/$G236)</f>
        <v/>
      </c>
      <c r="J236" s="48" t="str">
        <f>IF(OR($I236="",NOT(ISNUMBER($H236)),$H236=0),"",$I236/$H236)</f>
        <v/>
      </c>
      <c r="K236" s="49" t="str">
        <f>IF(OR($I236="",NOT(ISNUMBER($H236))),"",$I236-$H236)</f>
        <v/>
      </c>
      <c r="L236" s="39" t="str">
        <f>IF($I236="","",IF(NOT(ISNUMBER($H236)),"Standard manquant",IF($J236&gt;=1,"Standard atteint",IF($J236&gt;=SeuilAlerte,"Alerte","Sous standard"))))</f>
        <v/>
      </c>
      <c r="M236" s="40" t="str">
        <f>IF(OR($D236="",$E236="",$E236&lt;=0),"",$D236/$E236)</f>
        <v/>
      </c>
      <c r="N236" s="40"/>
    </row>
    <row r="237" spans="1:14" ht="15" customHeight="1" x14ac:dyDescent="0.2">
      <c r="A237" s="14"/>
      <c r="B237" s="23"/>
      <c r="C237" s="23"/>
      <c r="D237" s="22"/>
      <c r="E237" s="45"/>
      <c r="F237" s="22"/>
      <c r="G237" s="46"/>
      <c r="H237" s="46"/>
      <c r="I237" s="47" t="str">
        <f>IF(OR($D237="",$E237="",$G237="",$E237&lt;=0,$G237=0),"",$D237/$E237/$G237)</f>
        <v/>
      </c>
      <c r="J237" s="48" t="str">
        <f>IF(OR($I237="",NOT(ISNUMBER($H237)),$H237=0),"",$I237/$H237)</f>
        <v/>
      </c>
      <c r="K237" s="49" t="str">
        <f>IF(OR($I237="",NOT(ISNUMBER($H237))),"",$I237-$H237)</f>
        <v/>
      </c>
      <c r="L237" s="39" t="str">
        <f>IF($I237="","",IF(NOT(ISNUMBER($H237)),"Standard manquant",IF($J237&gt;=1,"Standard atteint",IF($J237&gt;=SeuilAlerte,"Alerte","Sous standard"))))</f>
        <v/>
      </c>
      <c r="M237" s="40" t="str">
        <f>IF(OR($D237="",$E237="",$E237&lt;=0),"",$D237/$E237)</f>
        <v/>
      </c>
      <c r="N237" s="40"/>
    </row>
    <row r="238" spans="1:14" ht="15" customHeight="1" x14ac:dyDescent="0.2">
      <c r="A238" s="14"/>
      <c r="B238" s="23"/>
      <c r="C238" s="23"/>
      <c r="D238" s="22"/>
      <c r="E238" s="45"/>
      <c r="F238" s="22"/>
      <c r="G238" s="46"/>
      <c r="H238" s="46"/>
      <c r="I238" s="47" t="str">
        <f>IF(OR($D238="",$E238="",$G238="",$E238&lt;=0,$G238=0),"",$D238/$E238/$G238)</f>
        <v/>
      </c>
      <c r="J238" s="48" t="str">
        <f>IF(OR($I238="",NOT(ISNUMBER($H238)),$H238=0),"",$I238/$H238)</f>
        <v/>
      </c>
      <c r="K238" s="49" t="str">
        <f>IF(OR($I238="",NOT(ISNUMBER($H238))),"",$I238-$H238)</f>
        <v/>
      </c>
      <c r="L238" s="39" t="str">
        <f>IF($I238="","",IF(NOT(ISNUMBER($H238)),"Standard manquant",IF($J238&gt;=1,"Standard atteint",IF($J238&gt;=SeuilAlerte,"Alerte","Sous standard"))))</f>
        <v/>
      </c>
      <c r="M238" s="40" t="str">
        <f>IF(OR($D238="",$E238="",$E238&lt;=0),"",$D238/$E238)</f>
        <v/>
      </c>
      <c r="N238" s="40"/>
    </row>
    <row r="239" spans="1:14" ht="15" customHeight="1" x14ac:dyDescent="0.2">
      <c r="A239" s="14"/>
      <c r="B239" s="23"/>
      <c r="C239" s="23"/>
      <c r="D239" s="22"/>
      <c r="E239" s="45"/>
      <c r="F239" s="22"/>
      <c r="G239" s="46"/>
      <c r="H239" s="46"/>
      <c r="I239" s="47" t="str">
        <f>IF(OR($D239="",$E239="",$G239="",$E239&lt;=0,$G239=0),"",$D239/$E239/$G239)</f>
        <v/>
      </c>
      <c r="J239" s="48" t="str">
        <f>IF(OR($I239="",NOT(ISNUMBER($H239)),$H239=0),"",$I239/$H239)</f>
        <v/>
      </c>
      <c r="K239" s="49" t="str">
        <f>IF(OR($I239="",NOT(ISNUMBER($H239))),"",$I239-$H239)</f>
        <v/>
      </c>
      <c r="L239" s="39" t="str">
        <f>IF($I239="","",IF(NOT(ISNUMBER($H239)),"Standard manquant",IF($J239&gt;=1,"Standard atteint",IF($J239&gt;=SeuilAlerte,"Alerte","Sous standard"))))</f>
        <v/>
      </c>
      <c r="M239" s="40" t="str">
        <f>IF(OR($D239="",$E239="",$E239&lt;=0),"",$D239/$E239)</f>
        <v/>
      </c>
      <c r="N239" s="40"/>
    </row>
    <row r="240" spans="1:14" ht="15" customHeight="1" x14ac:dyDescent="0.2">
      <c r="A240" s="14"/>
      <c r="B240" s="23"/>
      <c r="C240" s="23"/>
      <c r="D240" s="22"/>
      <c r="E240" s="45"/>
      <c r="F240" s="22"/>
      <c r="G240" s="46"/>
      <c r="H240" s="46"/>
      <c r="I240" s="47" t="str">
        <f>IF(OR($D240="",$E240="",$G240="",$E240&lt;=0,$G240=0),"",$D240/$E240/$G240)</f>
        <v/>
      </c>
      <c r="J240" s="48" t="str">
        <f>IF(OR($I240="",NOT(ISNUMBER($H240)),$H240=0),"",$I240/$H240)</f>
        <v/>
      </c>
      <c r="K240" s="49" t="str">
        <f>IF(OR($I240="",NOT(ISNUMBER($H240))),"",$I240-$H240)</f>
        <v/>
      </c>
      <c r="L240" s="39" t="str">
        <f>IF($I240="","",IF(NOT(ISNUMBER($H240)),"Standard manquant",IF($J240&gt;=1,"Standard atteint",IF($J240&gt;=SeuilAlerte,"Alerte","Sous standard"))))</f>
        <v/>
      </c>
      <c r="M240" s="40" t="str">
        <f>IF(OR($D240="",$E240="",$E240&lt;=0),"",$D240/$E240)</f>
        <v/>
      </c>
      <c r="N240" s="40"/>
    </row>
    <row r="241" spans="1:14" ht="15" customHeight="1" x14ac:dyDescent="0.2">
      <c r="A241" s="14"/>
      <c r="B241" s="23"/>
      <c r="C241" s="23"/>
      <c r="D241" s="22"/>
      <c r="E241" s="45"/>
      <c r="F241" s="22"/>
      <c r="G241" s="46"/>
      <c r="H241" s="46"/>
      <c r="I241" s="47" t="str">
        <f>IF(OR($D241="",$E241="",$G241="",$E241&lt;=0,$G241=0),"",$D241/$E241/$G241)</f>
        <v/>
      </c>
      <c r="J241" s="48" t="str">
        <f>IF(OR($I241="",NOT(ISNUMBER($H241)),$H241=0),"",$I241/$H241)</f>
        <v/>
      </c>
      <c r="K241" s="49" t="str">
        <f>IF(OR($I241="",NOT(ISNUMBER($H241))),"",$I241-$H241)</f>
        <v/>
      </c>
      <c r="L241" s="39" t="str">
        <f>IF($I241="","",IF(NOT(ISNUMBER($H241)),"Standard manquant",IF($J241&gt;=1,"Standard atteint",IF($J241&gt;=SeuilAlerte,"Alerte","Sous standard"))))</f>
        <v/>
      </c>
      <c r="M241" s="40" t="str">
        <f>IF(OR($D241="",$E241="",$E241&lt;=0),"",$D241/$E241)</f>
        <v/>
      </c>
      <c r="N241" s="40"/>
    </row>
    <row r="242" spans="1:14" ht="15" customHeight="1" x14ac:dyDescent="0.2">
      <c r="A242" s="14"/>
      <c r="B242" s="23"/>
      <c r="C242" s="23"/>
      <c r="D242" s="22"/>
      <c r="E242" s="45"/>
      <c r="F242" s="22"/>
      <c r="G242" s="46"/>
      <c r="H242" s="46"/>
      <c r="I242" s="47" t="str">
        <f>IF(OR($D242="",$E242="",$G242="",$E242&lt;=0,$G242=0),"",$D242/$E242/$G242)</f>
        <v/>
      </c>
      <c r="J242" s="48" t="str">
        <f>IF(OR($I242="",NOT(ISNUMBER($H242)),$H242=0),"",$I242/$H242)</f>
        <v/>
      </c>
      <c r="K242" s="49" t="str">
        <f>IF(OR($I242="",NOT(ISNUMBER($H242))),"",$I242-$H242)</f>
        <v/>
      </c>
      <c r="L242" s="39" t="str">
        <f>IF($I242="","",IF(NOT(ISNUMBER($H242)),"Standard manquant",IF($J242&gt;=1,"Standard atteint",IF($J242&gt;=SeuilAlerte,"Alerte","Sous standard"))))</f>
        <v/>
      </c>
      <c r="M242" s="40" t="str">
        <f>IF(OR($D242="",$E242="",$E242&lt;=0),"",$D242/$E242)</f>
        <v/>
      </c>
      <c r="N242" s="40"/>
    </row>
    <row r="243" spans="1:14" ht="15" customHeight="1" x14ac:dyDescent="0.2">
      <c r="A243" s="14"/>
      <c r="B243" s="23"/>
      <c r="C243" s="23"/>
      <c r="D243" s="22"/>
      <c r="E243" s="45"/>
      <c r="F243" s="22"/>
      <c r="G243" s="46"/>
      <c r="H243" s="46"/>
      <c r="I243" s="47" t="str">
        <f>IF(OR($D243="",$E243="",$G243="",$E243&lt;=0,$G243=0),"",$D243/$E243/$G243)</f>
        <v/>
      </c>
      <c r="J243" s="48" t="str">
        <f>IF(OR($I243="",NOT(ISNUMBER($H243)),$H243=0),"",$I243/$H243)</f>
        <v/>
      </c>
      <c r="K243" s="49" t="str">
        <f>IF(OR($I243="",NOT(ISNUMBER($H243))),"",$I243-$H243)</f>
        <v/>
      </c>
      <c r="L243" s="39" t="str">
        <f>IF($I243="","",IF(NOT(ISNUMBER($H243)),"Standard manquant",IF($J243&gt;=1,"Standard atteint",IF($J243&gt;=SeuilAlerte,"Alerte","Sous standard"))))</f>
        <v/>
      </c>
      <c r="M243" s="40" t="str">
        <f>IF(OR($D243="",$E243="",$E243&lt;=0),"",$D243/$E243)</f>
        <v/>
      </c>
      <c r="N243" s="40"/>
    </row>
    <row r="244" spans="1:14" ht="15" customHeight="1" x14ac:dyDescent="0.2">
      <c r="A244" s="14"/>
      <c r="B244" s="23"/>
      <c r="C244" s="23"/>
      <c r="D244" s="22"/>
      <c r="E244" s="45"/>
      <c r="F244" s="22"/>
      <c r="G244" s="46"/>
      <c r="H244" s="46"/>
      <c r="I244" s="47" t="str">
        <f>IF(OR($D244="",$E244="",$G244="",$E244&lt;=0,$G244=0),"",$D244/$E244/$G244)</f>
        <v/>
      </c>
      <c r="J244" s="48" t="str">
        <f>IF(OR($I244="",NOT(ISNUMBER($H244)),$H244=0),"",$I244/$H244)</f>
        <v/>
      </c>
      <c r="K244" s="49" t="str">
        <f>IF(OR($I244="",NOT(ISNUMBER($H244))),"",$I244-$H244)</f>
        <v/>
      </c>
      <c r="L244" s="39" t="str">
        <f>IF($I244="","",IF(NOT(ISNUMBER($H244)),"Standard manquant",IF($J244&gt;=1,"Standard atteint",IF($J244&gt;=SeuilAlerte,"Alerte","Sous standard"))))</f>
        <v/>
      </c>
      <c r="M244" s="40" t="str">
        <f>IF(OR($D244="",$E244="",$E244&lt;=0),"",$D244/$E244)</f>
        <v/>
      </c>
      <c r="N244" s="40"/>
    </row>
    <row r="245" spans="1:14" ht="15" customHeight="1" x14ac:dyDescent="0.2">
      <c r="A245" s="14"/>
      <c r="B245" s="23"/>
      <c r="C245" s="23"/>
      <c r="D245" s="22"/>
      <c r="E245" s="45"/>
      <c r="F245" s="22"/>
      <c r="G245" s="46"/>
      <c r="H245" s="46"/>
      <c r="I245" s="47" t="str">
        <f>IF(OR($D245="",$E245="",$G245="",$E245&lt;=0,$G245=0),"",$D245/$E245/$G245)</f>
        <v/>
      </c>
      <c r="J245" s="48" t="str">
        <f>IF(OR($I245="",NOT(ISNUMBER($H245)),$H245=0),"",$I245/$H245)</f>
        <v/>
      </c>
      <c r="K245" s="49" t="str">
        <f>IF(OR($I245="",NOT(ISNUMBER($H245))),"",$I245-$H245)</f>
        <v/>
      </c>
      <c r="L245" s="39" t="str">
        <f>IF($I245="","",IF(NOT(ISNUMBER($H245)),"Standard manquant",IF($J245&gt;=1,"Standard atteint",IF($J245&gt;=SeuilAlerte,"Alerte","Sous standard"))))</f>
        <v/>
      </c>
      <c r="M245" s="40" t="str">
        <f>IF(OR($D245="",$E245="",$E245&lt;=0),"",$D245/$E245)</f>
        <v/>
      </c>
      <c r="N245" s="40"/>
    </row>
    <row r="246" spans="1:14" ht="15" customHeight="1" x14ac:dyDescent="0.2">
      <c r="A246" s="14"/>
      <c r="B246" s="23"/>
      <c r="C246" s="23"/>
      <c r="D246" s="22"/>
      <c r="E246" s="45"/>
      <c r="F246" s="22"/>
      <c r="G246" s="46"/>
      <c r="H246" s="46"/>
      <c r="I246" s="47" t="str">
        <f>IF(OR($D246="",$E246="",$G246="",$E246&lt;=0,$G246=0),"",$D246/$E246/$G246)</f>
        <v/>
      </c>
      <c r="J246" s="48" t="str">
        <f>IF(OR($I246="",NOT(ISNUMBER($H246)),$H246=0),"",$I246/$H246)</f>
        <v/>
      </c>
      <c r="K246" s="49" t="str">
        <f>IF(OR($I246="",NOT(ISNUMBER($H246))),"",$I246-$H246)</f>
        <v/>
      </c>
      <c r="L246" s="39" t="str">
        <f>IF($I246="","",IF(NOT(ISNUMBER($H246)),"Standard manquant",IF($J246&gt;=1,"Standard atteint",IF($J246&gt;=SeuilAlerte,"Alerte","Sous standard"))))</f>
        <v/>
      </c>
      <c r="M246" s="40" t="str">
        <f>IF(OR($D246="",$E246="",$E246&lt;=0),"",$D246/$E246)</f>
        <v/>
      </c>
      <c r="N246" s="40"/>
    </row>
    <row r="247" spans="1:14" ht="15" customHeight="1" x14ac:dyDescent="0.2">
      <c r="A247" s="14"/>
      <c r="B247" s="23"/>
      <c r="C247" s="23"/>
      <c r="D247" s="22"/>
      <c r="E247" s="45"/>
      <c r="F247" s="22"/>
      <c r="G247" s="46"/>
      <c r="H247" s="46"/>
      <c r="I247" s="47" t="str">
        <f>IF(OR($D247="",$E247="",$G247="",$E247&lt;=0,$G247=0),"",$D247/$E247/$G247)</f>
        <v/>
      </c>
      <c r="J247" s="48" t="str">
        <f>IF(OR($I247="",NOT(ISNUMBER($H247)),$H247=0),"",$I247/$H247)</f>
        <v/>
      </c>
      <c r="K247" s="49" t="str">
        <f>IF(OR($I247="",NOT(ISNUMBER($H247))),"",$I247-$H247)</f>
        <v/>
      </c>
      <c r="L247" s="39" t="str">
        <f>IF($I247="","",IF(NOT(ISNUMBER($H247)),"Standard manquant",IF($J247&gt;=1,"Standard atteint",IF($J247&gt;=SeuilAlerte,"Alerte","Sous standard"))))</f>
        <v/>
      </c>
      <c r="M247" s="40" t="str">
        <f>IF(OR($D247="",$E247="",$E247&lt;=0),"",$D247/$E247)</f>
        <v/>
      </c>
      <c r="N247" s="40"/>
    </row>
    <row r="248" spans="1:14" ht="15" customHeight="1" x14ac:dyDescent="0.2">
      <c r="A248" s="14"/>
      <c r="B248" s="23"/>
      <c r="C248" s="23"/>
      <c r="D248" s="22"/>
      <c r="E248" s="45"/>
      <c r="F248" s="22"/>
      <c r="G248" s="46"/>
      <c r="H248" s="46"/>
      <c r="I248" s="47" t="str">
        <f>IF(OR($D248="",$E248="",$G248="",$E248&lt;=0,$G248=0),"",$D248/$E248/$G248)</f>
        <v/>
      </c>
      <c r="J248" s="48" t="str">
        <f>IF(OR($I248="",NOT(ISNUMBER($H248)),$H248=0),"",$I248/$H248)</f>
        <v/>
      </c>
      <c r="K248" s="49" t="str">
        <f>IF(OR($I248="",NOT(ISNUMBER($H248))),"",$I248-$H248)</f>
        <v/>
      </c>
      <c r="L248" s="39" t="str">
        <f>IF($I248="","",IF(NOT(ISNUMBER($H248)),"Standard manquant",IF($J248&gt;=1,"Standard atteint",IF($J248&gt;=SeuilAlerte,"Alerte","Sous standard"))))</f>
        <v/>
      </c>
      <c r="M248" s="40" t="str">
        <f>IF(OR($D248="",$E248="",$E248&lt;=0),"",$D248/$E248)</f>
        <v/>
      </c>
      <c r="N248" s="40"/>
    </row>
    <row r="249" spans="1:14" ht="15" customHeight="1" x14ac:dyDescent="0.2">
      <c r="A249" s="14"/>
      <c r="B249" s="23"/>
      <c r="C249" s="23"/>
      <c r="D249" s="22"/>
      <c r="E249" s="45"/>
      <c r="F249" s="22"/>
      <c r="G249" s="46"/>
      <c r="H249" s="46"/>
      <c r="I249" s="47" t="str">
        <f>IF(OR($D249="",$E249="",$G249="",$E249&lt;=0,$G249=0),"",$D249/$E249/$G249)</f>
        <v/>
      </c>
      <c r="J249" s="48" t="str">
        <f>IF(OR($I249="",NOT(ISNUMBER($H249)),$H249=0),"",$I249/$H249)</f>
        <v/>
      </c>
      <c r="K249" s="49" t="str">
        <f>IF(OR($I249="",NOT(ISNUMBER($H249))),"",$I249-$H249)</f>
        <v/>
      </c>
      <c r="L249" s="39" t="str">
        <f>IF($I249="","",IF(NOT(ISNUMBER($H249)),"Standard manquant",IF($J249&gt;=1,"Standard atteint",IF($J249&gt;=SeuilAlerte,"Alerte","Sous standard"))))</f>
        <v/>
      </c>
      <c r="M249" s="40" t="str">
        <f>IF(OR($D249="",$E249="",$E249&lt;=0),"",$D249/$E249)</f>
        <v/>
      </c>
      <c r="N249" s="40"/>
    </row>
    <row r="250" spans="1:14" ht="15" customHeight="1" x14ac:dyDescent="0.2">
      <c r="A250" s="14"/>
      <c r="B250" s="23"/>
      <c r="C250" s="23"/>
      <c r="D250" s="22"/>
      <c r="E250" s="45"/>
      <c r="F250" s="22"/>
      <c r="G250" s="46"/>
      <c r="H250" s="46"/>
      <c r="I250" s="47" t="str">
        <f>IF(OR($D250="",$E250="",$G250="",$E250&lt;=0,$G250=0),"",$D250/$E250/$G250)</f>
        <v/>
      </c>
      <c r="J250" s="48" t="str">
        <f>IF(OR($I250="",NOT(ISNUMBER($H250)),$H250=0),"",$I250/$H250)</f>
        <v/>
      </c>
      <c r="K250" s="49" t="str">
        <f>IF(OR($I250="",NOT(ISNUMBER($H250))),"",$I250-$H250)</f>
        <v/>
      </c>
      <c r="L250" s="39" t="str">
        <f>IF($I250="","",IF(NOT(ISNUMBER($H250)),"Standard manquant",IF($J250&gt;=1,"Standard atteint",IF($J250&gt;=SeuilAlerte,"Alerte","Sous standard"))))</f>
        <v/>
      </c>
      <c r="M250" s="40" t="str">
        <f>IF(OR($D250="",$E250="",$E250&lt;=0),"",$D250/$E250)</f>
        <v/>
      </c>
      <c r="N250" s="40"/>
    </row>
    <row r="251" spans="1:14" ht="15" customHeight="1" x14ac:dyDescent="0.2">
      <c r="A251" s="14"/>
      <c r="B251" s="23"/>
      <c r="C251" s="23"/>
      <c r="D251" s="22"/>
      <c r="E251" s="45"/>
      <c r="F251" s="22"/>
      <c r="G251" s="46"/>
      <c r="H251" s="46"/>
      <c r="I251" s="47" t="str">
        <f>IF(OR($D251="",$E251="",$G251="",$E251&lt;=0,$G251=0),"",$D251/$E251/$G251)</f>
        <v/>
      </c>
      <c r="J251" s="48" t="str">
        <f>IF(OR($I251="",NOT(ISNUMBER($H251)),$H251=0),"",$I251/$H251)</f>
        <v/>
      </c>
      <c r="K251" s="49" t="str">
        <f>IF(OR($I251="",NOT(ISNUMBER($H251))),"",$I251-$H251)</f>
        <v/>
      </c>
      <c r="L251" s="39" t="str">
        <f>IF($I251="","",IF(NOT(ISNUMBER($H251)),"Standard manquant",IF($J251&gt;=1,"Standard atteint",IF($J251&gt;=SeuilAlerte,"Alerte","Sous standard"))))</f>
        <v/>
      </c>
      <c r="M251" s="40" t="str">
        <f>IF(OR($D251="",$E251="",$E251&lt;=0),"",$D251/$E251)</f>
        <v/>
      </c>
      <c r="N251" s="40"/>
    </row>
    <row r="252" spans="1:14" ht="15" customHeight="1" x14ac:dyDescent="0.2">
      <c r="A252" s="14"/>
      <c r="B252" s="23"/>
      <c r="C252" s="23"/>
      <c r="D252" s="22"/>
      <c r="E252" s="45"/>
      <c r="F252" s="22"/>
      <c r="G252" s="46"/>
      <c r="H252" s="46"/>
      <c r="I252" s="47" t="str">
        <f>IF(OR($D252="",$E252="",$G252="",$E252&lt;=0,$G252=0),"",$D252/$E252/$G252)</f>
        <v/>
      </c>
      <c r="J252" s="48" t="str">
        <f>IF(OR($I252="",NOT(ISNUMBER($H252)),$H252=0),"",$I252/$H252)</f>
        <v/>
      </c>
      <c r="K252" s="49" t="str">
        <f>IF(OR($I252="",NOT(ISNUMBER($H252))),"",$I252-$H252)</f>
        <v/>
      </c>
      <c r="L252" s="39" t="str">
        <f>IF($I252="","",IF(NOT(ISNUMBER($H252)),"Standard manquant",IF($J252&gt;=1,"Standard atteint",IF($J252&gt;=SeuilAlerte,"Alerte","Sous standard"))))</f>
        <v/>
      </c>
      <c r="M252" s="40" t="str">
        <f>IF(OR($D252="",$E252="",$E252&lt;=0),"",$D252/$E252)</f>
        <v/>
      </c>
      <c r="N252" s="40"/>
    </row>
    <row r="253" spans="1:14" ht="15" customHeight="1" x14ac:dyDescent="0.2">
      <c r="A253" s="14"/>
      <c r="B253" s="23"/>
      <c r="C253" s="23"/>
      <c r="D253" s="22"/>
      <c r="E253" s="45"/>
      <c r="F253" s="22"/>
      <c r="G253" s="46"/>
      <c r="H253" s="46"/>
      <c r="I253" s="47" t="str">
        <f>IF(OR($D253="",$E253="",$G253="",$E253&lt;=0,$G253=0),"",$D253/$E253/$G253)</f>
        <v/>
      </c>
      <c r="J253" s="48" t="str">
        <f>IF(OR($I253="",NOT(ISNUMBER($H253)),$H253=0),"",$I253/$H253)</f>
        <v/>
      </c>
      <c r="K253" s="49" t="str">
        <f>IF(OR($I253="",NOT(ISNUMBER($H253))),"",$I253-$H253)</f>
        <v/>
      </c>
      <c r="L253" s="39" t="str">
        <f>IF($I253="","",IF(NOT(ISNUMBER($H253)),"Standard manquant",IF($J253&gt;=1,"Standard atteint",IF($J253&gt;=SeuilAlerte,"Alerte","Sous standard"))))</f>
        <v/>
      </c>
      <c r="M253" s="40" t="str">
        <f>IF(OR($D253="",$E253="",$E253&lt;=0),"",$D253/$E253)</f>
        <v/>
      </c>
      <c r="N253" s="40"/>
    </row>
    <row r="254" spans="1:14" ht="15" customHeight="1" x14ac:dyDescent="0.2">
      <c r="A254" s="14"/>
      <c r="B254" s="23"/>
      <c r="C254" s="23"/>
      <c r="D254" s="22"/>
      <c r="E254" s="45"/>
      <c r="F254" s="22"/>
      <c r="G254" s="46"/>
      <c r="H254" s="46"/>
      <c r="I254" s="47" t="str">
        <f>IF(OR($D254="",$E254="",$G254="",$E254&lt;=0,$G254=0),"",$D254/$E254/$G254)</f>
        <v/>
      </c>
      <c r="J254" s="48" t="str">
        <f>IF(OR($I254="",NOT(ISNUMBER($H254)),$H254=0),"",$I254/$H254)</f>
        <v/>
      </c>
      <c r="K254" s="49" t="str">
        <f>IF(OR($I254="",NOT(ISNUMBER($H254))),"",$I254-$H254)</f>
        <v/>
      </c>
      <c r="L254" s="39" t="str">
        <f>IF($I254="","",IF(NOT(ISNUMBER($H254)),"Standard manquant",IF($J254&gt;=1,"Standard atteint",IF($J254&gt;=SeuilAlerte,"Alerte","Sous standard"))))</f>
        <v/>
      </c>
      <c r="M254" s="40" t="str">
        <f>IF(OR($D254="",$E254="",$E254&lt;=0),"",$D254/$E254)</f>
        <v/>
      </c>
      <c r="N254" s="40"/>
    </row>
    <row r="255" spans="1:14" ht="15" customHeight="1" x14ac:dyDescent="0.2">
      <c r="A255" s="14"/>
      <c r="B255" s="23"/>
      <c r="C255" s="23"/>
      <c r="D255" s="22"/>
      <c r="E255" s="45"/>
      <c r="F255" s="22"/>
      <c r="G255" s="46"/>
      <c r="H255" s="46"/>
      <c r="I255" s="47" t="str">
        <f>IF(OR($D255="",$E255="",$G255="",$E255&lt;=0,$G255=0),"",$D255/$E255/$G255)</f>
        <v/>
      </c>
      <c r="J255" s="48" t="str">
        <f>IF(OR($I255="",NOT(ISNUMBER($H255)),$H255=0),"",$I255/$H255)</f>
        <v/>
      </c>
      <c r="K255" s="49" t="str">
        <f>IF(OR($I255="",NOT(ISNUMBER($H255))),"",$I255-$H255)</f>
        <v/>
      </c>
      <c r="L255" s="39" t="str">
        <f>IF($I255="","",IF(NOT(ISNUMBER($H255)),"Standard manquant",IF($J255&gt;=1,"Standard atteint",IF($J255&gt;=SeuilAlerte,"Alerte","Sous standard"))))</f>
        <v/>
      </c>
      <c r="M255" s="40" t="str">
        <f>IF(OR($D255="",$E255="",$E255&lt;=0),"",$D255/$E255)</f>
        <v/>
      </c>
      <c r="N255" s="40"/>
    </row>
    <row r="256" spans="1:14" ht="15" customHeight="1" x14ac:dyDescent="0.2">
      <c r="A256" s="14"/>
      <c r="B256" s="23"/>
      <c r="C256" s="23"/>
      <c r="D256" s="22"/>
      <c r="E256" s="45"/>
      <c r="F256" s="22"/>
      <c r="G256" s="46"/>
      <c r="H256" s="46"/>
      <c r="I256" s="47" t="str">
        <f>IF(OR($D256="",$E256="",$G256="",$E256&lt;=0,$G256=0),"",$D256/$E256/$G256)</f>
        <v/>
      </c>
      <c r="J256" s="48" t="str">
        <f>IF(OR($I256="",NOT(ISNUMBER($H256)),$H256=0),"",$I256/$H256)</f>
        <v/>
      </c>
      <c r="K256" s="49" t="str">
        <f>IF(OR($I256="",NOT(ISNUMBER($H256))),"",$I256-$H256)</f>
        <v/>
      </c>
      <c r="L256" s="39" t="str">
        <f>IF($I256="","",IF(NOT(ISNUMBER($H256)),"Standard manquant",IF($J256&gt;=1,"Standard atteint",IF($J256&gt;=SeuilAlerte,"Alerte","Sous standard"))))</f>
        <v/>
      </c>
      <c r="M256" s="40" t="str">
        <f>IF(OR($D256="",$E256="",$E256&lt;=0),"",$D256/$E256)</f>
        <v/>
      </c>
      <c r="N256" s="40"/>
    </row>
    <row r="257" spans="1:14" ht="15" customHeight="1" x14ac:dyDescent="0.2">
      <c r="A257" s="14"/>
      <c r="B257" s="23"/>
      <c r="C257" s="23"/>
      <c r="D257" s="22"/>
      <c r="E257" s="45"/>
      <c r="F257" s="22"/>
      <c r="G257" s="46"/>
      <c r="H257" s="46"/>
      <c r="I257" s="47" t="str">
        <f>IF(OR($D257="",$E257="",$G257="",$E257&lt;=0,$G257=0),"",$D257/$E257/$G257)</f>
        <v/>
      </c>
      <c r="J257" s="48" t="str">
        <f>IF(OR($I257="",NOT(ISNUMBER($H257)),$H257=0),"",$I257/$H257)</f>
        <v/>
      </c>
      <c r="K257" s="49" t="str">
        <f>IF(OR($I257="",NOT(ISNUMBER($H257))),"",$I257-$H257)</f>
        <v/>
      </c>
      <c r="L257" s="39" t="str">
        <f>IF($I257="","",IF(NOT(ISNUMBER($H257)),"Standard manquant",IF($J257&gt;=1,"Standard atteint",IF($J257&gt;=SeuilAlerte,"Alerte","Sous standard"))))</f>
        <v/>
      </c>
      <c r="M257" s="40" t="str">
        <f>IF(OR($D257="",$E257="",$E257&lt;=0),"",$D257/$E257)</f>
        <v/>
      </c>
      <c r="N257" s="40"/>
    </row>
    <row r="258" spans="1:14" ht="15" customHeight="1" x14ac:dyDescent="0.2">
      <c r="A258" s="14"/>
      <c r="B258" s="23"/>
      <c r="C258" s="23"/>
      <c r="D258" s="22"/>
      <c r="E258" s="45"/>
      <c r="F258" s="22"/>
      <c r="G258" s="46"/>
      <c r="H258" s="46"/>
      <c r="I258" s="47" t="str">
        <f>IF(OR($D258="",$E258="",$G258="",$E258&lt;=0,$G258=0),"",$D258/$E258/$G258)</f>
        <v/>
      </c>
      <c r="J258" s="48" t="str">
        <f>IF(OR($I258="",NOT(ISNUMBER($H258)),$H258=0),"",$I258/$H258)</f>
        <v/>
      </c>
      <c r="K258" s="49" t="str">
        <f>IF(OR($I258="",NOT(ISNUMBER($H258))),"",$I258-$H258)</f>
        <v/>
      </c>
      <c r="L258" s="39" t="str">
        <f>IF($I258="","",IF(NOT(ISNUMBER($H258)),"Standard manquant",IF($J258&gt;=1,"Standard atteint",IF($J258&gt;=SeuilAlerte,"Alerte","Sous standard"))))</f>
        <v/>
      </c>
      <c r="M258" s="40" t="str">
        <f>IF(OR($D258="",$E258="",$E258&lt;=0),"",$D258/$E258)</f>
        <v/>
      </c>
      <c r="N258" s="40"/>
    </row>
    <row r="259" spans="1:14" ht="15" customHeight="1" x14ac:dyDescent="0.2">
      <c r="A259" s="14"/>
      <c r="B259" s="23"/>
      <c r="C259" s="23"/>
      <c r="D259" s="22"/>
      <c r="E259" s="45"/>
      <c r="F259" s="22"/>
      <c r="G259" s="46"/>
      <c r="H259" s="46"/>
      <c r="I259" s="47" t="str">
        <f>IF(OR($D259="",$E259="",$G259="",$E259&lt;=0,$G259=0),"",$D259/$E259/$G259)</f>
        <v/>
      </c>
      <c r="J259" s="48" t="str">
        <f>IF(OR($I259="",NOT(ISNUMBER($H259)),$H259=0),"",$I259/$H259)</f>
        <v/>
      </c>
      <c r="K259" s="49" t="str">
        <f>IF(OR($I259="",NOT(ISNUMBER($H259))),"",$I259-$H259)</f>
        <v/>
      </c>
      <c r="L259" s="39" t="str">
        <f>IF($I259="","",IF(NOT(ISNUMBER($H259)),"Standard manquant",IF($J259&gt;=1,"Standard atteint",IF($J259&gt;=SeuilAlerte,"Alerte","Sous standard"))))</f>
        <v/>
      </c>
      <c r="M259" s="40" t="str">
        <f>IF(OR($D259="",$E259="",$E259&lt;=0),"",$D259/$E259)</f>
        <v/>
      </c>
      <c r="N259" s="40"/>
    </row>
    <row r="260" spans="1:14" ht="15" customHeight="1" x14ac:dyDescent="0.2">
      <c r="A260" s="14"/>
      <c r="B260" s="23"/>
      <c r="C260" s="23"/>
      <c r="D260" s="22"/>
      <c r="E260" s="45"/>
      <c r="F260" s="22"/>
      <c r="G260" s="46"/>
      <c r="H260" s="46"/>
      <c r="I260" s="47" t="str">
        <f>IF(OR($D260="",$E260="",$G260="",$E260&lt;=0,$G260=0),"",$D260/$E260/$G260)</f>
        <v/>
      </c>
      <c r="J260" s="48" t="str">
        <f>IF(OR($I260="",NOT(ISNUMBER($H260)),$H260=0),"",$I260/$H260)</f>
        <v/>
      </c>
      <c r="K260" s="49" t="str">
        <f>IF(OR($I260="",NOT(ISNUMBER($H260))),"",$I260-$H260)</f>
        <v/>
      </c>
      <c r="L260" s="39" t="str">
        <f>IF($I260="","",IF(NOT(ISNUMBER($H260)),"Standard manquant",IF($J260&gt;=1,"Standard atteint",IF($J260&gt;=SeuilAlerte,"Alerte","Sous standard"))))</f>
        <v/>
      </c>
      <c r="M260" s="40" t="str">
        <f>IF(OR($D260="",$E260="",$E260&lt;=0),"",$D260/$E260)</f>
        <v/>
      </c>
      <c r="N260" s="40"/>
    </row>
    <row r="261" spans="1:14" ht="15" customHeight="1" x14ac:dyDescent="0.2">
      <c r="A261" s="14"/>
      <c r="B261" s="23"/>
      <c r="C261" s="23"/>
      <c r="D261" s="22"/>
      <c r="E261" s="45"/>
      <c r="F261" s="22"/>
      <c r="G261" s="46"/>
      <c r="H261" s="46"/>
      <c r="I261" s="47" t="str">
        <f>IF(OR($D261="",$E261="",$G261="",$E261&lt;=0,$G261=0),"",$D261/$E261/$G261)</f>
        <v/>
      </c>
      <c r="J261" s="48" t="str">
        <f>IF(OR($I261="",NOT(ISNUMBER($H261)),$H261=0),"",$I261/$H261)</f>
        <v/>
      </c>
      <c r="K261" s="49" t="str">
        <f>IF(OR($I261="",NOT(ISNUMBER($H261))),"",$I261-$H261)</f>
        <v/>
      </c>
      <c r="L261" s="39" t="str">
        <f>IF($I261="","",IF(NOT(ISNUMBER($H261)),"Standard manquant",IF($J261&gt;=1,"Standard atteint",IF($J261&gt;=SeuilAlerte,"Alerte","Sous standard"))))</f>
        <v/>
      </c>
      <c r="M261" s="40" t="str">
        <f>IF(OR($D261="",$E261="",$E261&lt;=0),"",$D261/$E261)</f>
        <v/>
      </c>
      <c r="N261" s="40"/>
    </row>
    <row r="262" spans="1:14" ht="15" customHeight="1" x14ac:dyDescent="0.2">
      <c r="A262" s="14"/>
      <c r="B262" s="23"/>
      <c r="C262" s="23"/>
      <c r="D262" s="22"/>
      <c r="E262" s="45"/>
      <c r="F262" s="22"/>
      <c r="G262" s="46"/>
      <c r="H262" s="46"/>
      <c r="I262" s="47" t="str">
        <f>IF(OR($D262="",$E262="",$G262="",$E262&lt;=0,$G262=0),"",$D262/$E262/$G262)</f>
        <v/>
      </c>
      <c r="J262" s="48" t="str">
        <f>IF(OR($I262="",NOT(ISNUMBER($H262)),$H262=0),"",$I262/$H262)</f>
        <v/>
      </c>
      <c r="K262" s="49" t="str">
        <f>IF(OR($I262="",NOT(ISNUMBER($H262))),"",$I262-$H262)</f>
        <v/>
      </c>
      <c r="L262" s="39" t="str">
        <f>IF($I262="","",IF(NOT(ISNUMBER($H262)),"Standard manquant",IF($J262&gt;=1,"Standard atteint",IF($J262&gt;=SeuilAlerte,"Alerte","Sous standard"))))</f>
        <v/>
      </c>
      <c r="M262" s="40" t="str">
        <f>IF(OR($D262="",$E262="",$E262&lt;=0),"",$D262/$E262)</f>
        <v/>
      </c>
      <c r="N262" s="40"/>
    </row>
    <row r="263" spans="1:14" ht="15" customHeight="1" x14ac:dyDescent="0.2">
      <c r="A263" s="14"/>
      <c r="B263" s="23"/>
      <c r="C263" s="23"/>
      <c r="D263" s="22"/>
      <c r="E263" s="45"/>
      <c r="F263" s="22"/>
      <c r="G263" s="46"/>
      <c r="H263" s="46"/>
      <c r="I263" s="47" t="str">
        <f>IF(OR($D263="",$E263="",$G263="",$E263&lt;=0,$G263=0),"",$D263/$E263/$G263)</f>
        <v/>
      </c>
      <c r="J263" s="48" t="str">
        <f>IF(OR($I263="",NOT(ISNUMBER($H263)),$H263=0),"",$I263/$H263)</f>
        <v/>
      </c>
      <c r="K263" s="49" t="str">
        <f>IF(OR($I263="",NOT(ISNUMBER($H263))),"",$I263-$H263)</f>
        <v/>
      </c>
      <c r="L263" s="39" t="str">
        <f>IF($I263="","",IF(NOT(ISNUMBER($H263)),"Standard manquant",IF($J263&gt;=1,"Standard atteint",IF($J263&gt;=SeuilAlerte,"Alerte","Sous standard"))))</f>
        <v/>
      </c>
      <c r="M263" s="40" t="str">
        <f>IF(OR($D263="",$E263="",$E263&lt;=0),"",$D263/$E263)</f>
        <v/>
      </c>
      <c r="N263" s="40"/>
    </row>
    <row r="264" spans="1:14" ht="15" customHeight="1" x14ac:dyDescent="0.2">
      <c r="A264" s="14"/>
      <c r="B264" s="23"/>
      <c r="C264" s="23"/>
      <c r="D264" s="22"/>
      <c r="E264" s="45"/>
      <c r="F264" s="22"/>
      <c r="G264" s="46"/>
      <c r="H264" s="46"/>
      <c r="I264" s="47" t="str">
        <f>IF(OR($D264="",$E264="",$G264="",$E264&lt;=0,$G264=0),"",$D264/$E264/$G264)</f>
        <v/>
      </c>
      <c r="J264" s="48" t="str">
        <f>IF(OR($I264="",NOT(ISNUMBER($H264)),$H264=0),"",$I264/$H264)</f>
        <v/>
      </c>
      <c r="K264" s="49" t="str">
        <f>IF(OR($I264="",NOT(ISNUMBER($H264))),"",$I264-$H264)</f>
        <v/>
      </c>
      <c r="L264" s="39" t="str">
        <f>IF($I264="","",IF(NOT(ISNUMBER($H264)),"Standard manquant",IF($J264&gt;=1,"Standard atteint",IF($J264&gt;=SeuilAlerte,"Alerte","Sous standard"))))</f>
        <v/>
      </c>
      <c r="M264" s="40" t="str">
        <f>IF(OR($D264="",$E264="",$E264&lt;=0),"",$D264/$E264)</f>
        <v/>
      </c>
      <c r="N264" s="40"/>
    </row>
    <row r="265" spans="1:14" ht="15" customHeight="1" x14ac:dyDescent="0.2">
      <c r="A265" s="14"/>
      <c r="B265" s="23"/>
      <c r="C265" s="23"/>
      <c r="D265" s="22"/>
      <c r="E265" s="45"/>
      <c r="F265" s="22"/>
      <c r="G265" s="46"/>
      <c r="H265" s="46"/>
      <c r="I265" s="47" t="str">
        <f>IF(OR($D265="",$E265="",$G265="",$E265&lt;=0,$G265=0),"",$D265/$E265/$G265)</f>
        <v/>
      </c>
      <c r="J265" s="48" t="str">
        <f>IF(OR($I265="",NOT(ISNUMBER($H265)),$H265=0),"",$I265/$H265)</f>
        <v/>
      </c>
      <c r="K265" s="49" t="str">
        <f>IF(OR($I265="",NOT(ISNUMBER($H265))),"",$I265-$H265)</f>
        <v/>
      </c>
      <c r="L265" s="39" t="str">
        <f>IF($I265="","",IF(NOT(ISNUMBER($H265)),"Standard manquant",IF($J265&gt;=1,"Standard atteint",IF($J265&gt;=SeuilAlerte,"Alerte","Sous standard"))))</f>
        <v/>
      </c>
      <c r="M265" s="40" t="str">
        <f>IF(OR($D265="",$E265="",$E265&lt;=0),"",$D265/$E265)</f>
        <v/>
      </c>
      <c r="N265" s="40"/>
    </row>
    <row r="266" spans="1:14" ht="15" customHeight="1" x14ac:dyDescent="0.2">
      <c r="A266" s="14"/>
      <c r="B266" s="23"/>
      <c r="C266" s="23"/>
      <c r="D266" s="22"/>
      <c r="E266" s="45"/>
      <c r="F266" s="22"/>
      <c r="G266" s="46"/>
      <c r="H266" s="46"/>
      <c r="I266" s="47" t="str">
        <f>IF(OR($D266="",$E266="",$G266="",$E266&lt;=0,$G266=0),"",$D266/$E266/$G266)</f>
        <v/>
      </c>
      <c r="J266" s="48" t="str">
        <f>IF(OR($I266="",NOT(ISNUMBER($H266)),$H266=0),"",$I266/$H266)</f>
        <v/>
      </c>
      <c r="K266" s="49" t="str">
        <f>IF(OR($I266="",NOT(ISNUMBER($H266))),"",$I266-$H266)</f>
        <v/>
      </c>
      <c r="L266" s="39" t="str">
        <f>IF($I266="","",IF(NOT(ISNUMBER($H266)),"Standard manquant",IF($J266&gt;=1,"Standard atteint",IF($J266&gt;=SeuilAlerte,"Alerte","Sous standard"))))</f>
        <v/>
      </c>
      <c r="M266" s="40" t="str">
        <f>IF(OR($D266="",$E266="",$E266&lt;=0),"",$D266/$E266)</f>
        <v/>
      </c>
      <c r="N266" s="40"/>
    </row>
    <row r="267" spans="1:14" ht="15" customHeight="1" x14ac:dyDescent="0.2">
      <c r="A267" s="14"/>
      <c r="B267" s="23"/>
      <c r="C267" s="23"/>
      <c r="D267" s="22"/>
      <c r="E267" s="45"/>
      <c r="F267" s="22"/>
      <c r="G267" s="46"/>
      <c r="H267" s="46"/>
      <c r="I267" s="47" t="str">
        <f>IF(OR($D267="",$E267="",$G267="",$E267&lt;=0,$G267=0),"",$D267/$E267/$G267)</f>
        <v/>
      </c>
      <c r="J267" s="48" t="str">
        <f>IF(OR($I267="",NOT(ISNUMBER($H267)),$H267=0),"",$I267/$H267)</f>
        <v/>
      </c>
      <c r="K267" s="49" t="str">
        <f>IF(OR($I267="",NOT(ISNUMBER($H267))),"",$I267-$H267)</f>
        <v/>
      </c>
      <c r="L267" s="39" t="str">
        <f>IF($I267="","",IF(NOT(ISNUMBER($H267)),"Standard manquant",IF($J267&gt;=1,"Standard atteint",IF($J267&gt;=SeuilAlerte,"Alerte","Sous standard"))))</f>
        <v/>
      </c>
      <c r="M267" s="40" t="str">
        <f>IF(OR($D267="",$E267="",$E267&lt;=0),"",$D267/$E267)</f>
        <v/>
      </c>
      <c r="N267" s="40"/>
    </row>
    <row r="268" spans="1:14" ht="15" customHeight="1" x14ac:dyDescent="0.2">
      <c r="A268" s="14"/>
      <c r="B268" s="23"/>
      <c r="C268" s="23"/>
      <c r="D268" s="22"/>
      <c r="E268" s="45"/>
      <c r="F268" s="22"/>
      <c r="G268" s="46"/>
      <c r="H268" s="46"/>
      <c r="I268" s="47" t="str">
        <f>IF(OR($D268="",$E268="",$G268="",$E268&lt;=0,$G268=0),"",$D268/$E268/$G268)</f>
        <v/>
      </c>
      <c r="J268" s="48" t="str">
        <f>IF(OR($I268="",NOT(ISNUMBER($H268)),$H268=0),"",$I268/$H268)</f>
        <v/>
      </c>
      <c r="K268" s="49" t="str">
        <f>IF(OR($I268="",NOT(ISNUMBER($H268))),"",$I268-$H268)</f>
        <v/>
      </c>
      <c r="L268" s="39" t="str">
        <f>IF($I268="","",IF(NOT(ISNUMBER($H268)),"Standard manquant",IF($J268&gt;=1,"Standard atteint",IF($J268&gt;=SeuilAlerte,"Alerte","Sous standard"))))</f>
        <v/>
      </c>
      <c r="M268" s="40" t="str">
        <f>IF(OR($D268="",$E268="",$E268&lt;=0),"",$D268/$E268)</f>
        <v/>
      </c>
      <c r="N268" s="40"/>
    </row>
    <row r="269" spans="1:14" ht="15" customHeight="1" x14ac:dyDescent="0.2">
      <c r="A269" s="14"/>
      <c r="B269" s="23"/>
      <c r="C269" s="23"/>
      <c r="D269" s="22"/>
      <c r="E269" s="45"/>
      <c r="F269" s="22"/>
      <c r="G269" s="46"/>
      <c r="H269" s="46"/>
      <c r="I269" s="47" t="str">
        <f>IF(OR($D269="",$E269="",$G269="",$E269&lt;=0,$G269=0),"",$D269/$E269/$G269)</f>
        <v/>
      </c>
      <c r="J269" s="48" t="str">
        <f>IF(OR($I269="",NOT(ISNUMBER($H269)),$H269=0),"",$I269/$H269)</f>
        <v/>
      </c>
      <c r="K269" s="49" t="str">
        <f>IF(OR($I269="",NOT(ISNUMBER($H269))),"",$I269-$H269)</f>
        <v/>
      </c>
      <c r="L269" s="39" t="str">
        <f>IF($I269="","",IF(NOT(ISNUMBER($H269)),"Standard manquant",IF($J269&gt;=1,"Standard atteint",IF($J269&gt;=SeuilAlerte,"Alerte","Sous standard"))))</f>
        <v/>
      </c>
      <c r="M269" s="40" t="str">
        <f>IF(OR($D269="",$E269="",$E269&lt;=0),"",$D269/$E269)</f>
        <v/>
      </c>
      <c r="N269" s="40"/>
    </row>
    <row r="270" spans="1:14" ht="15" customHeight="1" x14ac:dyDescent="0.2">
      <c r="A270" s="14"/>
      <c r="B270" s="23"/>
      <c r="C270" s="23"/>
      <c r="D270" s="22"/>
      <c r="E270" s="45"/>
      <c r="F270" s="22"/>
      <c r="G270" s="46"/>
      <c r="H270" s="46"/>
      <c r="I270" s="47" t="str">
        <f>IF(OR($D270="",$E270="",$G270="",$E270&lt;=0,$G270=0),"",$D270/$E270/$G270)</f>
        <v/>
      </c>
      <c r="J270" s="48" t="str">
        <f>IF(OR($I270="",NOT(ISNUMBER($H270)),$H270=0),"",$I270/$H270)</f>
        <v/>
      </c>
      <c r="K270" s="49" t="str">
        <f>IF(OR($I270="",NOT(ISNUMBER($H270))),"",$I270-$H270)</f>
        <v/>
      </c>
      <c r="L270" s="39" t="str">
        <f>IF($I270="","",IF(NOT(ISNUMBER($H270)),"Standard manquant",IF($J270&gt;=1,"Standard atteint",IF($J270&gt;=SeuilAlerte,"Alerte","Sous standard"))))</f>
        <v/>
      </c>
      <c r="M270" s="40" t="str">
        <f>IF(OR($D270="",$E270="",$E270&lt;=0),"",$D270/$E270)</f>
        <v/>
      </c>
      <c r="N270" s="40"/>
    </row>
    <row r="271" spans="1:14" ht="15" customHeight="1" x14ac:dyDescent="0.2">
      <c r="A271" s="14"/>
      <c r="B271" s="23"/>
      <c r="C271" s="23"/>
      <c r="D271" s="22"/>
      <c r="E271" s="45"/>
      <c r="F271" s="22"/>
      <c r="G271" s="46"/>
      <c r="H271" s="46"/>
      <c r="I271" s="47" t="str">
        <f>IF(OR($D271="",$E271="",$G271="",$E271&lt;=0,$G271=0),"",$D271/$E271/$G271)</f>
        <v/>
      </c>
      <c r="J271" s="48" t="str">
        <f>IF(OR($I271="",NOT(ISNUMBER($H271)),$H271=0),"",$I271/$H271)</f>
        <v/>
      </c>
      <c r="K271" s="49" t="str">
        <f>IF(OR($I271="",NOT(ISNUMBER($H271))),"",$I271-$H271)</f>
        <v/>
      </c>
      <c r="L271" s="39" t="str">
        <f>IF($I271="","",IF(NOT(ISNUMBER($H271)),"Standard manquant",IF($J271&gt;=1,"Standard atteint",IF($J271&gt;=SeuilAlerte,"Alerte","Sous standard"))))</f>
        <v/>
      </c>
      <c r="M271" s="40" t="str">
        <f>IF(OR($D271="",$E271="",$E271&lt;=0),"",$D271/$E271)</f>
        <v/>
      </c>
      <c r="N271" s="40"/>
    </row>
    <row r="272" spans="1:14" ht="15" customHeight="1" x14ac:dyDescent="0.2">
      <c r="A272" s="14"/>
      <c r="B272" s="23"/>
      <c r="C272" s="23"/>
      <c r="D272" s="22"/>
      <c r="E272" s="45"/>
      <c r="F272" s="22"/>
      <c r="G272" s="46"/>
      <c r="H272" s="46"/>
      <c r="I272" s="47" t="str">
        <f>IF(OR($D272="",$E272="",$G272="",$E272&lt;=0,$G272=0),"",$D272/$E272/$G272)</f>
        <v/>
      </c>
      <c r="J272" s="48" t="str">
        <f>IF(OR($I272="",NOT(ISNUMBER($H272)),$H272=0),"",$I272/$H272)</f>
        <v/>
      </c>
      <c r="K272" s="49" t="str">
        <f>IF(OR($I272="",NOT(ISNUMBER($H272))),"",$I272-$H272)</f>
        <v/>
      </c>
      <c r="L272" s="39" t="str">
        <f>IF($I272="","",IF(NOT(ISNUMBER($H272)),"Standard manquant",IF($J272&gt;=1,"Standard atteint",IF($J272&gt;=SeuilAlerte,"Alerte","Sous standard"))))</f>
        <v/>
      </c>
      <c r="M272" s="40" t="str">
        <f>IF(OR($D272="",$E272="",$E272&lt;=0),"",$D272/$E272)</f>
        <v/>
      </c>
      <c r="N272" s="40"/>
    </row>
    <row r="273" spans="1:14" ht="15" customHeight="1" x14ac:dyDescent="0.2">
      <c r="A273" s="14"/>
      <c r="B273" s="23"/>
      <c r="C273" s="23"/>
      <c r="D273" s="22"/>
      <c r="E273" s="45"/>
      <c r="F273" s="22"/>
      <c r="G273" s="46"/>
      <c r="H273" s="46"/>
      <c r="I273" s="47" t="str">
        <f>IF(OR($D273="",$E273="",$G273="",$E273&lt;=0,$G273=0),"",$D273/$E273/$G273)</f>
        <v/>
      </c>
      <c r="J273" s="48" t="str">
        <f>IF(OR($I273="",NOT(ISNUMBER($H273)),$H273=0),"",$I273/$H273)</f>
        <v/>
      </c>
      <c r="K273" s="49" t="str">
        <f>IF(OR($I273="",NOT(ISNUMBER($H273))),"",$I273-$H273)</f>
        <v/>
      </c>
      <c r="L273" s="39" t="str">
        <f>IF($I273="","",IF(NOT(ISNUMBER($H273)),"Standard manquant",IF($J273&gt;=1,"Standard atteint",IF($J273&gt;=SeuilAlerte,"Alerte","Sous standard"))))</f>
        <v/>
      </c>
      <c r="M273" s="40" t="str">
        <f>IF(OR($D273="",$E273="",$E273&lt;=0),"",$D273/$E273)</f>
        <v/>
      </c>
      <c r="N273" s="40"/>
    </row>
    <row r="274" spans="1:14" ht="15" customHeight="1" x14ac:dyDescent="0.2">
      <c r="A274" s="14"/>
      <c r="B274" s="23"/>
      <c r="C274" s="23"/>
      <c r="D274" s="22"/>
      <c r="E274" s="45"/>
      <c r="F274" s="22"/>
      <c r="G274" s="46"/>
      <c r="H274" s="46"/>
      <c r="I274" s="47" t="str">
        <f>IF(OR($D274="",$E274="",$G274="",$E274&lt;=0,$G274=0),"",$D274/$E274/$G274)</f>
        <v/>
      </c>
      <c r="J274" s="48" t="str">
        <f>IF(OR($I274="",NOT(ISNUMBER($H274)),$H274=0),"",$I274/$H274)</f>
        <v/>
      </c>
      <c r="K274" s="49" t="str">
        <f>IF(OR($I274="",NOT(ISNUMBER($H274))),"",$I274-$H274)</f>
        <v/>
      </c>
      <c r="L274" s="39" t="str">
        <f>IF($I274="","",IF(NOT(ISNUMBER($H274)),"Standard manquant",IF($J274&gt;=1,"Standard atteint",IF($J274&gt;=SeuilAlerte,"Alerte","Sous standard"))))</f>
        <v/>
      </c>
      <c r="M274" s="40" t="str">
        <f>IF(OR($D274="",$E274="",$E274&lt;=0),"",$D274/$E274)</f>
        <v/>
      </c>
      <c r="N274" s="40"/>
    </row>
    <row r="275" spans="1:14" ht="15" customHeight="1" x14ac:dyDescent="0.2">
      <c r="A275" s="14"/>
      <c r="B275" s="23"/>
      <c r="C275" s="23"/>
      <c r="D275" s="22"/>
      <c r="E275" s="45"/>
      <c r="F275" s="22"/>
      <c r="G275" s="46"/>
      <c r="H275" s="46"/>
      <c r="I275" s="47" t="str">
        <f>IF(OR($D275="",$E275="",$G275="",$E275&lt;=0,$G275=0),"",$D275/$E275/$G275)</f>
        <v/>
      </c>
      <c r="J275" s="48" t="str">
        <f>IF(OR($I275="",NOT(ISNUMBER($H275)),$H275=0),"",$I275/$H275)</f>
        <v/>
      </c>
      <c r="K275" s="49" t="str">
        <f>IF(OR($I275="",NOT(ISNUMBER($H275))),"",$I275-$H275)</f>
        <v/>
      </c>
      <c r="L275" s="39" t="str">
        <f>IF($I275="","",IF(NOT(ISNUMBER($H275)),"Standard manquant",IF($J275&gt;=1,"Standard atteint",IF($J275&gt;=SeuilAlerte,"Alerte","Sous standard"))))</f>
        <v/>
      </c>
      <c r="M275" s="40" t="str">
        <f>IF(OR($D275="",$E275="",$E275&lt;=0),"",$D275/$E275)</f>
        <v/>
      </c>
      <c r="N275" s="40"/>
    </row>
    <row r="276" spans="1:14" ht="15" customHeight="1" x14ac:dyDescent="0.2">
      <c r="A276" s="14"/>
      <c r="B276" s="23"/>
      <c r="C276" s="23"/>
      <c r="D276" s="22"/>
      <c r="E276" s="45"/>
      <c r="F276" s="22"/>
      <c r="G276" s="46"/>
      <c r="H276" s="46"/>
      <c r="I276" s="47" t="str">
        <f>IF(OR($D276="",$E276="",$G276="",$E276&lt;=0,$G276=0),"",$D276/$E276/$G276)</f>
        <v/>
      </c>
      <c r="J276" s="48" t="str">
        <f>IF(OR($I276="",NOT(ISNUMBER($H276)),$H276=0),"",$I276/$H276)</f>
        <v/>
      </c>
      <c r="K276" s="49" t="str">
        <f>IF(OR($I276="",NOT(ISNUMBER($H276))),"",$I276-$H276)</f>
        <v/>
      </c>
      <c r="L276" s="39" t="str">
        <f>IF($I276="","",IF(NOT(ISNUMBER($H276)),"Standard manquant",IF($J276&gt;=1,"Standard atteint",IF($J276&gt;=SeuilAlerte,"Alerte","Sous standard"))))</f>
        <v/>
      </c>
      <c r="M276" s="40" t="str">
        <f>IF(OR($D276="",$E276="",$E276&lt;=0),"",$D276/$E276)</f>
        <v/>
      </c>
      <c r="N276" s="40"/>
    </row>
    <row r="277" spans="1:14" ht="15" customHeight="1" x14ac:dyDescent="0.2">
      <c r="A277" s="14"/>
      <c r="B277" s="23"/>
      <c r="C277" s="23"/>
      <c r="D277" s="22"/>
      <c r="E277" s="45"/>
      <c r="F277" s="22"/>
      <c r="G277" s="46"/>
      <c r="H277" s="46"/>
      <c r="I277" s="47" t="str">
        <f>IF(OR($D277="",$E277="",$G277="",$E277&lt;=0,$G277=0),"",$D277/$E277/$G277)</f>
        <v/>
      </c>
      <c r="J277" s="48" t="str">
        <f>IF(OR($I277="",NOT(ISNUMBER($H277)),$H277=0),"",$I277/$H277)</f>
        <v/>
      </c>
      <c r="K277" s="49" t="str">
        <f>IF(OR($I277="",NOT(ISNUMBER($H277))),"",$I277-$H277)</f>
        <v/>
      </c>
      <c r="L277" s="39" t="str">
        <f>IF($I277="","",IF(NOT(ISNUMBER($H277)),"Standard manquant",IF($J277&gt;=1,"Standard atteint",IF($J277&gt;=SeuilAlerte,"Alerte","Sous standard"))))</f>
        <v/>
      </c>
      <c r="M277" s="40" t="str">
        <f>IF(OR($D277="",$E277="",$E277&lt;=0),"",$D277/$E277)</f>
        <v/>
      </c>
      <c r="N277" s="40"/>
    </row>
    <row r="278" spans="1:14" ht="15" customHeight="1" x14ac:dyDescent="0.2">
      <c r="A278" s="14"/>
      <c r="B278" s="23"/>
      <c r="C278" s="23"/>
      <c r="D278" s="22"/>
      <c r="E278" s="45"/>
      <c r="F278" s="22"/>
      <c r="G278" s="46"/>
      <c r="H278" s="46"/>
      <c r="I278" s="47" t="str">
        <f>IF(OR($D278="",$E278="",$G278="",$E278&lt;=0,$G278=0),"",$D278/$E278/$G278)</f>
        <v/>
      </c>
      <c r="J278" s="48" t="str">
        <f>IF(OR($I278="",NOT(ISNUMBER($H278)),$H278=0),"",$I278/$H278)</f>
        <v/>
      </c>
      <c r="K278" s="49" t="str">
        <f>IF(OR($I278="",NOT(ISNUMBER($H278))),"",$I278-$H278)</f>
        <v/>
      </c>
      <c r="L278" s="39" t="str">
        <f>IF($I278="","",IF(NOT(ISNUMBER($H278)),"Standard manquant",IF($J278&gt;=1,"Standard atteint",IF($J278&gt;=SeuilAlerte,"Alerte","Sous standard"))))</f>
        <v/>
      </c>
      <c r="M278" s="40" t="str">
        <f>IF(OR($D278="",$E278="",$E278&lt;=0),"",$D278/$E278)</f>
        <v/>
      </c>
      <c r="N278" s="40"/>
    </row>
    <row r="279" spans="1:14" ht="15" customHeight="1" x14ac:dyDescent="0.2">
      <c r="A279" s="14"/>
      <c r="B279" s="23"/>
      <c r="C279" s="23"/>
      <c r="D279" s="22"/>
      <c r="E279" s="45"/>
      <c r="F279" s="22"/>
      <c r="G279" s="46"/>
      <c r="H279" s="46"/>
      <c r="I279" s="47" t="str">
        <f>IF(OR($D279="",$E279="",$G279="",$E279&lt;=0,$G279=0),"",$D279/$E279/$G279)</f>
        <v/>
      </c>
      <c r="J279" s="48" t="str">
        <f>IF(OR($I279="",NOT(ISNUMBER($H279)),$H279=0),"",$I279/$H279)</f>
        <v/>
      </c>
      <c r="K279" s="49" t="str">
        <f>IF(OR($I279="",NOT(ISNUMBER($H279))),"",$I279-$H279)</f>
        <v/>
      </c>
      <c r="L279" s="39" t="str">
        <f>IF($I279="","",IF(NOT(ISNUMBER($H279)),"Standard manquant",IF($J279&gt;=1,"Standard atteint",IF($J279&gt;=SeuilAlerte,"Alerte","Sous standard"))))</f>
        <v/>
      </c>
      <c r="M279" s="40" t="str">
        <f>IF(OR($D279="",$E279="",$E279&lt;=0),"",$D279/$E279)</f>
        <v/>
      </c>
      <c r="N279" s="40"/>
    </row>
    <row r="280" spans="1:14" ht="15" customHeight="1" x14ac:dyDescent="0.2">
      <c r="A280" s="14"/>
      <c r="B280" s="23"/>
      <c r="C280" s="23"/>
      <c r="D280" s="22"/>
      <c r="E280" s="45"/>
      <c r="F280" s="22"/>
      <c r="G280" s="46"/>
      <c r="H280" s="46"/>
      <c r="I280" s="47" t="str">
        <f>IF(OR($D280="",$E280="",$G280="",$E280&lt;=0,$G280=0),"",$D280/$E280/$G280)</f>
        <v/>
      </c>
      <c r="J280" s="48" t="str">
        <f>IF(OR($I280="",NOT(ISNUMBER($H280)),$H280=0),"",$I280/$H280)</f>
        <v/>
      </c>
      <c r="K280" s="49" t="str">
        <f>IF(OR($I280="",NOT(ISNUMBER($H280))),"",$I280-$H280)</f>
        <v/>
      </c>
      <c r="L280" s="39" t="str">
        <f>IF($I280="","",IF(NOT(ISNUMBER($H280)),"Standard manquant",IF($J280&gt;=1,"Standard atteint",IF($J280&gt;=SeuilAlerte,"Alerte","Sous standard"))))</f>
        <v/>
      </c>
      <c r="M280" s="40" t="str">
        <f>IF(OR($D280="",$E280="",$E280&lt;=0),"",$D280/$E280)</f>
        <v/>
      </c>
      <c r="N280" s="40"/>
    </row>
    <row r="281" spans="1:14" ht="15" customHeight="1" x14ac:dyDescent="0.2">
      <c r="A281" s="14"/>
      <c r="B281" s="23"/>
      <c r="C281" s="23"/>
      <c r="D281" s="22"/>
      <c r="E281" s="45"/>
      <c r="F281" s="22"/>
      <c r="G281" s="46"/>
      <c r="H281" s="46"/>
      <c r="I281" s="47" t="str">
        <f>IF(OR($D281="",$E281="",$G281="",$E281&lt;=0,$G281=0),"",$D281/$E281/$G281)</f>
        <v/>
      </c>
      <c r="J281" s="48" t="str">
        <f>IF(OR($I281="",NOT(ISNUMBER($H281)),$H281=0),"",$I281/$H281)</f>
        <v/>
      </c>
      <c r="K281" s="49" t="str">
        <f>IF(OR($I281="",NOT(ISNUMBER($H281))),"",$I281-$H281)</f>
        <v/>
      </c>
      <c r="L281" s="39" t="str">
        <f>IF($I281="","",IF(NOT(ISNUMBER($H281)),"Standard manquant",IF($J281&gt;=1,"Standard atteint",IF($J281&gt;=SeuilAlerte,"Alerte","Sous standard"))))</f>
        <v/>
      </c>
      <c r="M281" s="40" t="str">
        <f>IF(OR($D281="",$E281="",$E281&lt;=0),"",$D281/$E281)</f>
        <v/>
      </c>
      <c r="N281" s="40"/>
    </row>
    <row r="282" spans="1:14" ht="15" customHeight="1" x14ac:dyDescent="0.2">
      <c r="A282" s="14"/>
      <c r="B282" s="23"/>
      <c r="C282" s="23"/>
      <c r="D282" s="22"/>
      <c r="E282" s="45"/>
      <c r="F282" s="22"/>
      <c r="G282" s="46"/>
      <c r="H282" s="46"/>
      <c r="I282" s="47" t="str">
        <f>IF(OR($D282="",$E282="",$G282="",$E282&lt;=0,$G282=0),"",$D282/$E282/$G282)</f>
        <v/>
      </c>
      <c r="J282" s="48" t="str">
        <f>IF(OR($I282="",NOT(ISNUMBER($H282)),$H282=0),"",$I282/$H282)</f>
        <v/>
      </c>
      <c r="K282" s="49" t="str">
        <f>IF(OR($I282="",NOT(ISNUMBER($H282))),"",$I282-$H282)</f>
        <v/>
      </c>
      <c r="L282" s="39" t="str">
        <f>IF($I282="","",IF(NOT(ISNUMBER($H282)),"Standard manquant",IF($J282&gt;=1,"Standard atteint",IF($J282&gt;=SeuilAlerte,"Alerte","Sous standard"))))</f>
        <v/>
      </c>
      <c r="M282" s="40" t="str">
        <f>IF(OR($D282="",$E282="",$E282&lt;=0),"",$D282/$E282)</f>
        <v/>
      </c>
      <c r="N282" s="40"/>
    </row>
    <row r="283" spans="1:14" ht="15" customHeight="1" x14ac:dyDescent="0.2">
      <c r="A283" s="14"/>
      <c r="B283" s="23"/>
      <c r="C283" s="23"/>
      <c r="D283" s="22"/>
      <c r="E283" s="45"/>
      <c r="F283" s="22"/>
      <c r="G283" s="46"/>
      <c r="H283" s="46"/>
      <c r="I283" s="47" t="str">
        <f>IF(OR($D283="",$E283="",$G283="",$E283&lt;=0,$G283=0),"",$D283/$E283/$G283)</f>
        <v/>
      </c>
      <c r="J283" s="48" t="str">
        <f>IF(OR($I283="",NOT(ISNUMBER($H283)),$H283=0),"",$I283/$H283)</f>
        <v/>
      </c>
      <c r="K283" s="49" t="str">
        <f>IF(OR($I283="",NOT(ISNUMBER($H283))),"",$I283-$H283)</f>
        <v/>
      </c>
      <c r="L283" s="39" t="str">
        <f>IF($I283="","",IF(NOT(ISNUMBER($H283)),"Standard manquant",IF($J283&gt;=1,"Standard atteint",IF($J283&gt;=SeuilAlerte,"Alerte","Sous standard"))))</f>
        <v/>
      </c>
      <c r="M283" s="40" t="str">
        <f>IF(OR($D283="",$E283="",$E283&lt;=0),"",$D283/$E283)</f>
        <v/>
      </c>
      <c r="N283" s="40"/>
    </row>
    <row r="284" spans="1:14" ht="15" customHeight="1" x14ac:dyDescent="0.2">
      <c r="A284" s="14"/>
      <c r="B284" s="23"/>
      <c r="C284" s="23"/>
      <c r="D284" s="22"/>
      <c r="E284" s="45"/>
      <c r="F284" s="22"/>
      <c r="G284" s="46"/>
      <c r="H284" s="46"/>
      <c r="I284" s="47" t="str">
        <f>IF(OR($D284="",$E284="",$G284="",$E284&lt;=0,$G284=0),"",$D284/$E284/$G284)</f>
        <v/>
      </c>
      <c r="J284" s="48" t="str">
        <f>IF(OR($I284="",NOT(ISNUMBER($H284)),$H284=0),"",$I284/$H284)</f>
        <v/>
      </c>
      <c r="K284" s="49" t="str">
        <f>IF(OR($I284="",NOT(ISNUMBER($H284))),"",$I284-$H284)</f>
        <v/>
      </c>
      <c r="L284" s="39" t="str">
        <f>IF($I284="","",IF(NOT(ISNUMBER($H284)),"Standard manquant",IF($J284&gt;=1,"Standard atteint",IF($J284&gt;=SeuilAlerte,"Alerte","Sous standard"))))</f>
        <v/>
      </c>
      <c r="M284" s="40" t="str">
        <f>IF(OR($D284="",$E284="",$E284&lt;=0),"",$D284/$E284)</f>
        <v/>
      </c>
      <c r="N284" s="40"/>
    </row>
    <row r="285" spans="1:14" ht="15" customHeight="1" x14ac:dyDescent="0.2">
      <c r="A285" s="14"/>
      <c r="B285" s="23"/>
      <c r="C285" s="23"/>
      <c r="D285" s="22"/>
      <c r="E285" s="45"/>
      <c r="F285" s="22"/>
      <c r="G285" s="46"/>
      <c r="H285" s="46"/>
      <c r="I285" s="47" t="str">
        <f>IF(OR($D285="",$E285="",$G285="",$E285&lt;=0,$G285=0),"",$D285/$E285/$G285)</f>
        <v/>
      </c>
      <c r="J285" s="48" t="str">
        <f>IF(OR($I285="",NOT(ISNUMBER($H285)),$H285=0),"",$I285/$H285)</f>
        <v/>
      </c>
      <c r="K285" s="49" t="str">
        <f>IF(OR($I285="",NOT(ISNUMBER($H285))),"",$I285-$H285)</f>
        <v/>
      </c>
      <c r="L285" s="39" t="str">
        <f>IF($I285="","",IF(NOT(ISNUMBER($H285)),"Standard manquant",IF($J285&gt;=1,"Standard atteint",IF($J285&gt;=SeuilAlerte,"Alerte","Sous standard"))))</f>
        <v/>
      </c>
      <c r="M285" s="40" t="str">
        <f>IF(OR($D285="",$E285="",$E285&lt;=0),"",$D285/$E285)</f>
        <v/>
      </c>
      <c r="N285" s="40"/>
    </row>
    <row r="286" spans="1:14" ht="15" customHeight="1" x14ac:dyDescent="0.2">
      <c r="A286" s="14"/>
      <c r="B286" s="23"/>
      <c r="C286" s="23"/>
      <c r="D286" s="22"/>
      <c r="E286" s="45"/>
      <c r="F286" s="22"/>
      <c r="G286" s="46"/>
      <c r="H286" s="46"/>
      <c r="I286" s="47" t="str">
        <f>IF(OR($D286="",$E286="",$G286="",$E286&lt;=0,$G286=0),"",$D286/$E286/$G286)</f>
        <v/>
      </c>
      <c r="J286" s="48" t="str">
        <f>IF(OR($I286="",NOT(ISNUMBER($H286)),$H286=0),"",$I286/$H286)</f>
        <v/>
      </c>
      <c r="K286" s="49" t="str">
        <f>IF(OR($I286="",NOT(ISNUMBER($H286))),"",$I286-$H286)</f>
        <v/>
      </c>
      <c r="L286" s="39" t="str">
        <f>IF($I286="","",IF(NOT(ISNUMBER($H286)),"Standard manquant",IF($J286&gt;=1,"Standard atteint",IF($J286&gt;=SeuilAlerte,"Alerte","Sous standard"))))</f>
        <v/>
      </c>
      <c r="M286" s="40" t="str">
        <f>IF(OR($D286="",$E286="",$E286&lt;=0),"",$D286/$E286)</f>
        <v/>
      </c>
      <c r="N286" s="40"/>
    </row>
    <row r="287" spans="1:14" ht="15" customHeight="1" x14ac:dyDescent="0.2">
      <c r="A287" s="14"/>
      <c r="B287" s="23"/>
      <c r="C287" s="23"/>
      <c r="D287" s="22"/>
      <c r="E287" s="45"/>
      <c r="F287" s="22"/>
      <c r="G287" s="46"/>
      <c r="H287" s="46"/>
      <c r="I287" s="47" t="str">
        <f>IF(OR($D287="",$E287="",$G287="",$E287&lt;=0,$G287=0),"",$D287/$E287/$G287)</f>
        <v/>
      </c>
      <c r="J287" s="48" t="str">
        <f>IF(OR($I287="",NOT(ISNUMBER($H287)),$H287=0),"",$I287/$H287)</f>
        <v/>
      </c>
      <c r="K287" s="49" t="str">
        <f>IF(OR($I287="",NOT(ISNUMBER($H287))),"",$I287-$H287)</f>
        <v/>
      </c>
      <c r="L287" s="39" t="str">
        <f>IF($I287="","",IF(NOT(ISNUMBER($H287)),"Standard manquant",IF($J287&gt;=1,"Standard atteint",IF($J287&gt;=SeuilAlerte,"Alerte","Sous standard"))))</f>
        <v/>
      </c>
      <c r="M287" s="40" t="str">
        <f>IF(OR($D287="",$E287="",$E287&lt;=0),"",$D287/$E287)</f>
        <v/>
      </c>
      <c r="N287" s="40"/>
    </row>
    <row r="288" spans="1:14" ht="15" customHeight="1" x14ac:dyDescent="0.2">
      <c r="A288" s="14"/>
      <c r="B288" s="23"/>
      <c r="C288" s="23"/>
      <c r="D288" s="22"/>
      <c r="E288" s="45"/>
      <c r="F288" s="22"/>
      <c r="G288" s="46"/>
      <c r="H288" s="46"/>
      <c r="I288" s="47" t="str">
        <f>IF(OR($D288="",$E288="",$G288="",$E288&lt;=0,$G288=0),"",$D288/$E288/$G288)</f>
        <v/>
      </c>
      <c r="J288" s="48" t="str">
        <f>IF(OR($I288="",NOT(ISNUMBER($H288)),$H288=0),"",$I288/$H288)</f>
        <v/>
      </c>
      <c r="K288" s="49" t="str">
        <f>IF(OR($I288="",NOT(ISNUMBER($H288))),"",$I288-$H288)</f>
        <v/>
      </c>
      <c r="L288" s="39" t="str">
        <f>IF($I288="","",IF(NOT(ISNUMBER($H288)),"Standard manquant",IF($J288&gt;=1,"Standard atteint",IF($J288&gt;=SeuilAlerte,"Alerte","Sous standard"))))</f>
        <v/>
      </c>
      <c r="M288" s="40" t="str">
        <f>IF(OR($D288="",$E288="",$E288&lt;=0),"",$D288/$E288)</f>
        <v/>
      </c>
      <c r="N288" s="40"/>
    </row>
    <row r="289" spans="1:14" ht="15" customHeight="1" x14ac:dyDescent="0.2">
      <c r="A289" s="14"/>
      <c r="B289" s="23"/>
      <c r="C289" s="23"/>
      <c r="D289" s="22"/>
      <c r="E289" s="45"/>
      <c r="F289" s="22"/>
      <c r="G289" s="46"/>
      <c r="H289" s="46"/>
      <c r="I289" s="47" t="str">
        <f>IF(OR($D289="",$E289="",$G289="",$E289&lt;=0,$G289=0),"",$D289/$E289/$G289)</f>
        <v/>
      </c>
      <c r="J289" s="48" t="str">
        <f>IF(OR($I289="",NOT(ISNUMBER($H289)),$H289=0),"",$I289/$H289)</f>
        <v/>
      </c>
      <c r="K289" s="49" t="str">
        <f>IF(OR($I289="",NOT(ISNUMBER($H289))),"",$I289-$H289)</f>
        <v/>
      </c>
      <c r="L289" s="39" t="str">
        <f>IF($I289="","",IF(NOT(ISNUMBER($H289)),"Standard manquant",IF($J289&gt;=1,"Standard atteint",IF($J289&gt;=SeuilAlerte,"Alerte","Sous standard"))))</f>
        <v/>
      </c>
      <c r="M289" s="40" t="str">
        <f>IF(OR($D289="",$E289="",$E289&lt;=0),"",$D289/$E289)</f>
        <v/>
      </c>
      <c r="N289" s="40"/>
    </row>
    <row r="290" spans="1:14" ht="15" customHeight="1" x14ac:dyDescent="0.2">
      <c r="A290" s="14"/>
      <c r="B290" s="23"/>
      <c r="C290" s="23"/>
      <c r="D290" s="22"/>
      <c r="E290" s="45"/>
      <c r="F290" s="22"/>
      <c r="G290" s="46"/>
      <c r="H290" s="46"/>
      <c r="I290" s="47" t="str">
        <f>IF(OR($D290="",$E290="",$G290="",$E290&lt;=0,$G290=0),"",$D290/$E290/$G290)</f>
        <v/>
      </c>
      <c r="J290" s="48" t="str">
        <f>IF(OR($I290="",NOT(ISNUMBER($H290)),$H290=0),"",$I290/$H290)</f>
        <v/>
      </c>
      <c r="K290" s="49" t="str">
        <f>IF(OR($I290="",NOT(ISNUMBER($H290))),"",$I290-$H290)</f>
        <v/>
      </c>
      <c r="L290" s="39" t="str">
        <f>IF($I290="","",IF(NOT(ISNUMBER($H290)),"Standard manquant",IF($J290&gt;=1,"Standard atteint",IF($J290&gt;=SeuilAlerte,"Alerte","Sous standard"))))</f>
        <v/>
      </c>
      <c r="M290" s="40" t="str">
        <f>IF(OR($D290="",$E290="",$E290&lt;=0),"",$D290/$E290)</f>
        <v/>
      </c>
      <c r="N290" s="40"/>
    </row>
    <row r="291" spans="1:14" ht="15" customHeight="1" x14ac:dyDescent="0.2">
      <c r="A291" s="14"/>
      <c r="B291" s="23"/>
      <c r="C291" s="23"/>
      <c r="D291" s="22"/>
      <c r="E291" s="45"/>
      <c r="F291" s="22"/>
      <c r="G291" s="46"/>
      <c r="H291" s="46"/>
      <c r="I291" s="47" t="str">
        <f>IF(OR($D291="",$E291="",$G291="",$E291&lt;=0,$G291=0),"",$D291/$E291/$G291)</f>
        <v/>
      </c>
      <c r="J291" s="48" t="str">
        <f>IF(OR($I291="",NOT(ISNUMBER($H291)),$H291=0),"",$I291/$H291)</f>
        <v/>
      </c>
      <c r="K291" s="49" t="str">
        <f>IF(OR($I291="",NOT(ISNUMBER($H291))),"",$I291-$H291)</f>
        <v/>
      </c>
      <c r="L291" s="39" t="str">
        <f>IF($I291="","",IF(NOT(ISNUMBER($H291)),"Standard manquant",IF($J291&gt;=1,"Standard atteint",IF($J291&gt;=SeuilAlerte,"Alerte","Sous standard"))))</f>
        <v/>
      </c>
      <c r="M291" s="40" t="str">
        <f>IF(OR($D291="",$E291="",$E291&lt;=0),"",$D291/$E291)</f>
        <v/>
      </c>
      <c r="N291" s="40"/>
    </row>
    <row r="292" spans="1:14" ht="15" customHeight="1" x14ac:dyDescent="0.2">
      <c r="A292" s="14"/>
      <c r="B292" s="23"/>
      <c r="C292" s="23"/>
      <c r="D292" s="22"/>
      <c r="E292" s="45"/>
      <c r="F292" s="22"/>
      <c r="G292" s="46"/>
      <c r="H292" s="46"/>
      <c r="I292" s="47" t="str">
        <f>IF(OR($D292="",$E292="",$G292="",$E292&lt;=0,$G292=0),"",$D292/$E292/$G292)</f>
        <v/>
      </c>
      <c r="J292" s="48" t="str">
        <f>IF(OR($I292="",NOT(ISNUMBER($H292)),$H292=0),"",$I292/$H292)</f>
        <v/>
      </c>
      <c r="K292" s="49" t="str">
        <f>IF(OR($I292="",NOT(ISNUMBER($H292))),"",$I292-$H292)</f>
        <v/>
      </c>
      <c r="L292" s="39" t="str">
        <f>IF($I292="","",IF(NOT(ISNUMBER($H292)),"Standard manquant",IF($J292&gt;=1,"Standard atteint",IF($J292&gt;=SeuilAlerte,"Alerte","Sous standard"))))</f>
        <v/>
      </c>
      <c r="M292" s="40" t="str">
        <f>IF(OR($D292="",$E292="",$E292&lt;=0),"",$D292/$E292)</f>
        <v/>
      </c>
      <c r="N292" s="40"/>
    </row>
    <row r="293" spans="1:14" ht="15" customHeight="1" x14ac:dyDescent="0.2">
      <c r="A293" s="14"/>
      <c r="B293" s="23"/>
      <c r="C293" s="23"/>
      <c r="D293" s="22"/>
      <c r="E293" s="45"/>
      <c r="F293" s="22"/>
      <c r="G293" s="46"/>
      <c r="H293" s="46"/>
      <c r="I293" s="47" t="str">
        <f>IF(OR($D293="",$E293="",$G293="",$E293&lt;=0,$G293=0),"",$D293/$E293/$G293)</f>
        <v/>
      </c>
      <c r="J293" s="48" t="str">
        <f>IF(OR($I293="",NOT(ISNUMBER($H293)),$H293=0),"",$I293/$H293)</f>
        <v/>
      </c>
      <c r="K293" s="49" t="str">
        <f>IF(OR($I293="",NOT(ISNUMBER($H293))),"",$I293-$H293)</f>
        <v/>
      </c>
      <c r="L293" s="39" t="str">
        <f>IF($I293="","",IF(NOT(ISNUMBER($H293)),"Standard manquant",IF($J293&gt;=1,"Standard atteint",IF($J293&gt;=SeuilAlerte,"Alerte","Sous standard"))))</f>
        <v/>
      </c>
      <c r="M293" s="40" t="str">
        <f>IF(OR($D293="",$E293="",$E293&lt;=0),"",$D293/$E293)</f>
        <v/>
      </c>
      <c r="N293" s="40"/>
    </row>
    <row r="294" spans="1:14" ht="15" customHeight="1" x14ac:dyDescent="0.2">
      <c r="A294" s="14"/>
      <c r="B294" s="23"/>
      <c r="C294" s="23"/>
      <c r="D294" s="22"/>
      <c r="E294" s="45"/>
      <c r="F294" s="22"/>
      <c r="G294" s="46"/>
      <c r="H294" s="46"/>
      <c r="I294" s="47" t="str">
        <f>IF(OR($D294="",$E294="",$G294="",$E294&lt;=0,$G294=0),"",$D294/$E294/$G294)</f>
        <v/>
      </c>
      <c r="J294" s="48" t="str">
        <f>IF(OR($I294="",NOT(ISNUMBER($H294)),$H294=0),"",$I294/$H294)</f>
        <v/>
      </c>
      <c r="K294" s="49" t="str">
        <f>IF(OR($I294="",NOT(ISNUMBER($H294))),"",$I294-$H294)</f>
        <v/>
      </c>
      <c r="L294" s="39" t="str">
        <f>IF($I294="","",IF(NOT(ISNUMBER($H294)),"Standard manquant",IF($J294&gt;=1,"Standard atteint",IF($J294&gt;=SeuilAlerte,"Alerte","Sous standard"))))</f>
        <v/>
      </c>
      <c r="M294" s="40" t="str">
        <f>IF(OR($D294="",$E294="",$E294&lt;=0),"",$D294/$E294)</f>
        <v/>
      </c>
      <c r="N294" s="40"/>
    </row>
    <row r="295" spans="1:14" ht="15" customHeight="1" x14ac:dyDescent="0.2">
      <c r="A295" s="14"/>
      <c r="B295" s="23"/>
      <c r="C295" s="23"/>
      <c r="D295" s="22"/>
      <c r="E295" s="45"/>
      <c r="F295" s="22"/>
      <c r="G295" s="46"/>
      <c r="H295" s="46"/>
      <c r="I295" s="47" t="str">
        <f>IF(OR($D295="",$E295="",$G295="",$E295&lt;=0,$G295=0),"",$D295/$E295/$G295)</f>
        <v/>
      </c>
      <c r="J295" s="48" t="str">
        <f>IF(OR($I295="",NOT(ISNUMBER($H295)),$H295=0),"",$I295/$H295)</f>
        <v/>
      </c>
      <c r="K295" s="49" t="str">
        <f>IF(OR($I295="",NOT(ISNUMBER($H295))),"",$I295-$H295)</f>
        <v/>
      </c>
      <c r="L295" s="39" t="str">
        <f>IF($I295="","",IF(NOT(ISNUMBER($H295)),"Standard manquant",IF($J295&gt;=1,"Standard atteint",IF($J295&gt;=SeuilAlerte,"Alerte","Sous standard"))))</f>
        <v/>
      </c>
      <c r="M295" s="40" t="str">
        <f>IF(OR($D295="",$E295="",$E295&lt;=0),"",$D295/$E295)</f>
        <v/>
      </c>
      <c r="N295" s="40"/>
    </row>
    <row r="296" spans="1:14" ht="15" customHeight="1" x14ac:dyDescent="0.2">
      <c r="A296" s="14"/>
      <c r="B296" s="23"/>
      <c r="C296" s="23"/>
      <c r="D296" s="22"/>
      <c r="E296" s="45"/>
      <c r="F296" s="22"/>
      <c r="G296" s="46"/>
      <c r="H296" s="46"/>
      <c r="I296" s="47" t="str">
        <f>IF(OR($D296="",$E296="",$G296="",$E296&lt;=0,$G296=0),"",$D296/$E296/$G296)</f>
        <v/>
      </c>
      <c r="J296" s="48" t="str">
        <f>IF(OR($I296="",NOT(ISNUMBER($H296)),$H296=0),"",$I296/$H296)</f>
        <v/>
      </c>
      <c r="K296" s="49" t="str">
        <f>IF(OR($I296="",NOT(ISNUMBER($H296))),"",$I296-$H296)</f>
        <v/>
      </c>
      <c r="L296" s="39" t="str">
        <f>IF($I296="","",IF(NOT(ISNUMBER($H296)),"Standard manquant",IF($J296&gt;=1,"Standard atteint",IF($J296&gt;=SeuilAlerte,"Alerte","Sous standard"))))</f>
        <v/>
      </c>
      <c r="M296" s="40" t="str">
        <f>IF(OR($D296="",$E296="",$E296&lt;=0),"",$D296/$E296)</f>
        <v/>
      </c>
      <c r="N296" s="40"/>
    </row>
    <row r="297" spans="1:14" ht="15" customHeight="1" x14ac:dyDescent="0.2">
      <c r="A297" s="14"/>
      <c r="B297" s="23"/>
      <c r="C297" s="23"/>
      <c r="D297" s="22"/>
      <c r="E297" s="45"/>
      <c r="F297" s="22"/>
      <c r="G297" s="46"/>
      <c r="H297" s="46"/>
      <c r="I297" s="47" t="str">
        <f>IF(OR($D297="",$E297="",$G297="",$E297&lt;=0,$G297=0),"",$D297/$E297/$G297)</f>
        <v/>
      </c>
      <c r="J297" s="48" t="str">
        <f>IF(OR($I297="",NOT(ISNUMBER($H297)),$H297=0),"",$I297/$H297)</f>
        <v/>
      </c>
      <c r="K297" s="49" t="str">
        <f>IF(OR($I297="",NOT(ISNUMBER($H297))),"",$I297-$H297)</f>
        <v/>
      </c>
      <c r="L297" s="39" t="str">
        <f>IF($I297="","",IF(NOT(ISNUMBER($H297)),"Standard manquant",IF($J297&gt;=1,"Standard atteint",IF($J297&gt;=SeuilAlerte,"Alerte","Sous standard"))))</f>
        <v/>
      </c>
      <c r="M297" s="40" t="str">
        <f>IF(OR($D297="",$E297="",$E297&lt;=0),"",$D297/$E297)</f>
        <v/>
      </c>
      <c r="N297" s="40"/>
    </row>
    <row r="298" spans="1:14" ht="15" customHeight="1" x14ac:dyDescent="0.2">
      <c r="A298" s="14"/>
      <c r="B298" s="23"/>
      <c r="C298" s="23"/>
      <c r="D298" s="22"/>
      <c r="E298" s="45"/>
      <c r="F298" s="22"/>
      <c r="G298" s="46"/>
      <c r="H298" s="46"/>
      <c r="I298" s="47" t="str">
        <f>IF(OR($D298="",$E298="",$G298="",$E298&lt;=0,$G298=0),"",$D298/$E298/$G298)</f>
        <v/>
      </c>
      <c r="J298" s="48" t="str">
        <f>IF(OR($I298="",NOT(ISNUMBER($H298)),$H298=0),"",$I298/$H298)</f>
        <v/>
      </c>
      <c r="K298" s="49" t="str">
        <f>IF(OR($I298="",NOT(ISNUMBER($H298))),"",$I298-$H298)</f>
        <v/>
      </c>
      <c r="L298" s="39" t="str">
        <f>IF($I298="","",IF(NOT(ISNUMBER($H298)),"Standard manquant",IF($J298&gt;=1,"Standard atteint",IF($J298&gt;=SeuilAlerte,"Alerte","Sous standard"))))</f>
        <v/>
      </c>
      <c r="M298" s="40" t="str">
        <f>IF(OR($D298="",$E298="",$E298&lt;=0),"",$D298/$E298)</f>
        <v/>
      </c>
      <c r="N298" s="40"/>
    </row>
    <row r="299" spans="1:14" ht="15" customHeight="1" x14ac:dyDescent="0.2">
      <c r="A299" s="14"/>
      <c r="B299" s="23"/>
      <c r="C299" s="23"/>
      <c r="D299" s="22"/>
      <c r="E299" s="45"/>
      <c r="F299" s="22"/>
      <c r="G299" s="46"/>
      <c r="H299" s="46"/>
      <c r="I299" s="47" t="str">
        <f>IF(OR($D299="",$E299="",$G299="",$E299&lt;=0,$G299=0),"",$D299/$E299/$G299)</f>
        <v/>
      </c>
      <c r="J299" s="48" t="str">
        <f>IF(OR($I299="",NOT(ISNUMBER($H299)),$H299=0),"",$I299/$H299)</f>
        <v/>
      </c>
      <c r="K299" s="49" t="str">
        <f>IF(OR($I299="",NOT(ISNUMBER($H299))),"",$I299-$H299)</f>
        <v/>
      </c>
      <c r="L299" s="39" t="str">
        <f>IF($I299="","",IF(NOT(ISNUMBER($H299)),"Standard manquant",IF($J299&gt;=1,"Standard atteint",IF($J299&gt;=SeuilAlerte,"Alerte","Sous standard"))))</f>
        <v/>
      </c>
      <c r="M299" s="40" t="str">
        <f>IF(OR($D299="",$E299="",$E299&lt;=0),"",$D299/$E299)</f>
        <v/>
      </c>
      <c r="N299" s="40"/>
    </row>
    <row r="300" spans="1:14" ht="15" customHeight="1" x14ac:dyDescent="0.2">
      <c r="A300" s="14"/>
      <c r="B300" s="23"/>
      <c r="C300" s="23"/>
      <c r="D300" s="22"/>
      <c r="E300" s="45"/>
      <c r="F300" s="22"/>
      <c r="G300" s="46"/>
      <c r="H300" s="46"/>
      <c r="I300" s="47" t="str">
        <f>IF(OR($D300="",$E300="",$G300="",$E300&lt;=0,$G300=0),"",$D300/$E300/$G300)</f>
        <v/>
      </c>
      <c r="J300" s="48" t="str">
        <f>IF(OR($I300="",NOT(ISNUMBER($H300)),$H300=0),"",$I300/$H300)</f>
        <v/>
      </c>
      <c r="K300" s="49" t="str">
        <f>IF(OR($I300="",NOT(ISNUMBER($H300))),"",$I300-$H300)</f>
        <v/>
      </c>
      <c r="L300" s="39" t="str">
        <f>IF($I300="","",IF(NOT(ISNUMBER($H300)),"Standard manquant",IF($J300&gt;=1,"Standard atteint",IF($J300&gt;=SeuilAlerte,"Alerte","Sous standard"))))</f>
        <v/>
      </c>
      <c r="M300" s="40" t="str">
        <f>IF(OR($D300="",$E300="",$E300&lt;=0),"",$D300/$E300)</f>
        <v/>
      </c>
      <c r="N300" s="40"/>
    </row>
    <row r="301" spans="1:14" ht="15" customHeight="1" x14ac:dyDescent="0.2">
      <c r="A301" s="14"/>
      <c r="B301" s="23"/>
      <c r="C301" s="23"/>
      <c r="D301" s="22"/>
      <c r="E301" s="45"/>
      <c r="F301" s="22"/>
      <c r="G301" s="46"/>
      <c r="H301" s="46"/>
      <c r="I301" s="47" t="str">
        <f>IF(OR($D301="",$E301="",$G301="",$E301&lt;=0,$G301=0),"",$D301/$E301/$G301)</f>
        <v/>
      </c>
      <c r="J301" s="48" t="str">
        <f>IF(OR($I301="",NOT(ISNUMBER($H301)),$H301=0),"",$I301/$H301)</f>
        <v/>
      </c>
      <c r="K301" s="49" t="str">
        <f>IF(OR($I301="",NOT(ISNUMBER($H301))),"",$I301-$H301)</f>
        <v/>
      </c>
      <c r="L301" s="39" t="str">
        <f>IF($I301="","",IF(NOT(ISNUMBER($H301)),"Standard manquant",IF($J301&gt;=1,"Standard atteint",IF($J301&gt;=SeuilAlerte,"Alerte","Sous standard"))))</f>
        <v/>
      </c>
      <c r="M301" s="40" t="str">
        <f>IF(OR($D301="",$E301="",$E301&lt;=0),"",$D301/$E301)</f>
        <v/>
      </c>
      <c r="N301" s="40"/>
    </row>
    <row r="302" spans="1:14" ht="15" customHeight="1" x14ac:dyDescent="0.2">
      <c r="A302" s="14"/>
      <c r="B302" s="23"/>
      <c r="C302" s="23"/>
      <c r="D302" s="22"/>
      <c r="E302" s="45"/>
      <c r="F302" s="22"/>
      <c r="G302" s="46"/>
      <c r="H302" s="46"/>
      <c r="I302" s="47" t="str">
        <f>IF(OR($D302="",$E302="",$G302="",$E302&lt;=0,$G302=0),"",$D302/$E302/$G302)</f>
        <v/>
      </c>
      <c r="J302" s="48" t="str">
        <f>IF(OR($I302="",NOT(ISNUMBER($H302)),$H302=0),"",$I302/$H302)</f>
        <v/>
      </c>
      <c r="K302" s="49" t="str">
        <f>IF(OR($I302="",NOT(ISNUMBER($H302))),"",$I302-$H302)</f>
        <v/>
      </c>
      <c r="L302" s="39" t="str">
        <f>IF($I302="","",IF(NOT(ISNUMBER($H302)),"Standard manquant",IF($J302&gt;=1,"Standard atteint",IF($J302&gt;=SeuilAlerte,"Alerte","Sous standard"))))</f>
        <v/>
      </c>
      <c r="M302" s="40" t="str">
        <f>IF(OR($D302="",$E302="",$E302&lt;=0),"",$D302/$E302)</f>
        <v/>
      </c>
      <c r="N302" s="40"/>
    </row>
  </sheetData>
  <autoFilter ref="A2:M302" xr:uid="{00000000-0009-0000-0000-000001000000}"/>
  <mergeCells count="1">
    <mergeCell ref="A1:L1"/>
  </mergeCells>
  <conditionalFormatting sqref="L3:L302">
    <cfRule type="expression" dxfId="3" priority="2">
      <formula>$L3="Standard atteint"</formula>
    </cfRule>
    <cfRule type="expression" dxfId="2" priority="3">
      <formula>$L3="Alerte"</formula>
    </cfRule>
    <cfRule type="expression" dxfId="1" priority="4">
      <formula>$L3="Sous standard"</formula>
    </cfRule>
    <cfRule type="expression" dxfId="0" priority="5">
      <formula>$L3="Standard manquant"</formula>
    </cfRule>
  </conditionalFormatting>
  <dataValidations count="2">
    <dataValidation type="list" allowBlank="1" sqref="C3:C302" xr:uid="{00000000-0002-0000-0100-000000000000}">
      <formula1>ListeLignes</formula1>
      <formula2>0</formula2>
    </dataValidation>
    <dataValidation type="list" allowBlank="1" errorTitle="Produit inconnu" error="Produit absent de l'onglet PARAMETRES." sqref="B3:B302" xr:uid="{00000000-0002-0000-0100-000001000000}">
      <formula1>ListeProduits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4"/>
  <sheetViews>
    <sheetView showGridLines="0" zoomScaleNormal="100" workbookViewId="0">
      <selection activeCell="E22" sqref="E22"/>
    </sheetView>
  </sheetViews>
  <sheetFormatPr defaultColWidth="8.7421875" defaultRowHeight="15" x14ac:dyDescent="0.2"/>
  <cols>
    <col min="1" max="1" width="32.015625" style="12" customWidth="1"/>
    <col min="2" max="2" width="25.9609375" style="12" customWidth="1"/>
    <col min="3" max="3" width="46.00390625" style="12" customWidth="1"/>
    <col min="5" max="5" width="36.05078125" style="12" customWidth="1"/>
  </cols>
  <sheetData>
    <row r="1" spans="1:5" ht="30" customHeight="1" x14ac:dyDescent="0.2">
      <c r="A1" s="11" t="s">
        <v>31</v>
      </c>
      <c r="B1" s="11"/>
      <c r="C1" s="11"/>
      <c r="D1" s="11"/>
      <c r="E1" s="11"/>
    </row>
    <row r="2" spans="1:5" ht="19.5" customHeight="1" x14ac:dyDescent="0.2">
      <c r="A2" s="13" t="s">
        <v>32</v>
      </c>
      <c r="B2" s="51">
        <v>0.9</v>
      </c>
      <c r="C2" s="50"/>
    </row>
    <row r="3" spans="1:5" ht="21.75" customHeight="1" x14ac:dyDescent="0.2">
      <c r="A3" s="6" t="s">
        <v>33</v>
      </c>
      <c r="B3" s="6"/>
      <c r="C3" s="6"/>
      <c r="E3" s="52" t="s">
        <v>34</v>
      </c>
    </row>
    <row r="4" spans="1:5" ht="30" customHeight="1" x14ac:dyDescent="0.2">
      <c r="A4" s="20" t="s">
        <v>2</v>
      </c>
      <c r="B4" s="20" t="s">
        <v>3</v>
      </c>
      <c r="C4" s="20" t="s">
        <v>35</v>
      </c>
      <c r="E4" s="20" t="s">
        <v>12</v>
      </c>
    </row>
    <row r="5" spans="1:5" ht="15" customHeight="1" x14ac:dyDescent="0.2">
      <c r="A5" s="23" t="s">
        <v>48</v>
      </c>
      <c r="B5" s="46">
        <v>112</v>
      </c>
      <c r="C5" s="23"/>
      <c r="E5" s="23" t="s">
        <v>36</v>
      </c>
    </row>
    <row r="6" spans="1:5" ht="15" customHeight="1" x14ac:dyDescent="0.2">
      <c r="A6" s="23"/>
      <c r="B6" s="46"/>
      <c r="C6" s="23"/>
      <c r="E6" s="23" t="s">
        <v>37</v>
      </c>
    </row>
    <row r="7" spans="1:5" ht="15" customHeight="1" x14ac:dyDescent="0.2">
      <c r="A7" s="23"/>
      <c r="B7" s="46"/>
      <c r="C7" s="23"/>
      <c r="E7" s="23" t="s">
        <v>38</v>
      </c>
    </row>
    <row r="8" spans="1:5" ht="15" customHeight="1" x14ac:dyDescent="0.2">
      <c r="A8" s="23"/>
      <c r="B8" s="46"/>
      <c r="C8" s="23"/>
      <c r="E8" s="23" t="s">
        <v>39</v>
      </c>
    </row>
    <row r="9" spans="1:5" ht="15" customHeight="1" x14ac:dyDescent="0.2">
      <c r="A9" s="23"/>
      <c r="B9" s="46"/>
      <c r="C9" s="23"/>
      <c r="E9" s="23" t="s">
        <v>40</v>
      </c>
    </row>
    <row r="10" spans="1:5" ht="15" customHeight="1" x14ac:dyDescent="0.2">
      <c r="A10" s="23"/>
      <c r="B10" s="46"/>
      <c r="C10" s="23"/>
      <c r="E10" s="23" t="s">
        <v>41</v>
      </c>
    </row>
    <row r="11" spans="1:5" ht="15" customHeight="1" x14ac:dyDescent="0.2">
      <c r="A11" s="23"/>
      <c r="B11" s="46"/>
      <c r="C11" s="23"/>
      <c r="E11" s="23" t="s">
        <v>42</v>
      </c>
    </row>
    <row r="12" spans="1:5" ht="15" customHeight="1" x14ac:dyDescent="0.2">
      <c r="A12" s="23"/>
      <c r="B12" s="46"/>
      <c r="C12" s="23"/>
      <c r="E12" s="23" t="s">
        <v>43</v>
      </c>
    </row>
    <row r="13" spans="1:5" ht="15" customHeight="1" x14ac:dyDescent="0.2">
      <c r="A13" s="23"/>
      <c r="B13" s="46"/>
      <c r="C13" s="23"/>
      <c r="E13" s="23" t="s">
        <v>44</v>
      </c>
    </row>
    <row r="14" spans="1:5" ht="15" customHeight="1" x14ac:dyDescent="0.2">
      <c r="A14" s="23"/>
      <c r="B14" s="46"/>
      <c r="C14" s="23"/>
      <c r="E14" s="23" t="s">
        <v>45</v>
      </c>
    </row>
    <row r="15" spans="1:5" ht="15" customHeight="1" x14ac:dyDescent="0.2">
      <c r="A15" s="23"/>
      <c r="B15" s="46"/>
      <c r="C15" s="23"/>
      <c r="E15" s="23" t="s">
        <v>46</v>
      </c>
    </row>
    <row r="16" spans="1:5" ht="15" customHeight="1" x14ac:dyDescent="0.2">
      <c r="A16" s="23"/>
      <c r="B16" s="46"/>
      <c r="C16" s="23"/>
      <c r="E16" s="23"/>
    </row>
    <row r="17" spans="1:5" ht="15" customHeight="1" x14ac:dyDescent="0.2">
      <c r="A17" s="23"/>
      <c r="B17" s="46"/>
      <c r="C17" s="23"/>
      <c r="E17" s="23"/>
    </row>
    <row r="18" spans="1:5" ht="15" customHeight="1" x14ac:dyDescent="0.2">
      <c r="A18" s="23"/>
      <c r="B18" s="46"/>
      <c r="C18" s="23"/>
      <c r="E18" s="23"/>
    </row>
    <row r="19" spans="1:5" ht="15" customHeight="1" x14ac:dyDescent="0.2">
      <c r="A19" s="23"/>
      <c r="B19" s="46"/>
      <c r="C19" s="23"/>
    </row>
    <row r="20" spans="1:5" ht="15" customHeight="1" x14ac:dyDescent="0.2">
      <c r="A20" s="23"/>
      <c r="B20" s="46"/>
      <c r="C20" s="23"/>
    </row>
    <row r="21" spans="1:5" ht="15" customHeight="1" x14ac:dyDescent="0.2">
      <c r="A21" s="23"/>
      <c r="B21" s="46"/>
      <c r="C21" s="23"/>
    </row>
    <row r="22" spans="1:5" ht="15" customHeight="1" x14ac:dyDescent="0.2">
      <c r="A22" s="23"/>
      <c r="B22" s="46"/>
      <c r="C22" s="23"/>
    </row>
    <row r="23" spans="1:5" ht="15" customHeight="1" x14ac:dyDescent="0.2">
      <c r="A23" s="23"/>
      <c r="B23" s="46"/>
      <c r="C23" s="23"/>
    </row>
    <row r="24" spans="1:5" ht="15" customHeight="1" x14ac:dyDescent="0.2">
      <c r="A24" s="23"/>
      <c r="B24" s="46"/>
      <c r="C24" s="23"/>
    </row>
  </sheetData>
  <mergeCells count="2">
    <mergeCell ref="A1:E1"/>
    <mergeCell ref="A3:C3"/>
  </mergeCells>
  <dataValidations count="1">
    <dataValidation type="decimal" errorTitle="Seuil invalide" error="Saisir une fraction entre 0 et 1 (0,90 = 90%), pas 90." sqref="B2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Fiche Jour</vt:lpstr>
      <vt:lpstr>Suivi Mensuel</vt:lpstr>
      <vt:lpstr>PARAMETRES</vt:lpstr>
      <vt:lpstr>ListeMotifs</vt:lpstr>
      <vt:lpstr>ListeProduits</vt:lpstr>
      <vt:lpstr>Fiche Jour!Print_Area</vt:lpstr>
      <vt:lpstr>PARAMETRES!Print_Area</vt:lpstr>
      <vt:lpstr>Suivi Mensuel!Print_Titles</vt:lpstr>
      <vt:lpstr>SeuilAlerte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12</cp:revision>
  <dcterms:created xsi:type="dcterms:W3CDTF">2026-08-12T19:20:21Z</dcterms:created>
  <dcterms:modified xsi:type="dcterms:W3CDTF">2026-08-18T13:07:46Z</dcterms:modified>
  <dc:language>en-US</dc:language>
</cp:coreProperties>
</file>